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drawings/drawing3.xml" ContentType="application/vnd.openxmlformats-officedocument.drawingml.chartshapes+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4.xml" ContentType="application/vnd.openxmlformats-officedocument.drawingml.chartshapes+xml"/>
  <Override PartName="/xl/charts/chart10.xml" ContentType="application/vnd.openxmlformats-officedocument.drawingml.chart+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bookViews>
    <workbookView xWindow="130" yWindow="490" windowWidth="18880" windowHeight="8740" activeTab="2"/>
  </bookViews>
  <sheets>
    <sheet name="Ecommerce_Data" sheetId="1" r:id="rId1"/>
    <sheet name="Sheet1" sheetId="2" r:id="rId2"/>
    <sheet name="Dashboard" sheetId="3" r:id="rId3"/>
    <sheet name="kpi pivot" sheetId="4" r:id="rId4"/>
  </sheets>
  <definedNames>
    <definedName name="Slicer_Category">#N/A</definedName>
    <definedName name="Slicer_Month">#N/A</definedName>
    <definedName name="Slicer_Region">#N/A</definedName>
    <definedName name="Slicer_Year">#N/A</definedName>
  </definedNames>
  <calcPr calcId="144525"/>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E3" i="4" l="1"/>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G14" i="3"/>
  <c r="A14" i="3"/>
  <c r="D14" i="3"/>
  <c r="I14" i="3" l="1"/>
</calcChain>
</file>

<file path=xl/sharedStrings.xml><?xml version="1.0" encoding="utf-8"?>
<sst xmlns="http://schemas.openxmlformats.org/spreadsheetml/2006/main" count="35073" uniqueCount="5821">
  <si>
    <t>Order ID</t>
  </si>
  <si>
    <t>Order Date</t>
  </si>
  <si>
    <t>Customer Name</t>
  </si>
  <si>
    <t>Product</t>
  </si>
  <si>
    <t>Category</t>
  </si>
  <si>
    <t>Sub-Category</t>
  </si>
  <si>
    <t>Quantity</t>
  </si>
  <si>
    <t>Price</t>
  </si>
  <si>
    <t>Discount</t>
  </si>
  <si>
    <t>Sales</t>
  </si>
  <si>
    <t>Profit</t>
  </si>
  <si>
    <t>Region</t>
  </si>
  <si>
    <t>ORD00001</t>
  </si>
  <si>
    <t>2024-10-09</t>
  </si>
  <si>
    <t>Customer_24</t>
  </si>
  <si>
    <t>Chair</t>
  </si>
  <si>
    <t>Furniture</t>
  </si>
  <si>
    <t>West</t>
  </si>
  <si>
    <t>ORD00002</t>
  </si>
  <si>
    <t>2023-07-23</t>
  </si>
  <si>
    <t>Customer_42</t>
  </si>
  <si>
    <t>Mobile</t>
  </si>
  <si>
    <t>Electronics</t>
  </si>
  <si>
    <t>East</t>
  </si>
  <si>
    <t>ORD00003</t>
  </si>
  <si>
    <t>2023-04-28</t>
  </si>
  <si>
    <t>Customer_28</t>
  </si>
  <si>
    <t>Shoes</t>
  </si>
  <si>
    <t>Clothing</t>
  </si>
  <si>
    <t>ORD00004</t>
  </si>
  <si>
    <t>2023-04-24</t>
  </si>
  <si>
    <t>Customer_11</t>
  </si>
  <si>
    <t>Stapler</t>
  </si>
  <si>
    <t>Office Supplies</t>
  </si>
  <si>
    <t>ORD00005</t>
  </si>
  <si>
    <t>2023-01-25</t>
  </si>
  <si>
    <t>Customer_14</t>
  </si>
  <si>
    <t>Stool</t>
  </si>
  <si>
    <t>ORD00006</t>
  </si>
  <si>
    <t>2023-11-25</t>
  </si>
  <si>
    <t>Customer_37</t>
  </si>
  <si>
    <t>Cupboard</t>
  </si>
  <si>
    <t>ORD00007</t>
  </si>
  <si>
    <t>2023-06-04</t>
  </si>
  <si>
    <t>Jeans</t>
  </si>
  <si>
    <t>South</t>
  </si>
  <si>
    <t>ORD00008</t>
  </si>
  <si>
    <t>2023-05-16</t>
  </si>
  <si>
    <t>Bed</t>
  </si>
  <si>
    <t>ORD00009</t>
  </si>
  <si>
    <t>2023-05-03</t>
  </si>
  <si>
    <t>Customer_50</t>
  </si>
  <si>
    <t>Sweater</t>
  </si>
  <si>
    <t>ORD00010</t>
  </si>
  <si>
    <t>2023-03-20</t>
  </si>
  <si>
    <t>Customer_27</t>
  </si>
  <si>
    <t>Keyboard</t>
  </si>
  <si>
    <t>ORD00011</t>
  </si>
  <si>
    <t>2024-08-01</t>
  </si>
  <si>
    <t>Customer_13</t>
  </si>
  <si>
    <t>Marker</t>
  </si>
  <si>
    <t>ORD00012</t>
  </si>
  <si>
    <t>2023-12-24</t>
  </si>
  <si>
    <t>Customer_4</t>
  </si>
  <si>
    <t>Printer</t>
  </si>
  <si>
    <t>ORD00013</t>
  </si>
  <si>
    <t>2024-09-09</t>
  </si>
  <si>
    <t>Customer_44</t>
  </si>
  <si>
    <t>ORD00014</t>
  </si>
  <si>
    <t>2023-03-03</t>
  </si>
  <si>
    <t>North</t>
  </si>
  <si>
    <t>ORD00015</t>
  </si>
  <si>
    <t>2023-08-09</t>
  </si>
  <si>
    <t>Customer_35</t>
  </si>
  <si>
    <t>Headphones</t>
  </si>
  <si>
    <t>ORD00016</t>
  </si>
  <si>
    <t>2024-09-11</t>
  </si>
  <si>
    <t>Customer_49</t>
  </si>
  <si>
    <t>Jacket</t>
  </si>
  <si>
    <t>ORD00017</t>
  </si>
  <si>
    <t>2023-01-27</t>
  </si>
  <si>
    <t>Customer_32</t>
  </si>
  <si>
    <t>ORD00018</t>
  </si>
  <si>
    <t>2024-03-23</t>
  </si>
  <si>
    <t>Customer_9</t>
  </si>
  <si>
    <t>Dress</t>
  </si>
  <si>
    <t>ORD00019</t>
  </si>
  <si>
    <t>2024-11-06</t>
  </si>
  <si>
    <t>Customer_45</t>
  </si>
  <si>
    <t>ORD00020</t>
  </si>
  <si>
    <t>2023-09-09</t>
  </si>
  <si>
    <t>Sofa</t>
  </si>
  <si>
    <t>ORD00021</t>
  </si>
  <si>
    <t>2024-03-01</t>
  </si>
  <si>
    <t>Customer_48</t>
  </si>
  <si>
    <t>Pen</t>
  </si>
  <si>
    <t>ORD00022</t>
  </si>
  <si>
    <t>2023-10-20</t>
  </si>
  <si>
    <t>Customer_21</t>
  </si>
  <si>
    <t>ORD00023</t>
  </si>
  <si>
    <t>2023-11-29</t>
  </si>
  <si>
    <t>Customer_7</t>
  </si>
  <si>
    <t>ORD00024</t>
  </si>
  <si>
    <t>2023-11-04</t>
  </si>
  <si>
    <t>Customer_38</t>
  </si>
  <si>
    <t>ORD00025</t>
  </si>
  <si>
    <t>2023-06-30</t>
  </si>
  <si>
    <t>Customer_34</t>
  </si>
  <si>
    <t>Power Bank</t>
  </si>
  <si>
    <t>ORD00026</t>
  </si>
  <si>
    <t>2023-01-01</t>
  </si>
  <si>
    <t>Customer_29</t>
  </si>
  <si>
    <t>ORD00027</t>
  </si>
  <si>
    <t>2023-07-13</t>
  </si>
  <si>
    <t>Table</t>
  </si>
  <si>
    <t>ORD00028</t>
  </si>
  <si>
    <t>2023-01-09</t>
  </si>
  <si>
    <t>Customer_26</t>
  </si>
  <si>
    <t>ORD00029</t>
  </si>
  <si>
    <t>2024-04-07</t>
  </si>
  <si>
    <t>Customer_41</t>
  </si>
  <si>
    <t>ORD00030</t>
  </si>
  <si>
    <t>2024-07-17</t>
  </si>
  <si>
    <t>ORD00031</t>
  </si>
  <si>
    <t>2024-04-13</t>
  </si>
  <si>
    <t>Customer_19</t>
  </si>
  <si>
    <t>ORD00032</t>
  </si>
  <si>
    <t>2024-11-28</t>
  </si>
  <si>
    <t>Customer_12</t>
  </si>
  <si>
    <t>ORD00033</t>
  </si>
  <si>
    <t>2023-05-01</t>
  </si>
  <si>
    <t>ORD00034</t>
  </si>
  <si>
    <t>2023-02-04</t>
  </si>
  <si>
    <t>Smartwatch</t>
  </si>
  <si>
    <t>ORD00035</t>
  </si>
  <si>
    <t>2024-09-22</t>
  </si>
  <si>
    <t>Customer_43</t>
  </si>
  <si>
    <t>Tablet</t>
  </si>
  <si>
    <t>ORD00036</t>
  </si>
  <si>
    <t>2023-12-17</t>
  </si>
  <si>
    <t>Customer_40</t>
  </si>
  <si>
    <t>Laptop</t>
  </si>
  <si>
    <t>ORD00037</t>
  </si>
  <si>
    <t>2023-07-02</t>
  </si>
  <si>
    <t>ORD00038</t>
  </si>
  <si>
    <t>2024-09-04</t>
  </si>
  <si>
    <t>Customer_15</t>
  </si>
  <si>
    <t>ORD00039</t>
  </si>
  <si>
    <t>2024-01-09</t>
  </si>
  <si>
    <t>ORD00040</t>
  </si>
  <si>
    <t>2023-08-03</t>
  </si>
  <si>
    <t>Camera</t>
  </si>
  <si>
    <t>ORD00041</t>
  </si>
  <si>
    <t>2024-02-28</t>
  </si>
  <si>
    <t>ORD00042</t>
  </si>
  <si>
    <t>Customer_5</t>
  </si>
  <si>
    <t>ORD00043</t>
  </si>
  <si>
    <t>2024-01-18</t>
  </si>
  <si>
    <t>Customer_36</t>
  </si>
  <si>
    <t>ORD00044</t>
  </si>
  <si>
    <t>2023-02-01</t>
  </si>
  <si>
    <t>ORD00045</t>
  </si>
  <si>
    <t>Customer_2</t>
  </si>
  <si>
    <t>ORD00046</t>
  </si>
  <si>
    <t>2023-05-27</t>
  </si>
  <si>
    <t>ORD00047</t>
  </si>
  <si>
    <t>2024-01-02</t>
  </si>
  <si>
    <t>Desk</t>
  </si>
  <si>
    <t>ORD00048</t>
  </si>
  <si>
    <t>2024-11-02</t>
  </si>
  <si>
    <t>Customer_6</t>
  </si>
  <si>
    <t>ORD00049</t>
  </si>
  <si>
    <t>2023-03-17</t>
  </si>
  <si>
    <t>ORD00050</t>
  </si>
  <si>
    <t>2024-06-27</t>
  </si>
  <si>
    <t>Customer_16</t>
  </si>
  <si>
    <t>ORD00051</t>
  </si>
  <si>
    <t>2023-06-17</t>
  </si>
  <si>
    <t>Customer_47</t>
  </si>
  <si>
    <t>T-Shirt</t>
  </si>
  <si>
    <t>ORD00052</t>
  </si>
  <si>
    <t>2023-05-04</t>
  </si>
  <si>
    <t>ORD00053</t>
  </si>
  <si>
    <t>2024-07-03</t>
  </si>
  <si>
    <t>ORD00054</t>
  </si>
  <si>
    <t>2023-06-20</t>
  </si>
  <si>
    <t>ORD00055</t>
  </si>
  <si>
    <t>2024-09-12</t>
  </si>
  <si>
    <t>Customer_1</t>
  </si>
  <si>
    <t>ORD00056</t>
  </si>
  <si>
    <t>2024-03-15</t>
  </si>
  <si>
    <t>Customer_10</t>
  </si>
  <si>
    <t>ORD00057</t>
  </si>
  <si>
    <t>2023-06-15</t>
  </si>
  <si>
    <t>ORD00058</t>
  </si>
  <si>
    <t>2024-03-17</t>
  </si>
  <si>
    <t>ORD00059</t>
  </si>
  <si>
    <t>2024-02-21</t>
  </si>
  <si>
    <t>ORD00060</t>
  </si>
  <si>
    <t>2023-11-27</t>
  </si>
  <si>
    <t>Customer_3</t>
  </si>
  <si>
    <t>ORD00061</t>
  </si>
  <si>
    <t>2023-06-08</t>
  </si>
  <si>
    <t>Customer_33</t>
  </si>
  <si>
    <t>ORD00062</t>
  </si>
  <si>
    <t>2023-02-26</t>
  </si>
  <si>
    <t>ORD00063</t>
  </si>
  <si>
    <t>2024-06-25</t>
  </si>
  <si>
    <t>Customer_8</t>
  </si>
  <si>
    <t>ORD00064</t>
  </si>
  <si>
    <t>2023-06-14</t>
  </si>
  <si>
    <t>ORD00065</t>
  </si>
  <si>
    <t>ORD00066</t>
  </si>
  <si>
    <t>2024-09-29</t>
  </si>
  <si>
    <t>ORD00067</t>
  </si>
  <si>
    <t>2024-07-18</t>
  </si>
  <si>
    <t>ORD00068</t>
  </si>
  <si>
    <t>2023-09-03</t>
  </si>
  <si>
    <t>ORD00069</t>
  </si>
  <si>
    <t>ORD00070</t>
  </si>
  <si>
    <t>ORD00071</t>
  </si>
  <si>
    <t>2023-12-20</t>
  </si>
  <si>
    <t>ORD00072</t>
  </si>
  <si>
    <t>2024-01-31</t>
  </si>
  <si>
    <t>Notebook</t>
  </si>
  <si>
    <t>ORD00073</t>
  </si>
  <si>
    <t>2024-10-15</t>
  </si>
  <si>
    <t>Customer_20</t>
  </si>
  <si>
    <t>ORD00074</t>
  </si>
  <si>
    <t>ORD00075</t>
  </si>
  <si>
    <t>ORD00076</t>
  </si>
  <si>
    <t>2024-09-06</t>
  </si>
  <si>
    <t>ORD00077</t>
  </si>
  <si>
    <t>ORD00078</t>
  </si>
  <si>
    <t>2024-05-15</t>
  </si>
  <si>
    <t>ORD00079</t>
  </si>
  <si>
    <t>2024-05-28</t>
  </si>
  <si>
    <t>ORD00080</t>
  </si>
  <si>
    <t>2023-12-12</t>
  </si>
  <si>
    <t>ORD00081</t>
  </si>
  <si>
    <t>2024-09-15</t>
  </si>
  <si>
    <t>ORD00082</t>
  </si>
  <si>
    <t>2023-05-13</t>
  </si>
  <si>
    <t>ORD00083</t>
  </si>
  <si>
    <t>2023-12-27</t>
  </si>
  <si>
    <t>ORD00084</t>
  </si>
  <si>
    <t>2023-02-06</t>
  </si>
  <si>
    <t>ORD00085</t>
  </si>
  <si>
    <t>2024-10-25</t>
  </si>
  <si>
    <t>ORD00086</t>
  </si>
  <si>
    <t>2023-08-10</t>
  </si>
  <si>
    <t>ORD00087</t>
  </si>
  <si>
    <t>ORD00088</t>
  </si>
  <si>
    <t>2024-04-06</t>
  </si>
  <si>
    <t>ORD00089</t>
  </si>
  <si>
    <t>Customer_22</t>
  </si>
  <si>
    <t>ORD00090</t>
  </si>
  <si>
    <t>2024-08-25</t>
  </si>
  <si>
    <t>ORD00091</t>
  </si>
  <si>
    <t>2024-10-08</t>
  </si>
  <si>
    <t>Customer_31</t>
  </si>
  <si>
    <t>ORD00092</t>
  </si>
  <si>
    <t>2023-07-26</t>
  </si>
  <si>
    <t>ORD00093</t>
  </si>
  <si>
    <t>ORD00094</t>
  </si>
  <si>
    <t>2023-08-13</t>
  </si>
  <si>
    <t>ORD00095</t>
  </si>
  <si>
    <t>2023-06-02</t>
  </si>
  <si>
    <t>ORD00096</t>
  </si>
  <si>
    <t>2023-12-26</t>
  </si>
  <si>
    <t>ORD00097</t>
  </si>
  <si>
    <t>ORD00098</t>
  </si>
  <si>
    <t>2023-06-24</t>
  </si>
  <si>
    <t>ORD00099</t>
  </si>
  <si>
    <t>ORD00100</t>
  </si>
  <si>
    <t>ORD00101</t>
  </si>
  <si>
    <t>2024-04-01</t>
  </si>
  <si>
    <t>ORD00102</t>
  </si>
  <si>
    <t>2024-05-07</t>
  </si>
  <si>
    <t>ORD00103</t>
  </si>
  <si>
    <t>2024-10-27</t>
  </si>
  <si>
    <t>ORD00104</t>
  </si>
  <si>
    <t>2024-11-24</t>
  </si>
  <si>
    <t>ORD00105</t>
  </si>
  <si>
    <t>2023-11-01</t>
  </si>
  <si>
    <t>ORD00106</t>
  </si>
  <si>
    <t>2024-03-28</t>
  </si>
  <si>
    <t>ORD00107</t>
  </si>
  <si>
    <t>2024-06-02</t>
  </si>
  <si>
    <t>ORD00108</t>
  </si>
  <si>
    <t>2023-10-30</t>
  </si>
  <si>
    <t>ORD00109</t>
  </si>
  <si>
    <t>2024-08-06</t>
  </si>
  <si>
    <t>Paper Ream</t>
  </si>
  <si>
    <t>ORD00110</t>
  </si>
  <si>
    <t>ORD00111</t>
  </si>
  <si>
    <t>2023-08-23</t>
  </si>
  <si>
    <t>ORD00112</t>
  </si>
  <si>
    <t>ORD00113</t>
  </si>
  <si>
    <t>2023-05-24</t>
  </si>
  <si>
    <t>ORD00114</t>
  </si>
  <si>
    <t>2023-07-11</t>
  </si>
  <si>
    <t>ORD00115</t>
  </si>
  <si>
    <t>2024-06-11</t>
  </si>
  <si>
    <t>ORD00116</t>
  </si>
  <si>
    <t>ORD00117</t>
  </si>
  <si>
    <t>2024-07-19</t>
  </si>
  <si>
    <t>ORD00118</t>
  </si>
  <si>
    <t>2024-07-11</t>
  </si>
  <si>
    <t>ORD00119</t>
  </si>
  <si>
    <t>2023-02-10</t>
  </si>
  <si>
    <t>ORD00120</t>
  </si>
  <si>
    <t>2024-05-30</t>
  </si>
  <si>
    <t>ORD00121</t>
  </si>
  <si>
    <t>2024-11-30</t>
  </si>
  <si>
    <t>ORD00122</t>
  </si>
  <si>
    <t>2023-11-10</t>
  </si>
  <si>
    <t>ORD00123</t>
  </si>
  <si>
    <t>2023-08-20</t>
  </si>
  <si>
    <t>ORD00124</t>
  </si>
  <si>
    <t>ORD00125</t>
  </si>
  <si>
    <t>ORD00126</t>
  </si>
  <si>
    <t>2023-09-24</t>
  </si>
  <si>
    <t>File</t>
  </si>
  <si>
    <t>ORD00127</t>
  </si>
  <si>
    <t>2023-08-07</t>
  </si>
  <si>
    <t>ORD00128</t>
  </si>
  <si>
    <t>2024-11-09</t>
  </si>
  <si>
    <t>ORD00129</t>
  </si>
  <si>
    <t>2024-08-02</t>
  </si>
  <si>
    <t>ORD00130</t>
  </si>
  <si>
    <t>2024-10-17</t>
  </si>
  <si>
    <t>Customer_18</t>
  </si>
  <si>
    <t>ORD00131</t>
  </si>
  <si>
    <t>2023-09-08</t>
  </si>
  <si>
    <t>Customer_23</t>
  </si>
  <si>
    <t>ORD00132</t>
  </si>
  <si>
    <t>2024-05-23</t>
  </si>
  <si>
    <t>ORD00133</t>
  </si>
  <si>
    <t>2024-06-23</t>
  </si>
  <si>
    <t>ORD00134</t>
  </si>
  <si>
    <t>2023-05-15</t>
  </si>
  <si>
    <t>ORD00135</t>
  </si>
  <si>
    <t>2024-02-12</t>
  </si>
  <si>
    <t>ORD00136</t>
  </si>
  <si>
    <t>ORD00137</t>
  </si>
  <si>
    <t>2023-10-26</t>
  </si>
  <si>
    <t>ORD00138</t>
  </si>
  <si>
    <t>2024-05-13</t>
  </si>
  <si>
    <t>Customer_17</t>
  </si>
  <si>
    <t>ORD00139</t>
  </si>
  <si>
    <t>2023-04-20</t>
  </si>
  <si>
    <t>ORD00140</t>
  </si>
  <si>
    <t>2024-04-10</t>
  </si>
  <si>
    <t>ORD00141</t>
  </si>
  <si>
    <t>2023-12-30</t>
  </si>
  <si>
    <t>ORD00142</t>
  </si>
  <si>
    <t>2023-04-04</t>
  </si>
  <si>
    <t>ORD00143</t>
  </si>
  <si>
    <t>ORD00144</t>
  </si>
  <si>
    <t>2023-06-07</t>
  </si>
  <si>
    <t>ORD00145</t>
  </si>
  <si>
    <t>Customer_30</t>
  </si>
  <si>
    <t>ORD00146</t>
  </si>
  <si>
    <t>ORD00147</t>
  </si>
  <si>
    <t>2023-06-06</t>
  </si>
  <si>
    <t>ORD00148</t>
  </si>
  <si>
    <t>2024-03-07</t>
  </si>
  <si>
    <t>ORD00149</t>
  </si>
  <si>
    <t>2024-09-17</t>
  </si>
  <si>
    <t>Customer_25</t>
  </si>
  <si>
    <t>ORD00150</t>
  </si>
  <si>
    <t>2023-01-16</t>
  </si>
  <si>
    <t>ORD00151</t>
  </si>
  <si>
    <t>2023-10-04</t>
  </si>
  <si>
    <t>ORD00152</t>
  </si>
  <si>
    <t>ORD00153</t>
  </si>
  <si>
    <t>2024-07-07</t>
  </si>
  <si>
    <t>ORD00154</t>
  </si>
  <si>
    <t>2023-02-20</t>
  </si>
  <si>
    <t>ORD00155</t>
  </si>
  <si>
    <t>2023-12-01</t>
  </si>
  <si>
    <t>ORD00156</t>
  </si>
  <si>
    <t>2024-06-15</t>
  </si>
  <si>
    <t>ORD00157</t>
  </si>
  <si>
    <t>2023-01-18</t>
  </si>
  <si>
    <t>ORD00158</t>
  </si>
  <si>
    <t>2024-05-24</t>
  </si>
  <si>
    <t>ORD00159</t>
  </si>
  <si>
    <t>2023-05-22</t>
  </si>
  <si>
    <t>ORD00160</t>
  </si>
  <si>
    <t>ORD00161</t>
  </si>
  <si>
    <t>2024-05-06</t>
  </si>
  <si>
    <t>ORD00162</t>
  </si>
  <si>
    <t>2023-09-28</t>
  </si>
  <si>
    <t>ORD00163</t>
  </si>
  <si>
    <t>2023-07-19</t>
  </si>
  <si>
    <t>ORD00164</t>
  </si>
  <si>
    <t>2023-09-16</t>
  </si>
  <si>
    <t>ORD00165</t>
  </si>
  <si>
    <t>2023-08-01</t>
  </si>
  <si>
    <t>ORD00166</t>
  </si>
  <si>
    <t>2023-02-13</t>
  </si>
  <si>
    <t>ORD00167</t>
  </si>
  <si>
    <t>2023-01-04</t>
  </si>
  <si>
    <t>ORD00168</t>
  </si>
  <si>
    <t>2023-03-14</t>
  </si>
  <si>
    <t>ORD00169</t>
  </si>
  <si>
    <t>2023-07-12</t>
  </si>
  <si>
    <t>ORD00170</t>
  </si>
  <si>
    <t>2024-09-20</t>
  </si>
  <si>
    <t>ORD00171</t>
  </si>
  <si>
    <t>ORD00172</t>
  </si>
  <si>
    <t>2024-05-05</t>
  </si>
  <si>
    <t>ORD00173</t>
  </si>
  <si>
    <t>2024-01-08</t>
  </si>
  <si>
    <t>ORD00174</t>
  </si>
  <si>
    <t>2024-07-10</t>
  </si>
  <si>
    <t>ORD00175</t>
  </si>
  <si>
    <t>2024-02-20</t>
  </si>
  <si>
    <t>ORD00176</t>
  </si>
  <si>
    <t>2023-11-15</t>
  </si>
  <si>
    <t>ORD00177</t>
  </si>
  <si>
    <t>2023-05-06</t>
  </si>
  <si>
    <t>ORD00178</t>
  </si>
  <si>
    <t>2024-10-29</t>
  </si>
  <si>
    <t>ORD00179</t>
  </si>
  <si>
    <t>2023-01-12</t>
  </si>
  <si>
    <t>ORD00180</t>
  </si>
  <si>
    <t>2024-04-04</t>
  </si>
  <si>
    <t>ORD00181</t>
  </si>
  <si>
    <t>2023-09-18</t>
  </si>
  <si>
    <t>ORD00182</t>
  </si>
  <si>
    <t>ORD00183</t>
  </si>
  <si>
    <t>ORD00184</t>
  </si>
  <si>
    <t>2024-11-20</t>
  </si>
  <si>
    <t>ORD00185</t>
  </si>
  <si>
    <t>2023-03-08</t>
  </si>
  <si>
    <t>ORD00186</t>
  </si>
  <si>
    <t>2023-01-06</t>
  </si>
  <si>
    <t>ORD00187</t>
  </si>
  <si>
    <t>ORD00188</t>
  </si>
  <si>
    <t>2024-07-01</t>
  </si>
  <si>
    <t>ORD00189</t>
  </si>
  <si>
    <t>ORD00190</t>
  </si>
  <si>
    <t>2023-09-01</t>
  </si>
  <si>
    <t>ORD00191</t>
  </si>
  <si>
    <t>2023-12-02</t>
  </si>
  <si>
    <t>ORD00192</t>
  </si>
  <si>
    <t>2024-01-07</t>
  </si>
  <si>
    <t>ORD00193</t>
  </si>
  <si>
    <t>2024-11-03</t>
  </si>
  <si>
    <t>ORD00194</t>
  </si>
  <si>
    <t>2023-07-01</t>
  </si>
  <si>
    <t>ORD00195</t>
  </si>
  <si>
    <t>2024-03-04</t>
  </si>
  <si>
    <t>ORD00196</t>
  </si>
  <si>
    <t>2024-03-25</t>
  </si>
  <si>
    <t>ORD00197</t>
  </si>
  <si>
    <t>2023-02-09</t>
  </si>
  <si>
    <t>ORD00198</t>
  </si>
  <si>
    <t>ORD00199</t>
  </si>
  <si>
    <t>2024-07-23</t>
  </si>
  <si>
    <t>ORD00200</t>
  </si>
  <si>
    <t>2024-03-19</t>
  </si>
  <si>
    <t>ORD00201</t>
  </si>
  <si>
    <t>2024-02-06</t>
  </si>
  <si>
    <t>ORD00202</t>
  </si>
  <si>
    <t>ORD00203</t>
  </si>
  <si>
    <t>2023-04-13</t>
  </si>
  <si>
    <t>ORD00204</t>
  </si>
  <si>
    <t>ORD00205</t>
  </si>
  <si>
    <t>2024-02-15</t>
  </si>
  <si>
    <t>ORD00206</t>
  </si>
  <si>
    <t>ORD00207</t>
  </si>
  <si>
    <t>2023-06-16</t>
  </si>
  <si>
    <t>ORD00208</t>
  </si>
  <si>
    <t>ORD00209</t>
  </si>
  <si>
    <t>2024-05-04</t>
  </si>
  <si>
    <t>ORD00210</t>
  </si>
  <si>
    <t>ORD00211</t>
  </si>
  <si>
    <t>2024-10-23</t>
  </si>
  <si>
    <t>ORD00212</t>
  </si>
  <si>
    <t>2023-04-30</t>
  </si>
  <si>
    <t>ORD00213</t>
  </si>
  <si>
    <t>2024-11-25</t>
  </si>
  <si>
    <t>ORD00214</t>
  </si>
  <si>
    <t>2024-03-24</t>
  </si>
  <si>
    <t>ORD00215</t>
  </si>
  <si>
    <t>2023-08-19</t>
  </si>
  <si>
    <t>ORD00216</t>
  </si>
  <si>
    <t>2024-08-14</t>
  </si>
  <si>
    <t>ORD00217</t>
  </si>
  <si>
    <t>2024-11-10</t>
  </si>
  <si>
    <t>ORD00218</t>
  </si>
  <si>
    <t>2024-06-10</t>
  </si>
  <si>
    <t>ORD00219</t>
  </si>
  <si>
    <t>2024-07-05</t>
  </si>
  <si>
    <t>ORD00220</t>
  </si>
  <si>
    <t>2024-05-03</t>
  </si>
  <si>
    <t>ORD00221</t>
  </si>
  <si>
    <t>2024-11-05</t>
  </si>
  <si>
    <t>ORD00222</t>
  </si>
  <si>
    <t>ORD00223</t>
  </si>
  <si>
    <t>2023-08-25</t>
  </si>
  <si>
    <t>ORD00224</t>
  </si>
  <si>
    <t>2024-07-09</t>
  </si>
  <si>
    <t>Customer_46</t>
  </si>
  <si>
    <t>ORD00225</t>
  </si>
  <si>
    <t>2023-01-29</t>
  </si>
  <si>
    <t>ORD00226</t>
  </si>
  <si>
    <t>2023-09-10</t>
  </si>
  <si>
    <t>ORD00227</t>
  </si>
  <si>
    <t>2023-09-06</t>
  </si>
  <si>
    <t>ORD00228</t>
  </si>
  <si>
    <t>2024-04-14</t>
  </si>
  <si>
    <t>ORD00229</t>
  </si>
  <si>
    <t>2024-06-01</t>
  </si>
  <si>
    <t>ORD00230</t>
  </si>
  <si>
    <t>ORD00231</t>
  </si>
  <si>
    <t>2023-03-18</t>
  </si>
  <si>
    <t>ORD00232</t>
  </si>
  <si>
    <t>2023-01-20</t>
  </si>
  <si>
    <t>ORD00233</t>
  </si>
  <si>
    <t>2024-11-27</t>
  </si>
  <si>
    <t>ORD00234</t>
  </si>
  <si>
    <t>ORD00235</t>
  </si>
  <si>
    <t>ORD00236</t>
  </si>
  <si>
    <t>2024-02-07</t>
  </si>
  <si>
    <t>ORD00237</t>
  </si>
  <si>
    <t>2024-07-28</t>
  </si>
  <si>
    <t>ORD00238</t>
  </si>
  <si>
    <t>2024-06-03</t>
  </si>
  <si>
    <t>ORD00239</t>
  </si>
  <si>
    <t>2023-04-25</t>
  </si>
  <si>
    <t>ORD00240</t>
  </si>
  <si>
    <t>ORD00241</t>
  </si>
  <si>
    <t>ORD00242</t>
  </si>
  <si>
    <t>2024-01-25</t>
  </si>
  <si>
    <t>ORD00243</t>
  </si>
  <si>
    <t>ORD00244</t>
  </si>
  <si>
    <t>ORD00245</t>
  </si>
  <si>
    <t>ORD00246</t>
  </si>
  <si>
    <t>2024-06-30</t>
  </si>
  <si>
    <t>ORD00247</t>
  </si>
  <si>
    <t>2024-01-05</t>
  </si>
  <si>
    <t>ORD00248</t>
  </si>
  <si>
    <t>2023-11-19</t>
  </si>
  <si>
    <t>ORD00249</t>
  </si>
  <si>
    <t>2024-01-26</t>
  </si>
  <si>
    <t>ORD00250</t>
  </si>
  <si>
    <t>2024-04-09</t>
  </si>
  <si>
    <t>ORD00251</t>
  </si>
  <si>
    <t>ORD00252</t>
  </si>
  <si>
    <t>2023-11-16</t>
  </si>
  <si>
    <t>ORD00253</t>
  </si>
  <si>
    <t>2024-11-12</t>
  </si>
  <si>
    <t>ORD00254</t>
  </si>
  <si>
    <t>2023-11-23</t>
  </si>
  <si>
    <t>ORD00255</t>
  </si>
  <si>
    <t>2023-08-17</t>
  </si>
  <si>
    <t>ORD00256</t>
  </si>
  <si>
    <t>ORD00257</t>
  </si>
  <si>
    <t>2023-01-14</t>
  </si>
  <si>
    <t>ORD00258</t>
  </si>
  <si>
    <t>2024-11-13</t>
  </si>
  <si>
    <t>ORD00259</t>
  </si>
  <si>
    <t>2023-05-07</t>
  </si>
  <si>
    <t>ORD00260</t>
  </si>
  <si>
    <t>2024-09-13</t>
  </si>
  <si>
    <t>ORD00261</t>
  </si>
  <si>
    <t>2023-12-22</t>
  </si>
  <si>
    <t>ORD00262</t>
  </si>
  <si>
    <t>2024-09-07</t>
  </si>
  <si>
    <t>ORD00263</t>
  </si>
  <si>
    <t>2024-07-24</t>
  </si>
  <si>
    <t>ORD00264</t>
  </si>
  <si>
    <t>2024-03-11</t>
  </si>
  <si>
    <t>ORD00265</t>
  </si>
  <si>
    <t>ORD00266</t>
  </si>
  <si>
    <t>2024-11-16</t>
  </si>
  <si>
    <t>ORD00267</t>
  </si>
  <si>
    <t>2024-04-03</t>
  </si>
  <si>
    <t>ORD00268</t>
  </si>
  <si>
    <t>ORD00269</t>
  </si>
  <si>
    <t>ORD00270</t>
  </si>
  <si>
    <t>ORD00271</t>
  </si>
  <si>
    <t>2024-10-01</t>
  </si>
  <si>
    <t>ORD00272</t>
  </si>
  <si>
    <t>2023-09-13</t>
  </si>
  <si>
    <t>ORD00273</t>
  </si>
  <si>
    <t>ORD00274</t>
  </si>
  <si>
    <t>2023-03-13</t>
  </si>
  <si>
    <t>ORD00275</t>
  </si>
  <si>
    <t>ORD00276</t>
  </si>
  <si>
    <t>ORD00277</t>
  </si>
  <si>
    <t>2023-11-20</t>
  </si>
  <si>
    <t>ORD00278</t>
  </si>
  <si>
    <t>ORD00279</t>
  </si>
  <si>
    <t>2023-05-09</t>
  </si>
  <si>
    <t>ORD00280</t>
  </si>
  <si>
    <t>2024-08-27</t>
  </si>
  <si>
    <t>ORD00281</t>
  </si>
  <si>
    <t>2023-12-18</t>
  </si>
  <si>
    <t>ORD00282</t>
  </si>
  <si>
    <t>2023-10-03</t>
  </si>
  <si>
    <t>ORD00283</t>
  </si>
  <si>
    <t>ORD00284</t>
  </si>
  <si>
    <t>2024-05-22</t>
  </si>
  <si>
    <t>ORD00285</t>
  </si>
  <si>
    <t>2023-12-29</t>
  </si>
  <si>
    <t>ORD00286</t>
  </si>
  <si>
    <t>2024-05-25</t>
  </si>
  <si>
    <t>ORD00287</t>
  </si>
  <si>
    <t>ORD00288</t>
  </si>
  <si>
    <t>2024-06-04</t>
  </si>
  <si>
    <t>ORD00289</t>
  </si>
  <si>
    <t>2023-07-18</t>
  </si>
  <si>
    <t>ORD00290</t>
  </si>
  <si>
    <t>ORD00291</t>
  </si>
  <si>
    <t>ORD00292</t>
  </si>
  <si>
    <t>2024-01-11</t>
  </si>
  <si>
    <t>ORD00293</t>
  </si>
  <si>
    <t>ORD00294</t>
  </si>
  <si>
    <t>2023-05-02</t>
  </si>
  <si>
    <t>ORD00295</t>
  </si>
  <si>
    <t>ORD00296</t>
  </si>
  <si>
    <t>ORD00297</t>
  </si>
  <si>
    <t>ORD00298</t>
  </si>
  <si>
    <t>ORD00299</t>
  </si>
  <si>
    <t>2023-08-26</t>
  </si>
  <si>
    <t>ORD00300</t>
  </si>
  <si>
    <t>2024-03-26</t>
  </si>
  <si>
    <t>ORD00301</t>
  </si>
  <si>
    <t>2024-11-11</t>
  </si>
  <si>
    <t>ORD00302</t>
  </si>
  <si>
    <t>2023-11-11</t>
  </si>
  <si>
    <t>ORD00303</t>
  </si>
  <si>
    <t>2023-05-26</t>
  </si>
  <si>
    <t>ORD00304</t>
  </si>
  <si>
    <t>Customer_39</t>
  </si>
  <si>
    <t>ORD00305</t>
  </si>
  <si>
    <t>ORD00306</t>
  </si>
  <si>
    <t>2024-08-09</t>
  </si>
  <si>
    <t>ORD00307</t>
  </si>
  <si>
    <t>ORD00308</t>
  </si>
  <si>
    <t>ORD00309</t>
  </si>
  <si>
    <t>ORD00310</t>
  </si>
  <si>
    <t>2024-01-12</t>
  </si>
  <si>
    <t>ORD00311</t>
  </si>
  <si>
    <t>2023-06-13</t>
  </si>
  <si>
    <t>ORD00312</t>
  </si>
  <si>
    <t>ORD00313</t>
  </si>
  <si>
    <t>2024-11-07</t>
  </si>
  <si>
    <t>ORD00314</t>
  </si>
  <si>
    <t>2023-07-08</t>
  </si>
  <si>
    <t>ORD00315</t>
  </si>
  <si>
    <t>2024-01-14</t>
  </si>
  <si>
    <t>ORD00316</t>
  </si>
  <si>
    <t>ORD00317</t>
  </si>
  <si>
    <t>2023-05-12</t>
  </si>
  <si>
    <t>ORD00318</t>
  </si>
  <si>
    <t>ORD00319</t>
  </si>
  <si>
    <t>2023-10-06</t>
  </si>
  <si>
    <t>ORD00320</t>
  </si>
  <si>
    <t>ORD00321</t>
  </si>
  <si>
    <t>ORD00322</t>
  </si>
  <si>
    <t>2024-06-22</t>
  </si>
  <si>
    <t>ORD00323</t>
  </si>
  <si>
    <t>ORD00324</t>
  </si>
  <si>
    <t>2024-02-27</t>
  </si>
  <si>
    <t>ORD00325</t>
  </si>
  <si>
    <t>ORD00326</t>
  </si>
  <si>
    <t>2023-12-13</t>
  </si>
  <si>
    <t>ORD00327</t>
  </si>
  <si>
    <t>ORD00328</t>
  </si>
  <si>
    <t>2023-10-18</t>
  </si>
  <si>
    <t>ORD00329</t>
  </si>
  <si>
    <t>ORD00330</t>
  </si>
  <si>
    <t>2023-07-22</t>
  </si>
  <si>
    <t>ORD00331</t>
  </si>
  <si>
    <t>2024-04-05</t>
  </si>
  <si>
    <t>ORD00332</t>
  </si>
  <si>
    <t>ORD00333</t>
  </si>
  <si>
    <t>2024-05-31</t>
  </si>
  <si>
    <t>ORD00334</t>
  </si>
  <si>
    <t>2023-06-27</t>
  </si>
  <si>
    <t>ORD00335</t>
  </si>
  <si>
    <t>2023-07-03</t>
  </si>
  <si>
    <t>ORD00336</t>
  </si>
  <si>
    <t>2024-06-14</t>
  </si>
  <si>
    <t>ORD00337</t>
  </si>
  <si>
    <t>2023-11-28</t>
  </si>
  <si>
    <t>ORD00338</t>
  </si>
  <si>
    <t>2023-08-22</t>
  </si>
  <si>
    <t>ORD00339</t>
  </si>
  <si>
    <t>2023-04-19</t>
  </si>
  <si>
    <t>ORD00340</t>
  </si>
  <si>
    <t>2023-03-12</t>
  </si>
  <si>
    <t>ORD00341</t>
  </si>
  <si>
    <t>2024-02-04</t>
  </si>
  <si>
    <t>ORD00342</t>
  </si>
  <si>
    <t>2023-08-04</t>
  </si>
  <si>
    <t>ORD00343</t>
  </si>
  <si>
    <t>ORD00344</t>
  </si>
  <si>
    <t>2024-05-10</t>
  </si>
  <si>
    <t>ORD00345</t>
  </si>
  <si>
    <t>2024-10-03</t>
  </si>
  <si>
    <t>ORD00346</t>
  </si>
  <si>
    <t>2023-02-05</t>
  </si>
  <si>
    <t>ORD00347</t>
  </si>
  <si>
    <t>ORD00348</t>
  </si>
  <si>
    <t>2023-09-07</t>
  </si>
  <si>
    <t>ORD00349</t>
  </si>
  <si>
    <t>ORD00350</t>
  </si>
  <si>
    <t>ORD00351</t>
  </si>
  <si>
    <t>2023-04-07</t>
  </si>
  <si>
    <t>ORD00352</t>
  </si>
  <si>
    <t>ORD00353</t>
  </si>
  <si>
    <t>2023-02-22</t>
  </si>
  <si>
    <t>ORD00354</t>
  </si>
  <si>
    <t>2023-09-14</t>
  </si>
  <si>
    <t>ORD00355</t>
  </si>
  <si>
    <t>ORD00356</t>
  </si>
  <si>
    <t>2023-02-11</t>
  </si>
  <si>
    <t>ORD00357</t>
  </si>
  <si>
    <t>2024-04-26</t>
  </si>
  <si>
    <t>ORD00358</t>
  </si>
  <si>
    <t>2023-10-01</t>
  </si>
  <si>
    <t>ORD00359</t>
  </si>
  <si>
    <t>ORD00360</t>
  </si>
  <si>
    <t>2023-03-02</t>
  </si>
  <si>
    <t>ORD00361</t>
  </si>
  <si>
    <t>ORD00362</t>
  </si>
  <si>
    <t>ORD00363</t>
  </si>
  <si>
    <t>2024-08-26</t>
  </si>
  <si>
    <t>ORD00364</t>
  </si>
  <si>
    <t>2023-08-31</t>
  </si>
  <si>
    <t>ORD00365</t>
  </si>
  <si>
    <t>ORD00366</t>
  </si>
  <si>
    <t>ORD00367</t>
  </si>
  <si>
    <t>ORD00368</t>
  </si>
  <si>
    <t>2023-08-21</t>
  </si>
  <si>
    <t>ORD00369</t>
  </si>
  <si>
    <t>2023-05-10</t>
  </si>
  <si>
    <t>ORD00370</t>
  </si>
  <si>
    <t>2024-03-09</t>
  </si>
  <si>
    <t>ORD00371</t>
  </si>
  <si>
    <t>ORD00372</t>
  </si>
  <si>
    <t>ORD00373</t>
  </si>
  <si>
    <t>2023-11-09</t>
  </si>
  <si>
    <t>ORD00374</t>
  </si>
  <si>
    <t>ORD00375</t>
  </si>
  <si>
    <t>ORD00376</t>
  </si>
  <si>
    <t>ORD00377</t>
  </si>
  <si>
    <t>ORD00378</t>
  </si>
  <si>
    <t>ORD00379</t>
  </si>
  <si>
    <t>2023-12-07</t>
  </si>
  <si>
    <t>ORD00380</t>
  </si>
  <si>
    <t>ORD00381</t>
  </si>
  <si>
    <t>2023-01-24</t>
  </si>
  <si>
    <t>ORD00382</t>
  </si>
  <si>
    <t>ORD00383</t>
  </si>
  <si>
    <t>2024-10-14</t>
  </si>
  <si>
    <t>ORD00384</t>
  </si>
  <si>
    <t>ORD00385</t>
  </si>
  <si>
    <t>2023-02-12</t>
  </si>
  <si>
    <t>ORD00386</t>
  </si>
  <si>
    <t>ORD00387</t>
  </si>
  <si>
    <t>ORD00388</t>
  </si>
  <si>
    <t>2024-02-08</t>
  </si>
  <si>
    <t>ORD00389</t>
  </si>
  <si>
    <t>2023-11-03</t>
  </si>
  <si>
    <t>ORD00390</t>
  </si>
  <si>
    <t>2024-03-02</t>
  </si>
  <si>
    <t>ORD00391</t>
  </si>
  <si>
    <t>2024-02-23</t>
  </si>
  <si>
    <t>ORD00392</t>
  </si>
  <si>
    <t>2023-11-06</t>
  </si>
  <si>
    <t>ORD00393</t>
  </si>
  <si>
    <t>2023-10-19</t>
  </si>
  <si>
    <t>ORD00394</t>
  </si>
  <si>
    <t>ORD00395</t>
  </si>
  <si>
    <t>2024-01-28</t>
  </si>
  <si>
    <t>ORD00396</t>
  </si>
  <si>
    <t>2023-04-02</t>
  </si>
  <si>
    <t>ORD00397</t>
  </si>
  <si>
    <t>2023-02-16</t>
  </si>
  <si>
    <t>ORD00398</t>
  </si>
  <si>
    <t>ORD00399</t>
  </si>
  <si>
    <t>ORD00400</t>
  </si>
  <si>
    <t>ORD00401</t>
  </si>
  <si>
    <t>2023-08-27</t>
  </si>
  <si>
    <t>ORD00402</t>
  </si>
  <si>
    <t>2024-03-18</t>
  </si>
  <si>
    <t>ORD00403</t>
  </si>
  <si>
    <t>ORD00404</t>
  </si>
  <si>
    <t>2023-11-17</t>
  </si>
  <si>
    <t>ORD00405</t>
  </si>
  <si>
    <t>ORD00406</t>
  </si>
  <si>
    <t>2023-10-02</t>
  </si>
  <si>
    <t>ORD00407</t>
  </si>
  <si>
    <t>2024-01-29</t>
  </si>
  <si>
    <t>ORD00408</t>
  </si>
  <si>
    <t>2023-04-23</t>
  </si>
  <si>
    <t>ORD00409</t>
  </si>
  <si>
    <t>ORD00410</t>
  </si>
  <si>
    <t>2024-09-25</t>
  </si>
  <si>
    <t>ORD00411</t>
  </si>
  <si>
    <t>ORD00412</t>
  </si>
  <si>
    <t>2024-09-21</t>
  </si>
  <si>
    <t>ORD00413</t>
  </si>
  <si>
    <t>2023-12-06</t>
  </si>
  <si>
    <t>ORD00414</t>
  </si>
  <si>
    <t>ORD00415</t>
  </si>
  <si>
    <t>2023-03-21</t>
  </si>
  <si>
    <t>ORD00416</t>
  </si>
  <si>
    <t>2024-07-06</t>
  </si>
  <si>
    <t>ORD00417</t>
  </si>
  <si>
    <t>2024-09-08</t>
  </si>
  <si>
    <t>ORD00418</t>
  </si>
  <si>
    <t>2024-08-17</t>
  </si>
  <si>
    <t>ORD00419</t>
  </si>
  <si>
    <t>2024-07-20</t>
  </si>
  <si>
    <t>ORD00420</t>
  </si>
  <si>
    <t>2023-10-13</t>
  </si>
  <si>
    <t>ORD00421</t>
  </si>
  <si>
    <t>2023-01-30</t>
  </si>
  <si>
    <t>ORD00422</t>
  </si>
  <si>
    <t>2024-08-29</t>
  </si>
  <si>
    <t>ORD00423</t>
  </si>
  <si>
    <t>2024-06-19</t>
  </si>
  <si>
    <t>ORD00424</t>
  </si>
  <si>
    <t>2023-04-17</t>
  </si>
  <si>
    <t>ORD00425</t>
  </si>
  <si>
    <t>2024-11-14</t>
  </si>
  <si>
    <t>ORD00426</t>
  </si>
  <si>
    <t>2024-02-19</t>
  </si>
  <si>
    <t>ORD00427</t>
  </si>
  <si>
    <t>2024-08-04</t>
  </si>
  <si>
    <t>ORD00428</t>
  </si>
  <si>
    <t>ORD00429</t>
  </si>
  <si>
    <t>ORD00430</t>
  </si>
  <si>
    <t>2023-02-17</t>
  </si>
  <si>
    <t>ORD00431</t>
  </si>
  <si>
    <t>ORD00432</t>
  </si>
  <si>
    <t>2024-08-22</t>
  </si>
  <si>
    <t>ORD00433</t>
  </si>
  <si>
    <t>2024-03-12</t>
  </si>
  <si>
    <t>ORD00434</t>
  </si>
  <si>
    <t>2024-05-12</t>
  </si>
  <si>
    <t>ORD00435</t>
  </si>
  <si>
    <t>ORD00436</t>
  </si>
  <si>
    <t>2024-06-26</t>
  </si>
  <si>
    <t>ORD00437</t>
  </si>
  <si>
    <t>ORD00438</t>
  </si>
  <si>
    <t>2024-10-10</t>
  </si>
  <si>
    <t>ORD00439</t>
  </si>
  <si>
    <t>ORD00440</t>
  </si>
  <si>
    <t>2023-03-19</t>
  </si>
  <si>
    <t>ORD00441</t>
  </si>
  <si>
    <t>2023-10-09</t>
  </si>
  <si>
    <t>ORD00442</t>
  </si>
  <si>
    <t>ORD00443</t>
  </si>
  <si>
    <t>2024-05-21</t>
  </si>
  <si>
    <t>ORD00444</t>
  </si>
  <si>
    <t>ORD00445</t>
  </si>
  <si>
    <t>2024-08-21</t>
  </si>
  <si>
    <t>ORD00446</t>
  </si>
  <si>
    <t>ORD00447</t>
  </si>
  <si>
    <t>ORD00448</t>
  </si>
  <si>
    <t>2024-03-30</t>
  </si>
  <si>
    <t>ORD00449</t>
  </si>
  <si>
    <t>2023-12-25</t>
  </si>
  <si>
    <t>ORD00450</t>
  </si>
  <si>
    <t>2024-03-21</t>
  </si>
  <si>
    <t>ORD00451</t>
  </si>
  <si>
    <t>ORD00452</t>
  </si>
  <si>
    <t>ORD00453</t>
  </si>
  <si>
    <t>2023-07-27</t>
  </si>
  <si>
    <t>ORD00454</t>
  </si>
  <si>
    <t>2024-10-13</t>
  </si>
  <si>
    <t>ORD00455</t>
  </si>
  <si>
    <t>ORD00456</t>
  </si>
  <si>
    <t>ORD00457</t>
  </si>
  <si>
    <t>ORD00458</t>
  </si>
  <si>
    <t>2023-04-14</t>
  </si>
  <si>
    <t>ORD00459</t>
  </si>
  <si>
    <t>ORD00460</t>
  </si>
  <si>
    <t>2023-07-15</t>
  </si>
  <si>
    <t>ORD00461</t>
  </si>
  <si>
    <t>2024-02-10</t>
  </si>
  <si>
    <t>ORD00462</t>
  </si>
  <si>
    <t>2023-10-16</t>
  </si>
  <si>
    <t>ORD00463</t>
  </si>
  <si>
    <t>ORD00464</t>
  </si>
  <si>
    <t>ORD00465</t>
  </si>
  <si>
    <t>2023-12-08</t>
  </si>
  <si>
    <t>ORD00466</t>
  </si>
  <si>
    <t>ORD00467</t>
  </si>
  <si>
    <t>ORD00468</t>
  </si>
  <si>
    <t>2023-05-14</t>
  </si>
  <si>
    <t>ORD00469</t>
  </si>
  <si>
    <t>ORD00470</t>
  </si>
  <si>
    <t>ORD00471</t>
  </si>
  <si>
    <t>ORD00472</t>
  </si>
  <si>
    <t>ORD00473</t>
  </si>
  <si>
    <t>2023-03-04</t>
  </si>
  <si>
    <t>ORD00474</t>
  </si>
  <si>
    <t>2024-09-28</t>
  </si>
  <si>
    <t>ORD00475</t>
  </si>
  <si>
    <t>ORD00476</t>
  </si>
  <si>
    <t>ORD00477</t>
  </si>
  <si>
    <t>ORD00478</t>
  </si>
  <si>
    <t>2023-04-10</t>
  </si>
  <si>
    <t>ORD00479</t>
  </si>
  <si>
    <t>2023-09-30</t>
  </si>
  <si>
    <t>ORD00480</t>
  </si>
  <si>
    <t>ORD00481</t>
  </si>
  <si>
    <t>ORD00482</t>
  </si>
  <si>
    <t>ORD00483</t>
  </si>
  <si>
    <t>2023-07-07</t>
  </si>
  <si>
    <t>ORD00484</t>
  </si>
  <si>
    <t>ORD00485</t>
  </si>
  <si>
    <t>ORD00486</t>
  </si>
  <si>
    <t>ORD00487</t>
  </si>
  <si>
    <t>ORD00488</t>
  </si>
  <si>
    <t>2024-05-01</t>
  </si>
  <si>
    <t>ORD00489</t>
  </si>
  <si>
    <t>ORD00490</t>
  </si>
  <si>
    <t>2024-04-08</t>
  </si>
  <si>
    <t>ORD00491</t>
  </si>
  <si>
    <t>2023-06-12</t>
  </si>
  <si>
    <t>ORD00492</t>
  </si>
  <si>
    <t>2023-06-10</t>
  </si>
  <si>
    <t>ORD00493</t>
  </si>
  <si>
    <t>ORD00494</t>
  </si>
  <si>
    <t>2023-10-28</t>
  </si>
  <si>
    <t>ORD00495</t>
  </si>
  <si>
    <t>2024-04-28</t>
  </si>
  <si>
    <t>ORD00496</t>
  </si>
  <si>
    <t>ORD00497</t>
  </si>
  <si>
    <t>ORD00498</t>
  </si>
  <si>
    <t>ORD00499</t>
  </si>
  <si>
    <t>2024-08-03</t>
  </si>
  <si>
    <t>ORD00500</t>
  </si>
  <si>
    <t>2024-06-09</t>
  </si>
  <si>
    <t>ORD00501</t>
  </si>
  <si>
    <t>2023-12-28</t>
  </si>
  <si>
    <t>ORD00502</t>
  </si>
  <si>
    <t>ORD00503</t>
  </si>
  <si>
    <t>ORD00504</t>
  </si>
  <si>
    <t>2023-10-11</t>
  </si>
  <si>
    <t>ORD00505</t>
  </si>
  <si>
    <t>2024-07-30</t>
  </si>
  <si>
    <t>ORD00506</t>
  </si>
  <si>
    <t>2024-08-12</t>
  </si>
  <si>
    <t>ORD00507</t>
  </si>
  <si>
    <t>ORD00508</t>
  </si>
  <si>
    <t>2023-10-23</t>
  </si>
  <si>
    <t>ORD00509</t>
  </si>
  <si>
    <t>ORD00510</t>
  </si>
  <si>
    <t>ORD00511</t>
  </si>
  <si>
    <t>2024-10-02</t>
  </si>
  <si>
    <t>ORD00512</t>
  </si>
  <si>
    <t>2024-01-17</t>
  </si>
  <si>
    <t>ORD00513</t>
  </si>
  <si>
    <t>ORD00514</t>
  </si>
  <si>
    <t>ORD00515</t>
  </si>
  <si>
    <t>2024-08-30</t>
  </si>
  <si>
    <t>ORD00516</t>
  </si>
  <si>
    <t>ORD00517</t>
  </si>
  <si>
    <t>ORD00518</t>
  </si>
  <si>
    <t>ORD00519</t>
  </si>
  <si>
    <t>ORD00520</t>
  </si>
  <si>
    <t>ORD00521</t>
  </si>
  <si>
    <t>2024-10-11</t>
  </si>
  <si>
    <t>ORD00522</t>
  </si>
  <si>
    <t>ORD00523</t>
  </si>
  <si>
    <t>2024-07-29</t>
  </si>
  <si>
    <t>ORD00524</t>
  </si>
  <si>
    <t>ORD00525</t>
  </si>
  <si>
    <t>ORD00526</t>
  </si>
  <si>
    <t>ORD00527</t>
  </si>
  <si>
    <t>ORD00528</t>
  </si>
  <si>
    <t>ORD00529</t>
  </si>
  <si>
    <t>ORD00530</t>
  </si>
  <si>
    <t>ORD00531</t>
  </si>
  <si>
    <t>ORD00532</t>
  </si>
  <si>
    <t>2024-10-19</t>
  </si>
  <si>
    <t>ORD00533</t>
  </si>
  <si>
    <t>2024-02-01</t>
  </si>
  <si>
    <t>ORD00534</t>
  </si>
  <si>
    <t>ORD00535</t>
  </si>
  <si>
    <t>ORD00536</t>
  </si>
  <si>
    <t>ORD00537</t>
  </si>
  <si>
    <t>2024-02-18</t>
  </si>
  <si>
    <t>ORD00538</t>
  </si>
  <si>
    <t>ORD00539</t>
  </si>
  <si>
    <t>2024-06-21</t>
  </si>
  <si>
    <t>ORD00540</t>
  </si>
  <si>
    <t>ORD00541</t>
  </si>
  <si>
    <t>ORD00542</t>
  </si>
  <si>
    <t>ORD00543</t>
  </si>
  <si>
    <t>ORD00544</t>
  </si>
  <si>
    <t>2023-08-11</t>
  </si>
  <si>
    <t>ORD00545</t>
  </si>
  <si>
    <t>2023-04-06</t>
  </si>
  <si>
    <t>ORD00546</t>
  </si>
  <si>
    <t>ORD00547</t>
  </si>
  <si>
    <t>2024-05-11</t>
  </si>
  <si>
    <t>ORD00548</t>
  </si>
  <si>
    <t>ORD00549</t>
  </si>
  <si>
    <t>2023-09-17</t>
  </si>
  <si>
    <t>ORD00550</t>
  </si>
  <si>
    <t>2023-08-15</t>
  </si>
  <si>
    <t>ORD00551</t>
  </si>
  <si>
    <t>2023-02-25</t>
  </si>
  <si>
    <t>ORD00552</t>
  </si>
  <si>
    <t>2024-06-28</t>
  </si>
  <si>
    <t>ORD00553</t>
  </si>
  <si>
    <t>ORD00554</t>
  </si>
  <si>
    <t>ORD00555</t>
  </si>
  <si>
    <t>2023-05-23</t>
  </si>
  <si>
    <t>ORD00556</t>
  </si>
  <si>
    <t>2023-03-29</t>
  </si>
  <si>
    <t>ORD00557</t>
  </si>
  <si>
    <t>2023-11-05</t>
  </si>
  <si>
    <t>ORD00558</t>
  </si>
  <si>
    <t>2024-11-04</t>
  </si>
  <si>
    <t>ORD00559</t>
  </si>
  <si>
    <t>ORD00560</t>
  </si>
  <si>
    <t>2024-05-18</t>
  </si>
  <si>
    <t>ORD00561</t>
  </si>
  <si>
    <t>ORD00562</t>
  </si>
  <si>
    <t>ORD00563</t>
  </si>
  <si>
    <t>ORD00564</t>
  </si>
  <si>
    <t>ORD00565</t>
  </si>
  <si>
    <t>2024-02-17</t>
  </si>
  <si>
    <t>ORD00566</t>
  </si>
  <si>
    <t>ORD00567</t>
  </si>
  <si>
    <t>ORD00568</t>
  </si>
  <si>
    <t>ORD00569</t>
  </si>
  <si>
    <t>2024-08-24</t>
  </si>
  <si>
    <t>ORD00570</t>
  </si>
  <si>
    <t>2023-02-07</t>
  </si>
  <si>
    <t>ORD00571</t>
  </si>
  <si>
    <t>ORD00572</t>
  </si>
  <si>
    <t>2024-05-19</t>
  </si>
  <si>
    <t>ORD00573</t>
  </si>
  <si>
    <t>ORD00574</t>
  </si>
  <si>
    <t>2023-03-31</t>
  </si>
  <si>
    <t>ORD00575</t>
  </si>
  <si>
    <t>ORD00576</t>
  </si>
  <si>
    <t>2023-11-12</t>
  </si>
  <si>
    <t>ORD00577</t>
  </si>
  <si>
    <t>2024-07-14</t>
  </si>
  <si>
    <t>ORD00578</t>
  </si>
  <si>
    <t>ORD00579</t>
  </si>
  <si>
    <t>2024-11-19</t>
  </si>
  <si>
    <t>ORD00580</t>
  </si>
  <si>
    <t>ORD00581</t>
  </si>
  <si>
    <t>ORD00582</t>
  </si>
  <si>
    <t>2024-04-27</t>
  </si>
  <si>
    <t>ORD00583</t>
  </si>
  <si>
    <t>2024-08-15</t>
  </si>
  <si>
    <t>ORD00584</t>
  </si>
  <si>
    <t>ORD00585</t>
  </si>
  <si>
    <t>2023-04-16</t>
  </si>
  <si>
    <t>ORD00586</t>
  </si>
  <si>
    <t>ORD00587</t>
  </si>
  <si>
    <t>2024-07-31</t>
  </si>
  <si>
    <t>ORD00588</t>
  </si>
  <si>
    <t>ORD00589</t>
  </si>
  <si>
    <t>ORD00590</t>
  </si>
  <si>
    <t>ORD00591</t>
  </si>
  <si>
    <t>ORD00592</t>
  </si>
  <si>
    <t>ORD00593</t>
  </si>
  <si>
    <t>ORD00594</t>
  </si>
  <si>
    <t>ORD00595</t>
  </si>
  <si>
    <t>2024-04-21</t>
  </si>
  <si>
    <t>ORD00596</t>
  </si>
  <si>
    <t>ORD00597</t>
  </si>
  <si>
    <t>2023-07-24</t>
  </si>
  <si>
    <t>ORD00598</t>
  </si>
  <si>
    <t>2023-08-30</t>
  </si>
  <si>
    <t>ORD00599</t>
  </si>
  <si>
    <t>ORD00600</t>
  </si>
  <si>
    <t>ORD00601</t>
  </si>
  <si>
    <t>ORD00602</t>
  </si>
  <si>
    <t>2024-02-24</t>
  </si>
  <si>
    <t>ORD00603</t>
  </si>
  <si>
    <t>2024-02-13</t>
  </si>
  <si>
    <t>ORD00604</t>
  </si>
  <si>
    <t>ORD00605</t>
  </si>
  <si>
    <t>2023-06-23</t>
  </si>
  <si>
    <t>ORD00606</t>
  </si>
  <si>
    <t>2024-09-01</t>
  </si>
  <si>
    <t>ORD00607</t>
  </si>
  <si>
    <t>2023-10-08</t>
  </si>
  <si>
    <t>ORD00608</t>
  </si>
  <si>
    <t>2024-06-07</t>
  </si>
  <si>
    <t>ORD00609</t>
  </si>
  <si>
    <t>ORD00610</t>
  </si>
  <si>
    <t>2023-10-17</t>
  </si>
  <si>
    <t>ORD00611</t>
  </si>
  <si>
    <t>ORD00612</t>
  </si>
  <si>
    <t>2023-12-09</t>
  </si>
  <si>
    <t>ORD00613</t>
  </si>
  <si>
    <t>2023-11-26</t>
  </si>
  <si>
    <t>ORD00614</t>
  </si>
  <si>
    <t>ORD00615</t>
  </si>
  <si>
    <t>ORD00616</t>
  </si>
  <si>
    <t>2023-02-19</t>
  </si>
  <si>
    <t>ORD00617</t>
  </si>
  <si>
    <t>2024-01-24</t>
  </si>
  <si>
    <t>ORD00618</t>
  </si>
  <si>
    <t>ORD00619</t>
  </si>
  <si>
    <t>ORD00620</t>
  </si>
  <si>
    <t>ORD00621</t>
  </si>
  <si>
    <t>ORD00622</t>
  </si>
  <si>
    <t>2024-11-18</t>
  </si>
  <si>
    <t>ORD00623</t>
  </si>
  <si>
    <t>ORD00624</t>
  </si>
  <si>
    <t>2024-02-29</t>
  </si>
  <si>
    <t>ORD00625</t>
  </si>
  <si>
    <t>ORD00626</t>
  </si>
  <si>
    <t>ORD00627</t>
  </si>
  <si>
    <t>2024-09-02</t>
  </si>
  <si>
    <t>ORD00628</t>
  </si>
  <si>
    <t>ORD00629</t>
  </si>
  <si>
    <t>2023-09-12</t>
  </si>
  <si>
    <t>ORD00630</t>
  </si>
  <si>
    <t>2024-11-01</t>
  </si>
  <si>
    <t>ORD00631</t>
  </si>
  <si>
    <t>ORD00632</t>
  </si>
  <si>
    <t>ORD00633</t>
  </si>
  <si>
    <t>2023-04-12</t>
  </si>
  <si>
    <t>ORD00634</t>
  </si>
  <si>
    <t>ORD00635</t>
  </si>
  <si>
    <t>2024-05-16</t>
  </si>
  <si>
    <t>ORD00636</t>
  </si>
  <si>
    <t>ORD00637</t>
  </si>
  <si>
    <t>2024-02-26</t>
  </si>
  <si>
    <t>ORD00638</t>
  </si>
  <si>
    <t>ORD00639</t>
  </si>
  <si>
    <t>2024-04-11</t>
  </si>
  <si>
    <t>ORD00640</t>
  </si>
  <si>
    <t>ORD00641</t>
  </si>
  <si>
    <t>2024-07-08</t>
  </si>
  <si>
    <t>ORD00642</t>
  </si>
  <si>
    <t>2023-07-06</t>
  </si>
  <si>
    <t>ORD00643</t>
  </si>
  <si>
    <t>2024-02-11</t>
  </si>
  <si>
    <t>ORD00644</t>
  </si>
  <si>
    <t>2024-05-26</t>
  </si>
  <si>
    <t>ORD00645</t>
  </si>
  <si>
    <t>ORD00646</t>
  </si>
  <si>
    <t>ORD00647</t>
  </si>
  <si>
    <t>ORD00648</t>
  </si>
  <si>
    <t>ORD00649</t>
  </si>
  <si>
    <t>2024-03-05</t>
  </si>
  <si>
    <t>ORD00650</t>
  </si>
  <si>
    <t>2023-06-22</t>
  </si>
  <si>
    <t>ORD00651</t>
  </si>
  <si>
    <t>ORD00652</t>
  </si>
  <si>
    <t>2024-10-20</t>
  </si>
  <si>
    <t>ORD00653</t>
  </si>
  <si>
    <t>2024-09-19</t>
  </si>
  <si>
    <t>ORD00654</t>
  </si>
  <si>
    <t>ORD00655</t>
  </si>
  <si>
    <t>2024-08-11</t>
  </si>
  <si>
    <t>ORD00656</t>
  </si>
  <si>
    <t>ORD00657</t>
  </si>
  <si>
    <t>ORD00658</t>
  </si>
  <si>
    <t>ORD00659</t>
  </si>
  <si>
    <t>ORD00660</t>
  </si>
  <si>
    <t>ORD00661</t>
  </si>
  <si>
    <t>2023-02-02</t>
  </si>
  <si>
    <t>ORD00662</t>
  </si>
  <si>
    <t>2023-10-12</t>
  </si>
  <si>
    <t>ORD00663</t>
  </si>
  <si>
    <t>ORD00664</t>
  </si>
  <si>
    <t>ORD00665</t>
  </si>
  <si>
    <t>2023-10-29</t>
  </si>
  <si>
    <t>ORD00666</t>
  </si>
  <si>
    <t>2023-03-25</t>
  </si>
  <si>
    <t>ORD00667</t>
  </si>
  <si>
    <t>2024-10-04</t>
  </si>
  <si>
    <t>ORD00668</t>
  </si>
  <si>
    <t>ORD00669</t>
  </si>
  <si>
    <t>2024-08-23</t>
  </si>
  <si>
    <t>ORD00670</t>
  </si>
  <si>
    <t>ORD00671</t>
  </si>
  <si>
    <t>ORD00672</t>
  </si>
  <si>
    <t>ORD00673</t>
  </si>
  <si>
    <t>2023-05-28</t>
  </si>
  <si>
    <t>ORD00674</t>
  </si>
  <si>
    <t>2023-03-15</t>
  </si>
  <si>
    <t>ORD00675</t>
  </si>
  <si>
    <t>ORD00676</t>
  </si>
  <si>
    <t>2024-11-08</t>
  </si>
  <si>
    <t>ORD00677</t>
  </si>
  <si>
    <t>2024-04-18</t>
  </si>
  <si>
    <t>ORD00678</t>
  </si>
  <si>
    <t>2023-12-11</t>
  </si>
  <si>
    <t>ORD00679</t>
  </si>
  <si>
    <t>ORD00680</t>
  </si>
  <si>
    <t>ORD00681</t>
  </si>
  <si>
    <t>2023-01-05</t>
  </si>
  <si>
    <t>ORD00682</t>
  </si>
  <si>
    <t>ORD00683</t>
  </si>
  <si>
    <t>2023-12-04</t>
  </si>
  <si>
    <t>ORD00684</t>
  </si>
  <si>
    <t>ORD00685</t>
  </si>
  <si>
    <t>ORD00686</t>
  </si>
  <si>
    <t>ORD00687</t>
  </si>
  <si>
    <t>ORD00688</t>
  </si>
  <si>
    <t>2024-05-14</t>
  </si>
  <si>
    <t>ORD00689</t>
  </si>
  <si>
    <t>2024-10-12</t>
  </si>
  <si>
    <t>ORD00690</t>
  </si>
  <si>
    <t>ORD00691</t>
  </si>
  <si>
    <t>ORD00692</t>
  </si>
  <si>
    <t>ORD00693</t>
  </si>
  <si>
    <t>2023-05-30</t>
  </si>
  <si>
    <t>ORD00694</t>
  </si>
  <si>
    <t>2023-04-26</t>
  </si>
  <si>
    <t>ORD00695</t>
  </si>
  <si>
    <t>ORD00696</t>
  </si>
  <si>
    <t>ORD00697</t>
  </si>
  <si>
    <t>ORD00698</t>
  </si>
  <si>
    <t>2023-09-04</t>
  </si>
  <si>
    <t>ORD00699</t>
  </si>
  <si>
    <t>ORD00700</t>
  </si>
  <si>
    <t>2024-10-07</t>
  </si>
  <si>
    <t>ORD00701</t>
  </si>
  <si>
    <t>ORD00702</t>
  </si>
  <si>
    <t>2023-12-03</t>
  </si>
  <si>
    <t>ORD00703</t>
  </si>
  <si>
    <t>2024-01-06</t>
  </si>
  <si>
    <t>ORD00704</t>
  </si>
  <si>
    <t>ORD00705</t>
  </si>
  <si>
    <t>ORD00706</t>
  </si>
  <si>
    <t>ORD00707</t>
  </si>
  <si>
    <t>2024-11-29</t>
  </si>
  <si>
    <t>ORD00708</t>
  </si>
  <si>
    <t>ORD00709</t>
  </si>
  <si>
    <t>ORD00710</t>
  </si>
  <si>
    <t>ORD00711</t>
  </si>
  <si>
    <t>ORD00712</t>
  </si>
  <si>
    <t>ORD00713</t>
  </si>
  <si>
    <t>ORD00714</t>
  </si>
  <si>
    <t>ORD00715</t>
  </si>
  <si>
    <t>2023-07-30</t>
  </si>
  <si>
    <t>ORD00716</t>
  </si>
  <si>
    <t>ORD00717</t>
  </si>
  <si>
    <t>ORD00718</t>
  </si>
  <si>
    <t>2023-06-25</t>
  </si>
  <si>
    <t>ORD00719</t>
  </si>
  <si>
    <t>ORD00720</t>
  </si>
  <si>
    <t>2023-07-25</t>
  </si>
  <si>
    <t>ORD00721</t>
  </si>
  <si>
    <t>ORD00722</t>
  </si>
  <si>
    <t>ORD00723</t>
  </si>
  <si>
    <t>2023-03-28</t>
  </si>
  <si>
    <t>ORD00724</t>
  </si>
  <si>
    <t>2023-01-11</t>
  </si>
  <si>
    <t>ORD00725</t>
  </si>
  <si>
    <t>ORD00726</t>
  </si>
  <si>
    <t>ORD00727</t>
  </si>
  <si>
    <t>ORD00728</t>
  </si>
  <si>
    <t>ORD00729</t>
  </si>
  <si>
    <t>ORD00730</t>
  </si>
  <si>
    <t>2023-02-08</t>
  </si>
  <si>
    <t>ORD00731</t>
  </si>
  <si>
    <t>2023-04-08</t>
  </si>
  <si>
    <t>ORD00732</t>
  </si>
  <si>
    <t>2023-08-28</t>
  </si>
  <si>
    <t>ORD00733</t>
  </si>
  <si>
    <t>ORD00734</t>
  </si>
  <si>
    <t>ORD00735</t>
  </si>
  <si>
    <t>2023-09-02</t>
  </si>
  <si>
    <t>ORD00736</t>
  </si>
  <si>
    <t>ORD00737</t>
  </si>
  <si>
    <t>ORD00738</t>
  </si>
  <si>
    <t>2023-03-10</t>
  </si>
  <si>
    <t>ORD00739</t>
  </si>
  <si>
    <t>2024-02-02</t>
  </si>
  <si>
    <t>ORD00740</t>
  </si>
  <si>
    <t>2023-03-09</t>
  </si>
  <si>
    <t>ORD00741</t>
  </si>
  <si>
    <t>2023-06-05</t>
  </si>
  <si>
    <t>ORD00742</t>
  </si>
  <si>
    <t>ORD00743</t>
  </si>
  <si>
    <t>2024-10-28</t>
  </si>
  <si>
    <t>ORD00744</t>
  </si>
  <si>
    <t>2024-06-17</t>
  </si>
  <si>
    <t>ORD00745</t>
  </si>
  <si>
    <t>2024-09-23</t>
  </si>
  <si>
    <t>ORD00746</t>
  </si>
  <si>
    <t>2024-07-21</t>
  </si>
  <si>
    <t>ORD00747</t>
  </si>
  <si>
    <t>ORD00748</t>
  </si>
  <si>
    <t>ORD00749</t>
  </si>
  <si>
    <t>ORD00750</t>
  </si>
  <si>
    <t>ORD00751</t>
  </si>
  <si>
    <t>ORD00752</t>
  </si>
  <si>
    <t>ORD00753</t>
  </si>
  <si>
    <t>ORD00754</t>
  </si>
  <si>
    <t>2024-01-27</t>
  </si>
  <si>
    <t>ORD00755</t>
  </si>
  <si>
    <t>ORD00756</t>
  </si>
  <si>
    <t>ORD00757</t>
  </si>
  <si>
    <t>ORD00758</t>
  </si>
  <si>
    <t>ORD00759</t>
  </si>
  <si>
    <t>ORD00760</t>
  </si>
  <si>
    <t>ORD00761</t>
  </si>
  <si>
    <t>2023-02-15</t>
  </si>
  <si>
    <t>ORD00762</t>
  </si>
  <si>
    <t>2023-03-22</t>
  </si>
  <si>
    <t>ORD00763</t>
  </si>
  <si>
    <t>2023-09-22</t>
  </si>
  <si>
    <t>ORD00764</t>
  </si>
  <si>
    <t>2024-08-20</t>
  </si>
  <si>
    <t>ORD00765</t>
  </si>
  <si>
    <t>2023-12-21</t>
  </si>
  <si>
    <t>ORD00766</t>
  </si>
  <si>
    <t>ORD00767</t>
  </si>
  <si>
    <t>ORD00768</t>
  </si>
  <si>
    <t>ORD00769</t>
  </si>
  <si>
    <t>ORD00770</t>
  </si>
  <si>
    <t>ORD00771</t>
  </si>
  <si>
    <t>2024-01-22</t>
  </si>
  <si>
    <t>ORD00772</t>
  </si>
  <si>
    <t>ORD00773</t>
  </si>
  <si>
    <t>ORD00774</t>
  </si>
  <si>
    <t>2024-12-01</t>
  </si>
  <si>
    <t>ORD00775</t>
  </si>
  <si>
    <t>2023-07-28</t>
  </si>
  <si>
    <t>ORD00776</t>
  </si>
  <si>
    <t>2024-10-30</t>
  </si>
  <si>
    <t>ORD00777</t>
  </si>
  <si>
    <t>ORD00778</t>
  </si>
  <si>
    <t>ORD00779</t>
  </si>
  <si>
    <t>ORD00780</t>
  </si>
  <si>
    <t>2023-08-16</t>
  </si>
  <si>
    <t>ORD00781</t>
  </si>
  <si>
    <t>2023-12-16</t>
  </si>
  <si>
    <t>ORD00782</t>
  </si>
  <si>
    <t>ORD00783</t>
  </si>
  <si>
    <t>ORD00784</t>
  </si>
  <si>
    <t>ORD00785</t>
  </si>
  <si>
    <t>ORD00786</t>
  </si>
  <si>
    <t>2024-08-19</t>
  </si>
  <si>
    <t>ORD00787</t>
  </si>
  <si>
    <t>2023-06-18</t>
  </si>
  <si>
    <t>ORD00788</t>
  </si>
  <si>
    <t>ORD00789</t>
  </si>
  <si>
    <t>2023-07-10</t>
  </si>
  <si>
    <t>ORD00790</t>
  </si>
  <si>
    <t>2023-04-11</t>
  </si>
  <si>
    <t>ORD00791</t>
  </si>
  <si>
    <t>ORD00792</t>
  </si>
  <si>
    <t>ORD00793</t>
  </si>
  <si>
    <t>ORD00794</t>
  </si>
  <si>
    <t>2023-01-21</t>
  </si>
  <si>
    <t>ORD00795</t>
  </si>
  <si>
    <t>ORD00796</t>
  </si>
  <si>
    <t>ORD00797</t>
  </si>
  <si>
    <t>ORD00798</t>
  </si>
  <si>
    <t>2023-01-15</t>
  </si>
  <si>
    <t>ORD00799</t>
  </si>
  <si>
    <t>ORD00800</t>
  </si>
  <si>
    <t>2023-05-21</t>
  </si>
  <si>
    <t>ORD00801</t>
  </si>
  <si>
    <t>2024-01-04</t>
  </si>
  <si>
    <t>ORD00802</t>
  </si>
  <si>
    <t>ORD00803</t>
  </si>
  <si>
    <t>2023-03-16</t>
  </si>
  <si>
    <t>ORD00804</t>
  </si>
  <si>
    <t>ORD00805</t>
  </si>
  <si>
    <t>ORD00806</t>
  </si>
  <si>
    <t>2024-04-19</t>
  </si>
  <si>
    <t>ORD00807</t>
  </si>
  <si>
    <t>ORD00808</t>
  </si>
  <si>
    <t>ORD00809</t>
  </si>
  <si>
    <t>ORD00810</t>
  </si>
  <si>
    <t>ORD00811</t>
  </si>
  <si>
    <t>2023-04-03</t>
  </si>
  <si>
    <t>ORD00812</t>
  </si>
  <si>
    <t>2023-09-27</t>
  </si>
  <si>
    <t>ORD00813</t>
  </si>
  <si>
    <t>ORD00814</t>
  </si>
  <si>
    <t>ORD00815</t>
  </si>
  <si>
    <t>ORD00816</t>
  </si>
  <si>
    <t>ORD00817</t>
  </si>
  <si>
    <t>ORD00818</t>
  </si>
  <si>
    <t>ORD00819</t>
  </si>
  <si>
    <t>ORD00820</t>
  </si>
  <si>
    <t>ORD00821</t>
  </si>
  <si>
    <t>2023-11-30</t>
  </si>
  <si>
    <t>ORD00822</t>
  </si>
  <si>
    <t>ORD00823</t>
  </si>
  <si>
    <t>ORD00824</t>
  </si>
  <si>
    <t>ORD00825</t>
  </si>
  <si>
    <t>ORD00826</t>
  </si>
  <si>
    <t>ORD00827</t>
  </si>
  <si>
    <t>ORD00828</t>
  </si>
  <si>
    <t>ORD00829</t>
  </si>
  <si>
    <t>ORD00830</t>
  </si>
  <si>
    <t>2023-10-31</t>
  </si>
  <si>
    <t>ORD00831</t>
  </si>
  <si>
    <t>ORD00832</t>
  </si>
  <si>
    <t>2024-08-31</t>
  </si>
  <si>
    <t>ORD00833</t>
  </si>
  <si>
    <t>2023-01-10</t>
  </si>
  <si>
    <t>ORD00834</t>
  </si>
  <si>
    <t>2024-11-15</t>
  </si>
  <si>
    <t>ORD00835</t>
  </si>
  <si>
    <t>2024-04-15</t>
  </si>
  <si>
    <t>ORD00836</t>
  </si>
  <si>
    <t>ORD00837</t>
  </si>
  <si>
    <t>2023-11-21</t>
  </si>
  <si>
    <t>ORD00838</t>
  </si>
  <si>
    <t>ORD00839</t>
  </si>
  <si>
    <t>ORD00840</t>
  </si>
  <si>
    <t>2024-10-24</t>
  </si>
  <si>
    <t>ORD00841</t>
  </si>
  <si>
    <t>ORD00842</t>
  </si>
  <si>
    <t>ORD00843</t>
  </si>
  <si>
    <t>2023-02-28</t>
  </si>
  <si>
    <t>ORD00844</t>
  </si>
  <si>
    <t>ORD00845</t>
  </si>
  <si>
    <t>ORD00846</t>
  </si>
  <si>
    <t>ORD00847</t>
  </si>
  <si>
    <t>ORD00848</t>
  </si>
  <si>
    <t>ORD00849</t>
  </si>
  <si>
    <t>2024-11-17</t>
  </si>
  <si>
    <t>ORD00850</t>
  </si>
  <si>
    <t>2023-03-11</t>
  </si>
  <si>
    <t>ORD00851</t>
  </si>
  <si>
    <t>ORD00852</t>
  </si>
  <si>
    <t>2023-08-29</t>
  </si>
  <si>
    <t>ORD00853</t>
  </si>
  <si>
    <t>2023-06-01</t>
  </si>
  <si>
    <t>ORD00854</t>
  </si>
  <si>
    <t>ORD00855</t>
  </si>
  <si>
    <t>ORD00856</t>
  </si>
  <si>
    <t>ORD00857</t>
  </si>
  <si>
    <t>ORD00858</t>
  </si>
  <si>
    <t>ORD00859</t>
  </si>
  <si>
    <t>2024-04-30</t>
  </si>
  <si>
    <t>ORD00860</t>
  </si>
  <si>
    <t>ORD00861</t>
  </si>
  <si>
    <t>ORD00862</t>
  </si>
  <si>
    <t>ORD00863</t>
  </si>
  <si>
    <t>ORD00864</t>
  </si>
  <si>
    <t>ORD00865</t>
  </si>
  <si>
    <t>ORD00866</t>
  </si>
  <si>
    <t>2023-02-18</t>
  </si>
  <si>
    <t>ORD00867</t>
  </si>
  <si>
    <t>ORD00868</t>
  </si>
  <si>
    <t>ORD00869</t>
  </si>
  <si>
    <t>2023-05-31</t>
  </si>
  <si>
    <t>ORD00870</t>
  </si>
  <si>
    <t>ORD00871</t>
  </si>
  <si>
    <t>ORD00872</t>
  </si>
  <si>
    <t>ORD00873</t>
  </si>
  <si>
    <t>ORD00874</t>
  </si>
  <si>
    <t>ORD00875</t>
  </si>
  <si>
    <t>ORD00876</t>
  </si>
  <si>
    <t>ORD00877</t>
  </si>
  <si>
    <t>ORD00878</t>
  </si>
  <si>
    <t>ORD00879</t>
  </si>
  <si>
    <t>ORD00880</t>
  </si>
  <si>
    <t>ORD00881</t>
  </si>
  <si>
    <t>ORD00882</t>
  </si>
  <si>
    <t>2024-01-13</t>
  </si>
  <si>
    <t>ORD00883</t>
  </si>
  <si>
    <t>ORD00884</t>
  </si>
  <si>
    <t>ORD00885</t>
  </si>
  <si>
    <t>ORD00886</t>
  </si>
  <si>
    <t>2023-08-06</t>
  </si>
  <si>
    <t>ORD00887</t>
  </si>
  <si>
    <t>ORD00888</t>
  </si>
  <si>
    <t>ORD00889</t>
  </si>
  <si>
    <t>2023-10-07</t>
  </si>
  <si>
    <t>ORD00890</t>
  </si>
  <si>
    <t>2023-03-23</t>
  </si>
  <si>
    <t>ORD00891</t>
  </si>
  <si>
    <t>ORD00892</t>
  </si>
  <si>
    <t>2024-03-31</t>
  </si>
  <si>
    <t>ORD00893</t>
  </si>
  <si>
    <t>ORD00894</t>
  </si>
  <si>
    <t>ORD00895</t>
  </si>
  <si>
    <t>2024-01-16</t>
  </si>
  <si>
    <t>ORD00896</t>
  </si>
  <si>
    <t>ORD00897</t>
  </si>
  <si>
    <t>ORD00898</t>
  </si>
  <si>
    <t>2023-06-29</t>
  </si>
  <si>
    <t>ORD00899</t>
  </si>
  <si>
    <t>2023-07-16</t>
  </si>
  <si>
    <t>ORD00900</t>
  </si>
  <si>
    <t>ORD00901</t>
  </si>
  <si>
    <t>ORD00902</t>
  </si>
  <si>
    <t>ORD00903</t>
  </si>
  <si>
    <t>2023-11-14</t>
  </si>
  <si>
    <t>ORD00904</t>
  </si>
  <si>
    <t>ORD00905</t>
  </si>
  <si>
    <t>ORD00906</t>
  </si>
  <si>
    <t>ORD00907</t>
  </si>
  <si>
    <t>ORD00908</t>
  </si>
  <si>
    <t>2023-01-19</t>
  </si>
  <si>
    <t>ORD00909</t>
  </si>
  <si>
    <t>ORD00910</t>
  </si>
  <si>
    <t>ORD00911</t>
  </si>
  <si>
    <t>2023-03-27</t>
  </si>
  <si>
    <t>ORD00912</t>
  </si>
  <si>
    <t>ORD00913</t>
  </si>
  <si>
    <t>ORD00914</t>
  </si>
  <si>
    <t>ORD00915</t>
  </si>
  <si>
    <t>ORD00916</t>
  </si>
  <si>
    <t>2023-06-19</t>
  </si>
  <si>
    <t>ORD00917</t>
  </si>
  <si>
    <t>ORD00918</t>
  </si>
  <si>
    <t>ORD00919</t>
  </si>
  <si>
    <t>ORD00920</t>
  </si>
  <si>
    <t>ORD00921</t>
  </si>
  <si>
    <t>ORD00922</t>
  </si>
  <si>
    <t>ORD00923</t>
  </si>
  <si>
    <t>2023-08-14</t>
  </si>
  <si>
    <t>ORD00924</t>
  </si>
  <si>
    <t>ORD00925</t>
  </si>
  <si>
    <t>ORD00926</t>
  </si>
  <si>
    <t>ORD00927</t>
  </si>
  <si>
    <t>ORD00928</t>
  </si>
  <si>
    <t>2023-01-02</t>
  </si>
  <si>
    <t>ORD00929</t>
  </si>
  <si>
    <t>ORD00930</t>
  </si>
  <si>
    <t>ORD00931</t>
  </si>
  <si>
    <t>ORD00932</t>
  </si>
  <si>
    <t>ORD00933</t>
  </si>
  <si>
    <t>ORD00934</t>
  </si>
  <si>
    <t>ORD00935</t>
  </si>
  <si>
    <t>2023-05-05</t>
  </si>
  <si>
    <t>ORD00936</t>
  </si>
  <si>
    <t>2024-11-22</t>
  </si>
  <si>
    <t>ORD00937</t>
  </si>
  <si>
    <t>ORD00938</t>
  </si>
  <si>
    <t>ORD00939</t>
  </si>
  <si>
    <t>ORD00940</t>
  </si>
  <si>
    <t>ORD00941</t>
  </si>
  <si>
    <t>ORD00942</t>
  </si>
  <si>
    <t>ORD00943</t>
  </si>
  <si>
    <t>ORD00944</t>
  </si>
  <si>
    <t>2023-05-20</t>
  </si>
  <si>
    <t>ORD00945</t>
  </si>
  <si>
    <t>ORD00946</t>
  </si>
  <si>
    <t>2023-01-31</t>
  </si>
  <si>
    <t>ORD00947</t>
  </si>
  <si>
    <t>ORD00948</t>
  </si>
  <si>
    <t>ORD00949</t>
  </si>
  <si>
    <t>2024-03-06</t>
  </si>
  <si>
    <t>ORD00950</t>
  </si>
  <si>
    <t>ORD00951</t>
  </si>
  <si>
    <t>ORD00952</t>
  </si>
  <si>
    <t>ORD00953</t>
  </si>
  <si>
    <t>2024-02-05</t>
  </si>
  <si>
    <t>ORD00954</t>
  </si>
  <si>
    <t>2024-04-29</t>
  </si>
  <si>
    <t>ORD00955</t>
  </si>
  <si>
    <t>ORD00956</t>
  </si>
  <si>
    <t>2024-08-28</t>
  </si>
  <si>
    <t>ORD00957</t>
  </si>
  <si>
    <t>ORD00958</t>
  </si>
  <si>
    <t>ORD00959</t>
  </si>
  <si>
    <t>ORD00960</t>
  </si>
  <si>
    <t>ORD00961</t>
  </si>
  <si>
    <t>ORD00962</t>
  </si>
  <si>
    <t>ORD00963</t>
  </si>
  <si>
    <t>ORD00964</t>
  </si>
  <si>
    <t>ORD00965</t>
  </si>
  <si>
    <t>ORD00966</t>
  </si>
  <si>
    <t>ORD00967</t>
  </si>
  <si>
    <t>2023-12-14</t>
  </si>
  <si>
    <t>ORD00968</t>
  </si>
  <si>
    <t>ORD00969</t>
  </si>
  <si>
    <t>ORD00970</t>
  </si>
  <si>
    <t>ORD00971</t>
  </si>
  <si>
    <t>ORD00972</t>
  </si>
  <si>
    <t>ORD00973</t>
  </si>
  <si>
    <t>ORD00974</t>
  </si>
  <si>
    <t>ORD00975</t>
  </si>
  <si>
    <t>ORD00976</t>
  </si>
  <si>
    <t>2024-07-26</t>
  </si>
  <si>
    <t>ORD00977</t>
  </si>
  <si>
    <t>ORD00978</t>
  </si>
  <si>
    <t>2023-09-25</t>
  </si>
  <si>
    <t>ORD00979</t>
  </si>
  <si>
    <t>ORD00980</t>
  </si>
  <si>
    <t>ORD00981</t>
  </si>
  <si>
    <t>ORD00982</t>
  </si>
  <si>
    <t>ORD00983</t>
  </si>
  <si>
    <t>2024-05-09</t>
  </si>
  <si>
    <t>ORD00984</t>
  </si>
  <si>
    <t>ORD00985</t>
  </si>
  <si>
    <t>ORD00986</t>
  </si>
  <si>
    <t>ORD00987</t>
  </si>
  <si>
    <t>ORD00988</t>
  </si>
  <si>
    <t>ORD00989</t>
  </si>
  <si>
    <t>2023-01-26</t>
  </si>
  <si>
    <t>ORD00990</t>
  </si>
  <si>
    <t>ORD00991</t>
  </si>
  <si>
    <t>ORD00992</t>
  </si>
  <si>
    <t>ORD00993</t>
  </si>
  <si>
    <t>2023-08-08</t>
  </si>
  <si>
    <t>ORD00994</t>
  </si>
  <si>
    <t>2024-03-08</t>
  </si>
  <si>
    <t>ORD00995</t>
  </si>
  <si>
    <t>ORD00996</t>
  </si>
  <si>
    <t>ORD00997</t>
  </si>
  <si>
    <t>ORD00998</t>
  </si>
  <si>
    <t>ORD00999</t>
  </si>
  <si>
    <t>2023-04-18</t>
  </si>
  <si>
    <t>ORD01000</t>
  </si>
  <si>
    <t>ORD01001</t>
  </si>
  <si>
    <t>ORD01002</t>
  </si>
  <si>
    <t>ORD01003</t>
  </si>
  <si>
    <t>2023-01-22</t>
  </si>
  <si>
    <t>ORD01004</t>
  </si>
  <si>
    <t>2023-04-05</t>
  </si>
  <si>
    <t>ORD01005</t>
  </si>
  <si>
    <t>ORD01006</t>
  </si>
  <si>
    <t>ORD01007</t>
  </si>
  <si>
    <t>ORD01008</t>
  </si>
  <si>
    <t>ORD01009</t>
  </si>
  <si>
    <t>ORD01010</t>
  </si>
  <si>
    <t>2023-02-24</t>
  </si>
  <si>
    <t>ORD01011</t>
  </si>
  <si>
    <t>ORD01012</t>
  </si>
  <si>
    <t>ORD01013</t>
  </si>
  <si>
    <t>ORD01014</t>
  </si>
  <si>
    <t>ORD01015</t>
  </si>
  <si>
    <t>ORD01016</t>
  </si>
  <si>
    <t>2023-11-22</t>
  </si>
  <si>
    <t>ORD01017</t>
  </si>
  <si>
    <t>ORD01018</t>
  </si>
  <si>
    <t>ORD01019</t>
  </si>
  <si>
    <t>ORD01020</t>
  </si>
  <si>
    <t>ORD01021</t>
  </si>
  <si>
    <t>ORD01022</t>
  </si>
  <si>
    <t>2024-09-16</t>
  </si>
  <si>
    <t>ORD01023</t>
  </si>
  <si>
    <t>ORD01024</t>
  </si>
  <si>
    <t>ORD01025</t>
  </si>
  <si>
    <t>ORD01026</t>
  </si>
  <si>
    <t>ORD01027</t>
  </si>
  <si>
    <t>2024-09-05</t>
  </si>
  <si>
    <t>ORD01028</t>
  </si>
  <si>
    <t>2023-06-03</t>
  </si>
  <si>
    <t>ORD01029</t>
  </si>
  <si>
    <t>2024-08-05</t>
  </si>
  <si>
    <t>ORD01030</t>
  </si>
  <si>
    <t>2024-03-14</t>
  </si>
  <si>
    <t>ORD01031</t>
  </si>
  <si>
    <t>ORD01032</t>
  </si>
  <si>
    <t>ORD01033</t>
  </si>
  <si>
    <t>ORD01034</t>
  </si>
  <si>
    <t>2023-09-29</t>
  </si>
  <si>
    <t>ORD01035</t>
  </si>
  <si>
    <t>ORD01036</t>
  </si>
  <si>
    <t>ORD01037</t>
  </si>
  <si>
    <t>2024-01-20</t>
  </si>
  <si>
    <t>ORD01038</t>
  </si>
  <si>
    <t>2023-08-18</t>
  </si>
  <si>
    <t>ORD01039</t>
  </si>
  <si>
    <t>ORD01040</t>
  </si>
  <si>
    <t>ORD01041</t>
  </si>
  <si>
    <t>ORD01042</t>
  </si>
  <si>
    <t>ORD01043</t>
  </si>
  <si>
    <t>2023-05-18</t>
  </si>
  <si>
    <t>ORD01044</t>
  </si>
  <si>
    <t>ORD01045</t>
  </si>
  <si>
    <t>ORD01046</t>
  </si>
  <si>
    <t>ORD01047</t>
  </si>
  <si>
    <t>ORD01048</t>
  </si>
  <si>
    <t>ORD01049</t>
  </si>
  <si>
    <t>2024-07-15</t>
  </si>
  <si>
    <t>ORD01050</t>
  </si>
  <si>
    <t>ORD01051</t>
  </si>
  <si>
    <t>ORD01052</t>
  </si>
  <si>
    <t>ORD01053</t>
  </si>
  <si>
    <t>ORD01054</t>
  </si>
  <si>
    <t>ORD01055</t>
  </si>
  <si>
    <t>ORD01056</t>
  </si>
  <si>
    <t>ORD01057</t>
  </si>
  <si>
    <t>ORD01058</t>
  </si>
  <si>
    <t>ORD01059</t>
  </si>
  <si>
    <t>ORD01060</t>
  </si>
  <si>
    <t>ORD01061</t>
  </si>
  <si>
    <t>ORD01062</t>
  </si>
  <si>
    <t>ORD01063</t>
  </si>
  <si>
    <t>ORD01064</t>
  </si>
  <si>
    <t>ORD01065</t>
  </si>
  <si>
    <t>2024-10-18</t>
  </si>
  <si>
    <t>ORD01066</t>
  </si>
  <si>
    <t>ORD01067</t>
  </si>
  <si>
    <t>ORD01068</t>
  </si>
  <si>
    <t>ORD01069</t>
  </si>
  <si>
    <t>ORD01070</t>
  </si>
  <si>
    <t>ORD01071</t>
  </si>
  <si>
    <t>2024-01-10</t>
  </si>
  <si>
    <t>ORD01072</t>
  </si>
  <si>
    <t>ORD01073</t>
  </si>
  <si>
    <t>ORD01074</t>
  </si>
  <si>
    <t>2024-07-04</t>
  </si>
  <si>
    <t>ORD01075</t>
  </si>
  <si>
    <t>2024-11-26</t>
  </si>
  <si>
    <t>ORD01076</t>
  </si>
  <si>
    <t>2023-01-07</t>
  </si>
  <si>
    <t>ORD01077</t>
  </si>
  <si>
    <t>ORD01078</t>
  </si>
  <si>
    <t>ORD01079</t>
  </si>
  <si>
    <t>ORD01080</t>
  </si>
  <si>
    <t>ORD01081</t>
  </si>
  <si>
    <t>ORD01082</t>
  </si>
  <si>
    <t>ORD01083</t>
  </si>
  <si>
    <t>ORD01084</t>
  </si>
  <si>
    <t>2024-07-25</t>
  </si>
  <si>
    <t>ORD01085</t>
  </si>
  <si>
    <t>ORD01086</t>
  </si>
  <si>
    <t>2023-03-07</t>
  </si>
  <si>
    <t>ORD01087</t>
  </si>
  <si>
    <t>ORD01088</t>
  </si>
  <si>
    <t>2023-09-23</t>
  </si>
  <si>
    <t>ORD01089</t>
  </si>
  <si>
    <t>ORD01090</t>
  </si>
  <si>
    <t>ORD01091</t>
  </si>
  <si>
    <t>ORD01092</t>
  </si>
  <si>
    <t>ORD01093</t>
  </si>
  <si>
    <t>2024-04-23</t>
  </si>
  <si>
    <t>ORD01094</t>
  </si>
  <si>
    <t>ORD01095</t>
  </si>
  <si>
    <t>ORD01096</t>
  </si>
  <si>
    <t>ORD01097</t>
  </si>
  <si>
    <t>ORD01098</t>
  </si>
  <si>
    <t>2023-03-24</t>
  </si>
  <si>
    <t>ORD01099</t>
  </si>
  <si>
    <t>ORD01100</t>
  </si>
  <si>
    <t>2024-07-22</t>
  </si>
  <si>
    <t>ORD01101</t>
  </si>
  <si>
    <t>ORD01102</t>
  </si>
  <si>
    <t>ORD01103</t>
  </si>
  <si>
    <t>ORD01104</t>
  </si>
  <si>
    <t>2024-05-29</t>
  </si>
  <si>
    <t>ORD01105</t>
  </si>
  <si>
    <t>ORD01106</t>
  </si>
  <si>
    <t>ORD01107</t>
  </si>
  <si>
    <t>ORD01108</t>
  </si>
  <si>
    <t>2024-08-10</t>
  </si>
  <si>
    <t>ORD01109</t>
  </si>
  <si>
    <t>ORD01110</t>
  </si>
  <si>
    <t>ORD01111</t>
  </si>
  <si>
    <t>ORD01112</t>
  </si>
  <si>
    <t>2023-05-17</t>
  </si>
  <si>
    <t>ORD01113</t>
  </si>
  <si>
    <t>ORD01114</t>
  </si>
  <si>
    <t>ORD01115</t>
  </si>
  <si>
    <t>ORD01116</t>
  </si>
  <si>
    <t>ORD01117</t>
  </si>
  <si>
    <t>ORD01118</t>
  </si>
  <si>
    <t>2024-06-18</t>
  </si>
  <si>
    <t>ORD01119</t>
  </si>
  <si>
    <t>2023-06-11</t>
  </si>
  <si>
    <t>ORD01120</t>
  </si>
  <si>
    <t>ORD01121</t>
  </si>
  <si>
    <t>ORD01122</t>
  </si>
  <si>
    <t>2023-05-29</t>
  </si>
  <si>
    <t>ORD01123</t>
  </si>
  <si>
    <t>ORD01124</t>
  </si>
  <si>
    <t>2024-09-14</t>
  </si>
  <si>
    <t>ORD01125</t>
  </si>
  <si>
    <t>ORD01126</t>
  </si>
  <si>
    <t>ORD01127</t>
  </si>
  <si>
    <t>ORD01128</t>
  </si>
  <si>
    <t>ORD01129</t>
  </si>
  <si>
    <t>ORD01130</t>
  </si>
  <si>
    <t>2023-06-26</t>
  </si>
  <si>
    <t>ORD01131</t>
  </si>
  <si>
    <t>2023-01-13</t>
  </si>
  <si>
    <t>ORD01132</t>
  </si>
  <si>
    <t>2023-04-29</t>
  </si>
  <si>
    <t>ORD01133</t>
  </si>
  <si>
    <t>ORD01134</t>
  </si>
  <si>
    <t>ORD01135</t>
  </si>
  <si>
    <t>2024-03-13</t>
  </si>
  <si>
    <t>ORD01136</t>
  </si>
  <si>
    <t>2024-01-19</t>
  </si>
  <si>
    <t>ORD01137</t>
  </si>
  <si>
    <t>ORD01138</t>
  </si>
  <si>
    <t>ORD01139</t>
  </si>
  <si>
    <t>ORD01140</t>
  </si>
  <si>
    <t>ORD01141</t>
  </si>
  <si>
    <t>2023-11-08</t>
  </si>
  <si>
    <t>ORD01142</t>
  </si>
  <si>
    <t>ORD01143</t>
  </si>
  <si>
    <t>ORD01144</t>
  </si>
  <si>
    <t>ORD01145</t>
  </si>
  <si>
    <t>ORD01146</t>
  </si>
  <si>
    <t>ORD01147</t>
  </si>
  <si>
    <t>ORD01148</t>
  </si>
  <si>
    <t>ORD01149</t>
  </si>
  <si>
    <t>ORD01150</t>
  </si>
  <si>
    <t>ORD01151</t>
  </si>
  <si>
    <t>ORD01152</t>
  </si>
  <si>
    <t>ORD01153</t>
  </si>
  <si>
    <t>ORD01154</t>
  </si>
  <si>
    <t>ORD01155</t>
  </si>
  <si>
    <t>ORD01156</t>
  </si>
  <si>
    <t>ORD01157</t>
  </si>
  <si>
    <t>ORD01158</t>
  </si>
  <si>
    <t>ORD01159</t>
  </si>
  <si>
    <t>2023-02-14</t>
  </si>
  <si>
    <t>ORD01160</t>
  </si>
  <si>
    <t>ORD01161</t>
  </si>
  <si>
    <t>ORD01162</t>
  </si>
  <si>
    <t>ORD01163</t>
  </si>
  <si>
    <t>ORD01164</t>
  </si>
  <si>
    <t>ORD01165</t>
  </si>
  <si>
    <t>ORD01166</t>
  </si>
  <si>
    <t>ORD01167</t>
  </si>
  <si>
    <t>2023-09-05</t>
  </si>
  <si>
    <t>ORD01168</t>
  </si>
  <si>
    <t>2023-11-07</t>
  </si>
  <si>
    <t>ORD01169</t>
  </si>
  <si>
    <t>ORD01170</t>
  </si>
  <si>
    <t>ORD01171</t>
  </si>
  <si>
    <t>ORD01172</t>
  </si>
  <si>
    <t>ORD01173</t>
  </si>
  <si>
    <t>2024-08-08</t>
  </si>
  <si>
    <t>ORD01174</t>
  </si>
  <si>
    <t>2023-10-24</t>
  </si>
  <si>
    <t>ORD01175</t>
  </si>
  <si>
    <t>ORD01176</t>
  </si>
  <si>
    <t>2023-03-01</t>
  </si>
  <si>
    <t>ORD01177</t>
  </si>
  <si>
    <t>ORD01178</t>
  </si>
  <si>
    <t>ORD01179</t>
  </si>
  <si>
    <t>ORD01180</t>
  </si>
  <si>
    <t>ORD01181</t>
  </si>
  <si>
    <t>ORD01182</t>
  </si>
  <si>
    <t>ORD01183</t>
  </si>
  <si>
    <t>ORD01184</t>
  </si>
  <si>
    <t>2023-07-17</t>
  </si>
  <si>
    <t>ORD01185</t>
  </si>
  <si>
    <t>ORD01186</t>
  </si>
  <si>
    <t>ORD01187</t>
  </si>
  <si>
    <t>ORD01188</t>
  </si>
  <si>
    <t>ORD01189</t>
  </si>
  <si>
    <t>2023-07-20</t>
  </si>
  <si>
    <t>ORD01190</t>
  </si>
  <si>
    <t>ORD01191</t>
  </si>
  <si>
    <t>ORD01192</t>
  </si>
  <si>
    <t>ORD01193</t>
  </si>
  <si>
    <t>ORD01194</t>
  </si>
  <si>
    <t>ORD01195</t>
  </si>
  <si>
    <t>ORD01196</t>
  </si>
  <si>
    <t>ORD01197</t>
  </si>
  <si>
    <t>ORD01198</t>
  </si>
  <si>
    <t>ORD01199</t>
  </si>
  <si>
    <t>ORD01200</t>
  </si>
  <si>
    <t>ORD01201</t>
  </si>
  <si>
    <t>ORD01202</t>
  </si>
  <si>
    <t>ORD01203</t>
  </si>
  <si>
    <t>ORD01204</t>
  </si>
  <si>
    <t>2024-02-25</t>
  </si>
  <si>
    <t>ORD01205</t>
  </si>
  <si>
    <t>2024-06-20</t>
  </si>
  <si>
    <t>ORD01206</t>
  </si>
  <si>
    <t>ORD01207</t>
  </si>
  <si>
    <t>ORD01208</t>
  </si>
  <si>
    <t>ORD01209</t>
  </si>
  <si>
    <t>ORD01210</t>
  </si>
  <si>
    <t>ORD01211</t>
  </si>
  <si>
    <t>ORD01212</t>
  </si>
  <si>
    <t>2024-04-20</t>
  </si>
  <si>
    <t>ORD01213</t>
  </si>
  <si>
    <t>ORD01214</t>
  </si>
  <si>
    <t>ORD01215</t>
  </si>
  <si>
    <t>2023-10-05</t>
  </si>
  <si>
    <t>ORD01216</t>
  </si>
  <si>
    <t>ORD01217</t>
  </si>
  <si>
    <t>2024-07-27</t>
  </si>
  <si>
    <t>ORD01218</t>
  </si>
  <si>
    <t>ORD01219</t>
  </si>
  <si>
    <t>ORD01220</t>
  </si>
  <si>
    <t>ORD01221</t>
  </si>
  <si>
    <t>ORD01222</t>
  </si>
  <si>
    <t>ORD01223</t>
  </si>
  <si>
    <t>ORD01224</t>
  </si>
  <si>
    <t>ORD01225</t>
  </si>
  <si>
    <t>ORD01226</t>
  </si>
  <si>
    <t>ORD01227</t>
  </si>
  <si>
    <t>ORD01228</t>
  </si>
  <si>
    <t>ORD01229</t>
  </si>
  <si>
    <t>ORD01230</t>
  </si>
  <si>
    <t>2024-01-03</t>
  </si>
  <si>
    <t>ORD01231</t>
  </si>
  <si>
    <t>2024-06-05</t>
  </si>
  <si>
    <t>ORD01232</t>
  </si>
  <si>
    <t>ORD01233</t>
  </si>
  <si>
    <t>ORD01234</t>
  </si>
  <si>
    <t>ORD01235</t>
  </si>
  <si>
    <t>ORD01236</t>
  </si>
  <si>
    <t>2023-04-21</t>
  </si>
  <si>
    <t>ORD01237</t>
  </si>
  <si>
    <t>ORD01238</t>
  </si>
  <si>
    <t>2023-08-12</t>
  </si>
  <si>
    <t>ORD01239</t>
  </si>
  <si>
    <t>ORD01240</t>
  </si>
  <si>
    <t>ORD01241</t>
  </si>
  <si>
    <t>ORD01242</t>
  </si>
  <si>
    <t>ORD01243</t>
  </si>
  <si>
    <t>ORD01244</t>
  </si>
  <si>
    <t>ORD01245</t>
  </si>
  <si>
    <t>2023-10-15</t>
  </si>
  <si>
    <t>ORD01246</t>
  </si>
  <si>
    <t>ORD01247</t>
  </si>
  <si>
    <t>2024-01-21</t>
  </si>
  <si>
    <t>ORD01248</t>
  </si>
  <si>
    <t>ORD01249</t>
  </si>
  <si>
    <t>ORD01250</t>
  </si>
  <si>
    <t>ORD01251</t>
  </si>
  <si>
    <t>2024-07-16</t>
  </si>
  <si>
    <t>ORD01252</t>
  </si>
  <si>
    <t>ORD01253</t>
  </si>
  <si>
    <t>ORD01254</t>
  </si>
  <si>
    <t>ORD01255</t>
  </si>
  <si>
    <t>ORD01256</t>
  </si>
  <si>
    <t>ORD01257</t>
  </si>
  <si>
    <t>ORD01258</t>
  </si>
  <si>
    <t>2023-07-14</t>
  </si>
  <si>
    <t>ORD01259</t>
  </si>
  <si>
    <t>2023-09-21</t>
  </si>
  <si>
    <t>ORD01260</t>
  </si>
  <si>
    <t>ORD01261</t>
  </si>
  <si>
    <t>ORD01262</t>
  </si>
  <si>
    <t>2023-12-05</t>
  </si>
  <si>
    <t>ORD01263</t>
  </si>
  <si>
    <t>ORD01264</t>
  </si>
  <si>
    <t>2024-05-20</t>
  </si>
  <si>
    <t>ORD01265</t>
  </si>
  <si>
    <t>ORD01266</t>
  </si>
  <si>
    <t>ORD01267</t>
  </si>
  <si>
    <t>ORD01268</t>
  </si>
  <si>
    <t>ORD01269</t>
  </si>
  <si>
    <t>ORD01270</t>
  </si>
  <si>
    <t>ORD01271</t>
  </si>
  <si>
    <t>ORD01272</t>
  </si>
  <si>
    <t>ORD01273</t>
  </si>
  <si>
    <t>ORD01274</t>
  </si>
  <si>
    <t>ORD01275</t>
  </si>
  <si>
    <t>ORD01276</t>
  </si>
  <si>
    <t>ORD01277</t>
  </si>
  <si>
    <t>ORD01278</t>
  </si>
  <si>
    <t>ORD01279</t>
  </si>
  <si>
    <t>ORD01280</t>
  </si>
  <si>
    <t>ORD01281</t>
  </si>
  <si>
    <t>ORD01282</t>
  </si>
  <si>
    <t>2024-02-22</t>
  </si>
  <si>
    <t>ORD01283</t>
  </si>
  <si>
    <t>ORD01284</t>
  </si>
  <si>
    <t>ORD01285</t>
  </si>
  <si>
    <t>ORD01286</t>
  </si>
  <si>
    <t>ORD01287</t>
  </si>
  <si>
    <t>ORD01288</t>
  </si>
  <si>
    <t>ORD01289</t>
  </si>
  <si>
    <t>ORD01290</t>
  </si>
  <si>
    <t>ORD01291</t>
  </si>
  <si>
    <t>ORD01292</t>
  </si>
  <si>
    <t>ORD01293</t>
  </si>
  <si>
    <t>ORD01294</t>
  </si>
  <si>
    <t>ORD01295</t>
  </si>
  <si>
    <t>2024-05-02</t>
  </si>
  <si>
    <t>ORD01296</t>
  </si>
  <si>
    <t>ORD01297</t>
  </si>
  <si>
    <t>ORD01298</t>
  </si>
  <si>
    <t>ORD01299</t>
  </si>
  <si>
    <t>ORD01300</t>
  </si>
  <si>
    <t>ORD01301</t>
  </si>
  <si>
    <t>ORD01302</t>
  </si>
  <si>
    <t>ORD01303</t>
  </si>
  <si>
    <t>ORD01304</t>
  </si>
  <si>
    <t>ORD01305</t>
  </si>
  <si>
    <t>ORD01306</t>
  </si>
  <si>
    <t>ORD01307</t>
  </si>
  <si>
    <t>2023-07-09</t>
  </si>
  <si>
    <t>ORD01308</t>
  </si>
  <si>
    <t>ORD01309</t>
  </si>
  <si>
    <t>2024-09-27</t>
  </si>
  <si>
    <t>ORD01310</t>
  </si>
  <si>
    <t>2024-04-17</t>
  </si>
  <si>
    <t>ORD01311</t>
  </si>
  <si>
    <t>2023-05-25</t>
  </si>
  <si>
    <t>ORD01312</t>
  </si>
  <si>
    <t>ORD01313</t>
  </si>
  <si>
    <t>ORD01314</t>
  </si>
  <si>
    <t>ORD01315</t>
  </si>
  <si>
    <t>2024-06-13</t>
  </si>
  <si>
    <t>ORD01316</t>
  </si>
  <si>
    <t>ORD01317</t>
  </si>
  <si>
    <t>ORD01318</t>
  </si>
  <si>
    <t>ORD01319</t>
  </si>
  <si>
    <t>ORD01320</t>
  </si>
  <si>
    <t>ORD01321</t>
  </si>
  <si>
    <t>ORD01322</t>
  </si>
  <si>
    <t>2024-09-26</t>
  </si>
  <si>
    <t>ORD01323</t>
  </si>
  <si>
    <t>ORD01324</t>
  </si>
  <si>
    <t>ORD01325</t>
  </si>
  <si>
    <t>ORD01326</t>
  </si>
  <si>
    <t>ORD01327</t>
  </si>
  <si>
    <t>2023-07-29</t>
  </si>
  <si>
    <t>ORD01328</t>
  </si>
  <si>
    <t>ORD01329</t>
  </si>
  <si>
    <t>ORD01330</t>
  </si>
  <si>
    <t>ORD01331</t>
  </si>
  <si>
    <t>ORD01332</t>
  </si>
  <si>
    <t>ORD01333</t>
  </si>
  <si>
    <t>ORD01334</t>
  </si>
  <si>
    <t>ORD01335</t>
  </si>
  <si>
    <t>2024-11-21</t>
  </si>
  <si>
    <t>ORD01336</t>
  </si>
  <si>
    <t>ORD01337</t>
  </si>
  <si>
    <t>ORD01338</t>
  </si>
  <si>
    <t>ORD01339</t>
  </si>
  <si>
    <t>ORD01340</t>
  </si>
  <si>
    <t>ORD01341</t>
  </si>
  <si>
    <t>ORD01342</t>
  </si>
  <si>
    <t>ORD01343</t>
  </si>
  <si>
    <t>ORD01344</t>
  </si>
  <si>
    <t>ORD01345</t>
  </si>
  <si>
    <t>ORD01346</t>
  </si>
  <si>
    <t>ORD01347</t>
  </si>
  <si>
    <t>2024-09-30</t>
  </si>
  <si>
    <t>ORD01348</t>
  </si>
  <si>
    <t>ORD01349</t>
  </si>
  <si>
    <t>ORD01350</t>
  </si>
  <si>
    <t>2024-04-02</t>
  </si>
  <si>
    <t>ORD01351</t>
  </si>
  <si>
    <t>ORD01352</t>
  </si>
  <si>
    <t>ORD01353</t>
  </si>
  <si>
    <t>ORD01354</t>
  </si>
  <si>
    <t>ORD01355</t>
  </si>
  <si>
    <t>ORD01356</t>
  </si>
  <si>
    <t>ORD01357</t>
  </si>
  <si>
    <t>ORD01358</t>
  </si>
  <si>
    <t>ORD01359</t>
  </si>
  <si>
    <t>2023-11-24</t>
  </si>
  <si>
    <t>ORD01360</t>
  </si>
  <si>
    <t>ORD01361</t>
  </si>
  <si>
    <t>ORD01362</t>
  </si>
  <si>
    <t>ORD01363</t>
  </si>
  <si>
    <t>ORD01364</t>
  </si>
  <si>
    <t>ORD01365</t>
  </si>
  <si>
    <t>2024-09-03</t>
  </si>
  <si>
    <t>ORD01366</t>
  </si>
  <si>
    <t>2023-10-22</t>
  </si>
  <si>
    <t>ORD01367</t>
  </si>
  <si>
    <t>2024-04-16</t>
  </si>
  <si>
    <t>ORD01368</t>
  </si>
  <si>
    <t>ORD01369</t>
  </si>
  <si>
    <t>ORD01370</t>
  </si>
  <si>
    <t>ORD01371</t>
  </si>
  <si>
    <t>ORD01372</t>
  </si>
  <si>
    <t>2024-06-06</t>
  </si>
  <si>
    <t>ORD01373</t>
  </si>
  <si>
    <t>ORD01374</t>
  </si>
  <si>
    <t>ORD01375</t>
  </si>
  <si>
    <t>ORD01376</t>
  </si>
  <si>
    <t>ORD01377</t>
  </si>
  <si>
    <t>ORD01378</t>
  </si>
  <si>
    <t>ORD01379</t>
  </si>
  <si>
    <t>ORD01380</t>
  </si>
  <si>
    <t>ORD01381</t>
  </si>
  <si>
    <t>ORD01382</t>
  </si>
  <si>
    <t>ORD01383</t>
  </si>
  <si>
    <t>ORD01384</t>
  </si>
  <si>
    <t>2024-11-23</t>
  </si>
  <si>
    <t>ORD01385</t>
  </si>
  <si>
    <t>ORD01386</t>
  </si>
  <si>
    <t>2024-02-03</t>
  </si>
  <si>
    <t>ORD01387</t>
  </si>
  <si>
    <t>ORD01388</t>
  </si>
  <si>
    <t>ORD01389</t>
  </si>
  <si>
    <t>ORD01390</t>
  </si>
  <si>
    <t>ORD01391</t>
  </si>
  <si>
    <t>ORD01392</t>
  </si>
  <si>
    <t>2024-01-15</t>
  </si>
  <si>
    <t>ORD01393</t>
  </si>
  <si>
    <t>2024-10-05</t>
  </si>
  <si>
    <t>ORD01394</t>
  </si>
  <si>
    <t>ORD01395</t>
  </si>
  <si>
    <t>ORD01396</t>
  </si>
  <si>
    <t>ORD01397</t>
  </si>
  <si>
    <t>ORD01398</t>
  </si>
  <si>
    <t>ORD01399</t>
  </si>
  <si>
    <t>2023-06-28</t>
  </si>
  <si>
    <t>ORD01400</t>
  </si>
  <si>
    <t>ORD01401</t>
  </si>
  <si>
    <t>2024-05-17</t>
  </si>
  <si>
    <t>ORD01402</t>
  </si>
  <si>
    <t>ORD01403</t>
  </si>
  <si>
    <t>ORD01404</t>
  </si>
  <si>
    <t>ORD01405</t>
  </si>
  <si>
    <t>ORD01406</t>
  </si>
  <si>
    <t>ORD01407</t>
  </si>
  <si>
    <t>ORD01408</t>
  </si>
  <si>
    <t>ORD01409</t>
  </si>
  <si>
    <t>ORD01410</t>
  </si>
  <si>
    <t>ORD01411</t>
  </si>
  <si>
    <t>ORD01412</t>
  </si>
  <si>
    <t>2023-10-14</t>
  </si>
  <si>
    <t>ORD01413</t>
  </si>
  <si>
    <t>ORD01414</t>
  </si>
  <si>
    <t>ORD01415</t>
  </si>
  <si>
    <t>ORD01416</t>
  </si>
  <si>
    <t>ORD01417</t>
  </si>
  <si>
    <t>ORD01418</t>
  </si>
  <si>
    <t>ORD01419</t>
  </si>
  <si>
    <t>ORD01420</t>
  </si>
  <si>
    <t>ORD01421</t>
  </si>
  <si>
    <t>ORD01422</t>
  </si>
  <si>
    <t>ORD01423</t>
  </si>
  <si>
    <t>ORD01424</t>
  </si>
  <si>
    <t>ORD01425</t>
  </si>
  <si>
    <t>ORD01426</t>
  </si>
  <si>
    <t>ORD01427</t>
  </si>
  <si>
    <t>ORD01428</t>
  </si>
  <si>
    <t>ORD01429</t>
  </si>
  <si>
    <t>ORD01430</t>
  </si>
  <si>
    <t>2024-01-23</t>
  </si>
  <si>
    <t>ORD01431</t>
  </si>
  <si>
    <t>ORD01432</t>
  </si>
  <si>
    <t>ORD01433</t>
  </si>
  <si>
    <t>ORD01434</t>
  </si>
  <si>
    <t>ORD01435</t>
  </si>
  <si>
    <t>2024-08-18</t>
  </si>
  <si>
    <t>ORD01436</t>
  </si>
  <si>
    <t>ORD01437</t>
  </si>
  <si>
    <t>2024-06-08</t>
  </si>
  <si>
    <t>ORD01438</t>
  </si>
  <si>
    <t>ORD01439</t>
  </si>
  <si>
    <t>2024-10-22</t>
  </si>
  <si>
    <t>ORD01440</t>
  </si>
  <si>
    <t>ORD01441</t>
  </si>
  <si>
    <t>ORD01442</t>
  </si>
  <si>
    <t>ORD01443</t>
  </si>
  <si>
    <t>ORD01444</t>
  </si>
  <si>
    <t>ORD01445</t>
  </si>
  <si>
    <t>2023-09-11</t>
  </si>
  <si>
    <t>ORD01446</t>
  </si>
  <si>
    <t>ORD01447</t>
  </si>
  <si>
    <t>ORD01448</t>
  </si>
  <si>
    <t>ORD01449</t>
  </si>
  <si>
    <t>ORD01450</t>
  </si>
  <si>
    <t>2024-08-13</t>
  </si>
  <si>
    <t>ORD01451</t>
  </si>
  <si>
    <t>2024-07-13</t>
  </si>
  <si>
    <t>ORD01452</t>
  </si>
  <si>
    <t>ORD01453</t>
  </si>
  <si>
    <t>ORD01454</t>
  </si>
  <si>
    <t>ORD01455</t>
  </si>
  <si>
    <t>ORD01456</t>
  </si>
  <si>
    <t>ORD01457</t>
  </si>
  <si>
    <t>2024-09-10</t>
  </si>
  <si>
    <t>ORD01458</t>
  </si>
  <si>
    <t>2023-07-31</t>
  </si>
  <si>
    <t>ORD01459</t>
  </si>
  <si>
    <t>ORD01460</t>
  </si>
  <si>
    <t>ORD01461</t>
  </si>
  <si>
    <t>ORD01462</t>
  </si>
  <si>
    <t>ORD01463</t>
  </si>
  <si>
    <t>ORD01464</t>
  </si>
  <si>
    <t>ORD01465</t>
  </si>
  <si>
    <t>ORD01466</t>
  </si>
  <si>
    <t>ORD01467</t>
  </si>
  <si>
    <t>ORD01468</t>
  </si>
  <si>
    <t>ORD01469</t>
  </si>
  <si>
    <t>ORD01470</t>
  </si>
  <si>
    <t>ORD01471</t>
  </si>
  <si>
    <t>ORD01472</t>
  </si>
  <si>
    <t>ORD01473</t>
  </si>
  <si>
    <t>2024-10-26</t>
  </si>
  <si>
    <t>ORD01474</t>
  </si>
  <si>
    <t>ORD01475</t>
  </si>
  <si>
    <t>2023-02-23</t>
  </si>
  <si>
    <t>ORD01476</t>
  </si>
  <si>
    <t>ORD01477</t>
  </si>
  <si>
    <t>ORD01478</t>
  </si>
  <si>
    <t>ORD01479</t>
  </si>
  <si>
    <t>ORD01480</t>
  </si>
  <si>
    <t>ORD01481</t>
  </si>
  <si>
    <t>ORD01482</t>
  </si>
  <si>
    <t>ORD01483</t>
  </si>
  <si>
    <t>ORD01484</t>
  </si>
  <si>
    <t>ORD01485</t>
  </si>
  <si>
    <t>ORD01486</t>
  </si>
  <si>
    <t>ORD01487</t>
  </si>
  <si>
    <t>ORD01488</t>
  </si>
  <si>
    <t>ORD01489</t>
  </si>
  <si>
    <t>ORD01490</t>
  </si>
  <si>
    <t>ORD01491</t>
  </si>
  <si>
    <t>ORD01492</t>
  </si>
  <si>
    <t>ORD01493</t>
  </si>
  <si>
    <t>ORD01494</t>
  </si>
  <si>
    <t>ORD01495</t>
  </si>
  <si>
    <t>ORD01496</t>
  </si>
  <si>
    <t>ORD01497</t>
  </si>
  <si>
    <t>ORD01498</t>
  </si>
  <si>
    <t>ORD01499</t>
  </si>
  <si>
    <t>ORD01500</t>
  </si>
  <si>
    <t>ORD01501</t>
  </si>
  <si>
    <t>ORD01502</t>
  </si>
  <si>
    <t>2023-11-18</t>
  </si>
  <si>
    <t>ORD01503</t>
  </si>
  <si>
    <t>ORD01504</t>
  </si>
  <si>
    <t>ORD01505</t>
  </si>
  <si>
    <t>ORD01506</t>
  </si>
  <si>
    <t>ORD01507</t>
  </si>
  <si>
    <t>ORD01508</t>
  </si>
  <si>
    <t>ORD01509</t>
  </si>
  <si>
    <t>ORD01510</t>
  </si>
  <si>
    <t>ORD01511</t>
  </si>
  <si>
    <t>ORD01512</t>
  </si>
  <si>
    <t>ORD01513</t>
  </si>
  <si>
    <t>ORD01514</t>
  </si>
  <si>
    <t>ORD01515</t>
  </si>
  <si>
    <t>2023-10-10</t>
  </si>
  <si>
    <t>ORD01516</t>
  </si>
  <si>
    <t>2024-02-16</t>
  </si>
  <si>
    <t>ORD01517</t>
  </si>
  <si>
    <t>2023-05-08</t>
  </si>
  <si>
    <t>ORD01518</t>
  </si>
  <si>
    <t>ORD01519</t>
  </si>
  <si>
    <t>ORD01520</t>
  </si>
  <si>
    <t>2024-04-22</t>
  </si>
  <si>
    <t>ORD01521</t>
  </si>
  <si>
    <t>ORD01522</t>
  </si>
  <si>
    <t>ORD01523</t>
  </si>
  <si>
    <t>ORD01524</t>
  </si>
  <si>
    <t>ORD01525</t>
  </si>
  <si>
    <t>ORD01526</t>
  </si>
  <si>
    <t>2024-05-08</t>
  </si>
  <si>
    <t>ORD01527</t>
  </si>
  <si>
    <t>ORD01528</t>
  </si>
  <si>
    <t>ORD01529</t>
  </si>
  <si>
    <t>ORD01530</t>
  </si>
  <si>
    <t>ORD01531</t>
  </si>
  <si>
    <t>ORD01532</t>
  </si>
  <si>
    <t>ORD01533</t>
  </si>
  <si>
    <t>2024-08-07</t>
  </si>
  <si>
    <t>ORD01534</t>
  </si>
  <si>
    <t>ORD01535</t>
  </si>
  <si>
    <t>ORD01536</t>
  </si>
  <si>
    <t>ORD01537</t>
  </si>
  <si>
    <t>ORD01538</t>
  </si>
  <si>
    <t>ORD01539</t>
  </si>
  <si>
    <t>ORD01540</t>
  </si>
  <si>
    <t>ORD01541</t>
  </si>
  <si>
    <t>2023-03-05</t>
  </si>
  <si>
    <t>ORD01542</t>
  </si>
  <si>
    <t>ORD01543</t>
  </si>
  <si>
    <t>2024-01-01</t>
  </si>
  <si>
    <t>ORD01544</t>
  </si>
  <si>
    <t>ORD01545</t>
  </si>
  <si>
    <t>ORD01546</t>
  </si>
  <si>
    <t>ORD01547</t>
  </si>
  <si>
    <t>ORD01548</t>
  </si>
  <si>
    <t>ORD01549</t>
  </si>
  <si>
    <t>ORD01550</t>
  </si>
  <si>
    <t>ORD01551</t>
  </si>
  <si>
    <t>ORD01552</t>
  </si>
  <si>
    <t>ORD01553</t>
  </si>
  <si>
    <t>ORD01554</t>
  </si>
  <si>
    <t>ORD01555</t>
  </si>
  <si>
    <t>ORD01556</t>
  </si>
  <si>
    <t>ORD01557</t>
  </si>
  <si>
    <t>ORD01558</t>
  </si>
  <si>
    <t>ORD01559</t>
  </si>
  <si>
    <t>2023-09-15</t>
  </si>
  <si>
    <t>ORD01560</t>
  </si>
  <si>
    <t>ORD01561</t>
  </si>
  <si>
    <t>ORD01562</t>
  </si>
  <si>
    <t>ORD01563</t>
  </si>
  <si>
    <t>ORD01564</t>
  </si>
  <si>
    <t>ORD01565</t>
  </si>
  <si>
    <t>ORD01566</t>
  </si>
  <si>
    <t>ORD01567</t>
  </si>
  <si>
    <t>ORD01568</t>
  </si>
  <si>
    <t>2023-01-08</t>
  </si>
  <si>
    <t>ORD01569</t>
  </si>
  <si>
    <t>ORD01570</t>
  </si>
  <si>
    <t>ORD01571</t>
  </si>
  <si>
    <t>ORD01572</t>
  </si>
  <si>
    <t>ORD01573</t>
  </si>
  <si>
    <t>ORD01574</t>
  </si>
  <si>
    <t>ORD01575</t>
  </si>
  <si>
    <t>ORD01576</t>
  </si>
  <si>
    <t>ORD01577</t>
  </si>
  <si>
    <t>ORD01578</t>
  </si>
  <si>
    <t>ORD01579</t>
  </si>
  <si>
    <t>ORD01580</t>
  </si>
  <si>
    <t>ORD01581</t>
  </si>
  <si>
    <t>ORD01582</t>
  </si>
  <si>
    <t>ORD01583</t>
  </si>
  <si>
    <t>ORD01584</t>
  </si>
  <si>
    <t>ORD01585</t>
  </si>
  <si>
    <t>ORD01586</t>
  </si>
  <si>
    <t>ORD01587</t>
  </si>
  <si>
    <t>2023-02-21</t>
  </si>
  <si>
    <t>ORD01588</t>
  </si>
  <si>
    <t>ORD01589</t>
  </si>
  <si>
    <t>ORD01590</t>
  </si>
  <si>
    <t>ORD01591</t>
  </si>
  <si>
    <t>ORD01592</t>
  </si>
  <si>
    <t>ORD01593</t>
  </si>
  <si>
    <t>2023-12-15</t>
  </si>
  <si>
    <t>ORD01594</t>
  </si>
  <si>
    <t>ORD01595</t>
  </si>
  <si>
    <t>ORD01596</t>
  </si>
  <si>
    <t>ORD01597</t>
  </si>
  <si>
    <t>ORD01598</t>
  </si>
  <si>
    <t>ORD01599</t>
  </si>
  <si>
    <t>ORD01600</t>
  </si>
  <si>
    <t>ORD01601</t>
  </si>
  <si>
    <t>ORD01602</t>
  </si>
  <si>
    <t>ORD01603</t>
  </si>
  <si>
    <t>ORD01604</t>
  </si>
  <si>
    <t>2023-09-19</t>
  </si>
  <si>
    <t>ORD01605</t>
  </si>
  <si>
    <t>2023-03-26</t>
  </si>
  <si>
    <t>ORD01606</t>
  </si>
  <si>
    <t>ORD01607</t>
  </si>
  <si>
    <t>2023-10-27</t>
  </si>
  <si>
    <t>ORD01608</t>
  </si>
  <si>
    <t>ORD01609</t>
  </si>
  <si>
    <t>ORD01610</t>
  </si>
  <si>
    <t>ORD01611</t>
  </si>
  <si>
    <t>ORD01612</t>
  </si>
  <si>
    <t>ORD01613</t>
  </si>
  <si>
    <t>ORD01614</t>
  </si>
  <si>
    <t>ORD01615</t>
  </si>
  <si>
    <t>ORD01616</t>
  </si>
  <si>
    <t>2023-10-25</t>
  </si>
  <si>
    <t>ORD01617</t>
  </si>
  <si>
    <t>ORD01618</t>
  </si>
  <si>
    <t>ORD01619</t>
  </si>
  <si>
    <t>ORD01620</t>
  </si>
  <si>
    <t>ORD01621</t>
  </si>
  <si>
    <t>ORD01622</t>
  </si>
  <si>
    <t>ORD01623</t>
  </si>
  <si>
    <t>ORD01624</t>
  </si>
  <si>
    <t>ORD01625</t>
  </si>
  <si>
    <t>ORD01626</t>
  </si>
  <si>
    <t>ORD01627</t>
  </si>
  <si>
    <t>ORD01628</t>
  </si>
  <si>
    <t>ORD01629</t>
  </si>
  <si>
    <t>ORD01630</t>
  </si>
  <si>
    <t>ORD01631</t>
  </si>
  <si>
    <t>ORD01632</t>
  </si>
  <si>
    <t>ORD01633</t>
  </si>
  <si>
    <t>ORD01634</t>
  </si>
  <si>
    <t>ORD01635</t>
  </si>
  <si>
    <t>2024-04-24</t>
  </si>
  <si>
    <t>ORD01636</t>
  </si>
  <si>
    <t>ORD01637</t>
  </si>
  <si>
    <t>ORD01638</t>
  </si>
  <si>
    <t>ORD01639</t>
  </si>
  <si>
    <t>ORD01640</t>
  </si>
  <si>
    <t>ORD01641</t>
  </si>
  <si>
    <t>ORD01642</t>
  </si>
  <si>
    <t>ORD01643</t>
  </si>
  <si>
    <t>ORD01644</t>
  </si>
  <si>
    <t>ORD01645</t>
  </si>
  <si>
    <t>ORD01646</t>
  </si>
  <si>
    <t>ORD01647</t>
  </si>
  <si>
    <t>ORD01648</t>
  </si>
  <si>
    <t>ORD01649</t>
  </si>
  <si>
    <t>ORD01650</t>
  </si>
  <si>
    <t>2024-03-20</t>
  </si>
  <si>
    <t>ORD01651</t>
  </si>
  <si>
    <t>ORD01652</t>
  </si>
  <si>
    <t>ORD01653</t>
  </si>
  <si>
    <t>ORD01654</t>
  </si>
  <si>
    <t>ORD01655</t>
  </si>
  <si>
    <t>ORD01656</t>
  </si>
  <si>
    <t>ORD01657</t>
  </si>
  <si>
    <t>ORD01658</t>
  </si>
  <si>
    <t>ORD01659</t>
  </si>
  <si>
    <t>ORD01660</t>
  </si>
  <si>
    <t>ORD01661</t>
  </si>
  <si>
    <t>ORD01662</t>
  </si>
  <si>
    <t>ORD01663</t>
  </si>
  <si>
    <t>ORD01664</t>
  </si>
  <si>
    <t>ORD01665</t>
  </si>
  <si>
    <t>ORD01666</t>
  </si>
  <si>
    <t>ORD01667</t>
  </si>
  <si>
    <t>ORD01668</t>
  </si>
  <si>
    <t>ORD01669</t>
  </si>
  <si>
    <t>ORD01670</t>
  </si>
  <si>
    <t>ORD01671</t>
  </si>
  <si>
    <t>ORD01672</t>
  </si>
  <si>
    <t>2024-04-25</t>
  </si>
  <si>
    <t>ORD01673</t>
  </si>
  <si>
    <t>ORD01674</t>
  </si>
  <si>
    <t>ORD01675</t>
  </si>
  <si>
    <t>ORD01676</t>
  </si>
  <si>
    <t>ORD01677</t>
  </si>
  <si>
    <t>ORD01678</t>
  </si>
  <si>
    <t>2024-06-29</t>
  </si>
  <si>
    <t>ORD01679</t>
  </si>
  <si>
    <t>ORD01680</t>
  </si>
  <si>
    <t>ORD01681</t>
  </si>
  <si>
    <t>2024-06-16</t>
  </si>
  <si>
    <t>ORD01682</t>
  </si>
  <si>
    <t>ORD01683</t>
  </si>
  <si>
    <t>ORD01684</t>
  </si>
  <si>
    <t>ORD01685</t>
  </si>
  <si>
    <t>2024-03-29</t>
  </si>
  <si>
    <t>ORD01686</t>
  </si>
  <si>
    <t>ORD01687</t>
  </si>
  <si>
    <t>ORD01688</t>
  </si>
  <si>
    <t>ORD01689</t>
  </si>
  <si>
    <t>ORD01690</t>
  </si>
  <si>
    <t>ORD01691</t>
  </si>
  <si>
    <t>ORD01692</t>
  </si>
  <si>
    <t>ORD01693</t>
  </si>
  <si>
    <t>ORD01694</t>
  </si>
  <si>
    <t>ORD01695</t>
  </si>
  <si>
    <t>ORD01696</t>
  </si>
  <si>
    <t>ORD01697</t>
  </si>
  <si>
    <t>ORD01698</t>
  </si>
  <si>
    <t>ORD01699</t>
  </si>
  <si>
    <t>ORD01700</t>
  </si>
  <si>
    <t>ORD01701</t>
  </si>
  <si>
    <t>2024-06-24</t>
  </si>
  <si>
    <t>ORD01702</t>
  </si>
  <si>
    <t>ORD01703</t>
  </si>
  <si>
    <t>ORD01704</t>
  </si>
  <si>
    <t>ORD01705</t>
  </si>
  <si>
    <t>ORD01706</t>
  </si>
  <si>
    <t>ORD01707</t>
  </si>
  <si>
    <t>2023-09-26</t>
  </si>
  <si>
    <t>ORD01708</t>
  </si>
  <si>
    <t>ORD01709</t>
  </si>
  <si>
    <t>ORD01710</t>
  </si>
  <si>
    <t>ORD01711</t>
  </si>
  <si>
    <t>ORD01712</t>
  </si>
  <si>
    <t>2023-01-17</t>
  </si>
  <si>
    <t>ORD01713</t>
  </si>
  <si>
    <t>ORD01714</t>
  </si>
  <si>
    <t>ORD01715</t>
  </si>
  <si>
    <t>2023-04-01</t>
  </si>
  <si>
    <t>ORD01716</t>
  </si>
  <si>
    <t>ORD01717</t>
  </si>
  <si>
    <t>ORD01718</t>
  </si>
  <si>
    <t>ORD01719</t>
  </si>
  <si>
    <t>ORD01720</t>
  </si>
  <si>
    <t>ORD01721</t>
  </si>
  <si>
    <t>ORD01722</t>
  </si>
  <si>
    <t>ORD01723</t>
  </si>
  <si>
    <t>ORD01724</t>
  </si>
  <si>
    <t>ORD01725</t>
  </si>
  <si>
    <t>ORD01726</t>
  </si>
  <si>
    <t>ORD01727</t>
  </si>
  <si>
    <t>ORD01728</t>
  </si>
  <si>
    <t>ORD01729</t>
  </si>
  <si>
    <t>ORD01730</t>
  </si>
  <si>
    <t>ORD01731</t>
  </si>
  <si>
    <t>ORD01732</t>
  </si>
  <si>
    <t>ORD01733</t>
  </si>
  <si>
    <t>ORD01734</t>
  </si>
  <si>
    <t>ORD01735</t>
  </si>
  <si>
    <t>ORD01736</t>
  </si>
  <si>
    <t>ORD01737</t>
  </si>
  <si>
    <t>ORD01738</t>
  </si>
  <si>
    <t>ORD01739</t>
  </si>
  <si>
    <t>ORD01740</t>
  </si>
  <si>
    <t>ORD01741</t>
  </si>
  <si>
    <t>2024-07-12</t>
  </si>
  <si>
    <t>ORD01742</t>
  </si>
  <si>
    <t>ORD01743</t>
  </si>
  <si>
    <t>ORD01744</t>
  </si>
  <si>
    <t>ORD01745</t>
  </si>
  <si>
    <t>ORD01746</t>
  </si>
  <si>
    <t>ORD01747</t>
  </si>
  <si>
    <t>ORD01748</t>
  </si>
  <si>
    <t>ORD01749</t>
  </si>
  <si>
    <t>ORD01750</t>
  </si>
  <si>
    <t>ORD01751</t>
  </si>
  <si>
    <t>ORD01752</t>
  </si>
  <si>
    <t>ORD01753</t>
  </si>
  <si>
    <t>ORD01754</t>
  </si>
  <si>
    <t>ORD01755</t>
  </si>
  <si>
    <t>ORD01756</t>
  </si>
  <si>
    <t>ORD01757</t>
  </si>
  <si>
    <t>ORD01758</t>
  </si>
  <si>
    <t>ORD01759</t>
  </si>
  <si>
    <t>ORD01760</t>
  </si>
  <si>
    <t>ORD01761</t>
  </si>
  <si>
    <t>ORD01762</t>
  </si>
  <si>
    <t>ORD01763</t>
  </si>
  <si>
    <t>ORD01764</t>
  </si>
  <si>
    <t>ORD01765</t>
  </si>
  <si>
    <t>ORD01766</t>
  </si>
  <si>
    <t>ORD01767</t>
  </si>
  <si>
    <t>ORD01768</t>
  </si>
  <si>
    <t>ORD01769</t>
  </si>
  <si>
    <t>ORD01770</t>
  </si>
  <si>
    <t>ORD01771</t>
  </si>
  <si>
    <t>ORD01772</t>
  </si>
  <si>
    <t>ORD01773</t>
  </si>
  <si>
    <t>ORD01774</t>
  </si>
  <si>
    <t>ORD01775</t>
  </si>
  <si>
    <t>ORD01776</t>
  </si>
  <si>
    <t>ORD01777</t>
  </si>
  <si>
    <t>ORD01778</t>
  </si>
  <si>
    <t>ORD01779</t>
  </si>
  <si>
    <t>ORD01780</t>
  </si>
  <si>
    <t>ORD01781</t>
  </si>
  <si>
    <t>ORD01782</t>
  </si>
  <si>
    <t>ORD01783</t>
  </si>
  <si>
    <t>ORD01784</t>
  </si>
  <si>
    <t>ORD01785</t>
  </si>
  <si>
    <t>ORD01786</t>
  </si>
  <si>
    <t>ORD01787</t>
  </si>
  <si>
    <t>ORD01788</t>
  </si>
  <si>
    <t>ORD01789</t>
  </si>
  <si>
    <t>ORD01790</t>
  </si>
  <si>
    <t>ORD01791</t>
  </si>
  <si>
    <t>ORD01792</t>
  </si>
  <si>
    <t>ORD01793</t>
  </si>
  <si>
    <t>ORD01794</t>
  </si>
  <si>
    <t>ORD01795</t>
  </si>
  <si>
    <t>ORD01796</t>
  </si>
  <si>
    <t>ORD01797</t>
  </si>
  <si>
    <t>ORD01798</t>
  </si>
  <si>
    <t>ORD01799</t>
  </si>
  <si>
    <t>ORD01800</t>
  </si>
  <si>
    <t>ORD01801</t>
  </si>
  <si>
    <t>ORD01802</t>
  </si>
  <si>
    <t>ORD01803</t>
  </si>
  <si>
    <t>ORD01804</t>
  </si>
  <si>
    <t>ORD01805</t>
  </si>
  <si>
    <t>ORD01806</t>
  </si>
  <si>
    <t>ORD01807</t>
  </si>
  <si>
    <t>ORD01808</t>
  </si>
  <si>
    <t>ORD01809</t>
  </si>
  <si>
    <t>2024-06-12</t>
  </si>
  <si>
    <t>ORD01810</t>
  </si>
  <si>
    <t>ORD01811</t>
  </si>
  <si>
    <t>ORD01812</t>
  </si>
  <si>
    <t>ORD01813</t>
  </si>
  <si>
    <t>ORD01814</t>
  </si>
  <si>
    <t>ORD01815</t>
  </si>
  <si>
    <t>ORD01816</t>
  </si>
  <si>
    <t>ORD01817</t>
  </si>
  <si>
    <t>ORD01818</t>
  </si>
  <si>
    <t>ORD01819</t>
  </si>
  <si>
    <t>ORD01820</t>
  </si>
  <si>
    <t>ORD01821</t>
  </si>
  <si>
    <t>ORD01822</t>
  </si>
  <si>
    <t>ORD01823</t>
  </si>
  <si>
    <t>ORD01824</t>
  </si>
  <si>
    <t>ORD01825</t>
  </si>
  <si>
    <t>ORD01826</t>
  </si>
  <si>
    <t>ORD01827</t>
  </si>
  <si>
    <t>ORD01828</t>
  </si>
  <si>
    <t>ORD01829</t>
  </si>
  <si>
    <t>ORD01830</t>
  </si>
  <si>
    <t>ORD01831</t>
  </si>
  <si>
    <t>ORD01832</t>
  </si>
  <si>
    <t>ORD01833</t>
  </si>
  <si>
    <t>ORD01834</t>
  </si>
  <si>
    <t>ORD01835</t>
  </si>
  <si>
    <t>ORD01836</t>
  </si>
  <si>
    <t>ORD01837</t>
  </si>
  <si>
    <t>2024-02-09</t>
  </si>
  <si>
    <t>ORD01838</t>
  </si>
  <si>
    <t>ORD01839</t>
  </si>
  <si>
    <t>2023-05-11</t>
  </si>
  <si>
    <t>ORD01840</t>
  </si>
  <si>
    <t>2023-07-21</t>
  </si>
  <si>
    <t>ORD01841</t>
  </si>
  <si>
    <t>ORD01842</t>
  </si>
  <si>
    <t>ORD01843</t>
  </si>
  <si>
    <t>ORD01844</t>
  </si>
  <si>
    <t>ORD01845</t>
  </si>
  <si>
    <t>ORD01846</t>
  </si>
  <si>
    <t>2023-08-02</t>
  </si>
  <si>
    <t>ORD01847</t>
  </si>
  <si>
    <t>ORD01848</t>
  </si>
  <si>
    <t>ORD01849</t>
  </si>
  <si>
    <t>ORD01850</t>
  </si>
  <si>
    <t>ORD01851</t>
  </si>
  <si>
    <t>ORD01852</t>
  </si>
  <si>
    <t>ORD01853</t>
  </si>
  <si>
    <t>ORD01854</t>
  </si>
  <si>
    <t>ORD01855</t>
  </si>
  <si>
    <t>ORD01856</t>
  </si>
  <si>
    <t>ORD01857</t>
  </si>
  <si>
    <t>ORD01858</t>
  </si>
  <si>
    <t>ORD01859</t>
  </si>
  <si>
    <t>ORD01860</t>
  </si>
  <si>
    <t>ORD01861</t>
  </si>
  <si>
    <t>ORD01862</t>
  </si>
  <si>
    <t>ORD01863</t>
  </si>
  <si>
    <t>2024-03-16</t>
  </si>
  <si>
    <t>ORD01864</t>
  </si>
  <si>
    <t>ORD01865</t>
  </si>
  <si>
    <t>ORD01866</t>
  </si>
  <si>
    <t>ORD01867</t>
  </si>
  <si>
    <t>ORD01868</t>
  </si>
  <si>
    <t>ORD01869</t>
  </si>
  <si>
    <t>ORD01870</t>
  </si>
  <si>
    <t>ORD01871</t>
  </si>
  <si>
    <t>ORD01872</t>
  </si>
  <si>
    <t>ORD01873</t>
  </si>
  <si>
    <t>ORD01874</t>
  </si>
  <si>
    <t>ORD01875</t>
  </si>
  <si>
    <t>ORD01876</t>
  </si>
  <si>
    <t>ORD01877</t>
  </si>
  <si>
    <t>ORD01878</t>
  </si>
  <si>
    <t>2023-06-09</t>
  </si>
  <si>
    <t>ORD01879</t>
  </si>
  <si>
    <t>ORD01880</t>
  </si>
  <si>
    <t>ORD01881</t>
  </si>
  <si>
    <t>ORD01882</t>
  </si>
  <si>
    <t>ORD01883</t>
  </si>
  <si>
    <t>ORD01884</t>
  </si>
  <si>
    <t>ORD01885</t>
  </si>
  <si>
    <t>ORD01886</t>
  </si>
  <si>
    <t>ORD01887</t>
  </si>
  <si>
    <t>ORD01888</t>
  </si>
  <si>
    <t>ORD01889</t>
  </si>
  <si>
    <t>ORD01890</t>
  </si>
  <si>
    <t>ORD01891</t>
  </si>
  <si>
    <t>ORD01892</t>
  </si>
  <si>
    <t>ORD01893</t>
  </si>
  <si>
    <t>ORD01894</t>
  </si>
  <si>
    <t>ORD01895</t>
  </si>
  <si>
    <t>ORD01896</t>
  </si>
  <si>
    <t>2023-04-09</t>
  </si>
  <si>
    <t>ORD01897</t>
  </si>
  <si>
    <t>ORD01898</t>
  </si>
  <si>
    <t>ORD01899</t>
  </si>
  <si>
    <t>ORD01900</t>
  </si>
  <si>
    <t>ORD01901</t>
  </si>
  <si>
    <t>ORD01902</t>
  </si>
  <si>
    <t>ORD01903</t>
  </si>
  <si>
    <t>ORD01904</t>
  </si>
  <si>
    <t>ORD01905</t>
  </si>
  <si>
    <t>ORD01906</t>
  </si>
  <si>
    <t>ORD01907</t>
  </si>
  <si>
    <t>ORD01908</t>
  </si>
  <si>
    <t>2023-07-04</t>
  </si>
  <si>
    <t>ORD01909</t>
  </si>
  <si>
    <t>ORD01910</t>
  </si>
  <si>
    <t>ORD01911</t>
  </si>
  <si>
    <t>2023-11-13</t>
  </si>
  <si>
    <t>ORD01912</t>
  </si>
  <si>
    <t>ORD01913</t>
  </si>
  <si>
    <t>ORD01914</t>
  </si>
  <si>
    <t>ORD01915</t>
  </si>
  <si>
    <t>ORD01916</t>
  </si>
  <si>
    <t>ORD01917</t>
  </si>
  <si>
    <t>ORD01918</t>
  </si>
  <si>
    <t>ORD01919</t>
  </si>
  <si>
    <t>ORD01920</t>
  </si>
  <si>
    <t>ORD01921</t>
  </si>
  <si>
    <t>ORD01922</t>
  </si>
  <si>
    <t>ORD01923</t>
  </si>
  <si>
    <t>ORD01924</t>
  </si>
  <si>
    <t>ORD01925</t>
  </si>
  <si>
    <t>ORD01926</t>
  </si>
  <si>
    <t>ORD01927</t>
  </si>
  <si>
    <t>ORD01928</t>
  </si>
  <si>
    <t>ORD01929</t>
  </si>
  <si>
    <t>ORD01930</t>
  </si>
  <si>
    <t>ORD01931</t>
  </si>
  <si>
    <t>ORD01932</t>
  </si>
  <si>
    <t>ORD01933</t>
  </si>
  <si>
    <t>ORD01934</t>
  </si>
  <si>
    <t>ORD01935</t>
  </si>
  <si>
    <t>ORD01936</t>
  </si>
  <si>
    <t>ORD01937</t>
  </si>
  <si>
    <t>ORD01938</t>
  </si>
  <si>
    <t>ORD01939</t>
  </si>
  <si>
    <t>ORD01940</t>
  </si>
  <si>
    <t>ORD01941</t>
  </si>
  <si>
    <t>ORD01942</t>
  </si>
  <si>
    <t>ORD01943</t>
  </si>
  <si>
    <t>ORD01944</t>
  </si>
  <si>
    <t>ORD01945</t>
  </si>
  <si>
    <t>ORD01946</t>
  </si>
  <si>
    <t>ORD01947</t>
  </si>
  <si>
    <t>ORD01948</t>
  </si>
  <si>
    <t>ORD01949</t>
  </si>
  <si>
    <t>ORD01950</t>
  </si>
  <si>
    <t>ORD01951</t>
  </si>
  <si>
    <t>ORD01952</t>
  </si>
  <si>
    <t>ORD01953</t>
  </si>
  <si>
    <t>ORD01954</t>
  </si>
  <si>
    <t>ORD01955</t>
  </si>
  <si>
    <t>ORD01956</t>
  </si>
  <si>
    <t>ORD01957</t>
  </si>
  <si>
    <t>ORD01958</t>
  </si>
  <si>
    <t>2023-04-15</t>
  </si>
  <si>
    <t>ORD01959</t>
  </si>
  <si>
    <t>ORD01960</t>
  </si>
  <si>
    <t>ORD01961</t>
  </si>
  <si>
    <t>ORD01962</t>
  </si>
  <si>
    <t>ORD01963</t>
  </si>
  <si>
    <t>ORD01964</t>
  </si>
  <si>
    <t>ORD01965</t>
  </si>
  <si>
    <t>ORD01966</t>
  </si>
  <si>
    <t>ORD01967</t>
  </si>
  <si>
    <t>ORD01968</t>
  </si>
  <si>
    <t>ORD01969</t>
  </si>
  <si>
    <t>ORD01970</t>
  </si>
  <si>
    <t>ORD01971</t>
  </si>
  <si>
    <t>ORD01972</t>
  </si>
  <si>
    <t>ORD01973</t>
  </si>
  <si>
    <t>ORD01974</t>
  </si>
  <si>
    <t>ORD01975</t>
  </si>
  <si>
    <t>ORD01976</t>
  </si>
  <si>
    <t>ORD01977</t>
  </si>
  <si>
    <t>ORD01978</t>
  </si>
  <si>
    <t>ORD01979</t>
  </si>
  <si>
    <t>ORD01980</t>
  </si>
  <si>
    <t>ORD01981</t>
  </si>
  <si>
    <t>2023-03-30</t>
  </si>
  <si>
    <t>ORD01982</t>
  </si>
  <si>
    <t>ORD01983</t>
  </si>
  <si>
    <t>2023-01-03</t>
  </si>
  <si>
    <t>ORD01984</t>
  </si>
  <si>
    <t>ORD01985</t>
  </si>
  <si>
    <t>ORD01986</t>
  </si>
  <si>
    <t>ORD01987</t>
  </si>
  <si>
    <t>ORD01988</t>
  </si>
  <si>
    <t>2023-01-23</t>
  </si>
  <si>
    <t>ORD01989</t>
  </si>
  <si>
    <t>ORD01990</t>
  </si>
  <si>
    <t>ORD01991</t>
  </si>
  <si>
    <t>ORD01992</t>
  </si>
  <si>
    <t>ORD01993</t>
  </si>
  <si>
    <t>ORD01994</t>
  </si>
  <si>
    <t>ORD01995</t>
  </si>
  <si>
    <t>ORD01996</t>
  </si>
  <si>
    <t>ORD01997</t>
  </si>
  <si>
    <t>ORD01998</t>
  </si>
  <si>
    <t>ORD01999</t>
  </si>
  <si>
    <t>ORD02000</t>
  </si>
  <si>
    <t>ORD02001</t>
  </si>
  <si>
    <t>ORD02002</t>
  </si>
  <si>
    <t>ORD02003</t>
  </si>
  <si>
    <t>ORD02004</t>
  </si>
  <si>
    <t>ORD02005</t>
  </si>
  <si>
    <t>ORD02006</t>
  </si>
  <si>
    <t>ORD02007</t>
  </si>
  <si>
    <t>ORD02008</t>
  </si>
  <si>
    <t>ORD02009</t>
  </si>
  <si>
    <t>ORD02010</t>
  </si>
  <si>
    <t>ORD02011</t>
  </si>
  <si>
    <t>ORD02012</t>
  </si>
  <si>
    <t>ORD02013</t>
  </si>
  <si>
    <t>ORD02014</t>
  </si>
  <si>
    <t>ORD02015</t>
  </si>
  <si>
    <t>ORD02016</t>
  </si>
  <si>
    <t>ORD02017</t>
  </si>
  <si>
    <t>ORD02018</t>
  </si>
  <si>
    <t>ORD02019</t>
  </si>
  <si>
    <t>ORD02020</t>
  </si>
  <si>
    <t>ORD02021</t>
  </si>
  <si>
    <t>ORD02022</t>
  </si>
  <si>
    <t>ORD02023</t>
  </si>
  <si>
    <t>ORD02024</t>
  </si>
  <si>
    <t>ORD02025</t>
  </si>
  <si>
    <t>ORD02026</t>
  </si>
  <si>
    <t>ORD02027</t>
  </si>
  <si>
    <t>ORD02028</t>
  </si>
  <si>
    <t>ORD02029</t>
  </si>
  <si>
    <t>ORD02030</t>
  </si>
  <si>
    <t>ORD02031</t>
  </si>
  <si>
    <t>2024-05-27</t>
  </si>
  <si>
    <t>ORD02032</t>
  </si>
  <si>
    <t>ORD02033</t>
  </si>
  <si>
    <t>ORD02034</t>
  </si>
  <si>
    <t>ORD02035</t>
  </si>
  <si>
    <t>ORD02036</t>
  </si>
  <si>
    <t>ORD02037</t>
  </si>
  <si>
    <t>ORD02038</t>
  </si>
  <si>
    <t>ORD02039</t>
  </si>
  <si>
    <t>ORD02040</t>
  </si>
  <si>
    <t>ORD02041</t>
  </si>
  <si>
    <t>ORD02042</t>
  </si>
  <si>
    <t>ORD02043</t>
  </si>
  <si>
    <t>ORD02044</t>
  </si>
  <si>
    <t>ORD02045</t>
  </si>
  <si>
    <t>ORD02046</t>
  </si>
  <si>
    <t>ORD02047</t>
  </si>
  <si>
    <t>ORD02048</t>
  </si>
  <si>
    <t>ORD02049</t>
  </si>
  <si>
    <t>2024-03-22</t>
  </si>
  <si>
    <t>ORD02050</t>
  </si>
  <si>
    <t>ORD02051</t>
  </si>
  <si>
    <t>ORD02052</t>
  </si>
  <si>
    <t>ORD02053</t>
  </si>
  <si>
    <t>ORD02054</t>
  </si>
  <si>
    <t>2023-12-10</t>
  </si>
  <si>
    <t>ORD02055</t>
  </si>
  <si>
    <t>ORD02056</t>
  </si>
  <si>
    <t>ORD02057</t>
  </si>
  <si>
    <t>ORD02058</t>
  </si>
  <si>
    <t>ORD02059</t>
  </si>
  <si>
    <t>ORD02060</t>
  </si>
  <si>
    <t>ORD02061</t>
  </si>
  <si>
    <t>ORD02062</t>
  </si>
  <si>
    <t>ORD02063</t>
  </si>
  <si>
    <t>ORD02064</t>
  </si>
  <si>
    <t>ORD02065</t>
  </si>
  <si>
    <t>ORD02066</t>
  </si>
  <si>
    <t>ORD02067</t>
  </si>
  <si>
    <t>ORD02068</t>
  </si>
  <si>
    <t>ORD02069</t>
  </si>
  <si>
    <t>ORD02070</t>
  </si>
  <si>
    <t>ORD02071</t>
  </si>
  <si>
    <t>ORD02072</t>
  </si>
  <si>
    <t>ORD02073</t>
  </si>
  <si>
    <t>ORD02074</t>
  </si>
  <si>
    <t>ORD02075</t>
  </si>
  <si>
    <t>ORD02076</t>
  </si>
  <si>
    <t>ORD02077</t>
  </si>
  <si>
    <t>ORD02078</t>
  </si>
  <si>
    <t>ORD02079</t>
  </si>
  <si>
    <t>ORD02080</t>
  </si>
  <si>
    <t>ORD02081</t>
  </si>
  <si>
    <t>ORD02082</t>
  </si>
  <si>
    <t>2023-12-31</t>
  </si>
  <si>
    <t>ORD02083</t>
  </si>
  <si>
    <t>ORD02084</t>
  </si>
  <si>
    <t>ORD02085</t>
  </si>
  <si>
    <t>ORD02086</t>
  </si>
  <si>
    <t>ORD02087</t>
  </si>
  <si>
    <t>ORD02088</t>
  </si>
  <si>
    <t>ORD02089</t>
  </si>
  <si>
    <t>ORD02090</t>
  </si>
  <si>
    <t>ORD02091</t>
  </si>
  <si>
    <t>ORD02092</t>
  </si>
  <si>
    <t>ORD02093</t>
  </si>
  <si>
    <t>ORD02094</t>
  </si>
  <si>
    <t>ORD02095</t>
  </si>
  <si>
    <t>2023-12-23</t>
  </si>
  <si>
    <t>ORD02096</t>
  </si>
  <si>
    <t>ORD02097</t>
  </si>
  <si>
    <t>ORD02098</t>
  </si>
  <si>
    <t>ORD02099</t>
  </si>
  <si>
    <t>ORD02100</t>
  </si>
  <si>
    <t>ORD02101</t>
  </si>
  <si>
    <t>ORD02102</t>
  </si>
  <si>
    <t>ORD02103</t>
  </si>
  <si>
    <t>ORD02104</t>
  </si>
  <si>
    <t>ORD02105</t>
  </si>
  <si>
    <t>ORD02106</t>
  </si>
  <si>
    <t>ORD02107</t>
  </si>
  <si>
    <t>ORD02108</t>
  </si>
  <si>
    <t>ORD02109</t>
  </si>
  <si>
    <t>ORD02110</t>
  </si>
  <si>
    <t>ORD02111</t>
  </si>
  <si>
    <t>ORD02112</t>
  </si>
  <si>
    <t>ORD02113</t>
  </si>
  <si>
    <t>ORD02114</t>
  </si>
  <si>
    <t>ORD02115</t>
  </si>
  <si>
    <t>ORD02116</t>
  </si>
  <si>
    <t>ORD02117</t>
  </si>
  <si>
    <t>ORD02118</t>
  </si>
  <si>
    <t>ORD02119</t>
  </si>
  <si>
    <t>ORD02120</t>
  </si>
  <si>
    <t>2023-08-24</t>
  </si>
  <si>
    <t>ORD02121</t>
  </si>
  <si>
    <t>ORD02122</t>
  </si>
  <si>
    <t>ORD02123</t>
  </si>
  <si>
    <t>ORD02124</t>
  </si>
  <si>
    <t>ORD02125</t>
  </si>
  <si>
    <t>ORD02126</t>
  </si>
  <si>
    <t>ORD02127</t>
  </si>
  <si>
    <t>ORD02128</t>
  </si>
  <si>
    <t>ORD02129</t>
  </si>
  <si>
    <t>ORD02130</t>
  </si>
  <si>
    <t>ORD02131</t>
  </si>
  <si>
    <t>ORD02132</t>
  </si>
  <si>
    <t>ORD02133</t>
  </si>
  <si>
    <t>ORD02134</t>
  </si>
  <si>
    <t>ORD02135</t>
  </si>
  <si>
    <t>ORD02136</t>
  </si>
  <si>
    <t>ORD02137</t>
  </si>
  <si>
    <t>2024-09-18</t>
  </si>
  <si>
    <t>ORD02138</t>
  </si>
  <si>
    <t>ORD02139</t>
  </si>
  <si>
    <t>2023-11-02</t>
  </si>
  <si>
    <t>ORD02140</t>
  </si>
  <si>
    <t>ORD02141</t>
  </si>
  <si>
    <t>ORD02142</t>
  </si>
  <si>
    <t>2024-03-27</t>
  </si>
  <si>
    <t>ORD02143</t>
  </si>
  <si>
    <t>ORD02144</t>
  </si>
  <si>
    <t>ORD02145</t>
  </si>
  <si>
    <t>ORD02146</t>
  </si>
  <si>
    <t>ORD02147</t>
  </si>
  <si>
    <t>ORD02148</t>
  </si>
  <si>
    <t>ORD02149</t>
  </si>
  <si>
    <t>ORD02150</t>
  </si>
  <si>
    <t>ORD02151</t>
  </si>
  <si>
    <t>ORD02152</t>
  </si>
  <si>
    <t>ORD02153</t>
  </si>
  <si>
    <t>ORD02154</t>
  </si>
  <si>
    <t>ORD02155</t>
  </si>
  <si>
    <t>ORD02156</t>
  </si>
  <si>
    <t>ORD02157</t>
  </si>
  <si>
    <t>ORD02158</t>
  </si>
  <si>
    <t>ORD02159</t>
  </si>
  <si>
    <t>ORD02160</t>
  </si>
  <si>
    <t>ORD02161</t>
  </si>
  <si>
    <t>ORD02162</t>
  </si>
  <si>
    <t>ORD02163</t>
  </si>
  <si>
    <t>ORD02164</t>
  </si>
  <si>
    <t>ORD02165</t>
  </si>
  <si>
    <t>ORD02166</t>
  </si>
  <si>
    <t>ORD02167</t>
  </si>
  <si>
    <t>ORD02168</t>
  </si>
  <si>
    <t>ORD02169</t>
  </si>
  <si>
    <t>ORD02170</t>
  </si>
  <si>
    <t>ORD02171</t>
  </si>
  <si>
    <t>ORD02172</t>
  </si>
  <si>
    <t>ORD02173</t>
  </si>
  <si>
    <t>ORD02174</t>
  </si>
  <si>
    <t>ORD02175</t>
  </si>
  <si>
    <t>ORD02176</t>
  </si>
  <si>
    <t>ORD02177</t>
  </si>
  <si>
    <t>ORD02178</t>
  </si>
  <si>
    <t>ORD02179</t>
  </si>
  <si>
    <t>2023-06-21</t>
  </si>
  <si>
    <t>ORD02180</t>
  </si>
  <si>
    <t>ORD02181</t>
  </si>
  <si>
    <t>ORD02182</t>
  </si>
  <si>
    <t>ORD02183</t>
  </si>
  <si>
    <t>ORD02184</t>
  </si>
  <si>
    <t>ORD02185</t>
  </si>
  <si>
    <t>ORD02186</t>
  </si>
  <si>
    <t>ORD02187</t>
  </si>
  <si>
    <t>ORD02188</t>
  </si>
  <si>
    <t>ORD02189</t>
  </si>
  <si>
    <t>ORD02190</t>
  </si>
  <si>
    <t>ORD02191</t>
  </si>
  <si>
    <t>ORD02192</t>
  </si>
  <si>
    <t>ORD02193</t>
  </si>
  <si>
    <t>ORD02194</t>
  </si>
  <si>
    <t>ORD02195</t>
  </si>
  <si>
    <t>ORD02196</t>
  </si>
  <si>
    <t>ORD02197</t>
  </si>
  <si>
    <t>ORD02198</t>
  </si>
  <si>
    <t>ORD02199</t>
  </si>
  <si>
    <t>ORD02200</t>
  </si>
  <si>
    <t>ORD02201</t>
  </si>
  <si>
    <t>ORD02202</t>
  </si>
  <si>
    <t>ORD02203</t>
  </si>
  <si>
    <t>ORD02204</t>
  </si>
  <si>
    <t>ORD02205</t>
  </si>
  <si>
    <t>ORD02206</t>
  </si>
  <si>
    <t>ORD02207</t>
  </si>
  <si>
    <t>ORD02208</t>
  </si>
  <si>
    <t>ORD02209</t>
  </si>
  <si>
    <t>ORD02210</t>
  </si>
  <si>
    <t>ORD02211</t>
  </si>
  <si>
    <t>ORD02212</t>
  </si>
  <si>
    <t>ORD02213</t>
  </si>
  <si>
    <t>ORD02214</t>
  </si>
  <si>
    <t>ORD02215</t>
  </si>
  <si>
    <t>ORD02216</t>
  </si>
  <si>
    <t>ORD02217</t>
  </si>
  <si>
    <t>ORD02218</t>
  </si>
  <si>
    <t>ORD02219</t>
  </si>
  <si>
    <t>ORD02220</t>
  </si>
  <si>
    <t>ORD02221</t>
  </si>
  <si>
    <t>ORD02222</t>
  </si>
  <si>
    <t>ORD02223</t>
  </si>
  <si>
    <t>ORD02224</t>
  </si>
  <si>
    <t>ORD02225</t>
  </si>
  <si>
    <t>2024-03-03</t>
  </si>
  <si>
    <t>ORD02226</t>
  </si>
  <si>
    <t>ORD02227</t>
  </si>
  <si>
    <t>ORD02228</t>
  </si>
  <si>
    <t>ORD02229</t>
  </si>
  <si>
    <t>ORD02230</t>
  </si>
  <si>
    <t>ORD02231</t>
  </si>
  <si>
    <t>ORD02232</t>
  </si>
  <si>
    <t>ORD02233</t>
  </si>
  <si>
    <t>ORD02234</t>
  </si>
  <si>
    <t>ORD02235</t>
  </si>
  <si>
    <t>ORD02236</t>
  </si>
  <si>
    <t>ORD02237</t>
  </si>
  <si>
    <t>ORD02238</t>
  </si>
  <si>
    <t>ORD02239</t>
  </si>
  <si>
    <t>2024-01-30</t>
  </si>
  <si>
    <t>ORD02240</t>
  </si>
  <si>
    <t>ORD02241</t>
  </si>
  <si>
    <t>ORD02242</t>
  </si>
  <si>
    <t>ORD02243</t>
  </si>
  <si>
    <t>ORD02244</t>
  </si>
  <si>
    <t>ORD02245</t>
  </si>
  <si>
    <t>ORD02246</t>
  </si>
  <si>
    <t>ORD02247</t>
  </si>
  <si>
    <t>ORD02248</t>
  </si>
  <si>
    <t>ORD02249</t>
  </si>
  <si>
    <t>ORD02250</t>
  </si>
  <si>
    <t>ORD02251</t>
  </si>
  <si>
    <t>ORD02252</t>
  </si>
  <si>
    <t>ORD02253</t>
  </si>
  <si>
    <t>ORD02254</t>
  </si>
  <si>
    <t>ORD02255</t>
  </si>
  <si>
    <t>ORD02256</t>
  </si>
  <si>
    <t>ORD02257</t>
  </si>
  <si>
    <t>ORD02258</t>
  </si>
  <si>
    <t>ORD02259</t>
  </si>
  <si>
    <t>ORD02260</t>
  </si>
  <si>
    <t>ORD02261</t>
  </si>
  <si>
    <t>ORD02262</t>
  </si>
  <si>
    <t>ORD02263</t>
  </si>
  <si>
    <t>2023-07-05</t>
  </si>
  <si>
    <t>ORD02264</t>
  </si>
  <si>
    <t>ORD02265</t>
  </si>
  <si>
    <t>ORD02266</t>
  </si>
  <si>
    <t>ORD02267</t>
  </si>
  <si>
    <t>ORD02268</t>
  </si>
  <si>
    <t>ORD02269</t>
  </si>
  <si>
    <t>ORD02270</t>
  </si>
  <si>
    <t>ORD02271</t>
  </si>
  <si>
    <t>ORD02272</t>
  </si>
  <si>
    <t>ORD02273</t>
  </si>
  <si>
    <t>ORD02274</t>
  </si>
  <si>
    <t>ORD02275</t>
  </si>
  <si>
    <t>ORD02276</t>
  </si>
  <si>
    <t>2024-10-06</t>
  </si>
  <si>
    <t>ORD02277</t>
  </si>
  <si>
    <t>ORD02278</t>
  </si>
  <si>
    <t>ORD02279</t>
  </si>
  <si>
    <t>ORD02280</t>
  </si>
  <si>
    <t>2023-03-06</t>
  </si>
  <si>
    <t>ORD02281</t>
  </si>
  <si>
    <t>ORD02282</t>
  </si>
  <si>
    <t>ORD02283</t>
  </si>
  <si>
    <t>ORD02284</t>
  </si>
  <si>
    <t>ORD02285</t>
  </si>
  <si>
    <t>ORD02286</t>
  </si>
  <si>
    <t>ORD02287</t>
  </si>
  <si>
    <t>ORD02288</t>
  </si>
  <si>
    <t>ORD02289</t>
  </si>
  <si>
    <t>ORD02290</t>
  </si>
  <si>
    <t>ORD02291</t>
  </si>
  <si>
    <t>ORD02292</t>
  </si>
  <si>
    <t>ORD02293</t>
  </si>
  <si>
    <t>2024-08-16</t>
  </si>
  <si>
    <t>ORD02294</t>
  </si>
  <si>
    <t>ORD02295</t>
  </si>
  <si>
    <t>ORD02296</t>
  </si>
  <si>
    <t>ORD02297</t>
  </si>
  <si>
    <t>ORD02298</t>
  </si>
  <si>
    <t>ORD02299</t>
  </si>
  <si>
    <t>2024-10-21</t>
  </si>
  <si>
    <t>ORD02300</t>
  </si>
  <si>
    <t>ORD02301</t>
  </si>
  <si>
    <t>ORD02302</t>
  </si>
  <si>
    <t>ORD02303</t>
  </si>
  <si>
    <t>ORD02304</t>
  </si>
  <si>
    <t>ORD02305</t>
  </si>
  <si>
    <t>ORD02306</t>
  </si>
  <si>
    <t>ORD02307</t>
  </si>
  <si>
    <t>ORD02308</t>
  </si>
  <si>
    <t>ORD02309</t>
  </si>
  <si>
    <t>ORD02310</t>
  </si>
  <si>
    <t>ORD02311</t>
  </si>
  <si>
    <t>ORD02312</t>
  </si>
  <si>
    <t>ORD02313</t>
  </si>
  <si>
    <t>ORD02314</t>
  </si>
  <si>
    <t>ORD02315</t>
  </si>
  <si>
    <t>ORD02316</t>
  </si>
  <si>
    <t>ORD02317</t>
  </si>
  <si>
    <t>ORD02318</t>
  </si>
  <si>
    <t>ORD02319</t>
  </si>
  <si>
    <t>ORD02320</t>
  </si>
  <si>
    <t>ORD02321</t>
  </si>
  <si>
    <t>ORD02322</t>
  </si>
  <si>
    <t>ORD02323</t>
  </si>
  <si>
    <t>ORD02324</t>
  </si>
  <si>
    <t>ORD02325</t>
  </si>
  <si>
    <t>ORD02326</t>
  </si>
  <si>
    <t>ORD02327</t>
  </si>
  <si>
    <t>ORD02328</t>
  </si>
  <si>
    <t>ORD02329</t>
  </si>
  <si>
    <t>ORD02330</t>
  </si>
  <si>
    <t>ORD02331</t>
  </si>
  <si>
    <t>ORD02332</t>
  </si>
  <si>
    <t>ORD02333</t>
  </si>
  <si>
    <t>ORD02334</t>
  </si>
  <si>
    <t>ORD02335</t>
  </si>
  <si>
    <t>ORD02336</t>
  </si>
  <si>
    <t>ORD02337</t>
  </si>
  <si>
    <t>2024-04-12</t>
  </si>
  <si>
    <t>ORD02338</t>
  </si>
  <si>
    <t>ORD02339</t>
  </si>
  <si>
    <t>ORD02340</t>
  </si>
  <si>
    <t>ORD02341</t>
  </si>
  <si>
    <t>ORD02342</t>
  </si>
  <si>
    <t>ORD02343</t>
  </si>
  <si>
    <t>ORD02344</t>
  </si>
  <si>
    <t>ORD02345</t>
  </si>
  <si>
    <t>ORD02346</t>
  </si>
  <si>
    <t>ORD02347</t>
  </si>
  <si>
    <t>ORD02348</t>
  </si>
  <si>
    <t>ORD02349</t>
  </si>
  <si>
    <t>ORD02350</t>
  </si>
  <si>
    <t>ORD02351</t>
  </si>
  <si>
    <t>ORD02352</t>
  </si>
  <si>
    <t>ORD02353</t>
  </si>
  <si>
    <t>ORD02354</t>
  </si>
  <si>
    <t>ORD02355</t>
  </si>
  <si>
    <t>ORD02356</t>
  </si>
  <si>
    <t>ORD02357</t>
  </si>
  <si>
    <t>ORD02358</t>
  </si>
  <si>
    <t>ORD02359</t>
  </si>
  <si>
    <t>ORD02360</t>
  </si>
  <si>
    <t>ORD02361</t>
  </si>
  <si>
    <t>ORD02362</t>
  </si>
  <si>
    <t>ORD02363</t>
  </si>
  <si>
    <t>ORD02364</t>
  </si>
  <si>
    <t>ORD02365</t>
  </si>
  <si>
    <t>ORD02366</t>
  </si>
  <si>
    <t>ORD02367</t>
  </si>
  <si>
    <t>ORD02368</t>
  </si>
  <si>
    <t>ORD02369</t>
  </si>
  <si>
    <t>ORD02370</t>
  </si>
  <si>
    <t>ORD02371</t>
  </si>
  <si>
    <t>ORD02372</t>
  </si>
  <si>
    <t>ORD02373</t>
  </si>
  <si>
    <t>ORD02374</t>
  </si>
  <si>
    <t>ORD02375</t>
  </si>
  <si>
    <t>ORD02376</t>
  </si>
  <si>
    <t>ORD02377</t>
  </si>
  <si>
    <t>ORD02378</t>
  </si>
  <si>
    <t>ORD02379</t>
  </si>
  <si>
    <t>ORD02380</t>
  </si>
  <si>
    <t>ORD02381</t>
  </si>
  <si>
    <t>ORD02382</t>
  </si>
  <si>
    <t>ORD02383</t>
  </si>
  <si>
    <t>ORD02384</t>
  </si>
  <si>
    <t>ORD02385</t>
  </si>
  <si>
    <t>ORD02386</t>
  </si>
  <si>
    <t>ORD02387</t>
  </si>
  <si>
    <t>ORD02388</t>
  </si>
  <si>
    <t>ORD02389</t>
  </si>
  <si>
    <t>ORD02390</t>
  </si>
  <si>
    <t>ORD02391</t>
  </si>
  <si>
    <t>ORD02392</t>
  </si>
  <si>
    <t>ORD02393</t>
  </si>
  <si>
    <t>ORD02394</t>
  </si>
  <si>
    <t>ORD02395</t>
  </si>
  <si>
    <t>ORD02396</t>
  </si>
  <si>
    <t>ORD02397</t>
  </si>
  <si>
    <t>ORD02398</t>
  </si>
  <si>
    <t>ORD02399</t>
  </si>
  <si>
    <t>ORD02400</t>
  </si>
  <si>
    <t>ORD02401</t>
  </si>
  <si>
    <t>ORD02402</t>
  </si>
  <si>
    <t>ORD02403</t>
  </si>
  <si>
    <t>ORD02404</t>
  </si>
  <si>
    <t>ORD02405</t>
  </si>
  <si>
    <t>ORD02406</t>
  </si>
  <si>
    <t>ORD02407</t>
  </si>
  <si>
    <t>ORD02408</t>
  </si>
  <si>
    <t>ORD02409</t>
  </si>
  <si>
    <t>ORD02410</t>
  </si>
  <si>
    <t>ORD02411</t>
  </si>
  <si>
    <t>ORD02412</t>
  </si>
  <si>
    <t>ORD02413</t>
  </si>
  <si>
    <t>ORD02414</t>
  </si>
  <si>
    <t>ORD02415</t>
  </si>
  <si>
    <t>ORD02416</t>
  </si>
  <si>
    <t>ORD02417</t>
  </si>
  <si>
    <t>ORD02418</t>
  </si>
  <si>
    <t>ORD02419</t>
  </si>
  <si>
    <t>ORD02420</t>
  </si>
  <si>
    <t>ORD02421</t>
  </si>
  <si>
    <t>ORD02422</t>
  </si>
  <si>
    <t>ORD02423</t>
  </si>
  <si>
    <t>ORD02424</t>
  </si>
  <si>
    <t>ORD02425</t>
  </si>
  <si>
    <t>ORD02426</t>
  </si>
  <si>
    <t>ORD02427</t>
  </si>
  <si>
    <t>ORD02428</t>
  </si>
  <si>
    <t>ORD02429</t>
  </si>
  <si>
    <t>ORD02430</t>
  </si>
  <si>
    <t>ORD02431</t>
  </si>
  <si>
    <t>ORD02432</t>
  </si>
  <si>
    <t>ORD02433</t>
  </si>
  <si>
    <t>ORD02434</t>
  </si>
  <si>
    <t>ORD02435</t>
  </si>
  <si>
    <t>ORD02436</t>
  </si>
  <si>
    <t>ORD02437</t>
  </si>
  <si>
    <t>ORD02438</t>
  </si>
  <si>
    <t>ORD02439</t>
  </si>
  <si>
    <t>ORD02440</t>
  </si>
  <si>
    <t>ORD02441</t>
  </si>
  <si>
    <t>ORD02442</t>
  </si>
  <si>
    <t>ORD02443</t>
  </si>
  <si>
    <t>ORD02444</t>
  </si>
  <si>
    <t>ORD02445</t>
  </si>
  <si>
    <t>ORD02446</t>
  </si>
  <si>
    <t>ORD02447</t>
  </si>
  <si>
    <t>ORD02448</t>
  </si>
  <si>
    <t>ORD02449</t>
  </si>
  <si>
    <t>ORD02450</t>
  </si>
  <si>
    <t>ORD02451</t>
  </si>
  <si>
    <t>ORD02452</t>
  </si>
  <si>
    <t>ORD02453</t>
  </si>
  <si>
    <t>ORD02454</t>
  </si>
  <si>
    <t>ORD02455</t>
  </si>
  <si>
    <t>ORD02456</t>
  </si>
  <si>
    <t>ORD02457</t>
  </si>
  <si>
    <t>ORD02458</t>
  </si>
  <si>
    <t>ORD02459</t>
  </si>
  <si>
    <t>ORD02460</t>
  </si>
  <si>
    <t>ORD02461</t>
  </si>
  <si>
    <t>ORD02462</t>
  </si>
  <si>
    <t>ORD02463</t>
  </si>
  <si>
    <t>ORD02464</t>
  </si>
  <si>
    <t>ORD02465</t>
  </si>
  <si>
    <t>ORD02466</t>
  </si>
  <si>
    <t>ORD02467</t>
  </si>
  <si>
    <t>ORD02468</t>
  </si>
  <si>
    <t>ORD02469</t>
  </si>
  <si>
    <t>ORD02470</t>
  </si>
  <si>
    <t>ORD02471</t>
  </si>
  <si>
    <t>ORD02472</t>
  </si>
  <si>
    <t>ORD02473</t>
  </si>
  <si>
    <t>ORD02474</t>
  </si>
  <si>
    <t>ORD02475</t>
  </si>
  <si>
    <t>ORD02476</t>
  </si>
  <si>
    <t>ORD02477</t>
  </si>
  <si>
    <t>ORD02478</t>
  </si>
  <si>
    <t>ORD02479</t>
  </si>
  <si>
    <t>ORD02480</t>
  </si>
  <si>
    <t>2023-05-19</t>
  </si>
  <si>
    <t>ORD02481</t>
  </si>
  <si>
    <t>ORD02482</t>
  </si>
  <si>
    <t>ORD02483</t>
  </si>
  <si>
    <t>ORD02484</t>
  </si>
  <si>
    <t>ORD02485</t>
  </si>
  <si>
    <t>ORD02486</t>
  </si>
  <si>
    <t>ORD02487</t>
  </si>
  <si>
    <t>ORD02488</t>
  </si>
  <si>
    <t>ORD02489</t>
  </si>
  <si>
    <t>ORD02490</t>
  </si>
  <si>
    <t>ORD02491</t>
  </si>
  <si>
    <t>ORD02492</t>
  </si>
  <si>
    <t>ORD02493</t>
  </si>
  <si>
    <t>ORD02494</t>
  </si>
  <si>
    <t>ORD02495</t>
  </si>
  <si>
    <t>ORD02496</t>
  </si>
  <si>
    <t>ORD02497</t>
  </si>
  <si>
    <t>ORD02498</t>
  </si>
  <si>
    <t>ORD02499</t>
  </si>
  <si>
    <t>ORD02500</t>
  </si>
  <si>
    <t>ORD02501</t>
  </si>
  <si>
    <t>ORD02502</t>
  </si>
  <si>
    <t>ORD02503</t>
  </si>
  <si>
    <t>ORD02504</t>
  </si>
  <si>
    <t>ORD02505</t>
  </si>
  <si>
    <t>ORD02506</t>
  </si>
  <si>
    <t>ORD02507</t>
  </si>
  <si>
    <t>ORD02508</t>
  </si>
  <si>
    <t>ORD02509</t>
  </si>
  <si>
    <t>ORD02510</t>
  </si>
  <si>
    <t>ORD02511</t>
  </si>
  <si>
    <t>ORD02512</t>
  </si>
  <si>
    <t>ORD02513</t>
  </si>
  <si>
    <t>ORD02514</t>
  </si>
  <si>
    <t>ORD02515</t>
  </si>
  <si>
    <t>ORD02516</t>
  </si>
  <si>
    <t>ORD02517</t>
  </si>
  <si>
    <t>ORD02518</t>
  </si>
  <si>
    <t>ORD02519</t>
  </si>
  <si>
    <t>ORD02520</t>
  </si>
  <si>
    <t>ORD02521</t>
  </si>
  <si>
    <t>ORD02522</t>
  </si>
  <si>
    <t>ORD02523</t>
  </si>
  <si>
    <t>ORD02524</t>
  </si>
  <si>
    <t>ORD02525</t>
  </si>
  <si>
    <t>ORD02526</t>
  </si>
  <si>
    <t>ORD02527</t>
  </si>
  <si>
    <t>ORD02528</t>
  </si>
  <si>
    <t>ORD02529</t>
  </si>
  <si>
    <t>ORD02530</t>
  </si>
  <si>
    <t>ORD02531</t>
  </si>
  <si>
    <t>ORD02532</t>
  </si>
  <si>
    <t>ORD02533</t>
  </si>
  <si>
    <t>ORD02534</t>
  </si>
  <si>
    <t>ORD02535</t>
  </si>
  <si>
    <t>ORD02536</t>
  </si>
  <si>
    <t>ORD02537</t>
  </si>
  <si>
    <t>ORD02538</t>
  </si>
  <si>
    <t>ORD02539</t>
  </si>
  <si>
    <t>ORD02540</t>
  </si>
  <si>
    <t>ORD02541</t>
  </si>
  <si>
    <t>ORD02542</t>
  </si>
  <si>
    <t>ORD02543</t>
  </si>
  <si>
    <t>ORD02544</t>
  </si>
  <si>
    <t>ORD02545</t>
  </si>
  <si>
    <t>ORD02546</t>
  </si>
  <si>
    <t>ORD02547</t>
  </si>
  <si>
    <t>ORD02548</t>
  </si>
  <si>
    <t>ORD02549</t>
  </si>
  <si>
    <t>ORD02550</t>
  </si>
  <si>
    <t>ORD02551</t>
  </si>
  <si>
    <t>ORD02552</t>
  </si>
  <si>
    <t>ORD02553</t>
  </si>
  <si>
    <t>ORD02554</t>
  </si>
  <si>
    <t>ORD02555</t>
  </si>
  <si>
    <t>ORD02556</t>
  </si>
  <si>
    <t>ORD02557</t>
  </si>
  <si>
    <t>ORD02558</t>
  </si>
  <si>
    <t>ORD02559</t>
  </si>
  <si>
    <t>ORD02560</t>
  </si>
  <si>
    <t>2023-04-27</t>
  </si>
  <si>
    <t>ORD02561</t>
  </si>
  <si>
    <t>ORD02562</t>
  </si>
  <si>
    <t>ORD02563</t>
  </si>
  <si>
    <t>ORD02564</t>
  </si>
  <si>
    <t>ORD02565</t>
  </si>
  <si>
    <t>ORD02566</t>
  </si>
  <si>
    <t>ORD02567</t>
  </si>
  <si>
    <t>ORD02568</t>
  </si>
  <si>
    <t>2023-09-20</t>
  </si>
  <si>
    <t>ORD02569</t>
  </si>
  <si>
    <t>ORD02570</t>
  </si>
  <si>
    <t>ORD02571</t>
  </si>
  <si>
    <t>ORD02572</t>
  </si>
  <si>
    <t>ORD02573</t>
  </si>
  <si>
    <t>ORD02574</t>
  </si>
  <si>
    <t>ORD02575</t>
  </si>
  <si>
    <t>ORD02576</t>
  </si>
  <si>
    <t>ORD02577</t>
  </si>
  <si>
    <t>ORD02578</t>
  </si>
  <si>
    <t>ORD02579</t>
  </si>
  <si>
    <t>ORD02580</t>
  </si>
  <si>
    <t>ORD02581</t>
  </si>
  <si>
    <t>ORD02582</t>
  </si>
  <si>
    <t>ORD02583</t>
  </si>
  <si>
    <t>ORD02584</t>
  </si>
  <si>
    <t>ORD02585</t>
  </si>
  <si>
    <t>ORD02586</t>
  </si>
  <si>
    <t>ORD02587</t>
  </si>
  <si>
    <t>ORD02588</t>
  </si>
  <si>
    <t>ORD02589</t>
  </si>
  <si>
    <t>ORD02590</t>
  </si>
  <si>
    <t>ORD02591</t>
  </si>
  <si>
    <t>ORD02592</t>
  </si>
  <si>
    <t>ORD02593</t>
  </si>
  <si>
    <t>ORD02594</t>
  </si>
  <si>
    <t>ORD02595</t>
  </si>
  <si>
    <t>ORD02596</t>
  </si>
  <si>
    <t>ORD02597</t>
  </si>
  <si>
    <t>ORD02598</t>
  </si>
  <si>
    <t>ORD02599</t>
  </si>
  <si>
    <t>ORD02600</t>
  </si>
  <si>
    <t>ORD02601</t>
  </si>
  <si>
    <t>ORD02602</t>
  </si>
  <si>
    <t>ORD02603</t>
  </si>
  <si>
    <t>ORD02604</t>
  </si>
  <si>
    <t>2023-12-19</t>
  </si>
  <si>
    <t>ORD02605</t>
  </si>
  <si>
    <t>ORD02606</t>
  </si>
  <si>
    <t>ORD02607</t>
  </si>
  <si>
    <t>ORD02608</t>
  </si>
  <si>
    <t>2023-02-27</t>
  </si>
  <si>
    <t>ORD02609</t>
  </si>
  <si>
    <t>ORD02610</t>
  </si>
  <si>
    <t>ORD02611</t>
  </si>
  <si>
    <t>ORD02612</t>
  </si>
  <si>
    <t>ORD02613</t>
  </si>
  <si>
    <t>ORD02614</t>
  </si>
  <si>
    <t>ORD02615</t>
  </si>
  <si>
    <t>ORD02616</t>
  </si>
  <si>
    <t>ORD02617</t>
  </si>
  <si>
    <t>ORD02618</t>
  </si>
  <si>
    <t>ORD02619</t>
  </si>
  <si>
    <t>ORD02620</t>
  </si>
  <si>
    <t>ORD02621</t>
  </si>
  <si>
    <t>ORD02622</t>
  </si>
  <si>
    <t>ORD02623</t>
  </si>
  <si>
    <t>ORD02624</t>
  </si>
  <si>
    <t>ORD02625</t>
  </si>
  <si>
    <t>ORD02626</t>
  </si>
  <si>
    <t>ORD02627</t>
  </si>
  <si>
    <t>ORD02628</t>
  </si>
  <si>
    <t>ORD02629</t>
  </si>
  <si>
    <t>ORD02630</t>
  </si>
  <si>
    <t>ORD02631</t>
  </si>
  <si>
    <t>ORD02632</t>
  </si>
  <si>
    <t>ORD02633</t>
  </si>
  <si>
    <t>ORD02634</t>
  </si>
  <si>
    <t>ORD02635</t>
  </si>
  <si>
    <t>ORD02636</t>
  </si>
  <si>
    <t>ORD02637</t>
  </si>
  <si>
    <t>ORD02638</t>
  </si>
  <si>
    <t>ORD02639</t>
  </si>
  <si>
    <t>ORD02640</t>
  </si>
  <si>
    <t>ORD02641</t>
  </si>
  <si>
    <t>ORD02642</t>
  </si>
  <si>
    <t>ORD02643</t>
  </si>
  <si>
    <t>ORD02644</t>
  </si>
  <si>
    <t>ORD02645</t>
  </si>
  <si>
    <t>ORD02646</t>
  </si>
  <si>
    <t>ORD02647</t>
  </si>
  <si>
    <t>ORD02648</t>
  </si>
  <si>
    <t>ORD02649</t>
  </si>
  <si>
    <t>ORD02650</t>
  </si>
  <si>
    <t>ORD02651</t>
  </si>
  <si>
    <t>ORD02652</t>
  </si>
  <si>
    <t>ORD02653</t>
  </si>
  <si>
    <t>ORD02654</t>
  </si>
  <si>
    <t>ORD02655</t>
  </si>
  <si>
    <t>ORD02656</t>
  </si>
  <si>
    <t>ORD02657</t>
  </si>
  <si>
    <t>ORD02658</t>
  </si>
  <si>
    <t>ORD02659</t>
  </si>
  <si>
    <t>2024-07-02</t>
  </si>
  <si>
    <t>ORD02660</t>
  </si>
  <si>
    <t>ORD02661</t>
  </si>
  <si>
    <t>ORD02662</t>
  </si>
  <si>
    <t>ORD02663</t>
  </si>
  <si>
    <t>ORD02664</t>
  </si>
  <si>
    <t>ORD02665</t>
  </si>
  <si>
    <t>ORD02666</t>
  </si>
  <si>
    <t>ORD02667</t>
  </si>
  <si>
    <t>ORD02668</t>
  </si>
  <si>
    <t>ORD02669</t>
  </si>
  <si>
    <t>ORD02670</t>
  </si>
  <si>
    <t>ORD02671</t>
  </si>
  <si>
    <t>ORD02672</t>
  </si>
  <si>
    <t>ORD02673</t>
  </si>
  <si>
    <t>ORD02674</t>
  </si>
  <si>
    <t>ORD02675</t>
  </si>
  <si>
    <t>ORD02676</t>
  </si>
  <si>
    <t>ORD02677</t>
  </si>
  <si>
    <t>ORD02678</t>
  </si>
  <si>
    <t>ORD02679</t>
  </si>
  <si>
    <t>ORD02680</t>
  </si>
  <si>
    <t>ORD02681</t>
  </si>
  <si>
    <t>ORD02682</t>
  </si>
  <si>
    <t>ORD02683</t>
  </si>
  <si>
    <t>ORD02684</t>
  </si>
  <si>
    <t>ORD02685</t>
  </si>
  <si>
    <t>ORD02686</t>
  </si>
  <si>
    <t>ORD02687</t>
  </si>
  <si>
    <t>ORD02688</t>
  </si>
  <si>
    <t>ORD02689</t>
  </si>
  <si>
    <t>ORD02690</t>
  </si>
  <si>
    <t>2024-10-16</t>
  </si>
  <si>
    <t>ORD02691</t>
  </si>
  <si>
    <t>ORD02692</t>
  </si>
  <si>
    <t>ORD02693</t>
  </si>
  <si>
    <t>ORD02694</t>
  </si>
  <si>
    <t>ORD02695</t>
  </si>
  <si>
    <t>ORD02696</t>
  </si>
  <si>
    <t>ORD02697</t>
  </si>
  <si>
    <t>ORD02698</t>
  </si>
  <si>
    <t>ORD02699</t>
  </si>
  <si>
    <t>ORD02700</t>
  </si>
  <si>
    <t>ORD02701</t>
  </si>
  <si>
    <t>ORD02702</t>
  </si>
  <si>
    <t>ORD02703</t>
  </si>
  <si>
    <t>ORD02704</t>
  </si>
  <si>
    <t>ORD02705</t>
  </si>
  <si>
    <t>ORD02706</t>
  </si>
  <si>
    <t>ORD02707</t>
  </si>
  <si>
    <t>ORD02708</t>
  </si>
  <si>
    <t>ORD02709</t>
  </si>
  <si>
    <t>ORD02710</t>
  </si>
  <si>
    <t>ORD02711</t>
  </si>
  <si>
    <t>ORD02712</t>
  </si>
  <si>
    <t>ORD02713</t>
  </si>
  <si>
    <t>ORD02714</t>
  </si>
  <si>
    <t>ORD02715</t>
  </si>
  <si>
    <t>ORD02716</t>
  </si>
  <si>
    <t>ORD02717</t>
  </si>
  <si>
    <t>ORD02718</t>
  </si>
  <si>
    <t>ORD02719</t>
  </si>
  <si>
    <t>ORD02720</t>
  </si>
  <si>
    <t>ORD02721</t>
  </si>
  <si>
    <t>ORD02722</t>
  </si>
  <si>
    <t>2024-09-24</t>
  </si>
  <si>
    <t>ORD02723</t>
  </si>
  <si>
    <t>ORD02724</t>
  </si>
  <si>
    <t>ORD02725</t>
  </si>
  <si>
    <t>ORD02726</t>
  </si>
  <si>
    <t>ORD02727</t>
  </si>
  <si>
    <t>ORD02728</t>
  </si>
  <si>
    <t>ORD02729</t>
  </si>
  <si>
    <t>ORD02730</t>
  </si>
  <si>
    <t>ORD02731</t>
  </si>
  <si>
    <t>ORD02732</t>
  </si>
  <si>
    <t>ORD02733</t>
  </si>
  <si>
    <t>ORD02734</t>
  </si>
  <si>
    <t>ORD02735</t>
  </si>
  <si>
    <t>ORD02736</t>
  </si>
  <si>
    <t>ORD02737</t>
  </si>
  <si>
    <t>ORD02738</t>
  </si>
  <si>
    <t>ORD02739</t>
  </si>
  <si>
    <t>ORD02740</t>
  </si>
  <si>
    <t>ORD02741</t>
  </si>
  <si>
    <t>ORD02742</t>
  </si>
  <si>
    <t>ORD02743</t>
  </si>
  <si>
    <t>ORD02744</t>
  </si>
  <si>
    <t>ORD02745</t>
  </si>
  <si>
    <t>ORD02746</t>
  </si>
  <si>
    <t>ORD02747</t>
  </si>
  <si>
    <t>ORD02748</t>
  </si>
  <si>
    <t>ORD02749</t>
  </si>
  <si>
    <t>ORD02750</t>
  </si>
  <si>
    <t>ORD02751</t>
  </si>
  <si>
    <t>ORD02752</t>
  </si>
  <si>
    <t>ORD02753</t>
  </si>
  <si>
    <t>ORD02754</t>
  </si>
  <si>
    <t>ORD02755</t>
  </si>
  <si>
    <t>ORD02756</t>
  </si>
  <si>
    <t>ORD02757</t>
  </si>
  <si>
    <t>ORD02758</t>
  </si>
  <si>
    <t>ORD02759</t>
  </si>
  <si>
    <t>ORD02760</t>
  </si>
  <si>
    <t>ORD02761</t>
  </si>
  <si>
    <t>ORD02762</t>
  </si>
  <si>
    <t>ORD02763</t>
  </si>
  <si>
    <t>ORD02764</t>
  </si>
  <si>
    <t>ORD02765</t>
  </si>
  <si>
    <t>ORD02766</t>
  </si>
  <si>
    <t>ORD02767</t>
  </si>
  <si>
    <t>ORD02768</t>
  </si>
  <si>
    <t>ORD02769</t>
  </si>
  <si>
    <t>ORD02770</t>
  </si>
  <si>
    <t>ORD02771</t>
  </si>
  <si>
    <t>ORD02772</t>
  </si>
  <si>
    <t>ORD02773</t>
  </si>
  <si>
    <t>ORD02774</t>
  </si>
  <si>
    <t>ORD02775</t>
  </si>
  <si>
    <t>ORD02776</t>
  </si>
  <si>
    <t>ORD02777</t>
  </si>
  <si>
    <t>ORD02778</t>
  </si>
  <si>
    <t>ORD02779</t>
  </si>
  <si>
    <t>ORD02780</t>
  </si>
  <si>
    <t>ORD02781</t>
  </si>
  <si>
    <t>2024-03-10</t>
  </si>
  <si>
    <t>ORD02782</t>
  </si>
  <si>
    <t>ORD02783</t>
  </si>
  <si>
    <t>ORD02784</t>
  </si>
  <si>
    <t>ORD02785</t>
  </si>
  <si>
    <t>ORD02786</t>
  </si>
  <si>
    <t>ORD02787</t>
  </si>
  <si>
    <t>ORD02788</t>
  </si>
  <si>
    <t>ORD02789</t>
  </si>
  <si>
    <t>ORD02790</t>
  </si>
  <si>
    <t>ORD02791</t>
  </si>
  <si>
    <t>ORD02792</t>
  </si>
  <si>
    <t>ORD02793</t>
  </si>
  <si>
    <t>ORD02794</t>
  </si>
  <si>
    <t>ORD02795</t>
  </si>
  <si>
    <t>ORD02796</t>
  </si>
  <si>
    <t>ORD02797</t>
  </si>
  <si>
    <t>ORD02798</t>
  </si>
  <si>
    <t>ORD02799</t>
  </si>
  <si>
    <t>ORD02800</t>
  </si>
  <si>
    <t>ORD02801</t>
  </si>
  <si>
    <t>ORD02802</t>
  </si>
  <si>
    <t>ORD02803</t>
  </si>
  <si>
    <t>ORD02804</t>
  </si>
  <si>
    <t>ORD02805</t>
  </si>
  <si>
    <t>ORD02806</t>
  </si>
  <si>
    <t>ORD02807</t>
  </si>
  <si>
    <t>ORD02808</t>
  </si>
  <si>
    <t>ORD02809</t>
  </si>
  <si>
    <t>ORD02810</t>
  </si>
  <si>
    <t>ORD02811</t>
  </si>
  <si>
    <t>ORD02812</t>
  </si>
  <si>
    <t>ORD02813</t>
  </si>
  <si>
    <t>ORD02814</t>
  </si>
  <si>
    <t>ORD02815</t>
  </si>
  <si>
    <t>ORD02816</t>
  </si>
  <si>
    <t>ORD02817</t>
  </si>
  <si>
    <t>ORD02818</t>
  </si>
  <si>
    <t>ORD02819</t>
  </si>
  <si>
    <t>ORD02820</t>
  </si>
  <si>
    <t>ORD02821</t>
  </si>
  <si>
    <t>ORD02822</t>
  </si>
  <si>
    <t>ORD02823</t>
  </si>
  <si>
    <t>ORD02824</t>
  </si>
  <si>
    <t>ORD02825</t>
  </si>
  <si>
    <t>ORD02826</t>
  </si>
  <si>
    <t>ORD02827</t>
  </si>
  <si>
    <t>ORD02828</t>
  </si>
  <si>
    <t>ORD02829</t>
  </si>
  <si>
    <t>ORD02830</t>
  </si>
  <si>
    <t>2023-10-21</t>
  </si>
  <si>
    <t>ORD02831</t>
  </si>
  <si>
    <t>ORD02832</t>
  </si>
  <si>
    <t>ORD02833</t>
  </si>
  <si>
    <t>ORD02834</t>
  </si>
  <si>
    <t>ORD02835</t>
  </si>
  <si>
    <t>ORD02836</t>
  </si>
  <si>
    <t>ORD02837</t>
  </si>
  <si>
    <t>ORD02838</t>
  </si>
  <si>
    <t>ORD02839</t>
  </si>
  <si>
    <t>ORD02840</t>
  </si>
  <si>
    <t>ORD02841</t>
  </si>
  <si>
    <t>ORD02842</t>
  </si>
  <si>
    <t>ORD02843</t>
  </si>
  <si>
    <t>ORD02844</t>
  </si>
  <si>
    <t>ORD02845</t>
  </si>
  <si>
    <t>ORD02846</t>
  </si>
  <si>
    <t>ORD02847</t>
  </si>
  <si>
    <t>ORD02848</t>
  </si>
  <si>
    <t>ORD02849</t>
  </si>
  <si>
    <t>ORD02850</t>
  </si>
  <si>
    <t>ORD02851</t>
  </si>
  <si>
    <t>ORD02852</t>
  </si>
  <si>
    <t>ORD02853</t>
  </si>
  <si>
    <t>ORD02854</t>
  </si>
  <si>
    <t>ORD02855</t>
  </si>
  <si>
    <t>ORD02856</t>
  </si>
  <si>
    <t>ORD02857</t>
  </si>
  <si>
    <t>ORD02858</t>
  </si>
  <si>
    <t>ORD02859</t>
  </si>
  <si>
    <t>ORD02860</t>
  </si>
  <si>
    <t>ORD02861</t>
  </si>
  <si>
    <t>ORD02862</t>
  </si>
  <si>
    <t>ORD02863</t>
  </si>
  <si>
    <t>ORD02864</t>
  </si>
  <si>
    <t>ORD02865</t>
  </si>
  <si>
    <t>ORD02866</t>
  </si>
  <si>
    <t>ORD02867</t>
  </si>
  <si>
    <t>ORD02868</t>
  </si>
  <si>
    <t>ORD02869</t>
  </si>
  <si>
    <t>ORD02870</t>
  </si>
  <si>
    <t>ORD02871</t>
  </si>
  <si>
    <t>ORD02872</t>
  </si>
  <si>
    <t>ORD02873</t>
  </si>
  <si>
    <t>ORD02874</t>
  </si>
  <si>
    <t>ORD02875</t>
  </si>
  <si>
    <t>ORD02876</t>
  </si>
  <si>
    <t>ORD02877</t>
  </si>
  <si>
    <t>ORD02878</t>
  </si>
  <si>
    <t>ORD02879</t>
  </si>
  <si>
    <t>ORD02880</t>
  </si>
  <si>
    <t>ORD02881</t>
  </si>
  <si>
    <t>ORD02882</t>
  </si>
  <si>
    <t>ORD02883</t>
  </si>
  <si>
    <t>ORD02884</t>
  </si>
  <si>
    <t>ORD02885</t>
  </si>
  <si>
    <t>ORD02886</t>
  </si>
  <si>
    <t>ORD02887</t>
  </si>
  <si>
    <t>ORD02888</t>
  </si>
  <si>
    <t>ORD02889</t>
  </si>
  <si>
    <t>ORD02890</t>
  </si>
  <si>
    <t>ORD02891</t>
  </si>
  <si>
    <t>ORD02892</t>
  </si>
  <si>
    <t>ORD02893</t>
  </si>
  <si>
    <t>ORD02894</t>
  </si>
  <si>
    <t>ORD02895</t>
  </si>
  <si>
    <t>ORD02896</t>
  </si>
  <si>
    <t>ORD02897</t>
  </si>
  <si>
    <t>ORD02898</t>
  </si>
  <si>
    <t>ORD02899</t>
  </si>
  <si>
    <t>ORD02900</t>
  </si>
  <si>
    <t>ORD02901</t>
  </si>
  <si>
    <t>ORD02902</t>
  </si>
  <si>
    <t>ORD02903</t>
  </si>
  <si>
    <t>ORD02904</t>
  </si>
  <si>
    <t>ORD02905</t>
  </si>
  <si>
    <t>ORD02906</t>
  </si>
  <si>
    <t>ORD02907</t>
  </si>
  <si>
    <t>ORD02908</t>
  </si>
  <si>
    <t>ORD02909</t>
  </si>
  <si>
    <t>ORD02910</t>
  </si>
  <si>
    <t>ORD02911</t>
  </si>
  <si>
    <t>ORD02912</t>
  </si>
  <si>
    <t>ORD02913</t>
  </si>
  <si>
    <t>ORD02914</t>
  </si>
  <si>
    <t>ORD02915</t>
  </si>
  <si>
    <t>ORD02916</t>
  </si>
  <si>
    <t>ORD02917</t>
  </si>
  <si>
    <t>ORD02918</t>
  </si>
  <si>
    <t>ORD02919</t>
  </si>
  <si>
    <t>ORD02920</t>
  </si>
  <si>
    <t>ORD02921</t>
  </si>
  <si>
    <t>ORD02922</t>
  </si>
  <si>
    <t>ORD02923</t>
  </si>
  <si>
    <t>ORD02924</t>
  </si>
  <si>
    <t>ORD02925</t>
  </si>
  <si>
    <t>ORD02926</t>
  </si>
  <si>
    <t>ORD02927</t>
  </si>
  <si>
    <t>ORD02928</t>
  </si>
  <si>
    <t>ORD02929</t>
  </si>
  <si>
    <t>ORD02930</t>
  </si>
  <si>
    <t>ORD02931</t>
  </si>
  <si>
    <t>ORD02932</t>
  </si>
  <si>
    <t>ORD02933</t>
  </si>
  <si>
    <t>ORD02934</t>
  </si>
  <si>
    <t>ORD02935</t>
  </si>
  <si>
    <t>ORD02936</t>
  </si>
  <si>
    <t>ORD02937</t>
  </si>
  <si>
    <t>ORD02938</t>
  </si>
  <si>
    <t>ORD02939</t>
  </si>
  <si>
    <t>ORD02940</t>
  </si>
  <si>
    <t>ORD02941</t>
  </si>
  <si>
    <t>ORD02942</t>
  </si>
  <si>
    <t>ORD02943</t>
  </si>
  <si>
    <t>ORD02944</t>
  </si>
  <si>
    <t>ORD02945</t>
  </si>
  <si>
    <t>ORD02946</t>
  </si>
  <si>
    <t>ORD02947</t>
  </si>
  <si>
    <t>ORD02948</t>
  </si>
  <si>
    <t>ORD02949</t>
  </si>
  <si>
    <t>ORD02950</t>
  </si>
  <si>
    <t>ORD02951</t>
  </si>
  <si>
    <t>ORD02952</t>
  </si>
  <si>
    <t>ORD02953</t>
  </si>
  <si>
    <t>ORD02954</t>
  </si>
  <si>
    <t>ORD02955</t>
  </si>
  <si>
    <t>ORD02956</t>
  </si>
  <si>
    <t>ORD02957</t>
  </si>
  <si>
    <t>ORD02958</t>
  </si>
  <si>
    <t>ORD02959</t>
  </si>
  <si>
    <t>ORD02960</t>
  </si>
  <si>
    <t>ORD02961</t>
  </si>
  <si>
    <t>ORD02962</t>
  </si>
  <si>
    <t>ORD02963</t>
  </si>
  <si>
    <t>ORD02964</t>
  </si>
  <si>
    <t>ORD02965</t>
  </si>
  <si>
    <t>ORD02966</t>
  </si>
  <si>
    <t>ORD02967</t>
  </si>
  <si>
    <t>ORD02968</t>
  </si>
  <si>
    <t>ORD02969</t>
  </si>
  <si>
    <t>ORD02970</t>
  </si>
  <si>
    <t>ORD02971</t>
  </si>
  <si>
    <t>ORD02972</t>
  </si>
  <si>
    <t>ORD02973</t>
  </si>
  <si>
    <t>ORD02974</t>
  </si>
  <si>
    <t>ORD02975</t>
  </si>
  <si>
    <t>ORD02976</t>
  </si>
  <si>
    <t>ORD02977</t>
  </si>
  <si>
    <t>ORD02978</t>
  </si>
  <si>
    <t>ORD02979</t>
  </si>
  <si>
    <t>ORD02980</t>
  </si>
  <si>
    <t>ORD02981</t>
  </si>
  <si>
    <t>ORD02982</t>
  </si>
  <si>
    <t>ORD02983</t>
  </si>
  <si>
    <t>ORD02984</t>
  </si>
  <si>
    <t>ORD02985</t>
  </si>
  <si>
    <t>ORD02986</t>
  </si>
  <si>
    <t>ORD02987</t>
  </si>
  <si>
    <t>ORD02988</t>
  </si>
  <si>
    <t>ORD02989</t>
  </si>
  <si>
    <t>ORD02990</t>
  </si>
  <si>
    <t>ORD02991</t>
  </si>
  <si>
    <t>ORD02992</t>
  </si>
  <si>
    <t>ORD02993</t>
  </si>
  <si>
    <t>ORD02994</t>
  </si>
  <si>
    <t>ORD02995</t>
  </si>
  <si>
    <t>ORD02996</t>
  </si>
  <si>
    <t>ORD02997</t>
  </si>
  <si>
    <t>ORD02998</t>
  </si>
  <si>
    <t>ORD02999</t>
  </si>
  <si>
    <t>ORD03000</t>
  </si>
  <si>
    <t>ORD03001</t>
  </si>
  <si>
    <t>ORD03002</t>
  </si>
  <si>
    <t>ORD03003</t>
  </si>
  <si>
    <t>ORD03004</t>
  </si>
  <si>
    <t>ORD03005</t>
  </si>
  <si>
    <t>ORD03006</t>
  </si>
  <si>
    <t>ORD03007</t>
  </si>
  <si>
    <t>ORD03008</t>
  </si>
  <si>
    <t>ORD03009</t>
  </si>
  <si>
    <t>ORD03010</t>
  </si>
  <si>
    <t>ORD03011</t>
  </si>
  <si>
    <t>ORD03012</t>
  </si>
  <si>
    <t>ORD03013</t>
  </si>
  <si>
    <t>ORD03014</t>
  </si>
  <si>
    <t>ORD03015</t>
  </si>
  <si>
    <t>ORD03016</t>
  </si>
  <si>
    <t>ORD03017</t>
  </si>
  <si>
    <t>ORD03018</t>
  </si>
  <si>
    <t>ORD03019</t>
  </si>
  <si>
    <t>ORD03020</t>
  </si>
  <si>
    <t>ORD03021</t>
  </si>
  <si>
    <t>ORD03022</t>
  </si>
  <si>
    <t>ORD03023</t>
  </si>
  <si>
    <t>ORD03024</t>
  </si>
  <si>
    <t>ORD03025</t>
  </si>
  <si>
    <t>ORD03026</t>
  </si>
  <si>
    <t>ORD03027</t>
  </si>
  <si>
    <t>ORD03028</t>
  </si>
  <si>
    <t>ORD03029</t>
  </si>
  <si>
    <t>ORD03030</t>
  </si>
  <si>
    <t>ORD03031</t>
  </si>
  <si>
    <t>ORD03032</t>
  </si>
  <si>
    <t>ORD03033</t>
  </si>
  <si>
    <t>ORD03034</t>
  </si>
  <si>
    <t>ORD03035</t>
  </si>
  <si>
    <t>ORD03036</t>
  </si>
  <si>
    <t>ORD03037</t>
  </si>
  <si>
    <t>ORD03038</t>
  </si>
  <si>
    <t>ORD03039</t>
  </si>
  <si>
    <t>ORD03040</t>
  </si>
  <si>
    <t>ORD03041</t>
  </si>
  <si>
    <t>ORD03042</t>
  </si>
  <si>
    <t>ORD03043</t>
  </si>
  <si>
    <t>ORD03044</t>
  </si>
  <si>
    <t>ORD03045</t>
  </si>
  <si>
    <t>ORD03046</t>
  </si>
  <si>
    <t>ORD03047</t>
  </si>
  <si>
    <t>ORD03048</t>
  </si>
  <si>
    <t>2023-04-22</t>
  </si>
  <si>
    <t>ORD03049</t>
  </si>
  <si>
    <t>ORD03050</t>
  </si>
  <si>
    <t>ORD03051</t>
  </si>
  <si>
    <t>ORD03052</t>
  </si>
  <si>
    <t>ORD03053</t>
  </si>
  <si>
    <t>ORD03054</t>
  </si>
  <si>
    <t>ORD03055</t>
  </si>
  <si>
    <t>ORD03056</t>
  </si>
  <si>
    <t>ORD03057</t>
  </si>
  <si>
    <t>ORD03058</t>
  </si>
  <si>
    <t>ORD03059</t>
  </si>
  <si>
    <t>ORD03060</t>
  </si>
  <si>
    <t>ORD03061</t>
  </si>
  <si>
    <t>ORD03062</t>
  </si>
  <si>
    <t>ORD03063</t>
  </si>
  <si>
    <t>ORD03064</t>
  </si>
  <si>
    <t>ORD03065</t>
  </si>
  <si>
    <t>ORD03066</t>
  </si>
  <si>
    <t>ORD03067</t>
  </si>
  <si>
    <t>ORD03068</t>
  </si>
  <si>
    <t>ORD03069</t>
  </si>
  <si>
    <t>ORD03070</t>
  </si>
  <si>
    <t>ORD03071</t>
  </si>
  <si>
    <t>ORD03072</t>
  </si>
  <si>
    <t>ORD03073</t>
  </si>
  <si>
    <t>ORD03074</t>
  </si>
  <si>
    <t>ORD03075</t>
  </si>
  <si>
    <t>ORD03076</t>
  </si>
  <si>
    <t>ORD03077</t>
  </si>
  <si>
    <t>ORD03078</t>
  </si>
  <si>
    <t>ORD03079</t>
  </si>
  <si>
    <t>ORD03080</t>
  </si>
  <si>
    <t>ORD03081</t>
  </si>
  <si>
    <t>ORD03082</t>
  </si>
  <si>
    <t>ORD03083</t>
  </si>
  <si>
    <t>ORD03084</t>
  </si>
  <si>
    <t>ORD03085</t>
  </si>
  <si>
    <t>ORD03086</t>
  </si>
  <si>
    <t>ORD03087</t>
  </si>
  <si>
    <t>ORD03088</t>
  </si>
  <si>
    <t>ORD03089</t>
  </si>
  <si>
    <t>ORD03090</t>
  </si>
  <si>
    <t>ORD03091</t>
  </si>
  <si>
    <t>ORD03092</t>
  </si>
  <si>
    <t>ORD03093</t>
  </si>
  <si>
    <t>ORD03094</t>
  </si>
  <si>
    <t>ORD03095</t>
  </si>
  <si>
    <t>ORD03096</t>
  </si>
  <si>
    <t>ORD03097</t>
  </si>
  <si>
    <t>2023-01-28</t>
  </si>
  <si>
    <t>ORD03098</t>
  </si>
  <si>
    <t>ORD03099</t>
  </si>
  <si>
    <t>ORD03100</t>
  </si>
  <si>
    <t>ORD03101</t>
  </si>
  <si>
    <t>ORD03102</t>
  </si>
  <si>
    <t>ORD03103</t>
  </si>
  <si>
    <t>ORD03104</t>
  </si>
  <si>
    <t>ORD03105</t>
  </si>
  <si>
    <t>ORD03106</t>
  </si>
  <si>
    <t>ORD03107</t>
  </si>
  <si>
    <t>ORD03108</t>
  </si>
  <si>
    <t>ORD03109</t>
  </si>
  <si>
    <t>ORD03110</t>
  </si>
  <si>
    <t>ORD03111</t>
  </si>
  <si>
    <t>ORD03112</t>
  </si>
  <si>
    <t>ORD03113</t>
  </si>
  <si>
    <t>ORD03114</t>
  </si>
  <si>
    <t>ORD03115</t>
  </si>
  <si>
    <t>ORD03116</t>
  </si>
  <si>
    <t>ORD03117</t>
  </si>
  <si>
    <t>ORD03118</t>
  </si>
  <si>
    <t>ORD03119</t>
  </si>
  <si>
    <t>ORD03120</t>
  </si>
  <si>
    <t>ORD03121</t>
  </si>
  <si>
    <t>ORD03122</t>
  </si>
  <si>
    <t>ORD03123</t>
  </si>
  <si>
    <t>ORD03124</t>
  </si>
  <si>
    <t>ORD03125</t>
  </si>
  <si>
    <t>ORD03126</t>
  </si>
  <si>
    <t>ORD03127</t>
  </si>
  <si>
    <t>ORD03128</t>
  </si>
  <si>
    <t>ORD03129</t>
  </si>
  <si>
    <t>ORD03130</t>
  </si>
  <si>
    <t>ORD03131</t>
  </si>
  <si>
    <t>ORD03132</t>
  </si>
  <si>
    <t>ORD03133</t>
  </si>
  <si>
    <t>ORD03134</t>
  </si>
  <si>
    <t>ORD03135</t>
  </si>
  <si>
    <t>ORD03136</t>
  </si>
  <si>
    <t>ORD03137</t>
  </si>
  <si>
    <t>ORD03138</t>
  </si>
  <si>
    <t>ORD03139</t>
  </si>
  <si>
    <t>ORD03140</t>
  </si>
  <si>
    <t>ORD03141</t>
  </si>
  <si>
    <t>ORD03142</t>
  </si>
  <si>
    <t>ORD03143</t>
  </si>
  <si>
    <t>ORD03144</t>
  </si>
  <si>
    <t>ORD03145</t>
  </si>
  <si>
    <t>ORD03146</t>
  </si>
  <si>
    <t>ORD03147</t>
  </si>
  <si>
    <t>ORD03148</t>
  </si>
  <si>
    <t>ORD03149</t>
  </si>
  <si>
    <t>ORD03150</t>
  </si>
  <si>
    <t>ORD03151</t>
  </si>
  <si>
    <t>ORD03152</t>
  </si>
  <si>
    <t>ORD03153</t>
  </si>
  <si>
    <t>ORD03154</t>
  </si>
  <si>
    <t>ORD03155</t>
  </si>
  <si>
    <t>ORD03156</t>
  </si>
  <si>
    <t>ORD03157</t>
  </si>
  <si>
    <t>ORD03158</t>
  </si>
  <si>
    <t>ORD03159</t>
  </si>
  <si>
    <t>ORD03160</t>
  </si>
  <si>
    <t>ORD03161</t>
  </si>
  <si>
    <t>ORD03162</t>
  </si>
  <si>
    <t>ORD03163</t>
  </si>
  <si>
    <t>ORD03164</t>
  </si>
  <si>
    <t>ORD03165</t>
  </si>
  <si>
    <t>ORD03166</t>
  </si>
  <si>
    <t>ORD03167</t>
  </si>
  <si>
    <t>ORD03168</t>
  </si>
  <si>
    <t>ORD03169</t>
  </si>
  <si>
    <t>ORD03170</t>
  </si>
  <si>
    <t>ORD03171</t>
  </si>
  <si>
    <t>ORD03172</t>
  </si>
  <si>
    <t>ORD03173</t>
  </si>
  <si>
    <t>ORD03174</t>
  </si>
  <si>
    <t>ORD03175</t>
  </si>
  <si>
    <t>ORD03176</t>
  </si>
  <si>
    <t>ORD03177</t>
  </si>
  <si>
    <t>ORD03178</t>
  </si>
  <si>
    <t>ORD03179</t>
  </si>
  <si>
    <t>ORD03180</t>
  </si>
  <si>
    <t>ORD03181</t>
  </si>
  <si>
    <t>ORD03182</t>
  </si>
  <si>
    <t>ORD03183</t>
  </si>
  <si>
    <t>ORD03184</t>
  </si>
  <si>
    <t>ORD03185</t>
  </si>
  <si>
    <t>ORD03186</t>
  </si>
  <si>
    <t>ORD03187</t>
  </si>
  <si>
    <t>ORD03188</t>
  </si>
  <si>
    <t>ORD03189</t>
  </si>
  <si>
    <t>ORD03190</t>
  </si>
  <si>
    <t>ORD03191</t>
  </si>
  <si>
    <t>ORD03192</t>
  </si>
  <si>
    <t>ORD03193</t>
  </si>
  <si>
    <t>ORD03194</t>
  </si>
  <si>
    <t>ORD03195</t>
  </si>
  <si>
    <t>ORD03196</t>
  </si>
  <si>
    <t>ORD03197</t>
  </si>
  <si>
    <t>ORD03198</t>
  </si>
  <si>
    <t>ORD03199</t>
  </si>
  <si>
    <t>ORD03200</t>
  </si>
  <si>
    <t>ORD03201</t>
  </si>
  <si>
    <t>ORD03202</t>
  </si>
  <si>
    <t>ORD03203</t>
  </si>
  <si>
    <t>ORD03204</t>
  </si>
  <si>
    <t>ORD03205</t>
  </si>
  <si>
    <t>ORD03206</t>
  </si>
  <si>
    <t>ORD03207</t>
  </si>
  <si>
    <t>ORD03208</t>
  </si>
  <si>
    <t>ORD03209</t>
  </si>
  <si>
    <t>ORD03210</t>
  </si>
  <si>
    <t>ORD03211</t>
  </si>
  <si>
    <t>ORD03212</t>
  </si>
  <si>
    <t>ORD03213</t>
  </si>
  <si>
    <t>ORD03214</t>
  </si>
  <si>
    <t>ORD03215</t>
  </si>
  <si>
    <t>ORD03216</t>
  </si>
  <si>
    <t>ORD03217</t>
  </si>
  <si>
    <t>ORD03218</t>
  </si>
  <si>
    <t>ORD03219</t>
  </si>
  <si>
    <t>ORD03220</t>
  </si>
  <si>
    <t>ORD03221</t>
  </si>
  <si>
    <t>ORD03222</t>
  </si>
  <si>
    <t>ORD03223</t>
  </si>
  <si>
    <t>ORD03224</t>
  </si>
  <si>
    <t>ORD03225</t>
  </si>
  <si>
    <t>ORD03226</t>
  </si>
  <si>
    <t>ORD03227</t>
  </si>
  <si>
    <t>ORD03228</t>
  </si>
  <si>
    <t>ORD03229</t>
  </si>
  <si>
    <t>ORD03230</t>
  </si>
  <si>
    <t>ORD03231</t>
  </si>
  <si>
    <t>ORD03232</t>
  </si>
  <si>
    <t>ORD03233</t>
  </si>
  <si>
    <t>ORD03234</t>
  </si>
  <si>
    <t>ORD03235</t>
  </si>
  <si>
    <t>ORD03236</t>
  </si>
  <si>
    <t>ORD03237</t>
  </si>
  <si>
    <t>ORD03238</t>
  </si>
  <si>
    <t>ORD03239</t>
  </si>
  <si>
    <t>ORD03240</t>
  </si>
  <si>
    <t>ORD03241</t>
  </si>
  <si>
    <t>ORD03242</t>
  </si>
  <si>
    <t>ORD03243</t>
  </si>
  <si>
    <t>ORD03244</t>
  </si>
  <si>
    <t>ORD03245</t>
  </si>
  <si>
    <t>ORD03246</t>
  </si>
  <si>
    <t>ORD03247</t>
  </si>
  <si>
    <t>ORD03248</t>
  </si>
  <si>
    <t>ORD03249</t>
  </si>
  <si>
    <t>ORD03250</t>
  </si>
  <si>
    <t>ORD03251</t>
  </si>
  <si>
    <t>ORD03252</t>
  </si>
  <si>
    <t>ORD03253</t>
  </si>
  <si>
    <t>ORD03254</t>
  </si>
  <si>
    <t>ORD03255</t>
  </si>
  <si>
    <t>ORD03256</t>
  </si>
  <si>
    <t>ORD03257</t>
  </si>
  <si>
    <t>ORD03258</t>
  </si>
  <si>
    <t>ORD03259</t>
  </si>
  <si>
    <t>ORD03260</t>
  </si>
  <si>
    <t>ORD03261</t>
  </si>
  <si>
    <t>ORD03262</t>
  </si>
  <si>
    <t>ORD03263</t>
  </si>
  <si>
    <t>ORD03264</t>
  </si>
  <si>
    <t>ORD03265</t>
  </si>
  <si>
    <t>ORD03266</t>
  </si>
  <si>
    <t>ORD03267</t>
  </si>
  <si>
    <t>ORD03268</t>
  </si>
  <si>
    <t>ORD03269</t>
  </si>
  <si>
    <t>ORD03270</t>
  </si>
  <si>
    <t>ORD03271</t>
  </si>
  <si>
    <t>ORD03272</t>
  </si>
  <si>
    <t>ORD03273</t>
  </si>
  <si>
    <t>ORD03274</t>
  </si>
  <si>
    <t>ORD03275</t>
  </si>
  <si>
    <t>ORD03276</t>
  </si>
  <si>
    <t>ORD03277</t>
  </si>
  <si>
    <t>ORD03278</t>
  </si>
  <si>
    <t>ORD03279</t>
  </si>
  <si>
    <t>ORD03280</t>
  </si>
  <si>
    <t>ORD03281</t>
  </si>
  <si>
    <t>ORD03282</t>
  </si>
  <si>
    <t>ORD03283</t>
  </si>
  <si>
    <t>ORD03284</t>
  </si>
  <si>
    <t>ORD03285</t>
  </si>
  <si>
    <t>ORD03286</t>
  </si>
  <si>
    <t>ORD03287</t>
  </si>
  <si>
    <t>ORD03288</t>
  </si>
  <si>
    <t>ORD03289</t>
  </si>
  <si>
    <t>ORD03290</t>
  </si>
  <si>
    <t>ORD03291</t>
  </si>
  <si>
    <t>ORD03292</t>
  </si>
  <si>
    <t>ORD03293</t>
  </si>
  <si>
    <t>ORD03294</t>
  </si>
  <si>
    <t>ORD03295</t>
  </si>
  <si>
    <t>ORD03296</t>
  </si>
  <si>
    <t>ORD03297</t>
  </si>
  <si>
    <t>ORD03298</t>
  </si>
  <si>
    <t>ORD03299</t>
  </si>
  <si>
    <t>ORD03300</t>
  </si>
  <si>
    <t>ORD03301</t>
  </si>
  <si>
    <t>ORD03302</t>
  </si>
  <si>
    <t>ORD03303</t>
  </si>
  <si>
    <t>ORD03304</t>
  </si>
  <si>
    <t>2024-10-31</t>
  </si>
  <si>
    <t>ORD03305</t>
  </si>
  <si>
    <t>ORD03306</t>
  </si>
  <si>
    <t>ORD03307</t>
  </si>
  <si>
    <t>ORD03308</t>
  </si>
  <si>
    <t>ORD03309</t>
  </si>
  <si>
    <t>ORD03310</t>
  </si>
  <si>
    <t>ORD03311</t>
  </si>
  <si>
    <t>ORD03312</t>
  </si>
  <si>
    <t>ORD03313</t>
  </si>
  <si>
    <t>ORD03314</t>
  </si>
  <si>
    <t>ORD03315</t>
  </si>
  <si>
    <t>ORD03316</t>
  </si>
  <si>
    <t>ORD03317</t>
  </si>
  <si>
    <t>ORD03318</t>
  </si>
  <si>
    <t>ORD03319</t>
  </si>
  <si>
    <t>ORD03320</t>
  </si>
  <si>
    <t>ORD03321</t>
  </si>
  <si>
    <t>ORD03322</t>
  </si>
  <si>
    <t>ORD03323</t>
  </si>
  <si>
    <t>ORD03324</t>
  </si>
  <si>
    <t>ORD03325</t>
  </si>
  <si>
    <t>ORD03326</t>
  </si>
  <si>
    <t>ORD03327</t>
  </si>
  <si>
    <t>ORD03328</t>
  </si>
  <si>
    <t>ORD03329</t>
  </si>
  <si>
    <t>ORD03330</t>
  </si>
  <si>
    <t>ORD03331</t>
  </si>
  <si>
    <t>ORD03332</t>
  </si>
  <si>
    <t>ORD03333</t>
  </si>
  <si>
    <t>ORD03334</t>
  </si>
  <si>
    <t>ORD03335</t>
  </si>
  <si>
    <t>ORD03336</t>
  </si>
  <si>
    <t>ORD03337</t>
  </si>
  <si>
    <t>ORD03338</t>
  </si>
  <si>
    <t>ORD03339</t>
  </si>
  <si>
    <t>ORD03340</t>
  </si>
  <si>
    <t>ORD03341</t>
  </si>
  <si>
    <t>ORD03342</t>
  </si>
  <si>
    <t>ORD03343</t>
  </si>
  <si>
    <t>ORD03344</t>
  </si>
  <si>
    <t>ORD03345</t>
  </si>
  <si>
    <t>ORD03346</t>
  </si>
  <si>
    <t>ORD03347</t>
  </si>
  <si>
    <t>2023-02-03</t>
  </si>
  <si>
    <t>ORD03348</t>
  </si>
  <si>
    <t>ORD03349</t>
  </si>
  <si>
    <t>ORD03350</t>
  </si>
  <si>
    <t>ORD03351</t>
  </si>
  <si>
    <t>ORD03352</t>
  </si>
  <si>
    <t>ORD03353</t>
  </si>
  <si>
    <t>ORD03354</t>
  </si>
  <si>
    <t>ORD03355</t>
  </si>
  <si>
    <t>ORD03356</t>
  </si>
  <si>
    <t>ORD03357</t>
  </si>
  <si>
    <t>ORD03358</t>
  </si>
  <si>
    <t>ORD03359</t>
  </si>
  <si>
    <t>ORD03360</t>
  </si>
  <si>
    <t>ORD03361</t>
  </si>
  <si>
    <t>ORD03362</t>
  </si>
  <si>
    <t>ORD03363</t>
  </si>
  <si>
    <t>ORD03364</t>
  </si>
  <si>
    <t>ORD03365</t>
  </si>
  <si>
    <t>ORD03366</t>
  </si>
  <si>
    <t>ORD03367</t>
  </si>
  <si>
    <t>ORD03368</t>
  </si>
  <si>
    <t>ORD03369</t>
  </si>
  <si>
    <t>ORD03370</t>
  </si>
  <si>
    <t>ORD03371</t>
  </si>
  <si>
    <t>ORD03372</t>
  </si>
  <si>
    <t>ORD03373</t>
  </si>
  <si>
    <t>ORD03374</t>
  </si>
  <si>
    <t>ORD03375</t>
  </si>
  <si>
    <t>ORD03376</t>
  </si>
  <si>
    <t>ORD03377</t>
  </si>
  <si>
    <t>ORD03378</t>
  </si>
  <si>
    <t>ORD03379</t>
  </si>
  <si>
    <t>ORD03380</t>
  </si>
  <si>
    <t>ORD03381</t>
  </si>
  <si>
    <t>ORD03382</t>
  </si>
  <si>
    <t>ORD03383</t>
  </si>
  <si>
    <t>ORD03384</t>
  </si>
  <si>
    <t>ORD03385</t>
  </si>
  <si>
    <t>ORD03386</t>
  </si>
  <si>
    <t>ORD03387</t>
  </si>
  <si>
    <t>ORD03388</t>
  </si>
  <si>
    <t>ORD03389</t>
  </si>
  <si>
    <t>ORD03390</t>
  </si>
  <si>
    <t>ORD03391</t>
  </si>
  <si>
    <t>ORD03392</t>
  </si>
  <si>
    <t>ORD03393</t>
  </si>
  <si>
    <t>ORD03394</t>
  </si>
  <si>
    <t>ORD03395</t>
  </si>
  <si>
    <t>ORD03396</t>
  </si>
  <si>
    <t>ORD03397</t>
  </si>
  <si>
    <t>ORD03398</t>
  </si>
  <si>
    <t>ORD03399</t>
  </si>
  <si>
    <t>ORD03400</t>
  </si>
  <si>
    <t>ORD03401</t>
  </si>
  <si>
    <t>ORD03402</t>
  </si>
  <si>
    <t>ORD03403</t>
  </si>
  <si>
    <t>ORD03404</t>
  </si>
  <si>
    <t>ORD03405</t>
  </si>
  <si>
    <t>ORD03406</t>
  </si>
  <si>
    <t>ORD03407</t>
  </si>
  <si>
    <t>ORD03408</t>
  </si>
  <si>
    <t>ORD03409</t>
  </si>
  <si>
    <t>ORD03410</t>
  </si>
  <si>
    <t>ORD03411</t>
  </si>
  <si>
    <t>ORD03412</t>
  </si>
  <si>
    <t>ORD03413</t>
  </si>
  <si>
    <t>ORD03414</t>
  </si>
  <si>
    <t>ORD03415</t>
  </si>
  <si>
    <t>ORD03416</t>
  </si>
  <si>
    <t>ORD03417</t>
  </si>
  <si>
    <t>ORD03418</t>
  </si>
  <si>
    <t>ORD03419</t>
  </si>
  <si>
    <t>ORD03420</t>
  </si>
  <si>
    <t>ORD03421</t>
  </si>
  <si>
    <t>ORD03422</t>
  </si>
  <si>
    <t>ORD03423</t>
  </si>
  <si>
    <t>ORD03424</t>
  </si>
  <si>
    <t>ORD03425</t>
  </si>
  <si>
    <t>ORD03426</t>
  </si>
  <si>
    <t>ORD03427</t>
  </si>
  <si>
    <t>ORD03428</t>
  </si>
  <si>
    <t>ORD03429</t>
  </si>
  <si>
    <t>ORD03430</t>
  </si>
  <si>
    <t>ORD03431</t>
  </si>
  <si>
    <t>ORD03432</t>
  </si>
  <si>
    <t>ORD03433</t>
  </si>
  <si>
    <t>ORD03434</t>
  </si>
  <si>
    <t>ORD03435</t>
  </si>
  <si>
    <t>ORD03436</t>
  </si>
  <si>
    <t>ORD03437</t>
  </si>
  <si>
    <t>ORD03438</t>
  </si>
  <si>
    <t>ORD03439</t>
  </si>
  <si>
    <t>ORD03440</t>
  </si>
  <si>
    <t>ORD03441</t>
  </si>
  <si>
    <t>ORD03442</t>
  </si>
  <si>
    <t>ORD03443</t>
  </si>
  <si>
    <t>ORD03444</t>
  </si>
  <si>
    <t>ORD03445</t>
  </si>
  <si>
    <t>ORD03446</t>
  </si>
  <si>
    <t>ORD03447</t>
  </si>
  <si>
    <t>ORD03448</t>
  </si>
  <si>
    <t>ORD03449</t>
  </si>
  <si>
    <t>ORD03450</t>
  </si>
  <si>
    <t>ORD03451</t>
  </si>
  <si>
    <t>ORD03452</t>
  </si>
  <si>
    <t>ORD03453</t>
  </si>
  <si>
    <t>ORD03454</t>
  </si>
  <si>
    <t>ORD03455</t>
  </si>
  <si>
    <t>ORD03456</t>
  </si>
  <si>
    <t>ORD03457</t>
  </si>
  <si>
    <t>ORD03458</t>
  </si>
  <si>
    <t>ORD03459</t>
  </si>
  <si>
    <t>ORD03460</t>
  </si>
  <si>
    <t>ORD03461</t>
  </si>
  <si>
    <t>ORD03462</t>
  </si>
  <si>
    <t>ORD03463</t>
  </si>
  <si>
    <t>ORD03464</t>
  </si>
  <si>
    <t>ORD03465</t>
  </si>
  <si>
    <t>ORD03466</t>
  </si>
  <si>
    <t>ORD03467</t>
  </si>
  <si>
    <t>ORD03468</t>
  </si>
  <si>
    <t>ORD03469</t>
  </si>
  <si>
    <t>ORD03470</t>
  </si>
  <si>
    <t>ORD03471</t>
  </si>
  <si>
    <t>ORD03472</t>
  </si>
  <si>
    <t>ORD03473</t>
  </si>
  <si>
    <t>ORD03474</t>
  </si>
  <si>
    <t>ORD03475</t>
  </si>
  <si>
    <t>ORD03476</t>
  </si>
  <si>
    <t>ORD03477</t>
  </si>
  <si>
    <t>ORD03478</t>
  </si>
  <si>
    <t>ORD03479</t>
  </si>
  <si>
    <t>ORD03480</t>
  </si>
  <si>
    <t>ORD03481</t>
  </si>
  <si>
    <t>ORD03482</t>
  </si>
  <si>
    <t>ORD03483</t>
  </si>
  <si>
    <t>ORD03484</t>
  </si>
  <si>
    <t>ORD03485</t>
  </si>
  <si>
    <t>ORD03486</t>
  </si>
  <si>
    <t>ORD03487</t>
  </si>
  <si>
    <t>ORD03488</t>
  </si>
  <si>
    <t>ORD03489</t>
  </si>
  <si>
    <t>ORD03490</t>
  </si>
  <si>
    <t>ORD03491</t>
  </si>
  <si>
    <t>ORD03492</t>
  </si>
  <si>
    <t>ORD03493</t>
  </si>
  <si>
    <t>ORD03494</t>
  </si>
  <si>
    <t>ORD03495</t>
  </si>
  <si>
    <t>ORD03496</t>
  </si>
  <si>
    <t>ORD03497</t>
  </si>
  <si>
    <t>ORD03498</t>
  </si>
  <si>
    <t>ORD03499</t>
  </si>
  <si>
    <t>ORD03500</t>
  </si>
  <si>
    <t>ORD03501</t>
  </si>
  <si>
    <t>ORD03502</t>
  </si>
  <si>
    <t>ORD03503</t>
  </si>
  <si>
    <t>ORD03504</t>
  </si>
  <si>
    <t>ORD03505</t>
  </si>
  <si>
    <t>ORD03506</t>
  </si>
  <si>
    <t>ORD03507</t>
  </si>
  <si>
    <t>ORD03508</t>
  </si>
  <si>
    <t>ORD03509</t>
  </si>
  <si>
    <t>ORD03510</t>
  </si>
  <si>
    <t>ORD03511</t>
  </si>
  <si>
    <t>ORD03512</t>
  </si>
  <si>
    <t>ORD03513</t>
  </si>
  <si>
    <t>ORD03514</t>
  </si>
  <si>
    <t>ORD03515</t>
  </si>
  <si>
    <t>ORD03516</t>
  </si>
  <si>
    <t>ORD03517</t>
  </si>
  <si>
    <t>ORD03518</t>
  </si>
  <si>
    <t>ORD03519</t>
  </si>
  <si>
    <t>ORD03520</t>
  </si>
  <si>
    <t>ORD03521</t>
  </si>
  <si>
    <t>ORD03522</t>
  </si>
  <si>
    <t>ORD03523</t>
  </si>
  <si>
    <t>ORD03524</t>
  </si>
  <si>
    <t>ORD03525</t>
  </si>
  <si>
    <t>ORD03526</t>
  </si>
  <si>
    <t>ORD03527</t>
  </si>
  <si>
    <t>ORD03528</t>
  </si>
  <si>
    <t>ORD03529</t>
  </si>
  <si>
    <t>ORD03530</t>
  </si>
  <si>
    <t>ORD03531</t>
  </si>
  <si>
    <t>ORD03532</t>
  </si>
  <si>
    <t>ORD03533</t>
  </si>
  <si>
    <t>ORD03534</t>
  </si>
  <si>
    <t>ORD03535</t>
  </si>
  <si>
    <t>ORD03536</t>
  </si>
  <si>
    <t>ORD03537</t>
  </si>
  <si>
    <t>ORD03538</t>
  </si>
  <si>
    <t>ORD03539</t>
  </si>
  <si>
    <t>ORD03540</t>
  </si>
  <si>
    <t>ORD03541</t>
  </si>
  <si>
    <t>ORD03542</t>
  </si>
  <si>
    <t>ORD03543</t>
  </si>
  <si>
    <t>ORD03544</t>
  </si>
  <si>
    <t>ORD03545</t>
  </si>
  <si>
    <t>ORD03546</t>
  </si>
  <si>
    <t>ORD03547</t>
  </si>
  <si>
    <t>ORD03548</t>
  </si>
  <si>
    <t>ORD03549</t>
  </si>
  <si>
    <t>ORD03550</t>
  </si>
  <si>
    <t>ORD03551</t>
  </si>
  <si>
    <t>ORD03552</t>
  </si>
  <si>
    <t>ORD03553</t>
  </si>
  <si>
    <t>ORD03554</t>
  </si>
  <si>
    <t>ORD03555</t>
  </si>
  <si>
    <t>ORD03556</t>
  </si>
  <si>
    <t>ORD03557</t>
  </si>
  <si>
    <t>ORD03558</t>
  </si>
  <si>
    <t>ORD03559</t>
  </si>
  <si>
    <t>ORD03560</t>
  </si>
  <si>
    <t>ORD03561</t>
  </si>
  <si>
    <t>ORD03562</t>
  </si>
  <si>
    <t>ORD03563</t>
  </si>
  <si>
    <t>ORD03564</t>
  </si>
  <si>
    <t>ORD03565</t>
  </si>
  <si>
    <t>ORD03566</t>
  </si>
  <si>
    <t>ORD03567</t>
  </si>
  <si>
    <t>ORD03568</t>
  </si>
  <si>
    <t>ORD03569</t>
  </si>
  <si>
    <t>ORD03570</t>
  </si>
  <si>
    <t>ORD03571</t>
  </si>
  <si>
    <t>ORD03572</t>
  </si>
  <si>
    <t>ORD03573</t>
  </si>
  <si>
    <t>ORD03574</t>
  </si>
  <si>
    <t>ORD03575</t>
  </si>
  <si>
    <t>ORD03576</t>
  </si>
  <si>
    <t>ORD03577</t>
  </si>
  <si>
    <t>ORD03578</t>
  </si>
  <si>
    <t>ORD03579</t>
  </si>
  <si>
    <t>ORD03580</t>
  </si>
  <si>
    <t>ORD03581</t>
  </si>
  <si>
    <t>ORD03582</t>
  </si>
  <si>
    <t>ORD03583</t>
  </si>
  <si>
    <t>ORD03584</t>
  </si>
  <si>
    <t>ORD03585</t>
  </si>
  <si>
    <t>ORD03586</t>
  </si>
  <si>
    <t>ORD03587</t>
  </si>
  <si>
    <t>ORD03588</t>
  </si>
  <si>
    <t>ORD03589</t>
  </si>
  <si>
    <t>ORD03590</t>
  </si>
  <si>
    <t>ORD03591</t>
  </si>
  <si>
    <t>ORD03592</t>
  </si>
  <si>
    <t>ORD03593</t>
  </si>
  <si>
    <t>ORD03594</t>
  </si>
  <si>
    <t>ORD03595</t>
  </si>
  <si>
    <t>ORD03596</t>
  </si>
  <si>
    <t>ORD03597</t>
  </si>
  <si>
    <t>ORD03598</t>
  </si>
  <si>
    <t>ORD03599</t>
  </si>
  <si>
    <t>ORD03600</t>
  </si>
  <si>
    <t>ORD03601</t>
  </si>
  <si>
    <t>ORD03602</t>
  </si>
  <si>
    <t>ORD03603</t>
  </si>
  <si>
    <t>ORD03604</t>
  </si>
  <si>
    <t>ORD03605</t>
  </si>
  <si>
    <t>ORD03606</t>
  </si>
  <si>
    <t>ORD03607</t>
  </si>
  <si>
    <t>ORD03608</t>
  </si>
  <si>
    <t>ORD03609</t>
  </si>
  <si>
    <t>ORD03610</t>
  </si>
  <si>
    <t>ORD03611</t>
  </si>
  <si>
    <t>ORD03612</t>
  </si>
  <si>
    <t>ORD03613</t>
  </si>
  <si>
    <t>ORD03614</t>
  </si>
  <si>
    <t>ORD03615</t>
  </si>
  <si>
    <t>ORD03616</t>
  </si>
  <si>
    <t>ORD03617</t>
  </si>
  <si>
    <t>ORD03618</t>
  </si>
  <si>
    <t>ORD03619</t>
  </si>
  <si>
    <t>ORD03620</t>
  </si>
  <si>
    <t>ORD03621</t>
  </si>
  <si>
    <t>ORD03622</t>
  </si>
  <si>
    <t>ORD03623</t>
  </si>
  <si>
    <t>ORD03624</t>
  </si>
  <si>
    <t>ORD03625</t>
  </si>
  <si>
    <t>ORD03626</t>
  </si>
  <si>
    <t>ORD03627</t>
  </si>
  <si>
    <t>ORD03628</t>
  </si>
  <si>
    <t>ORD03629</t>
  </si>
  <si>
    <t>ORD03630</t>
  </si>
  <si>
    <t>ORD03631</t>
  </si>
  <si>
    <t>ORD03632</t>
  </si>
  <si>
    <t>ORD03633</t>
  </si>
  <si>
    <t>ORD03634</t>
  </si>
  <si>
    <t>ORD03635</t>
  </si>
  <si>
    <t>ORD03636</t>
  </si>
  <si>
    <t>ORD03637</t>
  </si>
  <si>
    <t>ORD03638</t>
  </si>
  <si>
    <t>ORD03639</t>
  </si>
  <si>
    <t>ORD03640</t>
  </si>
  <si>
    <t>ORD03641</t>
  </si>
  <si>
    <t>ORD03642</t>
  </si>
  <si>
    <t>ORD03643</t>
  </si>
  <si>
    <t>ORD03644</t>
  </si>
  <si>
    <t>ORD03645</t>
  </si>
  <si>
    <t>ORD03646</t>
  </si>
  <si>
    <t>ORD03647</t>
  </si>
  <si>
    <t>ORD03648</t>
  </si>
  <si>
    <t>ORD03649</t>
  </si>
  <si>
    <t>ORD03650</t>
  </si>
  <si>
    <t>ORD03651</t>
  </si>
  <si>
    <t>ORD03652</t>
  </si>
  <si>
    <t>ORD03653</t>
  </si>
  <si>
    <t>ORD03654</t>
  </si>
  <si>
    <t>ORD03655</t>
  </si>
  <si>
    <t>ORD03656</t>
  </si>
  <si>
    <t>ORD03657</t>
  </si>
  <si>
    <t>ORD03658</t>
  </si>
  <si>
    <t>ORD03659</t>
  </si>
  <si>
    <t>ORD03660</t>
  </si>
  <si>
    <t>ORD03661</t>
  </si>
  <si>
    <t>ORD03662</t>
  </si>
  <si>
    <t>ORD03663</t>
  </si>
  <si>
    <t>ORD03664</t>
  </si>
  <si>
    <t>ORD03665</t>
  </si>
  <si>
    <t>ORD03666</t>
  </si>
  <si>
    <t>ORD03667</t>
  </si>
  <si>
    <t>ORD03668</t>
  </si>
  <si>
    <t>ORD03669</t>
  </si>
  <si>
    <t>ORD03670</t>
  </si>
  <si>
    <t>ORD03671</t>
  </si>
  <si>
    <t>ORD03672</t>
  </si>
  <si>
    <t>ORD03673</t>
  </si>
  <si>
    <t>ORD03674</t>
  </si>
  <si>
    <t>ORD03675</t>
  </si>
  <si>
    <t>ORD03676</t>
  </si>
  <si>
    <t>ORD03677</t>
  </si>
  <si>
    <t>ORD03678</t>
  </si>
  <si>
    <t>ORD03679</t>
  </si>
  <si>
    <t>ORD03680</t>
  </si>
  <si>
    <t>ORD03681</t>
  </si>
  <si>
    <t>ORD03682</t>
  </si>
  <si>
    <t>ORD03683</t>
  </si>
  <si>
    <t>ORD03684</t>
  </si>
  <si>
    <t>ORD03685</t>
  </si>
  <si>
    <t>ORD03686</t>
  </si>
  <si>
    <t>ORD03687</t>
  </si>
  <si>
    <t>ORD03688</t>
  </si>
  <si>
    <t>ORD03689</t>
  </si>
  <si>
    <t>ORD03690</t>
  </si>
  <si>
    <t>ORD03691</t>
  </si>
  <si>
    <t>ORD03692</t>
  </si>
  <si>
    <t>ORD03693</t>
  </si>
  <si>
    <t>ORD03694</t>
  </si>
  <si>
    <t>ORD03695</t>
  </si>
  <si>
    <t>ORD03696</t>
  </si>
  <si>
    <t>ORD03697</t>
  </si>
  <si>
    <t>ORD03698</t>
  </si>
  <si>
    <t>ORD03699</t>
  </si>
  <si>
    <t>ORD03700</t>
  </si>
  <si>
    <t>ORD03701</t>
  </si>
  <si>
    <t>ORD03702</t>
  </si>
  <si>
    <t>ORD03703</t>
  </si>
  <si>
    <t>ORD03704</t>
  </si>
  <si>
    <t>ORD03705</t>
  </si>
  <si>
    <t>ORD03706</t>
  </si>
  <si>
    <t>ORD03707</t>
  </si>
  <si>
    <t>ORD03708</t>
  </si>
  <si>
    <t>ORD03709</t>
  </si>
  <si>
    <t>ORD03710</t>
  </si>
  <si>
    <t>ORD03711</t>
  </si>
  <si>
    <t>ORD03712</t>
  </si>
  <si>
    <t>ORD03713</t>
  </si>
  <si>
    <t>ORD03714</t>
  </si>
  <si>
    <t>ORD03715</t>
  </si>
  <si>
    <t>ORD03716</t>
  </si>
  <si>
    <t>ORD03717</t>
  </si>
  <si>
    <t>ORD03718</t>
  </si>
  <si>
    <t>ORD03719</t>
  </si>
  <si>
    <t>ORD03720</t>
  </si>
  <si>
    <t>ORD03721</t>
  </si>
  <si>
    <t>ORD03722</t>
  </si>
  <si>
    <t>ORD03723</t>
  </si>
  <si>
    <t>ORD03724</t>
  </si>
  <si>
    <t>ORD03725</t>
  </si>
  <si>
    <t>ORD03726</t>
  </si>
  <si>
    <t>ORD03727</t>
  </si>
  <si>
    <t>ORD03728</t>
  </si>
  <si>
    <t>ORD03729</t>
  </si>
  <si>
    <t>ORD03730</t>
  </si>
  <si>
    <t>ORD03731</t>
  </si>
  <si>
    <t>ORD03732</t>
  </si>
  <si>
    <t>ORD03733</t>
  </si>
  <si>
    <t>ORD03734</t>
  </si>
  <si>
    <t>ORD03735</t>
  </si>
  <si>
    <t>ORD03736</t>
  </si>
  <si>
    <t>ORD03737</t>
  </si>
  <si>
    <t>ORD03738</t>
  </si>
  <si>
    <t>ORD03739</t>
  </si>
  <si>
    <t>ORD03740</t>
  </si>
  <si>
    <t>ORD03741</t>
  </si>
  <si>
    <t>ORD03742</t>
  </si>
  <si>
    <t>ORD03743</t>
  </si>
  <si>
    <t>ORD03744</t>
  </si>
  <si>
    <t>ORD03745</t>
  </si>
  <si>
    <t>ORD03746</t>
  </si>
  <si>
    <t>ORD03747</t>
  </si>
  <si>
    <t>ORD03748</t>
  </si>
  <si>
    <t>ORD03749</t>
  </si>
  <si>
    <t>ORD03750</t>
  </si>
  <si>
    <t>ORD03751</t>
  </si>
  <si>
    <t>ORD03752</t>
  </si>
  <si>
    <t>ORD03753</t>
  </si>
  <si>
    <t>ORD03754</t>
  </si>
  <si>
    <t>ORD03755</t>
  </si>
  <si>
    <t>ORD03756</t>
  </si>
  <si>
    <t>ORD03757</t>
  </si>
  <si>
    <t>ORD03758</t>
  </si>
  <si>
    <t>ORD03759</t>
  </si>
  <si>
    <t>ORD03760</t>
  </si>
  <si>
    <t>ORD03761</t>
  </si>
  <si>
    <t>ORD03762</t>
  </si>
  <si>
    <t>ORD03763</t>
  </si>
  <si>
    <t>ORD03764</t>
  </si>
  <si>
    <t>ORD03765</t>
  </si>
  <si>
    <t>ORD03766</t>
  </si>
  <si>
    <t>ORD03767</t>
  </si>
  <si>
    <t>ORD03768</t>
  </si>
  <si>
    <t>ORD03769</t>
  </si>
  <si>
    <t>ORD03770</t>
  </si>
  <si>
    <t>ORD03771</t>
  </si>
  <si>
    <t>ORD03772</t>
  </si>
  <si>
    <t>ORD03773</t>
  </si>
  <si>
    <t>ORD03774</t>
  </si>
  <si>
    <t>ORD03775</t>
  </si>
  <si>
    <t>ORD03776</t>
  </si>
  <si>
    <t>ORD03777</t>
  </si>
  <si>
    <t>ORD03778</t>
  </si>
  <si>
    <t>ORD03779</t>
  </si>
  <si>
    <t>ORD03780</t>
  </si>
  <si>
    <t>ORD03781</t>
  </si>
  <si>
    <t>ORD03782</t>
  </si>
  <si>
    <t>ORD03783</t>
  </si>
  <si>
    <t>ORD03784</t>
  </si>
  <si>
    <t>ORD03785</t>
  </si>
  <si>
    <t>ORD03786</t>
  </si>
  <si>
    <t>ORD03787</t>
  </si>
  <si>
    <t>ORD03788</t>
  </si>
  <si>
    <t>ORD03789</t>
  </si>
  <si>
    <t>ORD03790</t>
  </si>
  <si>
    <t>ORD03791</t>
  </si>
  <si>
    <t>ORD03792</t>
  </si>
  <si>
    <t>ORD03793</t>
  </si>
  <si>
    <t>ORD03794</t>
  </si>
  <si>
    <t>ORD03795</t>
  </si>
  <si>
    <t>ORD03796</t>
  </si>
  <si>
    <t>ORD03797</t>
  </si>
  <si>
    <t>ORD03798</t>
  </si>
  <si>
    <t>ORD03799</t>
  </si>
  <si>
    <t>ORD03800</t>
  </si>
  <si>
    <t>ORD03801</t>
  </si>
  <si>
    <t>ORD03802</t>
  </si>
  <si>
    <t>ORD03803</t>
  </si>
  <si>
    <t>ORD03804</t>
  </si>
  <si>
    <t>ORD03805</t>
  </si>
  <si>
    <t>ORD03806</t>
  </si>
  <si>
    <t>ORD03807</t>
  </si>
  <si>
    <t>ORD03808</t>
  </si>
  <si>
    <t>ORD03809</t>
  </si>
  <si>
    <t>ORD03810</t>
  </si>
  <si>
    <t>ORD03811</t>
  </si>
  <si>
    <t>ORD03812</t>
  </si>
  <si>
    <t>ORD03813</t>
  </si>
  <si>
    <t>ORD03814</t>
  </si>
  <si>
    <t>ORD03815</t>
  </si>
  <si>
    <t>ORD03816</t>
  </si>
  <si>
    <t>ORD03817</t>
  </si>
  <si>
    <t>ORD03818</t>
  </si>
  <si>
    <t>ORD03819</t>
  </si>
  <si>
    <t>ORD03820</t>
  </si>
  <si>
    <t>ORD03821</t>
  </si>
  <si>
    <t>ORD03822</t>
  </si>
  <si>
    <t>ORD03823</t>
  </si>
  <si>
    <t>ORD03824</t>
  </si>
  <si>
    <t>ORD03825</t>
  </si>
  <si>
    <t>ORD03826</t>
  </si>
  <si>
    <t>ORD03827</t>
  </si>
  <si>
    <t>ORD03828</t>
  </si>
  <si>
    <t>ORD03829</t>
  </si>
  <si>
    <t>ORD03830</t>
  </si>
  <si>
    <t>ORD03831</t>
  </si>
  <si>
    <t>ORD03832</t>
  </si>
  <si>
    <t>ORD03833</t>
  </si>
  <si>
    <t>ORD03834</t>
  </si>
  <si>
    <t>ORD03835</t>
  </si>
  <si>
    <t>ORD03836</t>
  </si>
  <si>
    <t>ORD03837</t>
  </si>
  <si>
    <t>ORD03838</t>
  </si>
  <si>
    <t>ORD03839</t>
  </si>
  <si>
    <t>ORD03840</t>
  </si>
  <si>
    <t>ORD03841</t>
  </si>
  <si>
    <t>ORD03842</t>
  </si>
  <si>
    <t>ORD03843</t>
  </si>
  <si>
    <t>ORD03844</t>
  </si>
  <si>
    <t>ORD03845</t>
  </si>
  <si>
    <t>ORD03846</t>
  </si>
  <si>
    <t>ORD03847</t>
  </si>
  <si>
    <t>ORD03848</t>
  </si>
  <si>
    <t>ORD03849</t>
  </si>
  <si>
    <t>ORD03850</t>
  </si>
  <si>
    <t>ORD03851</t>
  </si>
  <si>
    <t>ORD03852</t>
  </si>
  <si>
    <t>ORD03853</t>
  </si>
  <si>
    <t>ORD03854</t>
  </si>
  <si>
    <t>ORD03855</t>
  </si>
  <si>
    <t>ORD03856</t>
  </si>
  <si>
    <t>ORD03857</t>
  </si>
  <si>
    <t>ORD03858</t>
  </si>
  <si>
    <t>ORD03859</t>
  </si>
  <si>
    <t>ORD03860</t>
  </si>
  <si>
    <t>ORD03861</t>
  </si>
  <si>
    <t>ORD03862</t>
  </si>
  <si>
    <t>ORD03863</t>
  </si>
  <si>
    <t>ORD03864</t>
  </si>
  <si>
    <t>ORD03865</t>
  </si>
  <si>
    <t>ORD03866</t>
  </si>
  <si>
    <t>ORD03867</t>
  </si>
  <si>
    <t>ORD03868</t>
  </si>
  <si>
    <t>ORD03869</t>
  </si>
  <si>
    <t>ORD03870</t>
  </si>
  <si>
    <t>ORD03871</t>
  </si>
  <si>
    <t>ORD03872</t>
  </si>
  <si>
    <t>ORD03873</t>
  </si>
  <si>
    <t>ORD03874</t>
  </si>
  <si>
    <t>ORD03875</t>
  </si>
  <si>
    <t>ORD03876</t>
  </si>
  <si>
    <t>ORD03877</t>
  </si>
  <si>
    <t>ORD03878</t>
  </si>
  <si>
    <t>ORD03879</t>
  </si>
  <si>
    <t>ORD03880</t>
  </si>
  <si>
    <t>ORD03881</t>
  </si>
  <si>
    <t>ORD03882</t>
  </si>
  <si>
    <t>ORD03883</t>
  </si>
  <si>
    <t>ORD03884</t>
  </si>
  <si>
    <t>ORD03885</t>
  </si>
  <si>
    <t>ORD03886</t>
  </si>
  <si>
    <t>ORD03887</t>
  </si>
  <si>
    <t>ORD03888</t>
  </si>
  <si>
    <t>ORD03889</t>
  </si>
  <si>
    <t>ORD03890</t>
  </si>
  <si>
    <t>ORD03891</t>
  </si>
  <si>
    <t>ORD03892</t>
  </si>
  <si>
    <t>ORD03893</t>
  </si>
  <si>
    <t>ORD03894</t>
  </si>
  <si>
    <t>ORD03895</t>
  </si>
  <si>
    <t>ORD03896</t>
  </si>
  <si>
    <t>ORD03897</t>
  </si>
  <si>
    <t>ORD03898</t>
  </si>
  <si>
    <t>ORD03899</t>
  </si>
  <si>
    <t>ORD03900</t>
  </si>
  <si>
    <t>ORD03901</t>
  </si>
  <si>
    <t>ORD03902</t>
  </si>
  <si>
    <t>ORD03903</t>
  </si>
  <si>
    <t>ORD03904</t>
  </si>
  <si>
    <t>ORD03905</t>
  </si>
  <si>
    <t>ORD03906</t>
  </si>
  <si>
    <t>ORD03907</t>
  </si>
  <si>
    <t>ORD03908</t>
  </si>
  <si>
    <t>ORD03909</t>
  </si>
  <si>
    <t>ORD03910</t>
  </si>
  <si>
    <t>ORD03911</t>
  </si>
  <si>
    <t>ORD03912</t>
  </si>
  <si>
    <t>ORD03913</t>
  </si>
  <si>
    <t>ORD03914</t>
  </si>
  <si>
    <t>ORD03915</t>
  </si>
  <si>
    <t>ORD03916</t>
  </si>
  <si>
    <t>ORD03917</t>
  </si>
  <si>
    <t>ORD03918</t>
  </si>
  <si>
    <t>ORD03919</t>
  </si>
  <si>
    <t>ORD03920</t>
  </si>
  <si>
    <t>ORD03921</t>
  </si>
  <si>
    <t>ORD03922</t>
  </si>
  <si>
    <t>ORD03923</t>
  </si>
  <si>
    <t>ORD03924</t>
  </si>
  <si>
    <t>ORD03925</t>
  </si>
  <si>
    <t>ORD03926</t>
  </si>
  <si>
    <t>ORD03927</t>
  </si>
  <si>
    <t>ORD03928</t>
  </si>
  <si>
    <t>ORD03929</t>
  </si>
  <si>
    <t>ORD03930</t>
  </si>
  <si>
    <t>ORD03931</t>
  </si>
  <si>
    <t>ORD03932</t>
  </si>
  <si>
    <t>ORD03933</t>
  </si>
  <si>
    <t>ORD03934</t>
  </si>
  <si>
    <t>ORD03935</t>
  </si>
  <si>
    <t>ORD03936</t>
  </si>
  <si>
    <t>ORD03937</t>
  </si>
  <si>
    <t>ORD03938</t>
  </si>
  <si>
    <t>ORD03939</t>
  </si>
  <si>
    <t>ORD03940</t>
  </si>
  <si>
    <t>ORD03941</t>
  </si>
  <si>
    <t>ORD03942</t>
  </si>
  <si>
    <t>ORD03943</t>
  </si>
  <si>
    <t>ORD03944</t>
  </si>
  <si>
    <t>ORD03945</t>
  </si>
  <si>
    <t>ORD03946</t>
  </si>
  <si>
    <t>ORD03947</t>
  </si>
  <si>
    <t>ORD03948</t>
  </si>
  <si>
    <t>ORD03949</t>
  </si>
  <si>
    <t>ORD03950</t>
  </si>
  <si>
    <t>ORD03951</t>
  </si>
  <si>
    <t>ORD03952</t>
  </si>
  <si>
    <t>ORD03953</t>
  </si>
  <si>
    <t>ORD03954</t>
  </si>
  <si>
    <t>ORD03955</t>
  </si>
  <si>
    <t>ORD03956</t>
  </si>
  <si>
    <t>ORD03957</t>
  </si>
  <si>
    <t>ORD03958</t>
  </si>
  <si>
    <t>ORD03959</t>
  </si>
  <si>
    <t>ORD03960</t>
  </si>
  <si>
    <t>ORD03961</t>
  </si>
  <si>
    <t>ORD03962</t>
  </si>
  <si>
    <t>ORD03963</t>
  </si>
  <si>
    <t>ORD03964</t>
  </si>
  <si>
    <t>ORD03965</t>
  </si>
  <si>
    <t>ORD03966</t>
  </si>
  <si>
    <t>ORD03967</t>
  </si>
  <si>
    <t>ORD03968</t>
  </si>
  <si>
    <t>ORD03969</t>
  </si>
  <si>
    <t>ORD03970</t>
  </si>
  <si>
    <t>ORD03971</t>
  </si>
  <si>
    <t>ORD03972</t>
  </si>
  <si>
    <t>ORD03973</t>
  </si>
  <si>
    <t>ORD03974</t>
  </si>
  <si>
    <t>ORD03975</t>
  </si>
  <si>
    <t>ORD03976</t>
  </si>
  <si>
    <t>ORD03977</t>
  </si>
  <si>
    <t>ORD03978</t>
  </si>
  <si>
    <t>ORD03979</t>
  </si>
  <si>
    <t>ORD03980</t>
  </si>
  <si>
    <t>ORD03981</t>
  </si>
  <si>
    <t>ORD03982</t>
  </si>
  <si>
    <t>ORD03983</t>
  </si>
  <si>
    <t>ORD03984</t>
  </si>
  <si>
    <t>ORD03985</t>
  </si>
  <si>
    <t>ORD03986</t>
  </si>
  <si>
    <t>ORD03987</t>
  </si>
  <si>
    <t>ORD03988</t>
  </si>
  <si>
    <t>ORD03989</t>
  </si>
  <si>
    <t>ORD03990</t>
  </si>
  <si>
    <t>ORD03991</t>
  </si>
  <si>
    <t>ORD03992</t>
  </si>
  <si>
    <t>ORD03993</t>
  </si>
  <si>
    <t>ORD03994</t>
  </si>
  <si>
    <t>ORD03995</t>
  </si>
  <si>
    <t>ORD03996</t>
  </si>
  <si>
    <t>ORD03997</t>
  </si>
  <si>
    <t>ORD03998</t>
  </si>
  <si>
    <t>ORD03999</t>
  </si>
  <si>
    <t>ORD04000</t>
  </si>
  <si>
    <t>ORD04001</t>
  </si>
  <si>
    <t>ORD04002</t>
  </si>
  <si>
    <t>ORD04003</t>
  </si>
  <si>
    <t>ORD04004</t>
  </si>
  <si>
    <t>ORD04005</t>
  </si>
  <si>
    <t>ORD04006</t>
  </si>
  <si>
    <t>ORD04007</t>
  </si>
  <si>
    <t>ORD04008</t>
  </si>
  <si>
    <t>ORD04009</t>
  </si>
  <si>
    <t>ORD04010</t>
  </si>
  <si>
    <t>ORD04011</t>
  </si>
  <si>
    <t>ORD04012</t>
  </si>
  <si>
    <t>ORD04013</t>
  </si>
  <si>
    <t>ORD04014</t>
  </si>
  <si>
    <t>ORD04015</t>
  </si>
  <si>
    <t>ORD04016</t>
  </si>
  <si>
    <t>ORD04017</t>
  </si>
  <si>
    <t>ORD04018</t>
  </si>
  <si>
    <t>ORD04019</t>
  </si>
  <si>
    <t>ORD04020</t>
  </si>
  <si>
    <t>ORD04021</t>
  </si>
  <si>
    <t>ORD04022</t>
  </si>
  <si>
    <t>ORD04023</t>
  </si>
  <si>
    <t>ORD04024</t>
  </si>
  <si>
    <t>ORD04025</t>
  </si>
  <si>
    <t>ORD04026</t>
  </si>
  <si>
    <t>ORD04027</t>
  </si>
  <si>
    <t>ORD04028</t>
  </si>
  <si>
    <t>ORD04029</t>
  </si>
  <si>
    <t>ORD04030</t>
  </si>
  <si>
    <t>ORD04031</t>
  </si>
  <si>
    <t>ORD04032</t>
  </si>
  <si>
    <t>ORD04033</t>
  </si>
  <si>
    <t>ORD04034</t>
  </si>
  <si>
    <t>ORD04035</t>
  </si>
  <si>
    <t>ORD04036</t>
  </si>
  <si>
    <t>ORD04037</t>
  </si>
  <si>
    <t>ORD04038</t>
  </si>
  <si>
    <t>ORD04039</t>
  </si>
  <si>
    <t>ORD04040</t>
  </si>
  <si>
    <t>ORD04041</t>
  </si>
  <si>
    <t>ORD04042</t>
  </si>
  <si>
    <t>ORD04043</t>
  </si>
  <si>
    <t>ORD04044</t>
  </si>
  <si>
    <t>ORD04045</t>
  </si>
  <si>
    <t>ORD04046</t>
  </si>
  <si>
    <t>ORD04047</t>
  </si>
  <si>
    <t>ORD04048</t>
  </si>
  <si>
    <t>ORD04049</t>
  </si>
  <si>
    <t>ORD04050</t>
  </si>
  <si>
    <t>ORD04051</t>
  </si>
  <si>
    <t>ORD04052</t>
  </si>
  <si>
    <t>ORD04053</t>
  </si>
  <si>
    <t>ORD04054</t>
  </si>
  <si>
    <t>ORD04055</t>
  </si>
  <si>
    <t>ORD04056</t>
  </si>
  <si>
    <t>ORD04057</t>
  </si>
  <si>
    <t>ORD04058</t>
  </si>
  <si>
    <t>ORD04059</t>
  </si>
  <si>
    <t>ORD04060</t>
  </si>
  <si>
    <t>ORD04061</t>
  </si>
  <si>
    <t>ORD04062</t>
  </si>
  <si>
    <t>ORD04063</t>
  </si>
  <si>
    <t>ORD04064</t>
  </si>
  <si>
    <t>ORD04065</t>
  </si>
  <si>
    <t>ORD04066</t>
  </si>
  <si>
    <t>ORD04067</t>
  </si>
  <si>
    <t>ORD04068</t>
  </si>
  <si>
    <t>ORD04069</t>
  </si>
  <si>
    <t>ORD04070</t>
  </si>
  <si>
    <t>ORD04071</t>
  </si>
  <si>
    <t>ORD04072</t>
  </si>
  <si>
    <t>ORD04073</t>
  </si>
  <si>
    <t>ORD04074</t>
  </si>
  <si>
    <t>ORD04075</t>
  </si>
  <si>
    <t>ORD04076</t>
  </si>
  <si>
    <t>ORD04077</t>
  </si>
  <si>
    <t>ORD04078</t>
  </si>
  <si>
    <t>ORD04079</t>
  </si>
  <si>
    <t>ORD04080</t>
  </si>
  <si>
    <t>ORD04081</t>
  </si>
  <si>
    <t>ORD04082</t>
  </si>
  <si>
    <t>ORD04083</t>
  </si>
  <si>
    <t>ORD04084</t>
  </si>
  <si>
    <t>ORD04085</t>
  </si>
  <si>
    <t>ORD04086</t>
  </si>
  <si>
    <t>ORD04087</t>
  </si>
  <si>
    <t>ORD04088</t>
  </si>
  <si>
    <t>ORD04089</t>
  </si>
  <si>
    <t>ORD04090</t>
  </si>
  <si>
    <t>ORD04091</t>
  </si>
  <si>
    <t>ORD04092</t>
  </si>
  <si>
    <t>ORD04093</t>
  </si>
  <si>
    <t>ORD04094</t>
  </si>
  <si>
    <t>ORD04095</t>
  </si>
  <si>
    <t>ORD04096</t>
  </si>
  <si>
    <t>ORD04097</t>
  </si>
  <si>
    <t>ORD04098</t>
  </si>
  <si>
    <t>ORD04099</t>
  </si>
  <si>
    <t>ORD04100</t>
  </si>
  <si>
    <t>ORD04101</t>
  </si>
  <si>
    <t>ORD04102</t>
  </si>
  <si>
    <t>ORD04103</t>
  </si>
  <si>
    <t>ORD04104</t>
  </si>
  <si>
    <t>ORD04105</t>
  </si>
  <si>
    <t>ORD04106</t>
  </si>
  <si>
    <t>ORD04107</t>
  </si>
  <si>
    <t>ORD04108</t>
  </si>
  <si>
    <t>ORD04109</t>
  </si>
  <si>
    <t>ORD04110</t>
  </si>
  <si>
    <t>ORD04111</t>
  </si>
  <si>
    <t>ORD04112</t>
  </si>
  <si>
    <t>ORD04113</t>
  </si>
  <si>
    <t>ORD04114</t>
  </si>
  <si>
    <t>ORD04115</t>
  </si>
  <si>
    <t>ORD04116</t>
  </si>
  <si>
    <t>ORD04117</t>
  </si>
  <si>
    <t>ORD04118</t>
  </si>
  <si>
    <t>ORD04119</t>
  </si>
  <si>
    <t>ORD04120</t>
  </si>
  <si>
    <t>ORD04121</t>
  </si>
  <si>
    <t>ORD04122</t>
  </si>
  <si>
    <t>ORD04123</t>
  </si>
  <si>
    <t>ORD04124</t>
  </si>
  <si>
    <t>ORD04125</t>
  </si>
  <si>
    <t>2023-08-05</t>
  </si>
  <si>
    <t>ORD04126</t>
  </si>
  <si>
    <t>ORD04127</t>
  </si>
  <si>
    <t>ORD04128</t>
  </si>
  <si>
    <t>ORD04129</t>
  </si>
  <si>
    <t>ORD04130</t>
  </si>
  <si>
    <t>ORD04131</t>
  </si>
  <si>
    <t>ORD04132</t>
  </si>
  <si>
    <t>ORD04133</t>
  </si>
  <si>
    <t>ORD04134</t>
  </si>
  <si>
    <t>ORD04135</t>
  </si>
  <si>
    <t>ORD04136</t>
  </si>
  <si>
    <t>ORD04137</t>
  </si>
  <si>
    <t>ORD04138</t>
  </si>
  <si>
    <t>ORD04139</t>
  </si>
  <si>
    <t>ORD04140</t>
  </si>
  <si>
    <t>ORD04141</t>
  </si>
  <si>
    <t>ORD04142</t>
  </si>
  <si>
    <t>ORD04143</t>
  </si>
  <si>
    <t>ORD04144</t>
  </si>
  <si>
    <t>ORD04145</t>
  </si>
  <si>
    <t>ORD04146</t>
  </si>
  <si>
    <t>ORD04147</t>
  </si>
  <si>
    <t>ORD04148</t>
  </si>
  <si>
    <t>ORD04149</t>
  </si>
  <si>
    <t>ORD04150</t>
  </si>
  <si>
    <t>ORD04151</t>
  </si>
  <si>
    <t>ORD04152</t>
  </si>
  <si>
    <t>ORD04153</t>
  </si>
  <si>
    <t>ORD04154</t>
  </si>
  <si>
    <t>ORD04155</t>
  </si>
  <si>
    <t>ORD04156</t>
  </si>
  <si>
    <t>ORD04157</t>
  </si>
  <si>
    <t>ORD04158</t>
  </si>
  <si>
    <t>ORD04159</t>
  </si>
  <si>
    <t>ORD04160</t>
  </si>
  <si>
    <t>ORD04161</t>
  </si>
  <si>
    <t>ORD04162</t>
  </si>
  <si>
    <t>ORD04163</t>
  </si>
  <si>
    <t>ORD04164</t>
  </si>
  <si>
    <t>ORD04165</t>
  </si>
  <si>
    <t>ORD04166</t>
  </si>
  <si>
    <t>ORD04167</t>
  </si>
  <si>
    <t>ORD04168</t>
  </si>
  <si>
    <t>ORD04169</t>
  </si>
  <si>
    <t>ORD04170</t>
  </si>
  <si>
    <t>ORD04171</t>
  </si>
  <si>
    <t>ORD04172</t>
  </si>
  <si>
    <t>ORD04173</t>
  </si>
  <si>
    <t>ORD04174</t>
  </si>
  <si>
    <t>ORD04175</t>
  </si>
  <si>
    <t>ORD04176</t>
  </si>
  <si>
    <t>ORD04177</t>
  </si>
  <si>
    <t>ORD04178</t>
  </si>
  <si>
    <t>ORD04179</t>
  </si>
  <si>
    <t>ORD04180</t>
  </si>
  <si>
    <t>ORD04181</t>
  </si>
  <si>
    <t>ORD04182</t>
  </si>
  <si>
    <t>ORD04183</t>
  </si>
  <si>
    <t>ORD04184</t>
  </si>
  <si>
    <t>ORD04185</t>
  </si>
  <si>
    <t>ORD04186</t>
  </si>
  <si>
    <t>ORD04187</t>
  </si>
  <si>
    <t>ORD04188</t>
  </si>
  <si>
    <t>ORD04189</t>
  </si>
  <si>
    <t>ORD04190</t>
  </si>
  <si>
    <t>ORD04191</t>
  </si>
  <si>
    <t>ORD04192</t>
  </si>
  <si>
    <t>ORD04193</t>
  </si>
  <si>
    <t>ORD04194</t>
  </si>
  <si>
    <t>ORD04195</t>
  </si>
  <si>
    <t>ORD04196</t>
  </si>
  <si>
    <t>ORD04197</t>
  </si>
  <si>
    <t>ORD04198</t>
  </si>
  <si>
    <t>ORD04199</t>
  </si>
  <si>
    <t>ORD04200</t>
  </si>
  <si>
    <t>ORD04201</t>
  </si>
  <si>
    <t>ORD04202</t>
  </si>
  <si>
    <t>ORD04203</t>
  </si>
  <si>
    <t>ORD04204</t>
  </si>
  <si>
    <t>ORD04205</t>
  </si>
  <si>
    <t>ORD04206</t>
  </si>
  <si>
    <t>ORD04207</t>
  </si>
  <si>
    <t>ORD04208</t>
  </si>
  <si>
    <t>ORD04209</t>
  </si>
  <si>
    <t>ORD04210</t>
  </si>
  <si>
    <t>ORD04211</t>
  </si>
  <si>
    <t>ORD04212</t>
  </si>
  <si>
    <t>ORD04213</t>
  </si>
  <si>
    <t>ORD04214</t>
  </si>
  <si>
    <t>ORD04215</t>
  </si>
  <si>
    <t>ORD04216</t>
  </si>
  <si>
    <t>ORD04217</t>
  </si>
  <si>
    <t>ORD04218</t>
  </si>
  <si>
    <t>ORD04219</t>
  </si>
  <si>
    <t>ORD04220</t>
  </si>
  <si>
    <t>ORD04221</t>
  </si>
  <si>
    <t>ORD04222</t>
  </si>
  <si>
    <t>ORD04223</t>
  </si>
  <si>
    <t>ORD04224</t>
  </si>
  <si>
    <t>ORD04225</t>
  </si>
  <si>
    <t>ORD04226</t>
  </si>
  <si>
    <t>ORD04227</t>
  </si>
  <si>
    <t>ORD04228</t>
  </si>
  <si>
    <t>ORD04229</t>
  </si>
  <si>
    <t>ORD04230</t>
  </si>
  <si>
    <t>ORD04231</t>
  </si>
  <si>
    <t>ORD04232</t>
  </si>
  <si>
    <t>ORD04233</t>
  </si>
  <si>
    <t>ORD04234</t>
  </si>
  <si>
    <t>ORD04235</t>
  </si>
  <si>
    <t>ORD04236</t>
  </si>
  <si>
    <t>ORD04237</t>
  </si>
  <si>
    <t>ORD04238</t>
  </si>
  <si>
    <t>ORD04239</t>
  </si>
  <si>
    <t>ORD04240</t>
  </si>
  <si>
    <t>ORD04241</t>
  </si>
  <si>
    <t>ORD04242</t>
  </si>
  <si>
    <t>ORD04243</t>
  </si>
  <si>
    <t>ORD04244</t>
  </si>
  <si>
    <t>ORD04245</t>
  </si>
  <si>
    <t>ORD04246</t>
  </si>
  <si>
    <t>ORD04247</t>
  </si>
  <si>
    <t>ORD04248</t>
  </si>
  <si>
    <t>ORD04249</t>
  </si>
  <si>
    <t>ORD04250</t>
  </si>
  <si>
    <t>ORD04251</t>
  </si>
  <si>
    <t>ORD04252</t>
  </si>
  <si>
    <t>ORD04253</t>
  </si>
  <si>
    <t>ORD04254</t>
  </si>
  <si>
    <t>ORD04255</t>
  </si>
  <si>
    <t>ORD04256</t>
  </si>
  <si>
    <t>ORD04257</t>
  </si>
  <si>
    <t>ORD04258</t>
  </si>
  <si>
    <t>ORD04259</t>
  </si>
  <si>
    <t>ORD04260</t>
  </si>
  <si>
    <t>ORD04261</t>
  </si>
  <si>
    <t>ORD04262</t>
  </si>
  <si>
    <t>ORD04263</t>
  </si>
  <si>
    <t>ORD04264</t>
  </si>
  <si>
    <t>ORD04265</t>
  </si>
  <si>
    <t>ORD04266</t>
  </si>
  <si>
    <t>ORD04267</t>
  </si>
  <si>
    <t>ORD04268</t>
  </si>
  <si>
    <t>ORD04269</t>
  </si>
  <si>
    <t>ORD04270</t>
  </si>
  <si>
    <t>ORD04271</t>
  </si>
  <si>
    <t>ORD04272</t>
  </si>
  <si>
    <t>ORD04273</t>
  </si>
  <si>
    <t>ORD04274</t>
  </si>
  <si>
    <t>ORD04275</t>
  </si>
  <si>
    <t>ORD04276</t>
  </si>
  <si>
    <t>ORD04277</t>
  </si>
  <si>
    <t>ORD04278</t>
  </si>
  <si>
    <t>ORD04279</t>
  </si>
  <si>
    <t>ORD04280</t>
  </si>
  <si>
    <t>ORD04281</t>
  </si>
  <si>
    <t>ORD04282</t>
  </si>
  <si>
    <t>ORD04283</t>
  </si>
  <si>
    <t>ORD04284</t>
  </si>
  <si>
    <t>ORD04285</t>
  </si>
  <si>
    <t>ORD04286</t>
  </si>
  <si>
    <t>ORD04287</t>
  </si>
  <si>
    <t>ORD04288</t>
  </si>
  <si>
    <t>ORD04289</t>
  </si>
  <si>
    <t>ORD04290</t>
  </si>
  <si>
    <t>ORD04291</t>
  </si>
  <si>
    <t>ORD04292</t>
  </si>
  <si>
    <t>ORD04293</t>
  </si>
  <si>
    <t>ORD04294</t>
  </si>
  <si>
    <t>ORD04295</t>
  </si>
  <si>
    <t>ORD04296</t>
  </si>
  <si>
    <t>ORD04297</t>
  </si>
  <si>
    <t>ORD04298</t>
  </si>
  <si>
    <t>ORD04299</t>
  </si>
  <si>
    <t>ORD04300</t>
  </si>
  <si>
    <t>ORD04301</t>
  </si>
  <si>
    <t>ORD04302</t>
  </si>
  <si>
    <t>ORD04303</t>
  </si>
  <si>
    <t>ORD04304</t>
  </si>
  <si>
    <t>ORD04305</t>
  </si>
  <si>
    <t>ORD04306</t>
  </si>
  <si>
    <t>ORD04307</t>
  </si>
  <si>
    <t>ORD04308</t>
  </si>
  <si>
    <t>ORD04309</t>
  </si>
  <si>
    <t>ORD04310</t>
  </si>
  <si>
    <t>ORD04311</t>
  </si>
  <si>
    <t>ORD04312</t>
  </si>
  <si>
    <t>ORD04313</t>
  </si>
  <si>
    <t>ORD04314</t>
  </si>
  <si>
    <t>ORD04315</t>
  </si>
  <si>
    <t>ORD04316</t>
  </si>
  <si>
    <t>ORD04317</t>
  </si>
  <si>
    <t>ORD04318</t>
  </si>
  <si>
    <t>ORD04319</t>
  </si>
  <si>
    <t>ORD04320</t>
  </si>
  <si>
    <t>ORD04321</t>
  </si>
  <si>
    <t>ORD04322</t>
  </si>
  <si>
    <t>ORD04323</t>
  </si>
  <si>
    <t>ORD04324</t>
  </si>
  <si>
    <t>ORD04325</t>
  </si>
  <si>
    <t>ORD04326</t>
  </si>
  <si>
    <t>ORD04327</t>
  </si>
  <si>
    <t>ORD04328</t>
  </si>
  <si>
    <t>ORD04329</t>
  </si>
  <si>
    <t>ORD04330</t>
  </si>
  <si>
    <t>ORD04331</t>
  </si>
  <si>
    <t>ORD04332</t>
  </si>
  <si>
    <t>ORD04333</t>
  </si>
  <si>
    <t>ORD04334</t>
  </si>
  <si>
    <t>ORD04335</t>
  </si>
  <si>
    <t>ORD04336</t>
  </si>
  <si>
    <t>ORD04337</t>
  </si>
  <si>
    <t>ORD04338</t>
  </si>
  <si>
    <t>ORD04339</t>
  </si>
  <si>
    <t>ORD04340</t>
  </si>
  <si>
    <t>ORD04341</t>
  </si>
  <si>
    <t>ORD04342</t>
  </si>
  <si>
    <t>ORD04343</t>
  </si>
  <si>
    <t>ORD04344</t>
  </si>
  <si>
    <t>ORD04345</t>
  </si>
  <si>
    <t>ORD04346</t>
  </si>
  <si>
    <t>ORD04347</t>
  </si>
  <si>
    <t>ORD04348</t>
  </si>
  <si>
    <t>ORD04349</t>
  </si>
  <si>
    <t>ORD04350</t>
  </si>
  <si>
    <t>ORD04351</t>
  </si>
  <si>
    <t>ORD04352</t>
  </si>
  <si>
    <t>ORD04353</t>
  </si>
  <si>
    <t>ORD04354</t>
  </si>
  <si>
    <t>ORD04355</t>
  </si>
  <si>
    <t>ORD04356</t>
  </si>
  <si>
    <t>ORD04357</t>
  </si>
  <si>
    <t>ORD04358</t>
  </si>
  <si>
    <t>ORD04359</t>
  </si>
  <si>
    <t>ORD04360</t>
  </si>
  <si>
    <t>ORD04361</t>
  </si>
  <si>
    <t>ORD04362</t>
  </si>
  <si>
    <t>ORD04363</t>
  </si>
  <si>
    <t>ORD04364</t>
  </si>
  <si>
    <t>ORD04365</t>
  </si>
  <si>
    <t>ORD04366</t>
  </si>
  <si>
    <t>ORD04367</t>
  </si>
  <si>
    <t>ORD04368</t>
  </si>
  <si>
    <t>ORD04369</t>
  </si>
  <si>
    <t>ORD04370</t>
  </si>
  <si>
    <t>ORD04371</t>
  </si>
  <si>
    <t>ORD04372</t>
  </si>
  <si>
    <t>ORD04373</t>
  </si>
  <si>
    <t>ORD04374</t>
  </si>
  <si>
    <t>ORD04375</t>
  </si>
  <si>
    <t>ORD04376</t>
  </si>
  <si>
    <t>ORD04377</t>
  </si>
  <si>
    <t>ORD04378</t>
  </si>
  <si>
    <t>ORD04379</t>
  </si>
  <si>
    <t>ORD04380</t>
  </si>
  <si>
    <t>ORD04381</t>
  </si>
  <si>
    <t>ORD04382</t>
  </si>
  <si>
    <t>ORD04383</t>
  </si>
  <si>
    <t>ORD04384</t>
  </si>
  <si>
    <t>ORD04385</t>
  </si>
  <si>
    <t>ORD04386</t>
  </si>
  <si>
    <t>ORD04387</t>
  </si>
  <si>
    <t>ORD04388</t>
  </si>
  <si>
    <t>ORD04389</t>
  </si>
  <si>
    <t>ORD04390</t>
  </si>
  <si>
    <t>ORD04391</t>
  </si>
  <si>
    <t>ORD04392</t>
  </si>
  <si>
    <t>ORD04393</t>
  </si>
  <si>
    <t>ORD04394</t>
  </si>
  <si>
    <t>ORD04395</t>
  </si>
  <si>
    <t>ORD04396</t>
  </si>
  <si>
    <t>ORD04397</t>
  </si>
  <si>
    <t>ORD04398</t>
  </si>
  <si>
    <t>ORD04399</t>
  </si>
  <si>
    <t>ORD04400</t>
  </si>
  <si>
    <t>ORD04401</t>
  </si>
  <si>
    <t>ORD04402</t>
  </si>
  <si>
    <t>ORD04403</t>
  </si>
  <si>
    <t>ORD04404</t>
  </si>
  <si>
    <t>ORD04405</t>
  </si>
  <si>
    <t>ORD04406</t>
  </si>
  <si>
    <t>ORD04407</t>
  </si>
  <si>
    <t>ORD04408</t>
  </si>
  <si>
    <t>ORD04409</t>
  </si>
  <si>
    <t>ORD04410</t>
  </si>
  <si>
    <t>ORD04411</t>
  </si>
  <si>
    <t>ORD04412</t>
  </si>
  <si>
    <t>ORD04413</t>
  </si>
  <si>
    <t>ORD04414</t>
  </si>
  <si>
    <t>ORD04415</t>
  </si>
  <si>
    <t>ORD04416</t>
  </si>
  <si>
    <t>ORD04417</t>
  </si>
  <si>
    <t>ORD04418</t>
  </si>
  <si>
    <t>ORD04419</t>
  </si>
  <si>
    <t>ORD04420</t>
  </si>
  <si>
    <t>ORD04421</t>
  </si>
  <si>
    <t>ORD04422</t>
  </si>
  <si>
    <t>ORD04423</t>
  </si>
  <si>
    <t>ORD04424</t>
  </si>
  <si>
    <t>ORD04425</t>
  </si>
  <si>
    <t>ORD04426</t>
  </si>
  <si>
    <t>ORD04427</t>
  </si>
  <si>
    <t>ORD04428</t>
  </si>
  <si>
    <t>ORD04429</t>
  </si>
  <si>
    <t>ORD04430</t>
  </si>
  <si>
    <t>ORD04431</t>
  </si>
  <si>
    <t>ORD04432</t>
  </si>
  <si>
    <t>ORD04433</t>
  </si>
  <si>
    <t>ORD04434</t>
  </si>
  <si>
    <t>ORD04435</t>
  </si>
  <si>
    <t>ORD04436</t>
  </si>
  <si>
    <t>ORD04437</t>
  </si>
  <si>
    <t>ORD04438</t>
  </si>
  <si>
    <t>ORD04439</t>
  </si>
  <si>
    <t>ORD04440</t>
  </si>
  <si>
    <t>ORD04441</t>
  </si>
  <si>
    <t>ORD04442</t>
  </si>
  <si>
    <t>ORD04443</t>
  </si>
  <si>
    <t>ORD04444</t>
  </si>
  <si>
    <t>ORD04445</t>
  </si>
  <si>
    <t>ORD04446</t>
  </si>
  <si>
    <t>ORD04447</t>
  </si>
  <si>
    <t>ORD04448</t>
  </si>
  <si>
    <t>ORD04449</t>
  </si>
  <si>
    <t>ORD04450</t>
  </si>
  <si>
    <t>ORD04451</t>
  </si>
  <si>
    <t>ORD04452</t>
  </si>
  <si>
    <t>ORD04453</t>
  </si>
  <si>
    <t>ORD04454</t>
  </si>
  <si>
    <t>ORD04455</t>
  </si>
  <si>
    <t>ORD04456</t>
  </si>
  <si>
    <t>ORD04457</t>
  </si>
  <si>
    <t>ORD04458</t>
  </si>
  <si>
    <t>ORD04459</t>
  </si>
  <si>
    <t>ORD04460</t>
  </si>
  <si>
    <t>ORD04461</t>
  </si>
  <si>
    <t>ORD04462</t>
  </si>
  <si>
    <t>ORD04463</t>
  </si>
  <si>
    <t>ORD04464</t>
  </si>
  <si>
    <t>ORD04465</t>
  </si>
  <si>
    <t>ORD04466</t>
  </si>
  <si>
    <t>ORD04467</t>
  </si>
  <si>
    <t>ORD04468</t>
  </si>
  <si>
    <t>ORD04469</t>
  </si>
  <si>
    <t>ORD04470</t>
  </si>
  <si>
    <t>ORD04471</t>
  </si>
  <si>
    <t>ORD04472</t>
  </si>
  <si>
    <t>ORD04473</t>
  </si>
  <si>
    <t>ORD04474</t>
  </si>
  <si>
    <t>ORD04475</t>
  </si>
  <si>
    <t>ORD04476</t>
  </si>
  <si>
    <t>ORD04477</t>
  </si>
  <si>
    <t>ORD04478</t>
  </si>
  <si>
    <t>ORD04479</t>
  </si>
  <si>
    <t>ORD04480</t>
  </si>
  <si>
    <t>ORD04481</t>
  </si>
  <si>
    <t>ORD04482</t>
  </si>
  <si>
    <t>ORD04483</t>
  </si>
  <si>
    <t>ORD04484</t>
  </si>
  <si>
    <t>ORD04485</t>
  </si>
  <si>
    <t>ORD04486</t>
  </si>
  <si>
    <t>ORD04487</t>
  </si>
  <si>
    <t>ORD04488</t>
  </si>
  <si>
    <t>ORD04489</t>
  </si>
  <si>
    <t>ORD04490</t>
  </si>
  <si>
    <t>ORD04491</t>
  </si>
  <si>
    <t>ORD04492</t>
  </si>
  <si>
    <t>ORD04493</t>
  </si>
  <si>
    <t>ORD04494</t>
  </si>
  <si>
    <t>ORD04495</t>
  </si>
  <si>
    <t>ORD04496</t>
  </si>
  <si>
    <t>ORD04497</t>
  </si>
  <si>
    <t>ORD04498</t>
  </si>
  <si>
    <t>ORD04499</t>
  </si>
  <si>
    <t>ORD04500</t>
  </si>
  <si>
    <t>ORD04501</t>
  </si>
  <si>
    <t>ORD04502</t>
  </si>
  <si>
    <t>ORD04503</t>
  </si>
  <si>
    <t>ORD04504</t>
  </si>
  <si>
    <t>ORD04505</t>
  </si>
  <si>
    <t>ORD04506</t>
  </si>
  <si>
    <t>ORD04507</t>
  </si>
  <si>
    <t>ORD04508</t>
  </si>
  <si>
    <t>ORD04509</t>
  </si>
  <si>
    <t>ORD04510</t>
  </si>
  <si>
    <t>ORD04511</t>
  </si>
  <si>
    <t>ORD04512</t>
  </si>
  <si>
    <t>ORD04513</t>
  </si>
  <si>
    <t>ORD04514</t>
  </si>
  <si>
    <t>ORD04515</t>
  </si>
  <si>
    <t>ORD04516</t>
  </si>
  <si>
    <t>ORD04517</t>
  </si>
  <si>
    <t>ORD04518</t>
  </si>
  <si>
    <t>ORD04519</t>
  </si>
  <si>
    <t>ORD04520</t>
  </si>
  <si>
    <t>ORD04521</t>
  </si>
  <si>
    <t>ORD04522</t>
  </si>
  <si>
    <t>ORD04523</t>
  </si>
  <si>
    <t>ORD04524</t>
  </si>
  <si>
    <t>ORD04525</t>
  </si>
  <si>
    <t>ORD04526</t>
  </si>
  <si>
    <t>ORD04527</t>
  </si>
  <si>
    <t>ORD04528</t>
  </si>
  <si>
    <t>ORD04529</t>
  </si>
  <si>
    <t>ORD04530</t>
  </si>
  <si>
    <t>ORD04531</t>
  </si>
  <si>
    <t>ORD04532</t>
  </si>
  <si>
    <t>ORD04533</t>
  </si>
  <si>
    <t>ORD04534</t>
  </si>
  <si>
    <t>ORD04535</t>
  </si>
  <si>
    <t>ORD04536</t>
  </si>
  <si>
    <t>ORD04537</t>
  </si>
  <si>
    <t>ORD04538</t>
  </si>
  <si>
    <t>ORD04539</t>
  </si>
  <si>
    <t>ORD04540</t>
  </si>
  <si>
    <t>ORD04541</t>
  </si>
  <si>
    <t>ORD04542</t>
  </si>
  <si>
    <t>ORD04543</t>
  </si>
  <si>
    <t>ORD04544</t>
  </si>
  <si>
    <t>ORD04545</t>
  </si>
  <si>
    <t>ORD04546</t>
  </si>
  <si>
    <t>ORD04547</t>
  </si>
  <si>
    <t>ORD04548</t>
  </si>
  <si>
    <t>ORD04549</t>
  </si>
  <si>
    <t>ORD04550</t>
  </si>
  <si>
    <t>ORD04551</t>
  </si>
  <si>
    <t>ORD04552</t>
  </si>
  <si>
    <t>ORD04553</t>
  </si>
  <si>
    <t>ORD04554</t>
  </si>
  <si>
    <t>ORD04555</t>
  </si>
  <si>
    <t>ORD04556</t>
  </si>
  <si>
    <t>ORD04557</t>
  </si>
  <si>
    <t>ORD04558</t>
  </si>
  <si>
    <t>ORD04559</t>
  </si>
  <si>
    <t>ORD04560</t>
  </si>
  <si>
    <t>ORD04561</t>
  </si>
  <si>
    <t>ORD04562</t>
  </si>
  <si>
    <t>ORD04563</t>
  </si>
  <si>
    <t>ORD04564</t>
  </si>
  <si>
    <t>ORD04565</t>
  </si>
  <si>
    <t>ORD04566</t>
  </si>
  <si>
    <t>ORD04567</t>
  </si>
  <si>
    <t>ORD04568</t>
  </si>
  <si>
    <t>ORD04569</t>
  </si>
  <si>
    <t>ORD04570</t>
  </si>
  <si>
    <t>ORD04571</t>
  </si>
  <si>
    <t>ORD04572</t>
  </si>
  <si>
    <t>ORD04573</t>
  </si>
  <si>
    <t>ORD04574</t>
  </si>
  <si>
    <t>ORD04575</t>
  </si>
  <si>
    <t>ORD04576</t>
  </si>
  <si>
    <t>ORD04577</t>
  </si>
  <si>
    <t>ORD04578</t>
  </si>
  <si>
    <t>ORD04579</t>
  </si>
  <si>
    <t>ORD04580</t>
  </si>
  <si>
    <t>ORD04581</t>
  </si>
  <si>
    <t>ORD04582</t>
  </si>
  <si>
    <t>ORD04583</t>
  </si>
  <si>
    <t>ORD04584</t>
  </si>
  <si>
    <t>ORD04585</t>
  </si>
  <si>
    <t>ORD04586</t>
  </si>
  <si>
    <t>ORD04587</t>
  </si>
  <si>
    <t>ORD04588</t>
  </si>
  <si>
    <t>ORD04589</t>
  </si>
  <si>
    <t>ORD04590</t>
  </si>
  <si>
    <t>ORD04591</t>
  </si>
  <si>
    <t>ORD04592</t>
  </si>
  <si>
    <t>ORD04593</t>
  </si>
  <si>
    <t>ORD04594</t>
  </si>
  <si>
    <t>ORD04595</t>
  </si>
  <si>
    <t>ORD04596</t>
  </si>
  <si>
    <t>ORD04597</t>
  </si>
  <si>
    <t>ORD04598</t>
  </si>
  <si>
    <t>ORD04599</t>
  </si>
  <si>
    <t>ORD04600</t>
  </si>
  <si>
    <t>ORD04601</t>
  </si>
  <si>
    <t>ORD04602</t>
  </si>
  <si>
    <t>ORD04603</t>
  </si>
  <si>
    <t>ORD04604</t>
  </si>
  <si>
    <t>ORD04605</t>
  </si>
  <si>
    <t>ORD04606</t>
  </si>
  <si>
    <t>ORD04607</t>
  </si>
  <si>
    <t>ORD04608</t>
  </si>
  <si>
    <t>ORD04609</t>
  </si>
  <si>
    <t>ORD04610</t>
  </si>
  <si>
    <t>ORD04611</t>
  </si>
  <si>
    <t>ORD04612</t>
  </si>
  <si>
    <t>ORD04613</t>
  </si>
  <si>
    <t>ORD04614</t>
  </si>
  <si>
    <t>ORD04615</t>
  </si>
  <si>
    <t>ORD04616</t>
  </si>
  <si>
    <t>ORD04617</t>
  </si>
  <si>
    <t>ORD04618</t>
  </si>
  <si>
    <t>ORD04619</t>
  </si>
  <si>
    <t>ORD04620</t>
  </si>
  <si>
    <t>ORD04621</t>
  </si>
  <si>
    <t>ORD04622</t>
  </si>
  <si>
    <t>ORD04623</t>
  </si>
  <si>
    <t>ORD04624</t>
  </si>
  <si>
    <t>ORD04625</t>
  </si>
  <si>
    <t>ORD04626</t>
  </si>
  <si>
    <t>ORD04627</t>
  </si>
  <si>
    <t>ORD04628</t>
  </si>
  <si>
    <t>ORD04629</t>
  </si>
  <si>
    <t>ORD04630</t>
  </si>
  <si>
    <t>ORD04631</t>
  </si>
  <si>
    <t>ORD04632</t>
  </si>
  <si>
    <t>ORD04633</t>
  </si>
  <si>
    <t>ORD04634</t>
  </si>
  <si>
    <t>ORD04635</t>
  </si>
  <si>
    <t>ORD04636</t>
  </si>
  <si>
    <t>ORD04637</t>
  </si>
  <si>
    <t>ORD04638</t>
  </si>
  <si>
    <t>ORD04639</t>
  </si>
  <si>
    <t>ORD04640</t>
  </si>
  <si>
    <t>ORD04641</t>
  </si>
  <si>
    <t>ORD04642</t>
  </si>
  <si>
    <t>ORD04643</t>
  </si>
  <si>
    <t>ORD04644</t>
  </si>
  <si>
    <t>ORD04645</t>
  </si>
  <si>
    <t>ORD04646</t>
  </si>
  <si>
    <t>ORD04647</t>
  </si>
  <si>
    <t>ORD04648</t>
  </si>
  <si>
    <t>ORD04649</t>
  </si>
  <si>
    <t>ORD04650</t>
  </si>
  <si>
    <t>ORD04651</t>
  </si>
  <si>
    <t>ORD04652</t>
  </si>
  <si>
    <t>ORD04653</t>
  </si>
  <si>
    <t>ORD04654</t>
  </si>
  <si>
    <t>ORD04655</t>
  </si>
  <si>
    <t>ORD04656</t>
  </si>
  <si>
    <t>ORD04657</t>
  </si>
  <si>
    <t>ORD04658</t>
  </si>
  <si>
    <t>ORD04659</t>
  </si>
  <si>
    <t>ORD04660</t>
  </si>
  <si>
    <t>ORD04661</t>
  </si>
  <si>
    <t>ORD04662</t>
  </si>
  <si>
    <t>ORD04663</t>
  </si>
  <si>
    <t>ORD04664</t>
  </si>
  <si>
    <t>ORD04665</t>
  </si>
  <si>
    <t>ORD04666</t>
  </si>
  <si>
    <t>ORD04667</t>
  </si>
  <si>
    <t>ORD04668</t>
  </si>
  <si>
    <t>ORD04669</t>
  </si>
  <si>
    <t>ORD04670</t>
  </si>
  <si>
    <t>ORD04671</t>
  </si>
  <si>
    <t>ORD04672</t>
  </si>
  <si>
    <t>ORD04673</t>
  </si>
  <si>
    <t>ORD04674</t>
  </si>
  <si>
    <t>ORD04675</t>
  </si>
  <si>
    <t>ORD04676</t>
  </si>
  <si>
    <t>ORD04677</t>
  </si>
  <si>
    <t>ORD04678</t>
  </si>
  <si>
    <t>ORD04679</t>
  </si>
  <si>
    <t>ORD04680</t>
  </si>
  <si>
    <t>ORD04681</t>
  </si>
  <si>
    <t>ORD04682</t>
  </si>
  <si>
    <t>ORD04683</t>
  </si>
  <si>
    <t>ORD04684</t>
  </si>
  <si>
    <t>ORD04685</t>
  </si>
  <si>
    <t>ORD04686</t>
  </si>
  <si>
    <t>ORD04687</t>
  </si>
  <si>
    <t>ORD04688</t>
  </si>
  <si>
    <t>ORD04689</t>
  </si>
  <si>
    <t>ORD04690</t>
  </si>
  <si>
    <t>ORD04691</t>
  </si>
  <si>
    <t>ORD04692</t>
  </si>
  <si>
    <t>ORD04693</t>
  </si>
  <si>
    <t>ORD04694</t>
  </si>
  <si>
    <t>ORD04695</t>
  </si>
  <si>
    <t>ORD04696</t>
  </si>
  <si>
    <t>ORD04697</t>
  </si>
  <si>
    <t>ORD04698</t>
  </si>
  <si>
    <t>ORD04699</t>
  </si>
  <si>
    <t>ORD04700</t>
  </si>
  <si>
    <t>ORD04701</t>
  </si>
  <si>
    <t>ORD04702</t>
  </si>
  <si>
    <t>ORD04703</t>
  </si>
  <si>
    <t>ORD04704</t>
  </si>
  <si>
    <t>ORD04705</t>
  </si>
  <si>
    <t>ORD04706</t>
  </si>
  <si>
    <t>ORD04707</t>
  </si>
  <si>
    <t>ORD04708</t>
  </si>
  <si>
    <t>ORD04709</t>
  </si>
  <si>
    <t>ORD04710</t>
  </si>
  <si>
    <t>ORD04711</t>
  </si>
  <si>
    <t>ORD04712</t>
  </si>
  <si>
    <t>ORD04713</t>
  </si>
  <si>
    <t>ORD04714</t>
  </si>
  <si>
    <t>ORD04715</t>
  </si>
  <si>
    <t>ORD04716</t>
  </si>
  <si>
    <t>ORD04717</t>
  </si>
  <si>
    <t>ORD04718</t>
  </si>
  <si>
    <t>ORD04719</t>
  </si>
  <si>
    <t>ORD04720</t>
  </si>
  <si>
    <t>ORD04721</t>
  </si>
  <si>
    <t>ORD04722</t>
  </si>
  <si>
    <t>ORD04723</t>
  </si>
  <si>
    <t>ORD04724</t>
  </si>
  <si>
    <t>ORD04725</t>
  </si>
  <si>
    <t>ORD04726</t>
  </si>
  <si>
    <t>ORD04727</t>
  </si>
  <si>
    <t>ORD04728</t>
  </si>
  <si>
    <t>ORD04729</t>
  </si>
  <si>
    <t>ORD04730</t>
  </si>
  <si>
    <t>ORD04731</t>
  </si>
  <si>
    <t>ORD04732</t>
  </si>
  <si>
    <t>ORD04733</t>
  </si>
  <si>
    <t>ORD04734</t>
  </si>
  <si>
    <t>ORD04735</t>
  </si>
  <si>
    <t>ORD04736</t>
  </si>
  <si>
    <t>ORD04737</t>
  </si>
  <si>
    <t>ORD04738</t>
  </si>
  <si>
    <t>ORD04739</t>
  </si>
  <si>
    <t>ORD04740</t>
  </si>
  <si>
    <t>ORD04741</t>
  </si>
  <si>
    <t>2024-02-14</t>
  </si>
  <si>
    <t>ORD04742</t>
  </si>
  <si>
    <t>ORD04743</t>
  </si>
  <si>
    <t>ORD04744</t>
  </si>
  <si>
    <t>ORD04745</t>
  </si>
  <si>
    <t>ORD04746</t>
  </si>
  <si>
    <t>ORD04747</t>
  </si>
  <si>
    <t>ORD04748</t>
  </si>
  <si>
    <t>ORD04749</t>
  </si>
  <si>
    <t>ORD04750</t>
  </si>
  <si>
    <t>ORD04751</t>
  </si>
  <si>
    <t>ORD04752</t>
  </si>
  <si>
    <t>ORD04753</t>
  </si>
  <si>
    <t>ORD04754</t>
  </si>
  <si>
    <t>ORD04755</t>
  </si>
  <si>
    <t>ORD04756</t>
  </si>
  <si>
    <t>ORD04757</t>
  </si>
  <si>
    <t>ORD04758</t>
  </si>
  <si>
    <t>ORD04759</t>
  </si>
  <si>
    <t>ORD04760</t>
  </si>
  <si>
    <t>ORD04761</t>
  </si>
  <si>
    <t>ORD04762</t>
  </si>
  <si>
    <t>ORD04763</t>
  </si>
  <si>
    <t>ORD04764</t>
  </si>
  <si>
    <t>ORD04765</t>
  </si>
  <si>
    <t>ORD04766</t>
  </si>
  <si>
    <t>ORD04767</t>
  </si>
  <si>
    <t>ORD04768</t>
  </si>
  <si>
    <t>ORD04769</t>
  </si>
  <si>
    <t>ORD04770</t>
  </si>
  <si>
    <t>ORD04771</t>
  </si>
  <si>
    <t>ORD04772</t>
  </si>
  <si>
    <t>ORD04773</t>
  </si>
  <si>
    <t>ORD04774</t>
  </si>
  <si>
    <t>ORD04775</t>
  </si>
  <si>
    <t>ORD04776</t>
  </si>
  <si>
    <t>ORD04777</t>
  </si>
  <si>
    <t>ORD04778</t>
  </si>
  <si>
    <t>ORD04779</t>
  </si>
  <si>
    <t>ORD04780</t>
  </si>
  <si>
    <t>ORD04781</t>
  </si>
  <si>
    <t>ORD04782</t>
  </si>
  <si>
    <t>ORD04783</t>
  </si>
  <si>
    <t>ORD04784</t>
  </si>
  <si>
    <t>ORD04785</t>
  </si>
  <si>
    <t>ORD04786</t>
  </si>
  <si>
    <t>ORD04787</t>
  </si>
  <si>
    <t>ORD04788</t>
  </si>
  <si>
    <t>ORD04789</t>
  </si>
  <si>
    <t>ORD04790</t>
  </si>
  <si>
    <t>ORD04791</t>
  </si>
  <si>
    <t>ORD04792</t>
  </si>
  <si>
    <t>ORD04793</t>
  </si>
  <si>
    <t>ORD04794</t>
  </si>
  <si>
    <t>ORD04795</t>
  </si>
  <si>
    <t>ORD04796</t>
  </si>
  <si>
    <t>ORD04797</t>
  </si>
  <si>
    <t>ORD04798</t>
  </si>
  <si>
    <t>ORD04799</t>
  </si>
  <si>
    <t>ORD04800</t>
  </si>
  <si>
    <t>ORD04801</t>
  </si>
  <si>
    <t>ORD04802</t>
  </si>
  <si>
    <t>ORD04803</t>
  </si>
  <si>
    <t>ORD04804</t>
  </si>
  <si>
    <t>ORD04805</t>
  </si>
  <si>
    <t>ORD04806</t>
  </si>
  <si>
    <t>ORD04807</t>
  </si>
  <si>
    <t>ORD04808</t>
  </si>
  <si>
    <t>ORD04809</t>
  </si>
  <si>
    <t>ORD04810</t>
  </si>
  <si>
    <t>ORD04811</t>
  </si>
  <si>
    <t>ORD04812</t>
  </si>
  <si>
    <t>ORD04813</t>
  </si>
  <si>
    <t>ORD04814</t>
  </si>
  <si>
    <t>ORD04815</t>
  </si>
  <si>
    <t>ORD04816</t>
  </si>
  <si>
    <t>ORD04817</t>
  </si>
  <si>
    <t>ORD04818</t>
  </si>
  <si>
    <t>ORD04819</t>
  </si>
  <si>
    <t>ORD04820</t>
  </si>
  <si>
    <t>ORD04821</t>
  </si>
  <si>
    <t>ORD04822</t>
  </si>
  <si>
    <t>ORD04823</t>
  </si>
  <si>
    <t>ORD04824</t>
  </si>
  <si>
    <t>ORD04825</t>
  </si>
  <si>
    <t>ORD04826</t>
  </si>
  <si>
    <t>ORD04827</t>
  </si>
  <si>
    <t>ORD04828</t>
  </si>
  <si>
    <t>ORD04829</t>
  </si>
  <si>
    <t>ORD04830</t>
  </si>
  <si>
    <t>ORD04831</t>
  </si>
  <si>
    <t>ORD04832</t>
  </si>
  <si>
    <t>ORD04833</t>
  </si>
  <si>
    <t>ORD04834</t>
  </si>
  <si>
    <t>ORD04835</t>
  </si>
  <si>
    <t>ORD04836</t>
  </si>
  <si>
    <t>ORD04837</t>
  </si>
  <si>
    <t>ORD04838</t>
  </si>
  <si>
    <t>ORD04839</t>
  </si>
  <si>
    <t>ORD04840</t>
  </si>
  <si>
    <t>ORD04841</t>
  </si>
  <si>
    <t>ORD04842</t>
  </si>
  <si>
    <t>ORD04843</t>
  </si>
  <si>
    <t>ORD04844</t>
  </si>
  <si>
    <t>ORD04845</t>
  </si>
  <si>
    <t>ORD04846</t>
  </si>
  <si>
    <t>ORD04847</t>
  </si>
  <si>
    <t>ORD04848</t>
  </si>
  <si>
    <t>ORD04849</t>
  </si>
  <si>
    <t>ORD04850</t>
  </si>
  <si>
    <t>ORD04851</t>
  </si>
  <si>
    <t>ORD04852</t>
  </si>
  <si>
    <t>ORD04853</t>
  </si>
  <si>
    <t>ORD04854</t>
  </si>
  <si>
    <t>ORD04855</t>
  </si>
  <si>
    <t>ORD04856</t>
  </si>
  <si>
    <t>ORD04857</t>
  </si>
  <si>
    <t>ORD04858</t>
  </si>
  <si>
    <t>ORD04859</t>
  </si>
  <si>
    <t>ORD04860</t>
  </si>
  <si>
    <t>ORD04861</t>
  </si>
  <si>
    <t>ORD04862</t>
  </si>
  <si>
    <t>ORD04863</t>
  </si>
  <si>
    <t>ORD04864</t>
  </si>
  <si>
    <t>ORD04865</t>
  </si>
  <si>
    <t>ORD04866</t>
  </si>
  <si>
    <t>ORD04867</t>
  </si>
  <si>
    <t>ORD04868</t>
  </si>
  <si>
    <t>ORD04869</t>
  </si>
  <si>
    <t>ORD04870</t>
  </si>
  <si>
    <t>ORD04871</t>
  </si>
  <si>
    <t>ORD04872</t>
  </si>
  <si>
    <t>ORD04873</t>
  </si>
  <si>
    <t>ORD04874</t>
  </si>
  <si>
    <t>ORD04875</t>
  </si>
  <si>
    <t>ORD04876</t>
  </si>
  <si>
    <t>ORD04877</t>
  </si>
  <si>
    <t>ORD04878</t>
  </si>
  <si>
    <t>ORD04879</t>
  </si>
  <si>
    <t>ORD04880</t>
  </si>
  <si>
    <t>ORD04881</t>
  </si>
  <si>
    <t>ORD04882</t>
  </si>
  <si>
    <t>ORD04883</t>
  </si>
  <si>
    <t>ORD04884</t>
  </si>
  <si>
    <t>ORD04885</t>
  </si>
  <si>
    <t>ORD04886</t>
  </si>
  <si>
    <t>ORD04887</t>
  </si>
  <si>
    <t>ORD04888</t>
  </si>
  <si>
    <t>ORD04889</t>
  </si>
  <si>
    <t>ORD04890</t>
  </si>
  <si>
    <t>ORD04891</t>
  </si>
  <si>
    <t>ORD04892</t>
  </si>
  <si>
    <t>ORD04893</t>
  </si>
  <si>
    <t>ORD04894</t>
  </si>
  <si>
    <t>ORD04895</t>
  </si>
  <si>
    <t>ORD04896</t>
  </si>
  <si>
    <t>ORD04897</t>
  </si>
  <si>
    <t>ORD04898</t>
  </si>
  <si>
    <t>ORD04899</t>
  </si>
  <si>
    <t>ORD04900</t>
  </si>
  <si>
    <t>ORD04901</t>
  </si>
  <si>
    <t>ORD04902</t>
  </si>
  <si>
    <t>ORD04903</t>
  </si>
  <si>
    <t>ORD04904</t>
  </si>
  <si>
    <t>ORD04905</t>
  </si>
  <si>
    <t>ORD04906</t>
  </si>
  <si>
    <t>ORD04907</t>
  </si>
  <si>
    <t>ORD04908</t>
  </si>
  <si>
    <t>ORD04909</t>
  </si>
  <si>
    <t>ORD04910</t>
  </si>
  <si>
    <t>ORD04911</t>
  </si>
  <si>
    <t>ORD04912</t>
  </si>
  <si>
    <t>ORD04913</t>
  </si>
  <si>
    <t>ORD04914</t>
  </si>
  <si>
    <t>ORD04915</t>
  </si>
  <si>
    <t>ORD04916</t>
  </si>
  <si>
    <t>ORD04917</t>
  </si>
  <si>
    <t>ORD04918</t>
  </si>
  <si>
    <t>ORD04919</t>
  </si>
  <si>
    <t>ORD04920</t>
  </si>
  <si>
    <t>ORD04921</t>
  </si>
  <si>
    <t>ORD04922</t>
  </si>
  <si>
    <t>ORD04923</t>
  </si>
  <si>
    <t>ORD04924</t>
  </si>
  <si>
    <t>ORD04925</t>
  </si>
  <si>
    <t>ORD04926</t>
  </si>
  <si>
    <t>ORD04927</t>
  </si>
  <si>
    <t>ORD04928</t>
  </si>
  <si>
    <t>ORD04929</t>
  </si>
  <si>
    <t>ORD04930</t>
  </si>
  <si>
    <t>ORD04931</t>
  </si>
  <si>
    <t>ORD04932</t>
  </si>
  <si>
    <t>ORD04933</t>
  </si>
  <si>
    <t>ORD04934</t>
  </si>
  <si>
    <t>ORD04935</t>
  </si>
  <si>
    <t>ORD04936</t>
  </si>
  <si>
    <t>ORD04937</t>
  </si>
  <si>
    <t>ORD04938</t>
  </si>
  <si>
    <t>ORD04939</t>
  </si>
  <si>
    <t>ORD04940</t>
  </si>
  <si>
    <t>ORD04941</t>
  </si>
  <si>
    <t>ORD04942</t>
  </si>
  <si>
    <t>ORD04943</t>
  </si>
  <si>
    <t>ORD04944</t>
  </si>
  <si>
    <t>ORD04945</t>
  </si>
  <si>
    <t>ORD04946</t>
  </si>
  <si>
    <t>ORD04947</t>
  </si>
  <si>
    <t>ORD04948</t>
  </si>
  <si>
    <t>ORD04949</t>
  </si>
  <si>
    <t>ORD04950</t>
  </si>
  <si>
    <t>ORD04951</t>
  </si>
  <si>
    <t>ORD04952</t>
  </si>
  <si>
    <t>ORD04953</t>
  </si>
  <si>
    <t>ORD04954</t>
  </si>
  <si>
    <t>ORD04955</t>
  </si>
  <si>
    <t>ORD04956</t>
  </si>
  <si>
    <t>ORD04957</t>
  </si>
  <si>
    <t>ORD04958</t>
  </si>
  <si>
    <t>ORD04959</t>
  </si>
  <si>
    <t>ORD04960</t>
  </si>
  <si>
    <t>ORD04961</t>
  </si>
  <si>
    <t>ORD04962</t>
  </si>
  <si>
    <t>ORD04963</t>
  </si>
  <si>
    <t>ORD04964</t>
  </si>
  <si>
    <t>ORD04965</t>
  </si>
  <si>
    <t>ORD04966</t>
  </si>
  <si>
    <t>ORD04967</t>
  </si>
  <si>
    <t>ORD04968</t>
  </si>
  <si>
    <t>ORD04969</t>
  </si>
  <si>
    <t>ORD04970</t>
  </si>
  <si>
    <t>ORD04971</t>
  </si>
  <si>
    <t>ORD04972</t>
  </si>
  <si>
    <t>ORD04973</t>
  </si>
  <si>
    <t>ORD04974</t>
  </si>
  <si>
    <t>ORD04975</t>
  </si>
  <si>
    <t>ORD04976</t>
  </si>
  <si>
    <t>ORD04977</t>
  </si>
  <si>
    <t>ORD04978</t>
  </si>
  <si>
    <t>ORD04979</t>
  </si>
  <si>
    <t>ORD04980</t>
  </si>
  <si>
    <t>ORD04981</t>
  </si>
  <si>
    <t>ORD04982</t>
  </si>
  <si>
    <t>ORD04983</t>
  </si>
  <si>
    <t>ORD04984</t>
  </si>
  <si>
    <t>ORD04985</t>
  </si>
  <si>
    <t>ORD04986</t>
  </si>
  <si>
    <t>ORD04987</t>
  </si>
  <si>
    <t>ORD04988</t>
  </si>
  <si>
    <t>ORD04989</t>
  </si>
  <si>
    <t>ORD04990</t>
  </si>
  <si>
    <t>ORD04991</t>
  </si>
  <si>
    <t>ORD04992</t>
  </si>
  <si>
    <t>ORD04993</t>
  </si>
  <si>
    <t>ORD04994</t>
  </si>
  <si>
    <t>ORD04995</t>
  </si>
  <si>
    <t>ORD04996</t>
  </si>
  <si>
    <t>ORD04997</t>
  </si>
  <si>
    <t>ORD04998</t>
  </si>
  <si>
    <t>ORD04999</t>
  </si>
  <si>
    <t>ORD05000</t>
  </si>
  <si>
    <t>Month</t>
  </si>
  <si>
    <t>Year</t>
  </si>
  <si>
    <t>Jan</t>
  </si>
  <si>
    <t>Feb</t>
  </si>
  <si>
    <t>Mar</t>
  </si>
  <si>
    <t>Apr</t>
  </si>
  <si>
    <t>May</t>
  </si>
  <si>
    <t>Jun</t>
  </si>
  <si>
    <t>Jul</t>
  </si>
  <si>
    <t>Aug</t>
  </si>
  <si>
    <t>Sep</t>
  </si>
  <si>
    <t>Oct</t>
  </si>
  <si>
    <t>Nov</t>
  </si>
  <si>
    <t>Dec</t>
  </si>
  <si>
    <t>Grand Total</t>
  </si>
  <si>
    <t>Sum of Sales</t>
  </si>
  <si>
    <t>Sum of Profit</t>
  </si>
  <si>
    <t>Total Sales</t>
  </si>
  <si>
    <t>Total Profrit</t>
  </si>
  <si>
    <t>Total Orders</t>
  </si>
  <si>
    <t xml:space="preserve"> Profit Margin %</t>
  </si>
  <si>
    <t>Count of Order ID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</si>
</sst>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5" formatCode="[$₹-4009]\ #,##0"/>
  </numFmts>
  <fonts count="4" x14ac:knownFonts="1">
    <font>
      <sz val="11"/>
      <color theme="1"/>
      <name val="Calibri"/>
      <family val="2"/>
      <scheme val="minor"/>
    </font>
    <font>
      <b/>
      <sz val="11"/>
      <color theme="1"/>
      <name val="Calibri"/>
      <family val="2"/>
      <scheme val="minor"/>
    </font>
    <font>
      <sz val="11"/>
      <color rgb="FFFF0000"/>
      <name val="Calibri"/>
      <family val="2"/>
      <scheme val="minor"/>
    </font>
    <font>
      <b/>
      <sz val="14"/>
      <color rgb="FFFF0000"/>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NumberFormat="1"/>
    <xf numFmtId="0" fontId="1" fillId="0" borderId="0" xfId="0" applyFont="1"/>
    <xf numFmtId="0" fontId="2" fillId="0" borderId="0" xfId="0" applyFont="1"/>
    <xf numFmtId="0" fontId="3" fillId="0" borderId="0" xfId="0" applyFont="1" applyAlignment="1">
      <alignment horizontal="center" vertical="center"/>
    </xf>
    <xf numFmtId="1" fontId="0" fillId="0" borderId="0" xfId="0" applyNumberFormat="1"/>
    <xf numFmtId="3" fontId="0" fillId="0" borderId="0" xfId="0" applyNumberFormat="1"/>
    <xf numFmtId="3" fontId="2" fillId="0" borderId="0" xfId="0" applyNumberFormat="1" applyFont="1"/>
    <xf numFmtId="10" fontId="2" fillId="0" borderId="0" xfId="0" applyNumberFormat="1" applyFont="1"/>
    <xf numFmtId="165" fontId="0" fillId="0" borderId="0" xfId="0" applyNumberFormat="1"/>
  </cellXfs>
  <cellStyles count="1">
    <cellStyle name="Normal" xfId="0" builtinId="0"/>
  </cellStyles>
  <dxfs count="40">
    <dxf>
      <numFmt numFmtId="3" formatCode="#,##0"/>
    </dxf>
    <dxf>
      <numFmt numFmtId="3" formatCode="#,##0"/>
    </dxf>
    <dxf>
      <numFmt numFmtId="3" formatCode="#,##0"/>
    </dxf>
    <dxf>
      <numFmt numFmtId="1" formatCode="0"/>
    </dxf>
    <dxf>
      <numFmt numFmtId="1" formatCode="0"/>
    </dxf>
    <dxf>
      <numFmt numFmtId="3" formatCode="#,##0"/>
    </dxf>
    <dxf>
      <numFmt numFmtId="3" formatCode="#,##0"/>
    </dxf>
    <dxf>
      <numFmt numFmtId="3" formatCode="#,##0"/>
    </dxf>
    <dxf>
      <numFmt numFmtId="1" formatCode="0"/>
    </dxf>
    <dxf>
      <numFmt numFmtId="1" formatCode="0"/>
    </dxf>
    <dxf>
      <numFmt numFmtId="1" formatCode="0"/>
    </dxf>
    <dxf>
      <numFmt numFmtId="1" formatCode="0"/>
    </dxf>
    <dxf>
      <numFmt numFmtId="3" formatCode="#,##0"/>
    </dxf>
    <dxf>
      <numFmt numFmtId="3" formatCode="#,##0"/>
    </dxf>
    <dxf>
      <numFmt numFmtId="3" formatCode="#,##0"/>
    </dxf>
    <dxf>
      <numFmt numFmtId="1" formatCode="0"/>
    </dxf>
    <dxf>
      <numFmt numFmtId="1" formatCode="0"/>
    </dxf>
    <dxf>
      <numFmt numFmtId="1" formatCode="0"/>
    </dxf>
    <dxf>
      <numFmt numFmtId="1" formatCode="0"/>
    </dxf>
    <dxf>
      <numFmt numFmtId="3" formatCode="#,##0"/>
    </dxf>
    <dxf>
      <numFmt numFmtId="3" formatCode="#,##0"/>
    </dxf>
    <dxf>
      <numFmt numFmtId="3" formatCode="#,##0"/>
    </dxf>
    <dxf>
      <numFmt numFmtId="1" formatCode="0"/>
    </dxf>
    <dxf>
      <numFmt numFmtId="1" formatCode="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[Advanced_Ecommerce_Sales_Data.xlsx]Sheet1!Monthly Sale Trend</c:name>
    <c:fmtId val="4"/>
  </c:pivotSource>
  <c:chart>
    <c:title>
      <c:tx>
        <c:rich>
          <a:bodyPr/>
          <a:lstStyle/>
          <a:p>
            <a:pPr>
              <a:defRPr/>
            </a:pPr>
            <a:r>
              <a:rPr lang="en-US"/>
              <a:t>Monthly</a:t>
            </a:r>
            <a:r>
              <a:rPr lang="en-US" baseline="0"/>
              <a:t> Sales &amp;</a:t>
            </a:r>
            <a:r>
              <a:rPr lang="en-US"/>
              <a:t> Profit</a:t>
            </a:r>
            <a:r>
              <a:rPr lang="en-US" baseline="0"/>
              <a:t> </a:t>
            </a:r>
            <a:r>
              <a:rPr lang="en-US"/>
              <a:t>Trend</a:t>
            </a:r>
          </a:p>
        </c:rich>
      </c:tx>
      <c:layout>
        <c:manualLayout>
          <c:xMode val="edge"/>
          <c:yMode val="edge"/>
          <c:x val="0.27443328550932566"/>
          <c:y val="2.6240760767560128E-2"/>
        </c:manualLayout>
      </c:layout>
      <c:overlay val="0"/>
    </c:title>
    <c:autoTitleDeleted val="0"/>
    <c:pivotFmts>
      <c:pivotFmt>
        <c:idx val="0"/>
      </c:pivotFmt>
      <c:pivotFmt>
        <c:idx val="1"/>
      </c:pivotFmt>
    </c:pivotFmts>
    <c:plotArea>
      <c:layout>
        <c:manualLayout>
          <c:layoutTarget val="inner"/>
          <c:xMode val="edge"/>
          <c:yMode val="edge"/>
          <c:x val="0.18201018889245127"/>
          <c:y val="0.19458382117672293"/>
          <c:w val="0.60335138475050998"/>
          <c:h val="0.58803981304862729"/>
        </c:manualLayout>
      </c:layout>
      <c:lineChart>
        <c:grouping val="standard"/>
        <c:varyColors val="0"/>
        <c:ser>
          <c:idx val="0"/>
          <c:order val="0"/>
          <c:tx>
            <c:strRef>
              <c:f>Sheet1!$B$3</c:f>
              <c:strCache>
                <c:ptCount val="1"/>
                <c:pt idx="0">
                  <c:v>Sum of Sales</c:v>
                </c:pt>
              </c:strCache>
            </c:strRef>
          </c:tx>
          <c:cat>
            <c:strRef>
              <c:f>Sheet1!$A$4:$A$16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Sheet1!$B$4:$B$16</c:f>
              <c:numCache>
                <c:formatCode>0</c:formatCode>
                <c:ptCount val="12"/>
                <c:pt idx="0">
                  <c:v>91332809.049999952</c:v>
                </c:pt>
                <c:pt idx="1">
                  <c:v>90898931.900000021</c:v>
                </c:pt>
                <c:pt idx="2">
                  <c:v>76969042.300000027</c:v>
                </c:pt>
                <c:pt idx="3">
                  <c:v>97708439.600000024</c:v>
                </c:pt>
                <c:pt idx="4">
                  <c:v>105327535.7</c:v>
                </c:pt>
                <c:pt idx="5">
                  <c:v>84689104.300000086</c:v>
                </c:pt>
                <c:pt idx="6">
                  <c:v>89473393.449999988</c:v>
                </c:pt>
                <c:pt idx="7">
                  <c:v>104421006.59999999</c:v>
                </c:pt>
                <c:pt idx="8">
                  <c:v>78315956.199999988</c:v>
                </c:pt>
                <c:pt idx="9">
                  <c:v>105156249.55000001</c:v>
                </c:pt>
                <c:pt idx="10">
                  <c:v>99832171.699999973</c:v>
                </c:pt>
                <c:pt idx="11">
                  <c:v>48826932.100000009</c:v>
                </c:pt>
              </c:numCache>
            </c:numRef>
          </c:val>
          <c:smooth val="0"/>
        </c:ser>
        <c:ser>
          <c:idx val="1"/>
          <c:order val="1"/>
          <c:tx>
            <c:strRef>
              <c:f>Sheet1!$C$3</c:f>
              <c:strCache>
                <c:ptCount val="1"/>
                <c:pt idx="0">
                  <c:v>Sum of Profit</c:v>
                </c:pt>
              </c:strCache>
            </c:strRef>
          </c:tx>
          <c:cat>
            <c:strRef>
              <c:f>Sheet1!$A$4:$A$16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Sheet1!$C$4:$C$16</c:f>
              <c:numCache>
                <c:formatCode>General</c:formatCode>
                <c:ptCount val="12"/>
                <c:pt idx="0">
                  <c:v>17536374.950000003</c:v>
                </c:pt>
                <c:pt idx="1">
                  <c:v>17440653.120000001</c:v>
                </c:pt>
                <c:pt idx="2">
                  <c:v>15009072.790000001</c:v>
                </c:pt>
                <c:pt idx="3">
                  <c:v>17723453.120000005</c:v>
                </c:pt>
                <c:pt idx="4">
                  <c:v>20317106.160000008</c:v>
                </c:pt>
                <c:pt idx="5">
                  <c:v>16130249.110000009</c:v>
                </c:pt>
                <c:pt idx="6">
                  <c:v>16547787.110000012</c:v>
                </c:pt>
                <c:pt idx="7">
                  <c:v>20460483.79999999</c:v>
                </c:pt>
                <c:pt idx="8">
                  <c:v>14927412.819999998</c:v>
                </c:pt>
                <c:pt idx="9">
                  <c:v>19245720.770000014</c:v>
                </c:pt>
                <c:pt idx="10">
                  <c:v>19095500.500000011</c:v>
                </c:pt>
                <c:pt idx="11">
                  <c:v>9194783.1699999999</c:v>
                </c:pt>
              </c:numCache>
            </c:numRef>
          </c:val>
          <c:smooth val="0"/>
        </c:ser>
        <c:dLbls>
          <c:showLegendKey val="0"/>
          <c:showVal val="0"/>
          <c:showCatName val="0"/>
          <c:showSerName val="0"/>
          <c:showPercent val="0"/>
          <c:showBubbleSize val="0"/>
        </c:dLbls>
        <c:marker val="1"/>
        <c:smooth val="0"/>
        <c:axId val="240981504"/>
        <c:axId val="240983424"/>
      </c:lineChart>
      <c:catAx>
        <c:axId val="240981504"/>
        <c:scaling>
          <c:orientation val="minMax"/>
        </c:scaling>
        <c:delete val="0"/>
        <c:axPos val="b"/>
        <c:title>
          <c:tx>
            <c:rich>
              <a:bodyPr/>
              <a:lstStyle/>
              <a:p>
                <a:pPr>
                  <a:defRPr/>
                </a:pPr>
                <a:r>
                  <a:rPr lang="en-US"/>
                  <a:t>Month</a:t>
                </a:r>
              </a:p>
            </c:rich>
          </c:tx>
          <c:overlay val="0"/>
        </c:title>
        <c:majorTickMark val="out"/>
        <c:minorTickMark val="none"/>
        <c:tickLblPos val="nextTo"/>
        <c:crossAx val="240983424"/>
        <c:crosses val="autoZero"/>
        <c:auto val="1"/>
        <c:lblAlgn val="ctr"/>
        <c:lblOffset val="100"/>
        <c:noMultiLvlLbl val="0"/>
      </c:catAx>
      <c:valAx>
        <c:axId val="240983424"/>
        <c:scaling>
          <c:orientation val="minMax"/>
        </c:scaling>
        <c:delete val="0"/>
        <c:axPos val="l"/>
        <c:majorGridlines/>
        <c:title>
          <c:tx>
            <c:rich>
              <a:bodyPr rot="-5400000" vert="horz"/>
              <a:lstStyle/>
              <a:p>
                <a:pPr>
                  <a:defRPr/>
                </a:pPr>
                <a:r>
                  <a:rPr lang="en-US"/>
                  <a:t>Sales</a:t>
                </a:r>
                <a:r>
                  <a:rPr lang="en-US" baseline="0"/>
                  <a:t> &amp; Profit(Amount)</a:t>
                </a:r>
                <a:endParaRPr lang="en-US"/>
              </a:p>
            </c:rich>
          </c:tx>
          <c:layout>
            <c:manualLayout>
              <c:xMode val="edge"/>
              <c:yMode val="edge"/>
              <c:x val="1.4911450272446216E-2"/>
              <c:y val="0.22529123133161136"/>
            </c:manualLayout>
          </c:layout>
          <c:overlay val="0"/>
        </c:title>
        <c:numFmt formatCode="0" sourceLinked="1"/>
        <c:majorTickMark val="out"/>
        <c:minorTickMark val="none"/>
        <c:tickLblPos val="nextTo"/>
        <c:crossAx val="240981504"/>
        <c:crosses val="autoZero"/>
        <c:crossBetween val="between"/>
      </c:valAx>
    </c:plotArea>
    <c:legend>
      <c:legendPos val="r"/>
      <c:overlay val="0"/>
    </c:legend>
    <c:plotVisOnly val="1"/>
    <c:dispBlanksAs val="gap"/>
    <c:showDLblsOverMax val="0"/>
  </c:chart>
  <c:spPr>
    <a:pattFill prst="pct25">
      <a:fgClr>
        <a:schemeClr val="tx2">
          <a:lumMod val="60000"/>
          <a:lumOff val="40000"/>
        </a:schemeClr>
      </a:fgClr>
      <a:bgClr>
        <a:schemeClr val="bg1"/>
      </a:bgClr>
    </a:pattFill>
    <a:effectLst>
      <a:outerShdw blurRad="177800" dist="50800" dir="5400000" sx="74000" sy="74000" algn="ctr" rotWithShape="0">
        <a:srgbClr val="000000">
          <a:alpha val="36000"/>
        </a:srgbClr>
      </a:outerShdw>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[Advanced_Ecommerce_Sales_Data.xlsx]Sheet1!Category wise Perfformance</c:name>
    <c:fmtId val="0"/>
  </c:pivotSource>
  <c:chart>
    <c:title>
      <c:tx>
        <c:rich>
          <a:bodyPr/>
          <a:lstStyle/>
          <a:p>
            <a:pPr>
              <a:defRPr/>
            </a:pPr>
            <a:r>
              <a:rPr lang="en-US"/>
              <a:t>Category-Wise</a:t>
            </a:r>
            <a:r>
              <a:rPr lang="en-US" baseline="0"/>
              <a:t> Performance</a:t>
            </a:r>
            <a:endParaRPr lang="en-US"/>
          </a:p>
        </c:rich>
      </c:tx>
      <c:layout>
        <c:manualLayout>
          <c:xMode val="edge"/>
          <c:yMode val="edge"/>
          <c:x val="0.25650821587284972"/>
          <c:y val="2.0347244094488192E-2"/>
        </c:manualLayout>
      </c:layout>
      <c:overlay val="0"/>
    </c:title>
    <c:autoTitleDeleted val="0"/>
    <c:pivotFmts>
      <c:pivotFmt>
        <c:idx val="0"/>
        <c:spPr>
          <a:solidFill>
            <a:schemeClr val="accent1">
              <a:lumMod val="75000"/>
            </a:schemeClr>
          </a:solidFill>
        </c:spPr>
        <c:marker>
          <c:symbol val="none"/>
        </c:marker>
      </c:pivotFmt>
      <c:pivotFmt>
        <c:idx val="1"/>
        <c:marker>
          <c:symbol val="none"/>
        </c:marker>
      </c:pivotFmt>
    </c:pivotFmts>
    <c:plotArea>
      <c:layout>
        <c:manualLayout>
          <c:layoutTarget val="inner"/>
          <c:xMode val="edge"/>
          <c:yMode val="edge"/>
          <c:x val="0.16752826527644241"/>
          <c:y val="0.17150517692690836"/>
          <c:w val="0.63528624840768022"/>
          <c:h val="0.57249052618787033"/>
        </c:manualLayout>
      </c:layout>
      <c:barChart>
        <c:barDir val="col"/>
        <c:grouping val="clustered"/>
        <c:varyColors val="0"/>
        <c:ser>
          <c:idx val="0"/>
          <c:order val="0"/>
          <c:tx>
            <c:strRef>
              <c:f>Sheet1!$B$19</c:f>
              <c:strCache>
                <c:ptCount val="1"/>
                <c:pt idx="0">
                  <c:v>Sum of Sales</c:v>
                </c:pt>
              </c:strCache>
            </c:strRef>
          </c:tx>
          <c:spPr>
            <a:solidFill>
              <a:schemeClr val="accent1">
                <a:lumMod val="75000"/>
              </a:schemeClr>
            </a:solidFill>
          </c:spPr>
          <c:invertIfNegative val="0"/>
          <c:cat>
            <c:strRef>
              <c:f>Sheet1!$A$20:$A$24</c:f>
              <c:strCache>
                <c:ptCount val="4"/>
                <c:pt idx="0">
                  <c:v>Clothing</c:v>
                </c:pt>
                <c:pt idx="1">
                  <c:v>Electronics</c:v>
                </c:pt>
                <c:pt idx="2">
                  <c:v>Furniture</c:v>
                </c:pt>
                <c:pt idx="3">
                  <c:v>Office Supplies</c:v>
                </c:pt>
              </c:strCache>
            </c:strRef>
          </c:cat>
          <c:val>
            <c:numRef>
              <c:f>Sheet1!$B$20:$B$24</c:f>
              <c:numCache>
                <c:formatCode>General</c:formatCode>
                <c:ptCount val="4"/>
                <c:pt idx="0">
                  <c:v>279937811.99999994</c:v>
                </c:pt>
                <c:pt idx="1">
                  <c:v>278947522.19999981</c:v>
                </c:pt>
                <c:pt idx="2">
                  <c:v>263834930.40000001</c:v>
                </c:pt>
                <c:pt idx="3">
                  <c:v>250231307.8500002</c:v>
                </c:pt>
              </c:numCache>
            </c:numRef>
          </c:val>
        </c:ser>
        <c:ser>
          <c:idx val="1"/>
          <c:order val="1"/>
          <c:tx>
            <c:strRef>
              <c:f>Sheet1!$C$19</c:f>
              <c:strCache>
                <c:ptCount val="1"/>
                <c:pt idx="0">
                  <c:v>Sum of Profit</c:v>
                </c:pt>
              </c:strCache>
            </c:strRef>
          </c:tx>
          <c:invertIfNegative val="0"/>
          <c:cat>
            <c:strRef>
              <c:f>Sheet1!$A$20:$A$24</c:f>
              <c:strCache>
                <c:ptCount val="4"/>
                <c:pt idx="0">
                  <c:v>Clothing</c:v>
                </c:pt>
                <c:pt idx="1">
                  <c:v>Electronics</c:v>
                </c:pt>
                <c:pt idx="2">
                  <c:v>Furniture</c:v>
                </c:pt>
                <c:pt idx="3">
                  <c:v>Office Supplies</c:v>
                </c:pt>
              </c:strCache>
            </c:strRef>
          </c:cat>
          <c:val>
            <c:numRef>
              <c:f>Sheet1!$C$20:$C$24</c:f>
              <c:numCache>
                <c:formatCode>General</c:formatCode>
                <c:ptCount val="4"/>
                <c:pt idx="0">
                  <c:v>52621246.430000037</c:v>
                </c:pt>
                <c:pt idx="1">
                  <c:v>53780912.249999888</c:v>
                </c:pt>
                <c:pt idx="2">
                  <c:v>50144914.029999964</c:v>
                </c:pt>
                <c:pt idx="3">
                  <c:v>47081524.710000016</c:v>
                </c:pt>
              </c:numCache>
            </c:numRef>
          </c:val>
        </c:ser>
        <c:dLbls>
          <c:showLegendKey val="0"/>
          <c:showVal val="0"/>
          <c:showCatName val="0"/>
          <c:showSerName val="0"/>
          <c:showPercent val="0"/>
          <c:showBubbleSize val="0"/>
        </c:dLbls>
        <c:gapWidth val="150"/>
        <c:axId val="241030272"/>
        <c:axId val="241032192"/>
      </c:barChart>
      <c:catAx>
        <c:axId val="241030272"/>
        <c:scaling>
          <c:orientation val="minMax"/>
        </c:scaling>
        <c:delete val="0"/>
        <c:axPos val="b"/>
        <c:title>
          <c:tx>
            <c:rich>
              <a:bodyPr/>
              <a:lstStyle/>
              <a:p>
                <a:pPr>
                  <a:defRPr/>
                </a:pPr>
                <a:r>
                  <a:rPr lang="en-US"/>
                  <a:t>Category</a:t>
                </a:r>
              </a:p>
            </c:rich>
          </c:tx>
          <c:layout>
            <c:manualLayout>
              <c:xMode val="edge"/>
              <c:yMode val="edge"/>
              <c:x val="0.42904551735735258"/>
              <c:y val="0.87123191476760986"/>
            </c:manualLayout>
          </c:layout>
          <c:overlay val="0"/>
        </c:title>
        <c:majorTickMark val="out"/>
        <c:minorTickMark val="none"/>
        <c:tickLblPos val="nextTo"/>
        <c:crossAx val="241032192"/>
        <c:crosses val="autoZero"/>
        <c:auto val="1"/>
        <c:lblAlgn val="ctr"/>
        <c:lblOffset val="100"/>
        <c:noMultiLvlLbl val="0"/>
      </c:catAx>
      <c:valAx>
        <c:axId val="241032192"/>
        <c:scaling>
          <c:orientation val="minMax"/>
        </c:scaling>
        <c:delete val="0"/>
        <c:axPos val="l"/>
        <c:majorGridlines/>
        <c:title>
          <c:tx>
            <c:rich>
              <a:bodyPr rot="-5400000" vert="horz"/>
              <a:lstStyle/>
              <a:p>
                <a:pPr>
                  <a:defRPr/>
                </a:pPr>
                <a:r>
                  <a:rPr lang="en-US"/>
                  <a:t>Amount</a:t>
                </a:r>
              </a:p>
            </c:rich>
          </c:tx>
          <c:overlay val="0"/>
        </c:title>
        <c:numFmt formatCode="General" sourceLinked="1"/>
        <c:majorTickMark val="out"/>
        <c:minorTickMark val="none"/>
        <c:tickLblPos val="nextTo"/>
        <c:crossAx val="241030272"/>
        <c:crosses val="autoZero"/>
        <c:crossBetween val="between"/>
      </c:valAx>
    </c:plotArea>
    <c:legend>
      <c:legendPos val="r"/>
      <c:overlay val="0"/>
    </c:legend>
    <c:plotVisOnly val="1"/>
    <c:dispBlanksAs val="gap"/>
    <c:showDLblsOverMax val="0"/>
  </c:chart>
  <c:spPr>
    <a:pattFill prst="pct30">
      <a:fgClr>
        <a:schemeClr val="accent1"/>
      </a:fgClr>
      <a:bgClr>
        <a:schemeClr val="bg1"/>
      </a:bgClr>
    </a:patt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[Advanced_Ecommerce_Sales_Data.xlsx]Sheet1!PivotTable1</c:name>
    <c:fmtId val="0"/>
  </c:pivotSource>
  <c:chart>
    <c:title>
      <c:tx>
        <c:rich>
          <a:bodyPr/>
          <a:lstStyle/>
          <a:p>
            <a:pPr>
              <a:defRPr/>
            </a:pPr>
            <a:r>
              <a:rPr lang="en-US"/>
              <a:t>Top</a:t>
            </a:r>
            <a:r>
              <a:rPr lang="en-US" baseline="0"/>
              <a:t> 5 Products</a:t>
            </a:r>
            <a:endParaRPr lang="en-US"/>
          </a:p>
        </c:rich>
      </c:tx>
      <c:layout>
        <c:manualLayout>
          <c:xMode val="edge"/>
          <c:yMode val="edge"/>
          <c:x val="0.36644444444444441"/>
          <c:y val="4.0645960921551476E-2"/>
        </c:manualLayout>
      </c:layout>
      <c:overlay val="0"/>
    </c:title>
    <c:autoTitleDeleted val="0"/>
    <c:pivotFmts>
      <c:pivotFmt>
        <c:idx val="0"/>
        <c:spPr>
          <a:solidFill>
            <a:schemeClr val="accent1">
              <a:lumMod val="50000"/>
            </a:schemeClr>
          </a:solidFill>
        </c:spPr>
        <c:marker>
          <c:symbol val="none"/>
        </c:marker>
      </c:pivotFmt>
    </c:pivotFmts>
    <c:plotArea>
      <c:layout>
        <c:manualLayout>
          <c:layoutTarget val="inner"/>
          <c:xMode val="edge"/>
          <c:yMode val="edge"/>
          <c:x val="0.27387773403324583"/>
          <c:y val="0.17478966170895305"/>
          <c:w val="0.5908024947174001"/>
          <c:h val="0.62132837374788996"/>
        </c:manualLayout>
      </c:layout>
      <c:barChart>
        <c:barDir val="bar"/>
        <c:grouping val="clustered"/>
        <c:varyColors val="0"/>
        <c:ser>
          <c:idx val="0"/>
          <c:order val="0"/>
          <c:tx>
            <c:strRef>
              <c:f>Sheet1!$B$34</c:f>
              <c:strCache>
                <c:ptCount val="1"/>
                <c:pt idx="0">
                  <c:v>Total</c:v>
                </c:pt>
              </c:strCache>
            </c:strRef>
          </c:tx>
          <c:spPr>
            <a:solidFill>
              <a:schemeClr val="accent1">
                <a:lumMod val="50000"/>
              </a:schemeClr>
            </a:solidFill>
          </c:spPr>
          <c:invertIfNegative val="0"/>
          <c:cat>
            <c:strRef>
              <c:f>Sheet1!$A$35:$A$40</c:f>
              <c:strCache>
                <c:ptCount val="5"/>
                <c:pt idx="0">
                  <c:v>Dress</c:v>
                </c:pt>
                <c:pt idx="1">
                  <c:v>Jacket</c:v>
                </c:pt>
                <c:pt idx="2">
                  <c:v>Shoes</c:v>
                </c:pt>
                <c:pt idx="3">
                  <c:v>Sweater</c:v>
                </c:pt>
                <c:pt idx="4">
                  <c:v>T-Shirt</c:v>
                </c:pt>
              </c:strCache>
            </c:strRef>
          </c:cat>
          <c:val>
            <c:numRef>
              <c:f>Sheet1!$B$35:$B$40</c:f>
              <c:numCache>
                <c:formatCode>General</c:formatCode>
                <c:ptCount val="5"/>
                <c:pt idx="0">
                  <c:v>47617860.649999999</c:v>
                </c:pt>
                <c:pt idx="1">
                  <c:v>46445023.04999999</c:v>
                </c:pt>
                <c:pt idx="2">
                  <c:v>50569409.649999984</c:v>
                </c:pt>
                <c:pt idx="3">
                  <c:v>45522800.450000003</c:v>
                </c:pt>
                <c:pt idx="4">
                  <c:v>45234873.350000001</c:v>
                </c:pt>
              </c:numCache>
            </c:numRef>
          </c:val>
        </c:ser>
        <c:dLbls>
          <c:showLegendKey val="0"/>
          <c:showVal val="0"/>
          <c:showCatName val="0"/>
          <c:showSerName val="0"/>
          <c:showPercent val="0"/>
          <c:showBubbleSize val="0"/>
        </c:dLbls>
        <c:gapWidth val="150"/>
        <c:axId val="241131520"/>
        <c:axId val="241133440"/>
      </c:barChart>
      <c:catAx>
        <c:axId val="241131520"/>
        <c:scaling>
          <c:orientation val="minMax"/>
        </c:scaling>
        <c:delete val="0"/>
        <c:axPos val="l"/>
        <c:title>
          <c:tx>
            <c:rich>
              <a:bodyPr rot="-5400000" vert="horz"/>
              <a:lstStyle/>
              <a:p>
                <a:pPr>
                  <a:defRPr/>
                </a:pPr>
                <a:r>
                  <a:rPr lang="en-US"/>
                  <a:t>Product</a:t>
                </a:r>
                <a:r>
                  <a:rPr lang="en-US" baseline="0"/>
                  <a:t> Name</a:t>
                </a:r>
                <a:endParaRPr lang="en-US"/>
              </a:p>
            </c:rich>
          </c:tx>
          <c:overlay val="0"/>
        </c:title>
        <c:majorTickMark val="out"/>
        <c:minorTickMark val="none"/>
        <c:tickLblPos val="nextTo"/>
        <c:crossAx val="241133440"/>
        <c:crosses val="autoZero"/>
        <c:auto val="1"/>
        <c:lblAlgn val="ctr"/>
        <c:lblOffset val="100"/>
        <c:noMultiLvlLbl val="0"/>
      </c:catAx>
      <c:valAx>
        <c:axId val="241133440"/>
        <c:scaling>
          <c:orientation val="minMax"/>
        </c:scaling>
        <c:delete val="0"/>
        <c:axPos val="b"/>
        <c:majorGridlines/>
        <c:title>
          <c:tx>
            <c:rich>
              <a:bodyPr/>
              <a:lstStyle/>
              <a:p>
                <a:pPr>
                  <a:defRPr/>
                </a:pPr>
                <a:r>
                  <a:rPr lang="en-US"/>
                  <a:t>Total</a:t>
                </a:r>
                <a:r>
                  <a:rPr lang="en-US" baseline="0"/>
                  <a:t> Sales</a:t>
                </a:r>
                <a:endParaRPr lang="en-US"/>
              </a:p>
            </c:rich>
          </c:tx>
          <c:overlay val="0"/>
        </c:title>
        <c:numFmt formatCode="General" sourceLinked="1"/>
        <c:majorTickMark val="out"/>
        <c:minorTickMark val="none"/>
        <c:tickLblPos val="nextTo"/>
        <c:crossAx val="241131520"/>
        <c:crosses val="autoZero"/>
        <c:crossBetween val="between"/>
      </c:valAx>
    </c:plotArea>
    <c:plotVisOnly val="1"/>
    <c:dispBlanksAs val="gap"/>
    <c:showDLblsOverMax val="0"/>
  </c:chart>
  <c:spPr>
    <a:pattFill prst="weave">
      <a:fgClr>
        <a:schemeClr val="accent1"/>
      </a:fgClr>
      <a:bgClr>
        <a:schemeClr val="bg1"/>
      </a:bgClr>
    </a:patt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[Advanced_Ecommerce_Sales_Data.xlsx]Sheet1!Region Wise Sales</c:name>
    <c:fmtId val="0"/>
  </c:pivotSource>
  <c:chart>
    <c:title>
      <c:tx>
        <c:rich>
          <a:bodyPr/>
          <a:lstStyle/>
          <a:p>
            <a:pPr>
              <a:defRPr/>
            </a:pPr>
            <a:r>
              <a:rPr lang="en-US"/>
              <a:t>Region</a:t>
            </a:r>
            <a:r>
              <a:rPr lang="en-US" baseline="0"/>
              <a:t>-Wise Sales</a:t>
            </a:r>
            <a:endParaRPr lang="en-US"/>
          </a:p>
        </c:rich>
      </c:tx>
      <c:layout>
        <c:manualLayout>
          <c:xMode val="edge"/>
          <c:yMode val="edge"/>
          <c:x val="0.31485411198600177"/>
          <c:y val="8.231262758821814E-2"/>
        </c:manualLayout>
      </c:layout>
      <c:overlay val="0"/>
    </c:title>
    <c:autoTitleDeleted val="0"/>
    <c:pivotFmts>
      <c:pivotFmt>
        <c:idx val="0"/>
        <c:spPr>
          <a:solidFill>
            <a:schemeClr val="accent1">
              <a:lumMod val="75000"/>
            </a:schemeClr>
          </a:solidFill>
        </c:spPr>
        <c:marker>
          <c:symbol val="none"/>
        </c:marker>
      </c:pivotFmt>
    </c:pivotFmts>
    <c:plotArea>
      <c:layout>
        <c:manualLayout>
          <c:layoutTarget val="inner"/>
          <c:xMode val="edge"/>
          <c:yMode val="edge"/>
          <c:x val="0.25083617672790903"/>
          <c:y val="0.28590077282006415"/>
          <c:w val="0.59489399983194191"/>
          <c:h val="0.51383683781100398"/>
        </c:manualLayout>
      </c:layout>
      <c:barChart>
        <c:barDir val="bar"/>
        <c:grouping val="stacked"/>
        <c:varyColors val="0"/>
        <c:ser>
          <c:idx val="0"/>
          <c:order val="0"/>
          <c:tx>
            <c:strRef>
              <c:f>Sheet1!$B$48</c:f>
              <c:strCache>
                <c:ptCount val="1"/>
                <c:pt idx="0">
                  <c:v>Total</c:v>
                </c:pt>
              </c:strCache>
            </c:strRef>
          </c:tx>
          <c:spPr>
            <a:solidFill>
              <a:schemeClr val="accent1">
                <a:lumMod val="75000"/>
              </a:schemeClr>
            </a:solidFill>
          </c:spPr>
          <c:invertIfNegative val="0"/>
          <c:cat>
            <c:strRef>
              <c:f>Sheet1!$A$49:$A$53</c:f>
              <c:strCache>
                <c:ptCount val="4"/>
                <c:pt idx="0">
                  <c:v>East</c:v>
                </c:pt>
                <c:pt idx="1">
                  <c:v>North</c:v>
                </c:pt>
                <c:pt idx="2">
                  <c:v>South</c:v>
                </c:pt>
                <c:pt idx="3">
                  <c:v>West</c:v>
                </c:pt>
              </c:strCache>
            </c:strRef>
          </c:cat>
          <c:val>
            <c:numRef>
              <c:f>Sheet1!$B$49:$B$53</c:f>
              <c:numCache>
                <c:formatCode>General</c:formatCode>
                <c:ptCount val="4"/>
                <c:pt idx="0">
                  <c:v>270379919.30000013</c:v>
                </c:pt>
                <c:pt idx="1">
                  <c:v>270438346.05000037</c:v>
                </c:pt>
                <c:pt idx="2">
                  <c:v>276255918.19999975</c:v>
                </c:pt>
                <c:pt idx="3">
                  <c:v>255877388.89999983</c:v>
                </c:pt>
              </c:numCache>
            </c:numRef>
          </c:val>
        </c:ser>
        <c:dLbls>
          <c:showLegendKey val="0"/>
          <c:showVal val="0"/>
          <c:showCatName val="0"/>
          <c:showSerName val="0"/>
          <c:showPercent val="0"/>
          <c:showBubbleSize val="0"/>
        </c:dLbls>
        <c:gapWidth val="150"/>
        <c:overlap val="100"/>
        <c:axId val="241168384"/>
        <c:axId val="241170304"/>
      </c:barChart>
      <c:catAx>
        <c:axId val="241168384"/>
        <c:scaling>
          <c:orientation val="minMax"/>
        </c:scaling>
        <c:delete val="0"/>
        <c:axPos val="l"/>
        <c:title>
          <c:tx>
            <c:rich>
              <a:bodyPr rot="-5400000" vert="horz"/>
              <a:lstStyle/>
              <a:p>
                <a:pPr>
                  <a:defRPr/>
                </a:pPr>
                <a:r>
                  <a:rPr lang="en-US"/>
                  <a:t>Region</a:t>
                </a:r>
              </a:p>
            </c:rich>
          </c:tx>
          <c:overlay val="0"/>
        </c:title>
        <c:majorTickMark val="out"/>
        <c:minorTickMark val="none"/>
        <c:tickLblPos val="nextTo"/>
        <c:crossAx val="241170304"/>
        <c:crosses val="autoZero"/>
        <c:auto val="1"/>
        <c:lblAlgn val="ctr"/>
        <c:lblOffset val="100"/>
        <c:noMultiLvlLbl val="0"/>
      </c:catAx>
      <c:valAx>
        <c:axId val="241170304"/>
        <c:scaling>
          <c:orientation val="minMax"/>
        </c:scaling>
        <c:delete val="0"/>
        <c:axPos val="b"/>
        <c:majorGridlines/>
        <c:title>
          <c:tx>
            <c:rich>
              <a:bodyPr/>
              <a:lstStyle/>
              <a:p>
                <a:pPr>
                  <a:defRPr/>
                </a:pPr>
                <a:r>
                  <a:rPr lang="en-US"/>
                  <a:t>Total</a:t>
                </a:r>
                <a:r>
                  <a:rPr lang="en-US" baseline="0"/>
                  <a:t> Sales</a:t>
                </a:r>
                <a:endParaRPr lang="en-US"/>
              </a:p>
            </c:rich>
          </c:tx>
          <c:overlay val="0"/>
        </c:title>
        <c:numFmt formatCode="General" sourceLinked="1"/>
        <c:majorTickMark val="out"/>
        <c:minorTickMark val="none"/>
        <c:tickLblPos val="nextTo"/>
        <c:crossAx val="241168384"/>
        <c:crosses val="autoZero"/>
        <c:crossBetween val="between"/>
      </c:valAx>
    </c:plotArea>
    <c:plotVisOnly val="1"/>
    <c:dispBlanksAs val="gap"/>
    <c:showDLblsOverMax val="0"/>
  </c:chart>
  <c:spPr>
    <a:pattFill prst="pct40">
      <a:fgClr>
        <a:schemeClr val="accent1"/>
      </a:fgClr>
      <a:bgClr>
        <a:schemeClr val="bg1"/>
      </a:bgClr>
    </a:patt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[Advanced_Ecommerce_Sales_Data.xlsx]Sheet1!PivotTable2</c:name>
    <c:fmtId val="0"/>
  </c:pivotSource>
  <c:chart>
    <c:title>
      <c:tx>
        <c:rich>
          <a:bodyPr/>
          <a:lstStyle/>
          <a:p>
            <a:pPr>
              <a:defRPr/>
            </a:pPr>
            <a:r>
              <a:rPr lang="en-US"/>
              <a:t>Customer</a:t>
            </a:r>
            <a:r>
              <a:rPr lang="en-US" baseline="0"/>
              <a:t> Contribution</a:t>
            </a:r>
            <a:endParaRPr lang="en-US"/>
          </a:p>
        </c:rich>
      </c:tx>
      <c:layout>
        <c:manualLayout>
          <c:xMode val="edge"/>
          <c:yMode val="edge"/>
          <c:x val="0.31065205084658537"/>
          <c:y val="2.2127303052635661E-2"/>
        </c:manualLayout>
      </c:layout>
      <c:overlay val="0"/>
    </c:title>
    <c:autoTitleDeleted val="0"/>
    <c:pivotFmts>
      <c:pivotFmt>
        <c:idx val="0"/>
        <c:marker>
          <c:symbol val="none"/>
        </c:marker>
      </c:pivotFmt>
    </c:pivotFmts>
    <c:plotArea>
      <c:layout>
        <c:manualLayout>
          <c:layoutTarget val="inner"/>
          <c:xMode val="edge"/>
          <c:yMode val="edge"/>
          <c:x val="0.36567340847099994"/>
          <c:y val="0.17478966170895305"/>
          <c:w val="0.50447092509158276"/>
          <c:h val="0.65929886350413092"/>
        </c:manualLayout>
      </c:layout>
      <c:barChart>
        <c:barDir val="bar"/>
        <c:grouping val="stacked"/>
        <c:varyColors val="0"/>
        <c:ser>
          <c:idx val="0"/>
          <c:order val="0"/>
          <c:tx>
            <c:strRef>
              <c:f>Sheet1!$B$64</c:f>
              <c:strCache>
                <c:ptCount val="1"/>
                <c:pt idx="0">
                  <c:v>Total</c:v>
                </c:pt>
              </c:strCache>
            </c:strRef>
          </c:tx>
          <c:invertIfNegative val="0"/>
          <c:cat>
            <c:strRef>
              <c:f>Sheet1!$A$65:$A$75</c:f>
              <c:strCache>
                <c:ptCount val="10"/>
                <c:pt idx="0">
                  <c:v>Customer_10</c:v>
                </c:pt>
                <c:pt idx="1">
                  <c:v>Customer_13</c:v>
                </c:pt>
                <c:pt idx="2">
                  <c:v>Customer_17</c:v>
                </c:pt>
                <c:pt idx="3">
                  <c:v>Customer_2</c:v>
                </c:pt>
                <c:pt idx="4">
                  <c:v>Customer_22</c:v>
                </c:pt>
                <c:pt idx="5">
                  <c:v>Customer_26</c:v>
                </c:pt>
                <c:pt idx="6">
                  <c:v>Customer_42</c:v>
                </c:pt>
                <c:pt idx="7">
                  <c:v>Customer_49</c:v>
                </c:pt>
                <c:pt idx="8">
                  <c:v>Customer_6</c:v>
                </c:pt>
                <c:pt idx="9">
                  <c:v>Customer_8</c:v>
                </c:pt>
              </c:strCache>
            </c:strRef>
          </c:cat>
          <c:val>
            <c:numRef>
              <c:f>Sheet1!$B$65:$B$75</c:f>
              <c:numCache>
                <c:formatCode>General</c:formatCode>
                <c:ptCount val="10"/>
                <c:pt idx="0">
                  <c:v>26368590.050000001</c:v>
                </c:pt>
                <c:pt idx="1">
                  <c:v>24236953.549999997</c:v>
                </c:pt>
                <c:pt idx="2">
                  <c:v>22938654.700000003</c:v>
                </c:pt>
                <c:pt idx="3">
                  <c:v>25723604.799999997</c:v>
                </c:pt>
                <c:pt idx="4">
                  <c:v>24106243.599999998</c:v>
                </c:pt>
                <c:pt idx="5">
                  <c:v>26696490.199999988</c:v>
                </c:pt>
                <c:pt idx="6">
                  <c:v>27015191.850000013</c:v>
                </c:pt>
                <c:pt idx="7">
                  <c:v>24935977.500000004</c:v>
                </c:pt>
                <c:pt idx="8">
                  <c:v>25380535.749999996</c:v>
                </c:pt>
                <c:pt idx="9">
                  <c:v>25287131.800000004</c:v>
                </c:pt>
              </c:numCache>
            </c:numRef>
          </c:val>
        </c:ser>
        <c:dLbls>
          <c:showLegendKey val="0"/>
          <c:showVal val="0"/>
          <c:showCatName val="0"/>
          <c:showSerName val="0"/>
          <c:showPercent val="0"/>
          <c:showBubbleSize val="0"/>
        </c:dLbls>
        <c:gapWidth val="150"/>
        <c:overlap val="100"/>
        <c:axId val="241190784"/>
        <c:axId val="241209344"/>
      </c:barChart>
      <c:catAx>
        <c:axId val="241190784"/>
        <c:scaling>
          <c:orientation val="minMax"/>
        </c:scaling>
        <c:delete val="0"/>
        <c:axPos val="l"/>
        <c:title>
          <c:tx>
            <c:rich>
              <a:bodyPr rot="-5400000" vert="horz"/>
              <a:lstStyle/>
              <a:p>
                <a:pPr>
                  <a:defRPr/>
                </a:pPr>
                <a:r>
                  <a:rPr lang="en-US"/>
                  <a:t>Customer</a:t>
                </a:r>
                <a:r>
                  <a:rPr lang="en-US" baseline="0"/>
                  <a:t> Name</a:t>
                </a:r>
                <a:endParaRPr lang="en-US"/>
              </a:p>
            </c:rich>
          </c:tx>
          <c:overlay val="0"/>
        </c:title>
        <c:majorTickMark val="out"/>
        <c:minorTickMark val="none"/>
        <c:tickLblPos val="nextTo"/>
        <c:crossAx val="241209344"/>
        <c:crosses val="autoZero"/>
        <c:auto val="1"/>
        <c:lblAlgn val="ctr"/>
        <c:lblOffset val="100"/>
        <c:noMultiLvlLbl val="0"/>
      </c:catAx>
      <c:valAx>
        <c:axId val="241209344"/>
        <c:scaling>
          <c:orientation val="minMax"/>
        </c:scaling>
        <c:delete val="0"/>
        <c:axPos val="b"/>
        <c:majorGridlines/>
        <c:title>
          <c:tx>
            <c:rich>
              <a:bodyPr/>
              <a:lstStyle/>
              <a:p>
                <a:pPr>
                  <a:defRPr/>
                </a:pPr>
                <a:r>
                  <a:rPr lang="en-US"/>
                  <a:t>Total</a:t>
                </a:r>
                <a:r>
                  <a:rPr lang="en-US" baseline="0"/>
                  <a:t> Sales</a:t>
                </a:r>
              </a:p>
            </c:rich>
          </c:tx>
          <c:layout>
            <c:manualLayout>
              <c:xMode val="edge"/>
              <c:yMode val="edge"/>
              <c:x val="0.48755052493438322"/>
              <c:y val="0.87962962962962965"/>
            </c:manualLayout>
          </c:layout>
          <c:overlay val="0"/>
        </c:title>
        <c:numFmt formatCode="General" sourceLinked="1"/>
        <c:majorTickMark val="out"/>
        <c:minorTickMark val="none"/>
        <c:tickLblPos val="nextTo"/>
        <c:crossAx val="241190784"/>
        <c:crosses val="autoZero"/>
        <c:crossBetween val="between"/>
      </c:valAx>
    </c:plotArea>
    <c:plotVisOnly val="1"/>
    <c:dispBlanksAs val="gap"/>
    <c:showDLblsOverMax val="0"/>
  </c:chart>
  <c:spPr>
    <a:pattFill prst="wave">
      <a:fgClr>
        <a:schemeClr val="accent1"/>
      </a:fgClr>
      <a:bgClr>
        <a:schemeClr val="bg1"/>
      </a:bgClr>
    </a:patt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[Advanced_Ecommerce_Sales_Data.xlsx]Sheet1!Monthly Sale Trend</c:name>
    <c:fmtId val="6"/>
  </c:pivotSource>
  <c:chart>
    <c:title>
      <c:tx>
        <c:rich>
          <a:bodyPr/>
          <a:lstStyle/>
          <a:p>
            <a:pPr>
              <a:defRPr/>
            </a:pPr>
            <a:r>
              <a:rPr lang="en-US" sz="2400">
                <a:solidFill>
                  <a:schemeClr val="tx2">
                    <a:lumMod val="75000"/>
                  </a:schemeClr>
                </a:solidFill>
              </a:rPr>
              <a:t>Monthly</a:t>
            </a:r>
            <a:r>
              <a:rPr lang="en-US" sz="2400" baseline="0">
                <a:solidFill>
                  <a:schemeClr val="tx2">
                    <a:lumMod val="75000"/>
                  </a:schemeClr>
                </a:solidFill>
              </a:rPr>
              <a:t> Sales &amp;</a:t>
            </a:r>
            <a:r>
              <a:rPr lang="en-US" sz="2400">
                <a:solidFill>
                  <a:schemeClr val="tx2">
                    <a:lumMod val="75000"/>
                  </a:schemeClr>
                </a:solidFill>
              </a:rPr>
              <a:t> Profit</a:t>
            </a:r>
            <a:r>
              <a:rPr lang="en-US" sz="2400" baseline="0">
                <a:solidFill>
                  <a:schemeClr val="tx2">
                    <a:lumMod val="75000"/>
                  </a:schemeClr>
                </a:solidFill>
              </a:rPr>
              <a:t> </a:t>
            </a:r>
            <a:r>
              <a:rPr lang="en-US" sz="2400">
                <a:solidFill>
                  <a:schemeClr val="tx2">
                    <a:lumMod val="75000"/>
                  </a:schemeClr>
                </a:solidFill>
              </a:rPr>
              <a:t>Trend</a:t>
            </a:r>
          </a:p>
        </c:rich>
      </c:tx>
      <c:layout>
        <c:manualLayout>
          <c:xMode val="edge"/>
          <c:yMode val="edge"/>
          <c:x val="0.29358614794868382"/>
          <c:y val="3.1080728568725523E-2"/>
        </c:manualLayout>
      </c:layout>
      <c:overlay val="0"/>
    </c:title>
    <c:autoTitleDeleted val="0"/>
    <c:pivotFmts>
      <c:pivotFmt>
        <c:idx val="0"/>
      </c:pivotFmt>
      <c:pivotFmt>
        <c:idx val="1"/>
      </c:pivotFmt>
      <c:pivotFmt>
        <c:idx val="2"/>
      </c:pivotFmt>
      <c:pivotFmt>
        <c:idx val="3"/>
      </c:pivotFmt>
      <c:pivotFmt>
        <c:idx val="4"/>
        <c:marker>
          <c:spPr>
            <a:solidFill>
              <a:schemeClr val="accent1">
                <a:lumMod val="50000"/>
              </a:schemeClr>
            </a:solidFill>
          </c:spPr>
        </c:marker>
      </c:pivotFmt>
      <c:pivotFmt>
        <c:idx val="5"/>
        <c:marker>
          <c:spPr>
            <a:solidFill>
              <a:schemeClr val="accent3">
                <a:lumMod val="50000"/>
              </a:schemeClr>
            </a:solidFill>
          </c:spPr>
        </c:marker>
      </c:pivotFmt>
      <c:pivotFmt>
        <c:idx val="6"/>
      </c:pivotFmt>
      <c:pivotFmt>
        <c:idx val="7"/>
      </c:pivotFmt>
    </c:pivotFmts>
    <c:plotArea>
      <c:layout>
        <c:manualLayout>
          <c:layoutTarget val="inner"/>
          <c:xMode val="edge"/>
          <c:yMode val="edge"/>
          <c:x val="0.18201018889245127"/>
          <c:y val="0.19458382117672293"/>
          <c:w val="0.60335138475050998"/>
          <c:h val="0.58803981304862729"/>
        </c:manualLayout>
      </c:layout>
      <c:lineChart>
        <c:grouping val="standard"/>
        <c:varyColors val="0"/>
        <c:ser>
          <c:idx val="0"/>
          <c:order val="0"/>
          <c:tx>
            <c:strRef>
              <c:f>Sheet1!$B$3</c:f>
              <c:strCache>
                <c:ptCount val="1"/>
                <c:pt idx="0">
                  <c:v>Sum of Sales</c:v>
                </c:pt>
              </c:strCache>
            </c:strRef>
          </c:tx>
          <c:marker>
            <c:spPr>
              <a:solidFill>
                <a:schemeClr val="accent1">
                  <a:lumMod val="50000"/>
                </a:schemeClr>
              </a:solidFill>
            </c:spPr>
          </c:marker>
          <c:cat>
            <c:strRef>
              <c:f>Sheet1!$A$4:$A$16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Sheet1!$B$4:$B$16</c:f>
              <c:numCache>
                <c:formatCode>0</c:formatCode>
                <c:ptCount val="12"/>
                <c:pt idx="0">
                  <c:v>91332809.049999952</c:v>
                </c:pt>
                <c:pt idx="1">
                  <c:v>90898931.900000021</c:v>
                </c:pt>
                <c:pt idx="2">
                  <c:v>76969042.300000027</c:v>
                </c:pt>
                <c:pt idx="3">
                  <c:v>97708439.600000024</c:v>
                </c:pt>
                <c:pt idx="4">
                  <c:v>105327535.7</c:v>
                </c:pt>
                <c:pt idx="5">
                  <c:v>84689104.300000086</c:v>
                </c:pt>
                <c:pt idx="6">
                  <c:v>89473393.449999988</c:v>
                </c:pt>
                <c:pt idx="7">
                  <c:v>104421006.59999999</c:v>
                </c:pt>
                <c:pt idx="8">
                  <c:v>78315956.199999988</c:v>
                </c:pt>
                <c:pt idx="9">
                  <c:v>105156249.55000001</c:v>
                </c:pt>
                <c:pt idx="10">
                  <c:v>99832171.699999973</c:v>
                </c:pt>
                <c:pt idx="11">
                  <c:v>48826932.100000009</c:v>
                </c:pt>
              </c:numCache>
            </c:numRef>
          </c:val>
          <c:smooth val="0"/>
        </c:ser>
        <c:ser>
          <c:idx val="1"/>
          <c:order val="1"/>
          <c:tx>
            <c:strRef>
              <c:f>Sheet1!$C$3</c:f>
              <c:strCache>
                <c:ptCount val="1"/>
                <c:pt idx="0">
                  <c:v>Sum of Profit</c:v>
                </c:pt>
              </c:strCache>
            </c:strRef>
          </c:tx>
          <c:marker>
            <c:spPr>
              <a:solidFill>
                <a:schemeClr val="accent3">
                  <a:lumMod val="50000"/>
                </a:schemeClr>
              </a:solidFill>
            </c:spPr>
          </c:marker>
          <c:cat>
            <c:strRef>
              <c:f>Sheet1!$A$4:$A$16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Sheet1!$C$4:$C$16</c:f>
              <c:numCache>
                <c:formatCode>General</c:formatCode>
                <c:ptCount val="12"/>
                <c:pt idx="0">
                  <c:v>17536374.950000003</c:v>
                </c:pt>
                <c:pt idx="1">
                  <c:v>17440653.120000001</c:v>
                </c:pt>
                <c:pt idx="2">
                  <c:v>15009072.790000001</c:v>
                </c:pt>
                <c:pt idx="3">
                  <c:v>17723453.120000005</c:v>
                </c:pt>
                <c:pt idx="4">
                  <c:v>20317106.160000008</c:v>
                </c:pt>
                <c:pt idx="5">
                  <c:v>16130249.110000009</c:v>
                </c:pt>
                <c:pt idx="6">
                  <c:v>16547787.110000012</c:v>
                </c:pt>
                <c:pt idx="7">
                  <c:v>20460483.79999999</c:v>
                </c:pt>
                <c:pt idx="8">
                  <c:v>14927412.819999998</c:v>
                </c:pt>
                <c:pt idx="9">
                  <c:v>19245720.770000014</c:v>
                </c:pt>
                <c:pt idx="10">
                  <c:v>19095500.500000011</c:v>
                </c:pt>
                <c:pt idx="11">
                  <c:v>9194783.1699999999</c:v>
                </c:pt>
              </c:numCache>
            </c:numRef>
          </c:val>
          <c:smooth val="0"/>
        </c:ser>
        <c:dLbls>
          <c:showLegendKey val="0"/>
          <c:showVal val="0"/>
          <c:showCatName val="0"/>
          <c:showSerName val="0"/>
          <c:showPercent val="0"/>
          <c:showBubbleSize val="0"/>
        </c:dLbls>
        <c:marker val="1"/>
        <c:smooth val="0"/>
        <c:axId val="240675072"/>
        <c:axId val="240681728"/>
      </c:lineChart>
      <c:catAx>
        <c:axId val="240675072"/>
        <c:scaling>
          <c:orientation val="minMax"/>
        </c:scaling>
        <c:delete val="0"/>
        <c:axPos val="b"/>
        <c:title>
          <c:tx>
            <c:rich>
              <a:bodyPr/>
              <a:lstStyle/>
              <a:p>
                <a:pPr>
                  <a:defRPr/>
                </a:pPr>
                <a:r>
                  <a:rPr lang="en-US"/>
                  <a:t>Month</a:t>
                </a:r>
              </a:p>
            </c:rich>
          </c:tx>
          <c:layout/>
          <c:overlay val="0"/>
        </c:title>
        <c:majorTickMark val="out"/>
        <c:minorTickMark val="none"/>
        <c:tickLblPos val="nextTo"/>
        <c:crossAx val="240681728"/>
        <c:crosses val="autoZero"/>
        <c:auto val="1"/>
        <c:lblAlgn val="ctr"/>
        <c:lblOffset val="100"/>
        <c:noMultiLvlLbl val="0"/>
      </c:catAx>
      <c:valAx>
        <c:axId val="240681728"/>
        <c:scaling>
          <c:orientation val="minMax"/>
        </c:scaling>
        <c:delete val="0"/>
        <c:axPos val="l"/>
        <c:majorGridlines/>
        <c:title>
          <c:tx>
            <c:rich>
              <a:bodyPr rot="-5400000" vert="horz"/>
              <a:lstStyle/>
              <a:p>
                <a:pPr>
                  <a:defRPr/>
                </a:pPr>
                <a:r>
                  <a:rPr lang="en-US"/>
                  <a:t>Sales</a:t>
                </a:r>
                <a:r>
                  <a:rPr lang="en-US" baseline="0"/>
                  <a:t> &amp; Profit(Amount)</a:t>
                </a:r>
                <a:endParaRPr lang="en-US"/>
              </a:p>
            </c:rich>
          </c:tx>
          <c:layout>
            <c:manualLayout>
              <c:xMode val="edge"/>
              <c:yMode val="edge"/>
              <c:x val="1.4911450272446216E-2"/>
              <c:y val="0.22529123133161136"/>
            </c:manualLayout>
          </c:layout>
          <c:overlay val="0"/>
        </c:title>
        <c:numFmt formatCode="0" sourceLinked="1"/>
        <c:majorTickMark val="out"/>
        <c:minorTickMark val="none"/>
        <c:tickLblPos val="nextTo"/>
        <c:crossAx val="240675072"/>
        <c:crosses val="autoZero"/>
        <c:crossBetween val="between"/>
      </c:valAx>
    </c:plotArea>
    <c:legend>
      <c:legendPos val="r"/>
      <c:layout/>
      <c:overlay val="0"/>
    </c:legend>
    <c:plotVisOnly val="1"/>
    <c:dispBlanksAs val="gap"/>
    <c:showDLblsOverMax val="0"/>
  </c:chart>
  <c:spPr>
    <a:noFill/>
    <a:ln>
      <a:noFill/>
    </a:ln>
    <a:effectLst>
      <a:outerShdw blurRad="177800" dist="50800" dir="5400000" sx="74000" sy="74000" algn="ctr" rotWithShape="0">
        <a:srgbClr val="000000">
          <a:alpha val="36000"/>
        </a:srgbClr>
      </a:outerShdw>
    </a:effectLst>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[Advanced_Ecommerce_Sales_Data.xlsx]Sheet1!Category wise Perfformance</c:name>
    <c:fmtId val="2"/>
  </c:pivotSource>
  <c:chart>
    <c:title>
      <c:tx>
        <c:rich>
          <a:bodyPr/>
          <a:lstStyle/>
          <a:p>
            <a:pPr>
              <a:defRPr/>
            </a:pPr>
            <a:r>
              <a:rPr lang="en-US" sz="2400"/>
              <a:t>Category-Wise</a:t>
            </a:r>
            <a:r>
              <a:rPr lang="en-US" sz="2400" baseline="0"/>
              <a:t> Performance</a:t>
            </a:r>
            <a:endParaRPr lang="en-US" sz="2400"/>
          </a:p>
        </c:rich>
      </c:tx>
      <c:layout>
        <c:manualLayout>
          <c:xMode val="edge"/>
          <c:yMode val="edge"/>
          <c:x val="0.35454149442106875"/>
          <c:y val="2.0347251546238107E-2"/>
        </c:manualLayout>
      </c:layout>
      <c:overlay val="0"/>
    </c:title>
    <c:autoTitleDeleted val="0"/>
    <c:pivotFmts>
      <c:pivotFmt>
        <c:idx val="0"/>
        <c:spPr>
          <a:solidFill>
            <a:schemeClr val="accent1">
              <a:lumMod val="75000"/>
            </a:schemeClr>
          </a:solidFill>
        </c:spPr>
        <c:marker>
          <c:symbol val="none"/>
        </c:marker>
      </c:pivotFmt>
      <c:pivotFmt>
        <c:idx val="1"/>
        <c:marker>
          <c:symbol val="none"/>
        </c:marker>
      </c:pivotFmt>
      <c:pivotFmt>
        <c:idx val="2"/>
        <c:spPr>
          <a:solidFill>
            <a:schemeClr val="accent1">
              <a:lumMod val="75000"/>
            </a:schemeClr>
          </a:solidFill>
        </c:spPr>
        <c:marker>
          <c:symbol val="none"/>
        </c:marker>
      </c:pivotFmt>
      <c:pivotFmt>
        <c:idx val="3"/>
        <c:marker>
          <c:symbol val="none"/>
        </c:marker>
      </c:pivotFmt>
      <c:pivotFmt>
        <c:idx val="4"/>
        <c:spPr>
          <a:solidFill>
            <a:schemeClr val="accent1">
              <a:lumMod val="75000"/>
            </a:schemeClr>
          </a:solidFill>
        </c:spPr>
        <c:marker>
          <c:symbol val="none"/>
        </c:marker>
      </c:pivotFmt>
      <c:pivotFmt>
        <c:idx val="5"/>
        <c:spPr>
          <a:solidFill>
            <a:schemeClr val="accent3">
              <a:lumMod val="50000"/>
            </a:schemeClr>
          </a:solidFill>
        </c:spPr>
        <c:marker>
          <c:symbol val="none"/>
        </c:marker>
      </c:pivotFmt>
    </c:pivotFmts>
    <c:plotArea>
      <c:layout>
        <c:manualLayout>
          <c:layoutTarget val="inner"/>
          <c:xMode val="edge"/>
          <c:yMode val="edge"/>
          <c:x val="0.16752826527644241"/>
          <c:y val="0.17150517692690836"/>
          <c:w val="0.68942403483803427"/>
          <c:h val="0.56832275770089002"/>
        </c:manualLayout>
      </c:layout>
      <c:barChart>
        <c:barDir val="col"/>
        <c:grouping val="clustered"/>
        <c:varyColors val="0"/>
        <c:ser>
          <c:idx val="0"/>
          <c:order val="0"/>
          <c:tx>
            <c:strRef>
              <c:f>Sheet1!$B$19</c:f>
              <c:strCache>
                <c:ptCount val="1"/>
                <c:pt idx="0">
                  <c:v>Sum of Sales</c:v>
                </c:pt>
              </c:strCache>
            </c:strRef>
          </c:tx>
          <c:spPr>
            <a:solidFill>
              <a:schemeClr val="accent1">
                <a:lumMod val="75000"/>
              </a:schemeClr>
            </a:solidFill>
          </c:spPr>
          <c:invertIfNegative val="0"/>
          <c:cat>
            <c:strRef>
              <c:f>Sheet1!$A$20:$A$24</c:f>
              <c:strCache>
                <c:ptCount val="4"/>
                <c:pt idx="0">
                  <c:v>Clothing</c:v>
                </c:pt>
                <c:pt idx="1">
                  <c:v>Electronics</c:v>
                </c:pt>
                <c:pt idx="2">
                  <c:v>Furniture</c:v>
                </c:pt>
                <c:pt idx="3">
                  <c:v>Office Supplies</c:v>
                </c:pt>
              </c:strCache>
            </c:strRef>
          </c:cat>
          <c:val>
            <c:numRef>
              <c:f>Sheet1!$B$20:$B$24</c:f>
              <c:numCache>
                <c:formatCode>General</c:formatCode>
                <c:ptCount val="4"/>
                <c:pt idx="0">
                  <c:v>279937811.99999994</c:v>
                </c:pt>
                <c:pt idx="1">
                  <c:v>278947522.19999981</c:v>
                </c:pt>
                <c:pt idx="2">
                  <c:v>263834930.40000001</c:v>
                </c:pt>
                <c:pt idx="3">
                  <c:v>250231307.8500002</c:v>
                </c:pt>
              </c:numCache>
            </c:numRef>
          </c:val>
        </c:ser>
        <c:ser>
          <c:idx val="1"/>
          <c:order val="1"/>
          <c:tx>
            <c:strRef>
              <c:f>Sheet1!$C$19</c:f>
              <c:strCache>
                <c:ptCount val="1"/>
                <c:pt idx="0">
                  <c:v>Sum of Profit</c:v>
                </c:pt>
              </c:strCache>
            </c:strRef>
          </c:tx>
          <c:spPr>
            <a:solidFill>
              <a:schemeClr val="accent3">
                <a:lumMod val="50000"/>
              </a:schemeClr>
            </a:solidFill>
          </c:spPr>
          <c:invertIfNegative val="0"/>
          <c:cat>
            <c:strRef>
              <c:f>Sheet1!$A$20:$A$24</c:f>
              <c:strCache>
                <c:ptCount val="4"/>
                <c:pt idx="0">
                  <c:v>Clothing</c:v>
                </c:pt>
                <c:pt idx="1">
                  <c:v>Electronics</c:v>
                </c:pt>
                <c:pt idx="2">
                  <c:v>Furniture</c:v>
                </c:pt>
                <c:pt idx="3">
                  <c:v>Office Supplies</c:v>
                </c:pt>
              </c:strCache>
            </c:strRef>
          </c:cat>
          <c:val>
            <c:numRef>
              <c:f>Sheet1!$C$20:$C$24</c:f>
              <c:numCache>
                <c:formatCode>General</c:formatCode>
                <c:ptCount val="4"/>
                <c:pt idx="0">
                  <c:v>52621246.430000037</c:v>
                </c:pt>
                <c:pt idx="1">
                  <c:v>53780912.249999888</c:v>
                </c:pt>
                <c:pt idx="2">
                  <c:v>50144914.029999964</c:v>
                </c:pt>
                <c:pt idx="3">
                  <c:v>47081524.710000016</c:v>
                </c:pt>
              </c:numCache>
            </c:numRef>
          </c:val>
        </c:ser>
        <c:dLbls>
          <c:showLegendKey val="0"/>
          <c:showVal val="0"/>
          <c:showCatName val="0"/>
          <c:showSerName val="0"/>
          <c:showPercent val="0"/>
          <c:showBubbleSize val="0"/>
        </c:dLbls>
        <c:gapWidth val="150"/>
        <c:axId val="240709632"/>
        <c:axId val="240711552"/>
      </c:barChart>
      <c:catAx>
        <c:axId val="240709632"/>
        <c:scaling>
          <c:orientation val="minMax"/>
        </c:scaling>
        <c:delete val="0"/>
        <c:axPos val="b"/>
        <c:title>
          <c:tx>
            <c:rich>
              <a:bodyPr/>
              <a:lstStyle/>
              <a:p>
                <a:pPr>
                  <a:defRPr/>
                </a:pPr>
                <a:r>
                  <a:rPr lang="en-US"/>
                  <a:t>Category</a:t>
                </a:r>
              </a:p>
            </c:rich>
          </c:tx>
          <c:layout>
            <c:manualLayout>
              <c:xMode val="edge"/>
              <c:yMode val="edge"/>
              <c:x val="0.47440415341113396"/>
              <c:y val="0.8086912718972018"/>
            </c:manualLayout>
          </c:layout>
          <c:overlay val="0"/>
        </c:title>
        <c:majorTickMark val="out"/>
        <c:minorTickMark val="none"/>
        <c:tickLblPos val="nextTo"/>
        <c:crossAx val="240711552"/>
        <c:crosses val="autoZero"/>
        <c:auto val="1"/>
        <c:lblAlgn val="ctr"/>
        <c:lblOffset val="100"/>
        <c:noMultiLvlLbl val="0"/>
      </c:catAx>
      <c:valAx>
        <c:axId val="240711552"/>
        <c:scaling>
          <c:orientation val="minMax"/>
        </c:scaling>
        <c:delete val="0"/>
        <c:axPos val="l"/>
        <c:majorGridlines/>
        <c:title>
          <c:tx>
            <c:rich>
              <a:bodyPr rot="-5400000" vert="horz"/>
              <a:lstStyle/>
              <a:p>
                <a:pPr>
                  <a:defRPr/>
                </a:pPr>
                <a:r>
                  <a:rPr lang="en-US"/>
                  <a:t>Amount</a:t>
                </a:r>
              </a:p>
            </c:rich>
          </c:tx>
          <c:layout/>
          <c:overlay val="0"/>
        </c:title>
        <c:numFmt formatCode="General" sourceLinked="1"/>
        <c:majorTickMark val="out"/>
        <c:minorTickMark val="none"/>
        <c:tickLblPos val="nextTo"/>
        <c:crossAx val="240709632"/>
        <c:crosses val="autoZero"/>
        <c:crossBetween val="between"/>
      </c:valAx>
    </c:plotArea>
    <c:legend>
      <c:legendPos val="r"/>
      <c:layout/>
      <c:overlay val="0"/>
    </c:legend>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[Advanced_Ecommerce_Sales_Data.xlsx]Sheet1!PivotTable1</c:name>
    <c:fmtId val="2"/>
  </c:pivotSource>
  <c:chart>
    <c:title>
      <c:tx>
        <c:rich>
          <a:bodyPr/>
          <a:lstStyle/>
          <a:p>
            <a:pPr>
              <a:defRPr/>
            </a:pPr>
            <a:r>
              <a:rPr lang="en-US" sz="2400">
                <a:solidFill>
                  <a:srgbClr val="002060"/>
                </a:solidFill>
              </a:rPr>
              <a:t>Top</a:t>
            </a:r>
            <a:r>
              <a:rPr lang="en-US" sz="2400" baseline="0">
                <a:solidFill>
                  <a:srgbClr val="002060"/>
                </a:solidFill>
              </a:rPr>
              <a:t> 5 Products</a:t>
            </a:r>
            <a:endParaRPr lang="en-US" sz="2400">
              <a:solidFill>
                <a:srgbClr val="002060"/>
              </a:solidFill>
            </a:endParaRPr>
          </a:p>
        </c:rich>
      </c:tx>
      <c:layout>
        <c:manualLayout>
          <c:xMode val="edge"/>
          <c:yMode val="edge"/>
          <c:x val="0.36644444444444441"/>
          <c:y val="4.0645960921551476E-2"/>
        </c:manualLayout>
      </c:layout>
      <c:overlay val="0"/>
    </c:title>
    <c:autoTitleDeleted val="0"/>
    <c:pivotFmts>
      <c:pivotFmt>
        <c:idx val="0"/>
        <c:spPr>
          <a:solidFill>
            <a:schemeClr val="accent1">
              <a:lumMod val="50000"/>
            </a:schemeClr>
          </a:solidFill>
        </c:spPr>
        <c:marker>
          <c:symbol val="none"/>
        </c:marker>
      </c:pivotFmt>
      <c:pivotFmt>
        <c:idx val="1"/>
        <c:spPr>
          <a:solidFill>
            <a:schemeClr val="accent1">
              <a:lumMod val="50000"/>
            </a:schemeClr>
          </a:solidFill>
        </c:spPr>
        <c:marker>
          <c:symbol val="none"/>
        </c:marker>
      </c:pivotFmt>
      <c:pivotFmt>
        <c:idx val="2"/>
        <c:spPr>
          <a:solidFill>
            <a:schemeClr val="accent1">
              <a:lumMod val="75000"/>
            </a:schemeClr>
          </a:solidFill>
        </c:spPr>
        <c:marker>
          <c:symbol val="none"/>
        </c:marker>
      </c:pivotFmt>
    </c:pivotFmts>
    <c:plotArea>
      <c:layout>
        <c:manualLayout>
          <c:layoutTarget val="inner"/>
          <c:xMode val="edge"/>
          <c:yMode val="edge"/>
          <c:x val="0.17106650222938999"/>
          <c:y val="0.17478966170895305"/>
          <c:w val="0.6936137621351548"/>
          <c:h val="0.63259591142656468"/>
        </c:manualLayout>
      </c:layout>
      <c:barChart>
        <c:barDir val="bar"/>
        <c:grouping val="clustered"/>
        <c:varyColors val="0"/>
        <c:ser>
          <c:idx val="0"/>
          <c:order val="0"/>
          <c:tx>
            <c:strRef>
              <c:f>Sheet1!$B$34</c:f>
              <c:strCache>
                <c:ptCount val="1"/>
                <c:pt idx="0">
                  <c:v>Total</c:v>
                </c:pt>
              </c:strCache>
            </c:strRef>
          </c:tx>
          <c:spPr>
            <a:solidFill>
              <a:schemeClr val="accent1">
                <a:lumMod val="75000"/>
              </a:schemeClr>
            </a:solidFill>
          </c:spPr>
          <c:invertIfNegative val="0"/>
          <c:cat>
            <c:strRef>
              <c:f>Sheet1!$A$35:$A$40</c:f>
              <c:strCache>
                <c:ptCount val="5"/>
                <c:pt idx="0">
                  <c:v>Dress</c:v>
                </c:pt>
                <c:pt idx="1">
                  <c:v>Jacket</c:v>
                </c:pt>
                <c:pt idx="2">
                  <c:v>Shoes</c:v>
                </c:pt>
                <c:pt idx="3">
                  <c:v>Sweater</c:v>
                </c:pt>
                <c:pt idx="4">
                  <c:v>T-Shirt</c:v>
                </c:pt>
              </c:strCache>
            </c:strRef>
          </c:cat>
          <c:val>
            <c:numRef>
              <c:f>Sheet1!$B$35:$B$40</c:f>
              <c:numCache>
                <c:formatCode>General</c:formatCode>
                <c:ptCount val="5"/>
                <c:pt idx="0">
                  <c:v>47617860.649999999</c:v>
                </c:pt>
                <c:pt idx="1">
                  <c:v>46445023.04999999</c:v>
                </c:pt>
                <c:pt idx="2">
                  <c:v>50569409.649999984</c:v>
                </c:pt>
                <c:pt idx="3">
                  <c:v>45522800.450000003</c:v>
                </c:pt>
                <c:pt idx="4">
                  <c:v>45234873.350000001</c:v>
                </c:pt>
              </c:numCache>
            </c:numRef>
          </c:val>
        </c:ser>
        <c:dLbls>
          <c:showLegendKey val="0"/>
          <c:showVal val="0"/>
          <c:showCatName val="0"/>
          <c:showSerName val="0"/>
          <c:showPercent val="0"/>
          <c:showBubbleSize val="0"/>
        </c:dLbls>
        <c:gapWidth val="150"/>
        <c:axId val="240825472"/>
        <c:axId val="240827392"/>
      </c:barChart>
      <c:catAx>
        <c:axId val="240825472"/>
        <c:scaling>
          <c:orientation val="minMax"/>
        </c:scaling>
        <c:delete val="0"/>
        <c:axPos val="l"/>
        <c:title>
          <c:tx>
            <c:rich>
              <a:bodyPr rot="-5400000" vert="horz"/>
              <a:lstStyle/>
              <a:p>
                <a:pPr>
                  <a:defRPr/>
                </a:pPr>
                <a:r>
                  <a:rPr lang="en-US"/>
                  <a:t>Product</a:t>
                </a:r>
                <a:r>
                  <a:rPr lang="en-US" baseline="0"/>
                  <a:t> Name</a:t>
                </a:r>
                <a:endParaRPr lang="en-US"/>
              </a:p>
            </c:rich>
          </c:tx>
          <c:layout/>
          <c:overlay val="0"/>
        </c:title>
        <c:majorTickMark val="out"/>
        <c:minorTickMark val="none"/>
        <c:tickLblPos val="nextTo"/>
        <c:crossAx val="240827392"/>
        <c:crosses val="autoZero"/>
        <c:auto val="1"/>
        <c:lblAlgn val="ctr"/>
        <c:lblOffset val="100"/>
        <c:noMultiLvlLbl val="0"/>
      </c:catAx>
      <c:valAx>
        <c:axId val="240827392"/>
        <c:scaling>
          <c:orientation val="minMax"/>
        </c:scaling>
        <c:delete val="0"/>
        <c:axPos val="b"/>
        <c:majorGridlines/>
        <c:title>
          <c:tx>
            <c:rich>
              <a:bodyPr/>
              <a:lstStyle/>
              <a:p>
                <a:pPr>
                  <a:defRPr/>
                </a:pPr>
                <a:r>
                  <a:rPr lang="en-US"/>
                  <a:t>Total</a:t>
                </a:r>
                <a:r>
                  <a:rPr lang="en-US" baseline="0"/>
                  <a:t> Sales</a:t>
                </a:r>
                <a:endParaRPr lang="en-US"/>
              </a:p>
            </c:rich>
          </c:tx>
          <c:layout/>
          <c:overlay val="0"/>
        </c:title>
        <c:numFmt formatCode="General" sourceLinked="1"/>
        <c:majorTickMark val="out"/>
        <c:minorTickMark val="none"/>
        <c:tickLblPos val="nextTo"/>
        <c:crossAx val="240825472"/>
        <c:crosses val="autoZero"/>
        <c:crossBetween val="between"/>
      </c:valAx>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[Advanced_Ecommerce_Sales_Data.xlsx]Sheet1!Region Wise Sales</c:name>
    <c:fmtId val="2"/>
  </c:pivotSource>
  <c:chart>
    <c:title>
      <c:tx>
        <c:rich>
          <a:bodyPr/>
          <a:lstStyle/>
          <a:p>
            <a:pPr>
              <a:defRPr/>
            </a:pPr>
            <a:r>
              <a:rPr lang="en-US" sz="2400" b="1" i="0" u="none" strike="noStrike" baseline="0">
                <a:solidFill>
                  <a:schemeClr val="accent5">
                    <a:lumMod val="50000"/>
                  </a:schemeClr>
                </a:solidFill>
              </a:rPr>
              <a:t>Sales by Region</a:t>
            </a:r>
            <a:endParaRPr lang="en-US" sz="2400">
              <a:solidFill>
                <a:schemeClr val="accent5">
                  <a:lumMod val="50000"/>
                </a:schemeClr>
              </a:solidFill>
            </a:endParaRPr>
          </a:p>
        </c:rich>
      </c:tx>
      <c:layout>
        <c:manualLayout>
          <c:xMode val="edge"/>
          <c:yMode val="edge"/>
          <c:x val="0.39426586382584528"/>
          <c:y val="8.2312651593074243E-2"/>
        </c:manualLayout>
      </c:layout>
      <c:overlay val="0"/>
    </c:title>
    <c:autoTitleDeleted val="0"/>
    <c:pivotFmts>
      <c:pivotFmt>
        <c:idx val="0"/>
        <c:spPr>
          <a:solidFill>
            <a:schemeClr val="accent1">
              <a:lumMod val="75000"/>
            </a:schemeClr>
          </a:solidFill>
        </c:spPr>
        <c:marker>
          <c:symbol val="none"/>
        </c:marker>
      </c:pivotFmt>
      <c:pivotFmt>
        <c:idx val="1"/>
        <c:spPr>
          <a:solidFill>
            <a:schemeClr val="accent1">
              <a:lumMod val="75000"/>
            </a:schemeClr>
          </a:solidFill>
        </c:spPr>
        <c:marker>
          <c:symbol val="none"/>
        </c:marker>
      </c:pivotFmt>
      <c:pivotFmt>
        <c:idx val="2"/>
        <c:spPr>
          <a:solidFill>
            <a:schemeClr val="accent1">
              <a:lumMod val="75000"/>
            </a:schemeClr>
          </a:solidFill>
        </c:spPr>
        <c:marker>
          <c:symbol val="none"/>
        </c:marker>
      </c:pivotFmt>
    </c:pivotFmts>
    <c:plotArea>
      <c:layout>
        <c:manualLayout>
          <c:layoutTarget val="inner"/>
          <c:xMode val="edge"/>
          <c:yMode val="edge"/>
          <c:x val="0.25083617672790903"/>
          <c:y val="0.28590077282006415"/>
          <c:w val="0.59489399983194191"/>
          <c:h val="0.51383683781100398"/>
        </c:manualLayout>
      </c:layout>
      <c:barChart>
        <c:barDir val="bar"/>
        <c:grouping val="stacked"/>
        <c:varyColors val="0"/>
        <c:ser>
          <c:idx val="0"/>
          <c:order val="0"/>
          <c:tx>
            <c:strRef>
              <c:f>Sheet1!$B$48</c:f>
              <c:strCache>
                <c:ptCount val="1"/>
                <c:pt idx="0">
                  <c:v>Total</c:v>
                </c:pt>
              </c:strCache>
            </c:strRef>
          </c:tx>
          <c:spPr>
            <a:solidFill>
              <a:schemeClr val="accent1">
                <a:lumMod val="75000"/>
              </a:schemeClr>
            </a:solidFill>
          </c:spPr>
          <c:invertIfNegative val="0"/>
          <c:cat>
            <c:strRef>
              <c:f>Sheet1!$A$49:$A$53</c:f>
              <c:strCache>
                <c:ptCount val="4"/>
                <c:pt idx="0">
                  <c:v>East</c:v>
                </c:pt>
                <c:pt idx="1">
                  <c:v>North</c:v>
                </c:pt>
                <c:pt idx="2">
                  <c:v>South</c:v>
                </c:pt>
                <c:pt idx="3">
                  <c:v>West</c:v>
                </c:pt>
              </c:strCache>
            </c:strRef>
          </c:cat>
          <c:val>
            <c:numRef>
              <c:f>Sheet1!$B$49:$B$53</c:f>
              <c:numCache>
                <c:formatCode>General</c:formatCode>
                <c:ptCount val="4"/>
                <c:pt idx="0">
                  <c:v>270379919.30000013</c:v>
                </c:pt>
                <c:pt idx="1">
                  <c:v>270438346.05000037</c:v>
                </c:pt>
                <c:pt idx="2">
                  <c:v>276255918.19999975</c:v>
                </c:pt>
                <c:pt idx="3">
                  <c:v>255877388.89999983</c:v>
                </c:pt>
              </c:numCache>
            </c:numRef>
          </c:val>
        </c:ser>
        <c:dLbls>
          <c:showLegendKey val="0"/>
          <c:showVal val="0"/>
          <c:showCatName val="0"/>
          <c:showSerName val="0"/>
          <c:showPercent val="0"/>
          <c:showBubbleSize val="0"/>
        </c:dLbls>
        <c:gapWidth val="150"/>
        <c:overlap val="100"/>
        <c:axId val="241512832"/>
        <c:axId val="241514752"/>
      </c:barChart>
      <c:catAx>
        <c:axId val="241512832"/>
        <c:scaling>
          <c:orientation val="minMax"/>
        </c:scaling>
        <c:delete val="0"/>
        <c:axPos val="l"/>
        <c:title>
          <c:tx>
            <c:rich>
              <a:bodyPr rot="-5400000" vert="horz"/>
              <a:lstStyle/>
              <a:p>
                <a:pPr>
                  <a:defRPr/>
                </a:pPr>
                <a:r>
                  <a:rPr lang="en-US"/>
                  <a:t>Region</a:t>
                </a:r>
              </a:p>
            </c:rich>
          </c:tx>
          <c:layout/>
          <c:overlay val="0"/>
        </c:title>
        <c:majorTickMark val="out"/>
        <c:minorTickMark val="none"/>
        <c:tickLblPos val="nextTo"/>
        <c:crossAx val="241514752"/>
        <c:crosses val="autoZero"/>
        <c:auto val="1"/>
        <c:lblAlgn val="ctr"/>
        <c:lblOffset val="100"/>
        <c:noMultiLvlLbl val="0"/>
      </c:catAx>
      <c:valAx>
        <c:axId val="241514752"/>
        <c:scaling>
          <c:orientation val="minMax"/>
        </c:scaling>
        <c:delete val="0"/>
        <c:axPos val="b"/>
        <c:majorGridlines/>
        <c:title>
          <c:tx>
            <c:rich>
              <a:bodyPr/>
              <a:lstStyle/>
              <a:p>
                <a:pPr>
                  <a:defRPr/>
                </a:pPr>
                <a:r>
                  <a:rPr lang="en-US"/>
                  <a:t>Total</a:t>
                </a:r>
                <a:r>
                  <a:rPr lang="en-US" baseline="0"/>
                  <a:t> Sales</a:t>
                </a:r>
                <a:endParaRPr lang="en-US"/>
              </a:p>
            </c:rich>
          </c:tx>
          <c:layout/>
          <c:overlay val="0"/>
        </c:title>
        <c:numFmt formatCode="General" sourceLinked="1"/>
        <c:majorTickMark val="out"/>
        <c:minorTickMark val="none"/>
        <c:tickLblPos val="nextTo"/>
        <c:crossAx val="241512832"/>
        <c:crosses val="autoZero"/>
        <c:crossBetween val="between"/>
      </c:valAx>
    </c:plotArea>
    <c:plotVisOnly val="1"/>
    <c:dispBlanksAs val="gap"/>
    <c:showDLblsOverMax val="0"/>
  </c:chart>
  <c:spPr>
    <a:noFill/>
    <a:ln>
      <a:noFill/>
    </a:ln>
    <a:effectLst/>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[Advanced_Ecommerce_Sales_Data.xlsx]Sheet1!PivotTable2</c:name>
    <c:fmtId val="2"/>
  </c:pivotSource>
  <c:chart>
    <c:title>
      <c:tx>
        <c:rich>
          <a:bodyPr/>
          <a:lstStyle/>
          <a:p>
            <a:pPr>
              <a:defRPr/>
            </a:pPr>
            <a:r>
              <a:rPr lang="en-US" sz="2400" b="1" i="0" u="none" strike="noStrike" baseline="0">
                <a:solidFill>
                  <a:srgbClr val="7030A0"/>
                </a:solidFill>
              </a:rPr>
              <a:t>Top Customers by Sales</a:t>
            </a:r>
            <a:endParaRPr lang="en-US" sz="2400">
              <a:solidFill>
                <a:srgbClr val="7030A0"/>
              </a:solidFill>
            </a:endParaRPr>
          </a:p>
        </c:rich>
      </c:tx>
      <c:layout>
        <c:manualLayout>
          <c:xMode val="edge"/>
          <c:yMode val="edge"/>
          <c:x val="0.39327412697111563"/>
          <c:y val="3.0881285730155708E-2"/>
        </c:manualLayout>
      </c:layout>
      <c:overlay val="0"/>
    </c:title>
    <c:autoTitleDeleted val="0"/>
    <c:pivotFmts>
      <c:pivotFmt>
        <c:idx val="0"/>
        <c:marker>
          <c:symbol val="none"/>
        </c:marker>
      </c:pivotFmt>
      <c:pivotFmt>
        <c:idx val="1"/>
        <c:marker>
          <c:symbol val="none"/>
        </c:marker>
      </c:pivotFmt>
      <c:pivotFmt>
        <c:idx val="2"/>
        <c:spPr>
          <a:solidFill>
            <a:schemeClr val="accent1">
              <a:lumMod val="75000"/>
            </a:schemeClr>
          </a:solidFill>
        </c:spPr>
        <c:marker>
          <c:symbol val="none"/>
        </c:marker>
      </c:pivotFmt>
    </c:pivotFmts>
    <c:plotArea>
      <c:layout>
        <c:manualLayout>
          <c:layoutTarget val="inner"/>
          <c:xMode val="edge"/>
          <c:yMode val="edge"/>
          <c:x val="0.26051804798088135"/>
          <c:y val="0.17478966170895305"/>
          <c:w val="0.60962622065660232"/>
          <c:h val="0.65200386413847211"/>
        </c:manualLayout>
      </c:layout>
      <c:barChart>
        <c:barDir val="bar"/>
        <c:grouping val="stacked"/>
        <c:varyColors val="0"/>
        <c:ser>
          <c:idx val="0"/>
          <c:order val="0"/>
          <c:tx>
            <c:strRef>
              <c:f>Sheet1!$B$64</c:f>
              <c:strCache>
                <c:ptCount val="1"/>
                <c:pt idx="0">
                  <c:v>Total</c:v>
                </c:pt>
              </c:strCache>
            </c:strRef>
          </c:tx>
          <c:spPr>
            <a:solidFill>
              <a:schemeClr val="accent1">
                <a:lumMod val="75000"/>
              </a:schemeClr>
            </a:solidFill>
          </c:spPr>
          <c:invertIfNegative val="0"/>
          <c:cat>
            <c:strRef>
              <c:f>Sheet1!$A$65:$A$75</c:f>
              <c:strCache>
                <c:ptCount val="10"/>
                <c:pt idx="0">
                  <c:v>Customer_10</c:v>
                </c:pt>
                <c:pt idx="1">
                  <c:v>Customer_13</c:v>
                </c:pt>
                <c:pt idx="2">
                  <c:v>Customer_17</c:v>
                </c:pt>
                <c:pt idx="3">
                  <c:v>Customer_2</c:v>
                </c:pt>
                <c:pt idx="4">
                  <c:v>Customer_22</c:v>
                </c:pt>
                <c:pt idx="5">
                  <c:v>Customer_26</c:v>
                </c:pt>
                <c:pt idx="6">
                  <c:v>Customer_42</c:v>
                </c:pt>
                <c:pt idx="7">
                  <c:v>Customer_49</c:v>
                </c:pt>
                <c:pt idx="8">
                  <c:v>Customer_6</c:v>
                </c:pt>
                <c:pt idx="9">
                  <c:v>Customer_8</c:v>
                </c:pt>
              </c:strCache>
            </c:strRef>
          </c:cat>
          <c:val>
            <c:numRef>
              <c:f>Sheet1!$B$65:$B$75</c:f>
              <c:numCache>
                <c:formatCode>General</c:formatCode>
                <c:ptCount val="10"/>
                <c:pt idx="0">
                  <c:v>26368590.050000001</c:v>
                </c:pt>
                <c:pt idx="1">
                  <c:v>24236953.549999997</c:v>
                </c:pt>
                <c:pt idx="2">
                  <c:v>22938654.700000003</c:v>
                </c:pt>
                <c:pt idx="3">
                  <c:v>25723604.799999997</c:v>
                </c:pt>
                <c:pt idx="4">
                  <c:v>24106243.599999998</c:v>
                </c:pt>
                <c:pt idx="5">
                  <c:v>26696490.199999988</c:v>
                </c:pt>
                <c:pt idx="6">
                  <c:v>27015191.850000013</c:v>
                </c:pt>
                <c:pt idx="7">
                  <c:v>24935977.500000004</c:v>
                </c:pt>
                <c:pt idx="8">
                  <c:v>25380535.749999996</c:v>
                </c:pt>
                <c:pt idx="9">
                  <c:v>25287131.800000004</c:v>
                </c:pt>
              </c:numCache>
            </c:numRef>
          </c:val>
        </c:ser>
        <c:dLbls>
          <c:showLegendKey val="0"/>
          <c:showVal val="0"/>
          <c:showCatName val="0"/>
          <c:showSerName val="0"/>
          <c:showPercent val="0"/>
          <c:showBubbleSize val="0"/>
        </c:dLbls>
        <c:gapWidth val="150"/>
        <c:overlap val="100"/>
        <c:axId val="241552384"/>
        <c:axId val="241558656"/>
      </c:barChart>
      <c:catAx>
        <c:axId val="241552384"/>
        <c:scaling>
          <c:orientation val="minMax"/>
        </c:scaling>
        <c:delete val="0"/>
        <c:axPos val="l"/>
        <c:title>
          <c:tx>
            <c:rich>
              <a:bodyPr rot="-5400000" vert="horz"/>
              <a:lstStyle/>
              <a:p>
                <a:pPr>
                  <a:defRPr sz="1100">
                    <a:latin typeface="Times New Roman" pitchFamily="18" charset="0"/>
                    <a:cs typeface="Times New Roman" pitchFamily="18" charset="0"/>
                  </a:defRPr>
                </a:pPr>
                <a:r>
                  <a:rPr lang="en-US" sz="1100">
                    <a:latin typeface="Times New Roman" pitchFamily="18" charset="0"/>
                    <a:cs typeface="Times New Roman" pitchFamily="18" charset="0"/>
                  </a:rPr>
                  <a:t>Customer</a:t>
                </a:r>
                <a:r>
                  <a:rPr lang="en-US" sz="1100" baseline="0">
                    <a:latin typeface="Times New Roman" pitchFamily="18" charset="0"/>
                    <a:cs typeface="Times New Roman" pitchFamily="18" charset="0"/>
                  </a:rPr>
                  <a:t> Name</a:t>
                </a:r>
                <a:endParaRPr lang="en-US" sz="1100">
                  <a:latin typeface="Times New Roman" pitchFamily="18" charset="0"/>
                  <a:cs typeface="Times New Roman" pitchFamily="18" charset="0"/>
                </a:endParaRPr>
              </a:p>
            </c:rich>
          </c:tx>
          <c:layout/>
          <c:overlay val="0"/>
        </c:title>
        <c:majorTickMark val="out"/>
        <c:minorTickMark val="none"/>
        <c:tickLblPos val="nextTo"/>
        <c:crossAx val="241558656"/>
        <c:crosses val="autoZero"/>
        <c:auto val="1"/>
        <c:lblAlgn val="ctr"/>
        <c:lblOffset val="100"/>
        <c:noMultiLvlLbl val="0"/>
      </c:catAx>
      <c:valAx>
        <c:axId val="241558656"/>
        <c:scaling>
          <c:orientation val="minMax"/>
        </c:scaling>
        <c:delete val="0"/>
        <c:axPos val="b"/>
        <c:majorGridlines/>
        <c:title>
          <c:tx>
            <c:rich>
              <a:bodyPr/>
              <a:lstStyle/>
              <a:p>
                <a:pPr>
                  <a:defRPr>
                    <a:latin typeface="Times New Roman" pitchFamily="18" charset="0"/>
                    <a:cs typeface="Times New Roman" pitchFamily="18" charset="0"/>
                  </a:defRPr>
                </a:pPr>
                <a:r>
                  <a:rPr lang="en-US">
                    <a:latin typeface="Times New Roman" pitchFamily="18" charset="0"/>
                    <a:cs typeface="Times New Roman" pitchFamily="18" charset="0"/>
                  </a:rPr>
                  <a:t>Total</a:t>
                </a:r>
                <a:r>
                  <a:rPr lang="en-US" baseline="0">
                    <a:latin typeface="Times New Roman" pitchFamily="18" charset="0"/>
                    <a:cs typeface="Times New Roman" pitchFamily="18" charset="0"/>
                  </a:rPr>
                  <a:t> Sales</a:t>
                </a:r>
              </a:p>
            </c:rich>
          </c:tx>
          <c:layout>
            <c:manualLayout>
              <c:xMode val="edge"/>
              <c:yMode val="edge"/>
              <c:x val="0.48755052493438322"/>
              <c:y val="0.87962962962962965"/>
            </c:manualLayout>
          </c:layout>
          <c:overlay val="0"/>
        </c:title>
        <c:numFmt formatCode="General" sourceLinked="1"/>
        <c:majorTickMark val="out"/>
        <c:minorTickMark val="none"/>
        <c:tickLblPos val="nextTo"/>
        <c:crossAx val="241552384"/>
        <c:crosses val="autoZero"/>
        <c:crossBetween val="between"/>
      </c:valAx>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7</xdr:col>
      <xdr:colOff>432088</xdr:colOff>
      <xdr:row>2</xdr:row>
      <xdr:rowOff>43583</xdr:rowOff>
    </xdr:from>
    <xdr:to>
      <xdr:col>16</xdr:col>
      <xdr:colOff>428914</xdr:colOff>
      <xdr:row>17</xdr:row>
      <xdr:rowOff>46758</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542346</xdr:colOff>
      <xdr:row>17</xdr:row>
      <xdr:rowOff>168564</xdr:rowOff>
    </xdr:from>
    <xdr:to>
      <xdr:col>16</xdr:col>
      <xdr:colOff>558222</xdr:colOff>
      <xdr:row>31</xdr:row>
      <xdr:rowOff>130464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217921</xdr:colOff>
      <xdr:row>33</xdr:row>
      <xdr:rowOff>7793</xdr:rowOff>
    </xdr:from>
    <xdr:to>
      <xdr:col>16</xdr:col>
      <xdr:colOff>450273</xdr:colOff>
      <xdr:row>46</xdr:row>
      <xdr:rowOff>87745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273915</xdr:colOff>
      <xdr:row>47</xdr:row>
      <xdr:rowOff>42430</xdr:rowOff>
    </xdr:from>
    <xdr:to>
      <xdr:col>17</xdr:col>
      <xdr:colOff>65808</xdr:colOff>
      <xdr:row>61</xdr:row>
      <xdr:rowOff>7504</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241587</xdr:colOff>
      <xdr:row>60</xdr:row>
      <xdr:rowOff>157306</xdr:rowOff>
    </xdr:from>
    <xdr:to>
      <xdr:col>17</xdr:col>
      <xdr:colOff>321539</xdr:colOff>
      <xdr:row>78</xdr:row>
      <xdr:rowOff>65231</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139700</xdr:colOff>
      <xdr:row>28</xdr:row>
      <xdr:rowOff>55995</xdr:rowOff>
    </xdr:from>
    <xdr:to>
      <xdr:col>21</xdr:col>
      <xdr:colOff>132773</xdr:colOff>
      <xdr:row>41</xdr:row>
      <xdr:rowOff>178666</xdr:rowOff>
    </xdr:to>
    <mc:AlternateContent xmlns:mc="http://schemas.openxmlformats.org/markup-compatibility/2006" xmlns:a14="http://schemas.microsoft.com/office/drawing/2010/main">
      <mc:Choice Requires="a14">
        <xdr:graphicFrame macro="">
          <xdr:nvGraphicFramePr>
            <xdr:cNvPr id="11"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377882" y="5228359"/>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84859</xdr:colOff>
      <xdr:row>0</xdr:row>
      <xdr:rowOff>162791</xdr:rowOff>
    </xdr:from>
    <xdr:to>
      <xdr:col>23</xdr:col>
      <xdr:colOff>77932</xdr:colOff>
      <xdr:row>14</xdr:row>
      <xdr:rowOff>100734</xdr:rowOff>
    </xdr:to>
    <mc:AlternateContent xmlns:mc="http://schemas.openxmlformats.org/markup-compatibility/2006" xmlns:a14="http://schemas.microsoft.com/office/drawing/2010/main">
      <mc:Choice Requires="a14">
        <xdr:graphicFrame macro="">
          <xdr:nvGraphicFramePr>
            <xdr:cNvPr id="12"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546859" y="162791"/>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87745</xdr:colOff>
      <xdr:row>8</xdr:row>
      <xdr:rowOff>165677</xdr:rowOff>
    </xdr:from>
    <xdr:to>
      <xdr:col>27</xdr:col>
      <xdr:colOff>80817</xdr:colOff>
      <xdr:row>22</xdr:row>
      <xdr:rowOff>103620</xdr:rowOff>
    </xdr:to>
    <mc:AlternateContent xmlns:mc="http://schemas.openxmlformats.org/markup-compatibility/2006" xmlns:a14="http://schemas.microsoft.com/office/drawing/2010/main">
      <mc:Choice Requires="a14">
        <xdr:graphicFrame macro="">
          <xdr:nvGraphicFramePr>
            <xdr:cNvPr id="13"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5997381" y="164349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217632</xdr:colOff>
      <xdr:row>13</xdr:row>
      <xdr:rowOff>6927</xdr:rowOff>
    </xdr:from>
    <xdr:to>
      <xdr:col>23</xdr:col>
      <xdr:colOff>210705</xdr:colOff>
      <xdr:row>26</xdr:row>
      <xdr:rowOff>129598</xdr:rowOff>
    </xdr:to>
    <mc:AlternateContent xmlns:mc="http://schemas.openxmlformats.org/markup-compatibility/2006" xmlns:a14="http://schemas.microsoft.com/office/drawing/2010/main">
      <mc:Choice Requires="a14">
        <xdr:graphicFrame macro="">
          <xdr:nvGraphicFramePr>
            <xdr:cNvPr id="14"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3679632" y="240838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19049</xdr:colOff>
      <xdr:row>0</xdr:row>
      <xdr:rowOff>25399</xdr:rowOff>
    </xdr:from>
    <xdr:to>
      <xdr:col>54</xdr:col>
      <xdr:colOff>440972</xdr:colOff>
      <xdr:row>2</xdr:row>
      <xdr:rowOff>174624</xdr:rowOff>
    </xdr:to>
    <xdr:sp macro="" textlink="">
      <xdr:nvSpPr>
        <xdr:cNvPr id="2" name="Rectangle 1"/>
        <xdr:cNvSpPr/>
      </xdr:nvSpPr>
      <xdr:spPr>
        <a:xfrm>
          <a:off x="19049" y="25399"/>
          <a:ext cx="35152895" cy="502003"/>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b="1">
              <a:latin typeface="Times New Roman" pitchFamily="18" charset="0"/>
              <a:cs typeface="Times New Roman" pitchFamily="18" charset="0"/>
            </a:rPr>
            <a:t>E-Commerce Sales Dashboard</a:t>
          </a:r>
        </a:p>
      </xdr:txBody>
    </xdr:sp>
    <xdr:clientData/>
  </xdr:twoCellAnchor>
  <xdr:twoCellAnchor>
    <xdr:from>
      <xdr:col>0</xdr:col>
      <xdr:colOff>60106</xdr:colOff>
      <xdr:row>3</xdr:row>
      <xdr:rowOff>95249</xdr:rowOff>
    </xdr:from>
    <xdr:to>
      <xdr:col>7</xdr:col>
      <xdr:colOff>523876</xdr:colOff>
      <xdr:row>10</xdr:row>
      <xdr:rowOff>133349</xdr:rowOff>
    </xdr:to>
    <xdr:sp macro="" textlink="$A$14">
      <xdr:nvSpPr>
        <xdr:cNvPr id="3" name="Rectangle 2"/>
        <xdr:cNvSpPr/>
      </xdr:nvSpPr>
      <xdr:spPr>
        <a:xfrm>
          <a:off x="60106" y="666749"/>
          <a:ext cx="6147020" cy="1371600"/>
        </a:xfrm>
        <a:prstGeom prst="rect">
          <a:avLst/>
        </a:prstGeom>
        <a:solidFill>
          <a:schemeClr val="tx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AE80859C-695E-4423-A75A-F100FE5D0444}" type="TxLink">
            <a:rPr lang="en-US" sz="3200" b="1">
              <a:latin typeface="Times New Roman" pitchFamily="18" charset="0"/>
              <a:cs typeface="Times New Roman" pitchFamily="18" charset="0"/>
            </a:rPr>
            <a:pPr algn="ctr"/>
            <a:t>1,072,951,572</a:t>
          </a:fld>
          <a:endParaRPr lang="en-US" sz="3200"/>
        </a:p>
      </xdr:txBody>
    </xdr:sp>
    <xdr:clientData/>
  </xdr:twoCellAnchor>
  <xdr:twoCellAnchor>
    <xdr:from>
      <xdr:col>8</xdr:col>
      <xdr:colOff>375709</xdr:colOff>
      <xdr:row>3</xdr:row>
      <xdr:rowOff>112888</xdr:rowOff>
    </xdr:from>
    <xdr:to>
      <xdr:col>19</xdr:col>
      <xdr:colOff>44098</xdr:colOff>
      <xdr:row>10</xdr:row>
      <xdr:rowOff>150988</xdr:rowOff>
    </xdr:to>
    <xdr:sp macro="" textlink="$D$14">
      <xdr:nvSpPr>
        <xdr:cNvPr id="6" name="Rectangle 5"/>
        <xdr:cNvSpPr/>
      </xdr:nvSpPr>
      <xdr:spPr>
        <a:xfrm>
          <a:off x="6708070" y="642055"/>
          <a:ext cx="6459361" cy="1272822"/>
        </a:xfrm>
        <a:prstGeom prst="rect">
          <a:avLst/>
        </a:prstGeom>
        <a:solidFill>
          <a:schemeClr val="accent3">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3B914879-5D8B-4C5C-8DD0-6B6E5BDDCED0}" type="TxLink">
            <a:rPr lang="en-US" sz="3200" b="1">
              <a:latin typeface="Times New Roman" pitchFamily="18" charset="0"/>
              <a:cs typeface="Times New Roman" pitchFamily="18" charset="0"/>
            </a:rPr>
            <a:pPr algn="ctr"/>
            <a:t>203,628,597</a:t>
          </a:fld>
          <a:endParaRPr lang="en-US" sz="3200" b="1">
            <a:latin typeface="Times New Roman" pitchFamily="18" charset="0"/>
            <a:cs typeface="Times New Roman" pitchFamily="18" charset="0"/>
          </a:endParaRPr>
        </a:p>
      </xdr:txBody>
    </xdr:sp>
    <xdr:clientData/>
  </xdr:twoCellAnchor>
  <xdr:twoCellAnchor>
    <xdr:from>
      <xdr:col>19</xdr:col>
      <xdr:colOff>511529</xdr:colOff>
      <xdr:row>3</xdr:row>
      <xdr:rowOff>93486</xdr:rowOff>
    </xdr:from>
    <xdr:to>
      <xdr:col>29</xdr:col>
      <xdr:colOff>543278</xdr:colOff>
      <xdr:row>10</xdr:row>
      <xdr:rowOff>131586</xdr:rowOff>
    </xdr:to>
    <xdr:sp macro="" textlink="$G$14">
      <xdr:nvSpPr>
        <xdr:cNvPr id="7" name="Rectangle 6"/>
        <xdr:cNvSpPr/>
      </xdr:nvSpPr>
      <xdr:spPr>
        <a:xfrm>
          <a:off x="13634862" y="622653"/>
          <a:ext cx="6205360" cy="127282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114B95B7-48E4-45D1-97E7-DCEC2B5D5C1F}" type="TxLink">
            <a:rPr lang="en-US" sz="3200" b="1">
              <a:latin typeface="Times New Roman" pitchFamily="18" charset="0"/>
              <a:cs typeface="Times New Roman" pitchFamily="18" charset="0"/>
            </a:rPr>
            <a:pPr algn="ctr"/>
            <a:t>5,000</a:t>
          </a:fld>
          <a:endParaRPr lang="en-US" sz="3200" b="1">
            <a:latin typeface="Times New Roman" pitchFamily="18" charset="0"/>
            <a:cs typeface="Times New Roman" pitchFamily="18" charset="0"/>
          </a:endParaRPr>
        </a:p>
      </xdr:txBody>
    </xdr:sp>
    <xdr:clientData/>
  </xdr:twoCellAnchor>
  <xdr:twoCellAnchor>
    <xdr:from>
      <xdr:col>30</xdr:col>
      <xdr:colOff>370416</xdr:colOff>
      <xdr:row>3</xdr:row>
      <xdr:rowOff>75845</xdr:rowOff>
    </xdr:from>
    <xdr:to>
      <xdr:col>40</xdr:col>
      <xdr:colOff>294568</xdr:colOff>
      <xdr:row>10</xdr:row>
      <xdr:rowOff>113945</xdr:rowOff>
    </xdr:to>
    <xdr:sp macro="" textlink="$I$14">
      <xdr:nvSpPr>
        <xdr:cNvPr id="8" name="Rectangle 7"/>
        <xdr:cNvSpPr/>
      </xdr:nvSpPr>
      <xdr:spPr>
        <a:xfrm>
          <a:off x="20284722" y="605012"/>
          <a:ext cx="6097763" cy="1272822"/>
        </a:xfrm>
        <a:prstGeom prst="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A30D351F-DFD1-4AA4-8D15-142D3641B8E0}" type="TxLink">
            <a:rPr lang="en-US" sz="3200" b="1">
              <a:latin typeface="Times New Roman" pitchFamily="18" charset="0"/>
              <a:cs typeface="Times New Roman" pitchFamily="18" charset="0"/>
            </a:rPr>
            <a:pPr algn="ctr"/>
            <a:t>18.98%</a:t>
          </a:fld>
          <a:endParaRPr lang="en-US" sz="3200" b="1">
            <a:latin typeface="Times New Roman" pitchFamily="18" charset="0"/>
            <a:cs typeface="Times New Roman" pitchFamily="18" charset="0"/>
          </a:endParaRPr>
        </a:p>
      </xdr:txBody>
    </xdr:sp>
    <xdr:clientData/>
  </xdr:twoCellAnchor>
  <xdr:twoCellAnchor>
    <xdr:from>
      <xdr:col>0</xdr:col>
      <xdr:colOff>194028</xdr:colOff>
      <xdr:row>14</xdr:row>
      <xdr:rowOff>61261</xdr:rowOff>
    </xdr:from>
    <xdr:to>
      <xdr:col>12</xdr:col>
      <xdr:colOff>12346</xdr:colOff>
      <xdr:row>44</xdr:row>
      <xdr:rowOff>52915</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246945</xdr:colOff>
      <xdr:row>11</xdr:row>
      <xdr:rowOff>116416</xdr:rowOff>
    </xdr:from>
    <xdr:to>
      <xdr:col>28</xdr:col>
      <xdr:colOff>510888</xdr:colOff>
      <xdr:row>42</xdr:row>
      <xdr:rowOff>141112</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105833</xdr:colOff>
      <xdr:row>45</xdr:row>
      <xdr:rowOff>52917</xdr:rowOff>
    </xdr:from>
    <xdr:to>
      <xdr:col>12</xdr:col>
      <xdr:colOff>607484</xdr:colOff>
      <xdr:row>70</xdr:row>
      <xdr:rowOff>51153</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88193</xdr:colOff>
      <xdr:row>43</xdr:row>
      <xdr:rowOff>123472</xdr:rowOff>
    </xdr:from>
    <xdr:to>
      <xdr:col>29</xdr:col>
      <xdr:colOff>35277</xdr:colOff>
      <xdr:row>70</xdr:row>
      <xdr:rowOff>105833</xdr:rowOff>
    </xdr:to>
    <xdr:graphicFrame macro="">
      <xdr:nvGraphicFramePr>
        <xdr:cNvPr id="17" name="Chart 1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264584</xdr:colOff>
      <xdr:row>11</xdr:row>
      <xdr:rowOff>77611</xdr:rowOff>
    </xdr:from>
    <xdr:to>
      <xdr:col>44</xdr:col>
      <xdr:colOff>141112</xdr:colOff>
      <xdr:row>70</xdr:row>
      <xdr:rowOff>0</xdr:rowOff>
    </xdr:to>
    <xdr:graphicFrame macro="">
      <xdr:nvGraphicFramePr>
        <xdr:cNvPr id="18" name="Chart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0</xdr:col>
      <xdr:colOff>952500</xdr:colOff>
      <xdr:row>3</xdr:row>
      <xdr:rowOff>142875</xdr:rowOff>
    </xdr:from>
    <xdr:ext cx="4349749" cy="841375"/>
    <xdr:sp macro="" textlink="">
      <xdr:nvSpPr>
        <xdr:cNvPr id="4" name="TextBox 3"/>
        <xdr:cNvSpPr txBox="1"/>
      </xdr:nvSpPr>
      <xdr:spPr>
        <a:xfrm>
          <a:off x="952500" y="714375"/>
          <a:ext cx="4349749" cy="841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indent="0" algn="ctr" defTabSz="914400" eaLnBrk="1" fontAlgn="auto" latinLnBrk="0" hangingPunct="1">
            <a:lnSpc>
              <a:spcPct val="100000"/>
            </a:lnSpc>
            <a:spcBef>
              <a:spcPts val="0"/>
            </a:spcBef>
            <a:spcAft>
              <a:spcPts val="0"/>
            </a:spcAft>
            <a:buClrTx/>
            <a:buSzTx/>
            <a:buFontTx/>
            <a:buNone/>
            <a:tabLst/>
            <a:defRPr/>
          </a:pPr>
          <a:r>
            <a:rPr lang="en-US" sz="3200" b="1">
              <a:solidFill>
                <a:schemeClr val="bg1"/>
              </a:solidFill>
              <a:effectLst/>
              <a:latin typeface="+mn-lt"/>
              <a:ea typeface="+mn-ea"/>
              <a:cs typeface="+mn-cs"/>
            </a:rPr>
            <a:t>Total Sales</a:t>
          </a:r>
          <a:endParaRPr lang="en-US" sz="3200">
            <a:solidFill>
              <a:schemeClr val="bg1"/>
            </a:solidFill>
            <a:effectLst/>
          </a:endParaRPr>
        </a:p>
        <a:p>
          <a:endParaRPr lang="en-US" sz="1100"/>
        </a:p>
      </xdr:txBody>
    </xdr:sp>
    <xdr:clientData/>
  </xdr:oneCellAnchor>
  <xdr:oneCellAnchor>
    <xdr:from>
      <xdr:col>9</xdr:col>
      <xdr:colOff>365125</xdr:colOff>
      <xdr:row>3</xdr:row>
      <xdr:rowOff>111124</xdr:rowOff>
    </xdr:from>
    <xdr:ext cx="4826000" cy="765531"/>
    <xdr:sp macro="" textlink="">
      <xdr:nvSpPr>
        <xdr:cNvPr id="21" name="TextBox 20"/>
        <xdr:cNvSpPr txBox="1"/>
      </xdr:nvSpPr>
      <xdr:spPr>
        <a:xfrm>
          <a:off x="7254875" y="682624"/>
          <a:ext cx="4826000" cy="7655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marR="0" indent="0" algn="ctr" defTabSz="914400" eaLnBrk="1" fontAlgn="auto" latinLnBrk="0" hangingPunct="1">
            <a:lnSpc>
              <a:spcPct val="100000"/>
            </a:lnSpc>
            <a:spcBef>
              <a:spcPts val="0"/>
            </a:spcBef>
            <a:spcAft>
              <a:spcPts val="0"/>
            </a:spcAft>
            <a:buClrTx/>
            <a:buSzTx/>
            <a:buFontTx/>
            <a:buNone/>
            <a:tabLst/>
            <a:defRPr/>
          </a:pPr>
          <a:r>
            <a:rPr lang="en-US" sz="3200" b="1">
              <a:solidFill>
                <a:schemeClr val="bg1"/>
              </a:solidFill>
              <a:effectLst/>
              <a:latin typeface="Times New Roman" pitchFamily="18" charset="0"/>
              <a:ea typeface="+mn-ea"/>
              <a:cs typeface="Times New Roman" pitchFamily="18" charset="0"/>
            </a:rPr>
            <a:t>Total</a:t>
          </a:r>
          <a:r>
            <a:rPr lang="en-US" sz="3200" b="1" baseline="0">
              <a:solidFill>
                <a:schemeClr val="bg1"/>
              </a:solidFill>
              <a:effectLst/>
              <a:latin typeface="Times New Roman" pitchFamily="18" charset="0"/>
              <a:ea typeface="+mn-ea"/>
              <a:cs typeface="Times New Roman" pitchFamily="18" charset="0"/>
            </a:rPr>
            <a:t> Profit</a:t>
          </a:r>
          <a:endParaRPr lang="en-US" sz="3200">
            <a:solidFill>
              <a:schemeClr val="bg1"/>
            </a:solidFill>
            <a:effectLst/>
            <a:latin typeface="Times New Roman" pitchFamily="18" charset="0"/>
            <a:cs typeface="Times New Roman" pitchFamily="18" charset="0"/>
          </a:endParaRPr>
        </a:p>
        <a:p>
          <a:endParaRPr lang="en-US" sz="1100"/>
        </a:p>
      </xdr:txBody>
    </xdr:sp>
    <xdr:clientData/>
  </xdr:oneCellAnchor>
  <xdr:oneCellAnchor>
    <xdr:from>
      <xdr:col>22</xdr:col>
      <xdr:colOff>5292</xdr:colOff>
      <xdr:row>3</xdr:row>
      <xdr:rowOff>158750</xdr:rowOff>
    </xdr:from>
    <xdr:ext cx="3762375" cy="765531"/>
    <xdr:sp macro="" textlink="">
      <xdr:nvSpPr>
        <xdr:cNvPr id="22" name="TextBox 21"/>
        <xdr:cNvSpPr txBox="1"/>
      </xdr:nvSpPr>
      <xdr:spPr>
        <a:xfrm>
          <a:off x="14980709" y="687917"/>
          <a:ext cx="3762375" cy="7655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marR="0" indent="0" defTabSz="914400" eaLnBrk="1" fontAlgn="auto" latinLnBrk="0" hangingPunct="1">
            <a:lnSpc>
              <a:spcPct val="100000"/>
            </a:lnSpc>
            <a:spcBef>
              <a:spcPts val="0"/>
            </a:spcBef>
            <a:spcAft>
              <a:spcPts val="0"/>
            </a:spcAft>
            <a:buClrTx/>
            <a:buSzTx/>
            <a:buFontTx/>
            <a:buNone/>
            <a:tabLst/>
            <a:defRPr/>
          </a:pPr>
          <a:r>
            <a:rPr lang="en-US" sz="3200" b="1">
              <a:solidFill>
                <a:schemeClr val="bg1"/>
              </a:solidFill>
              <a:effectLst/>
              <a:latin typeface="+mn-lt"/>
              <a:ea typeface="+mn-ea"/>
              <a:cs typeface="+mn-cs"/>
            </a:rPr>
            <a:t>Total</a:t>
          </a:r>
          <a:r>
            <a:rPr lang="en-US" sz="3200" b="1" baseline="0">
              <a:solidFill>
                <a:schemeClr val="bg1"/>
              </a:solidFill>
              <a:effectLst/>
              <a:latin typeface="+mn-lt"/>
              <a:ea typeface="+mn-ea"/>
              <a:cs typeface="+mn-cs"/>
            </a:rPr>
            <a:t> Orders (Count)</a:t>
          </a:r>
          <a:endParaRPr lang="en-US" sz="3200">
            <a:solidFill>
              <a:schemeClr val="bg1"/>
            </a:solidFill>
            <a:effectLst/>
          </a:endParaRPr>
        </a:p>
        <a:p>
          <a:endParaRPr lang="en-US" sz="1100"/>
        </a:p>
      </xdr:txBody>
    </xdr:sp>
    <xdr:clientData/>
  </xdr:oneCellAnchor>
  <xdr:oneCellAnchor>
    <xdr:from>
      <xdr:col>33</xdr:col>
      <xdr:colOff>59971</xdr:colOff>
      <xdr:row>4</xdr:row>
      <xdr:rowOff>15876</xdr:rowOff>
    </xdr:from>
    <xdr:ext cx="3571875" cy="603249"/>
    <xdr:sp macro="" textlink="">
      <xdr:nvSpPr>
        <xdr:cNvPr id="23" name="TextBox 22"/>
        <xdr:cNvSpPr txBox="1"/>
      </xdr:nvSpPr>
      <xdr:spPr>
        <a:xfrm>
          <a:off x="21826360" y="721432"/>
          <a:ext cx="3571875" cy="6032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indent="0" defTabSz="914400" eaLnBrk="1" fontAlgn="auto" latinLnBrk="0" hangingPunct="1">
            <a:lnSpc>
              <a:spcPct val="100000"/>
            </a:lnSpc>
            <a:spcBef>
              <a:spcPts val="0"/>
            </a:spcBef>
            <a:spcAft>
              <a:spcPts val="0"/>
            </a:spcAft>
            <a:buClrTx/>
            <a:buSzTx/>
            <a:buFontTx/>
            <a:buNone/>
            <a:tabLst/>
            <a:defRPr/>
          </a:pPr>
          <a:r>
            <a:rPr lang="en-US" sz="3200" b="1">
              <a:solidFill>
                <a:schemeClr val="bg1"/>
              </a:solidFill>
              <a:effectLst/>
              <a:latin typeface="+mn-lt"/>
              <a:ea typeface="+mn-ea"/>
              <a:cs typeface="+mn-cs"/>
            </a:rPr>
            <a:t>Profit</a:t>
          </a:r>
          <a:r>
            <a:rPr lang="en-US" sz="3200" b="1" baseline="0">
              <a:solidFill>
                <a:schemeClr val="bg1"/>
              </a:solidFill>
              <a:effectLst/>
              <a:latin typeface="+mn-lt"/>
              <a:ea typeface="+mn-ea"/>
              <a:cs typeface="+mn-cs"/>
            </a:rPr>
            <a:t> Margin (%) </a:t>
          </a:r>
          <a:endParaRPr lang="en-US" sz="3200">
            <a:solidFill>
              <a:schemeClr val="bg1"/>
            </a:solidFill>
            <a:effectLst/>
          </a:endParaRPr>
        </a:p>
        <a:p>
          <a:endParaRPr lang="en-US" sz="2800"/>
        </a:p>
      </xdr:txBody>
    </xdr:sp>
    <xdr:clientData/>
  </xdr:oneCellAnchor>
  <xdr:twoCellAnchor editAs="oneCell">
    <xdr:from>
      <xdr:col>45</xdr:col>
      <xdr:colOff>208140</xdr:colOff>
      <xdr:row>11</xdr:row>
      <xdr:rowOff>61736</xdr:rowOff>
    </xdr:from>
    <xdr:to>
      <xdr:col>50</xdr:col>
      <xdr:colOff>555624</xdr:colOff>
      <xdr:row>21</xdr:row>
      <xdr:rowOff>63604</xdr:rowOff>
    </xdr:to>
    <mc:AlternateContent xmlns:mc="http://schemas.openxmlformats.org/markup-compatibility/2006">
      <mc:Choice xmlns:a14="http://schemas.microsoft.com/office/drawing/2010/main" Requires="a14">
        <xdr:graphicFrame macro="">
          <xdr:nvGraphicFramePr>
            <xdr:cNvPr id="24" name="Category 1"/>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9382862" y="2002014"/>
              <a:ext cx="3434290" cy="1342423"/>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45</xdr:col>
      <xdr:colOff>238126</xdr:colOff>
      <xdr:row>27</xdr:row>
      <xdr:rowOff>109361</xdr:rowOff>
    </xdr:from>
    <xdr:to>
      <xdr:col>50</xdr:col>
      <xdr:colOff>537986</xdr:colOff>
      <xdr:row>34</xdr:row>
      <xdr:rowOff>109361</xdr:rowOff>
    </xdr:to>
    <mc:AlternateContent xmlns:mc="http://schemas.openxmlformats.org/markup-compatibility/2006">
      <mc:Choice xmlns:a14="http://schemas.microsoft.com/office/drawing/2010/main" Requires="a14">
        <xdr:graphicFrame macro="">
          <xdr:nvGraphicFramePr>
            <xdr:cNvPr id="25" name="Region 1"/>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29412848" y="4448528"/>
              <a:ext cx="3386666" cy="1234722"/>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45</xdr:col>
      <xdr:colOff>216958</xdr:colOff>
      <xdr:row>35</xdr:row>
      <xdr:rowOff>146402</xdr:rowOff>
    </xdr:from>
    <xdr:to>
      <xdr:col>50</xdr:col>
      <xdr:colOff>516819</xdr:colOff>
      <xdr:row>54</xdr:row>
      <xdr:rowOff>51153</xdr:rowOff>
    </xdr:to>
    <mc:AlternateContent xmlns:mc="http://schemas.openxmlformats.org/markup-compatibility/2006">
      <mc:Choice xmlns:a14="http://schemas.microsoft.com/office/drawing/2010/main" Requires="a14">
        <xdr:graphicFrame macro="">
          <xdr:nvGraphicFramePr>
            <xdr:cNvPr id="26" name="Month 1"/>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29391680" y="5896680"/>
              <a:ext cx="3386667" cy="325614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45</xdr:col>
      <xdr:colOff>239889</xdr:colOff>
      <xdr:row>22</xdr:row>
      <xdr:rowOff>29986</xdr:rowOff>
    </xdr:from>
    <xdr:to>
      <xdr:col>50</xdr:col>
      <xdr:colOff>555624</xdr:colOff>
      <xdr:row>26</xdr:row>
      <xdr:rowOff>141111</xdr:rowOff>
    </xdr:to>
    <mc:AlternateContent xmlns:mc="http://schemas.openxmlformats.org/markup-compatibility/2006">
      <mc:Choice xmlns:a14="http://schemas.microsoft.com/office/drawing/2010/main" Requires="a14">
        <xdr:graphicFrame macro="">
          <xdr:nvGraphicFramePr>
            <xdr:cNvPr id="27" name="Year 1"/>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29414611" y="3487208"/>
              <a:ext cx="3402541" cy="816681"/>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15</xdr:col>
      <xdr:colOff>176389</xdr:colOff>
      <xdr:row>39</xdr:row>
      <xdr:rowOff>5291</xdr:rowOff>
    </xdr:from>
    <xdr:to>
      <xdr:col>27</xdr:col>
      <xdr:colOff>319264</xdr:colOff>
      <xdr:row>40</xdr:row>
      <xdr:rowOff>134054</xdr:rowOff>
    </xdr:to>
    <xdr:sp macro="" textlink="">
      <xdr:nvSpPr>
        <xdr:cNvPr id="5" name="TextBox 4"/>
        <xdr:cNvSpPr txBox="1"/>
      </xdr:nvSpPr>
      <xdr:spPr>
        <a:xfrm>
          <a:off x="10830278" y="6461124"/>
          <a:ext cx="7551208" cy="3051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a:latin typeface="Times New Roman" pitchFamily="18" charset="0"/>
              <a:cs typeface="Times New Roman" pitchFamily="18" charset="0"/>
            </a:rPr>
            <a:t>Clothing category contributes the highest sales and profit among all categories</a:t>
          </a:r>
        </a:p>
      </xdr:txBody>
    </xdr:sp>
    <xdr:clientData/>
  </xdr:twoCellAnchor>
  <xdr:twoCellAnchor>
    <xdr:from>
      <xdr:col>31</xdr:col>
      <xdr:colOff>539749</xdr:colOff>
      <xdr:row>63</xdr:row>
      <xdr:rowOff>107598</xdr:rowOff>
    </xdr:from>
    <xdr:to>
      <xdr:col>42</xdr:col>
      <xdr:colOff>493888</xdr:colOff>
      <xdr:row>65</xdr:row>
      <xdr:rowOff>158750</xdr:rowOff>
    </xdr:to>
    <xdr:sp macro="" textlink="">
      <xdr:nvSpPr>
        <xdr:cNvPr id="9" name="TextBox 8"/>
        <xdr:cNvSpPr txBox="1"/>
      </xdr:nvSpPr>
      <xdr:spPr>
        <a:xfrm>
          <a:off x="21071416" y="10796765"/>
          <a:ext cx="6745111" cy="4039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a:t>Top 10 customers contribute a significant portion of total revenue</a:t>
          </a:r>
        </a:p>
      </xdr:txBody>
    </xdr:sp>
    <xdr:clientData/>
  </xdr:twoCellAnchor>
  <xdr:twoCellAnchor>
    <xdr:from>
      <xdr:col>1</xdr:col>
      <xdr:colOff>529166</xdr:colOff>
      <xdr:row>68</xdr:row>
      <xdr:rowOff>35277</xdr:rowOff>
    </xdr:from>
    <xdr:to>
      <xdr:col>11</xdr:col>
      <xdr:colOff>481541</xdr:colOff>
      <xdr:row>69</xdr:row>
      <xdr:rowOff>146401</xdr:rowOff>
    </xdr:to>
    <xdr:sp macro="" textlink="">
      <xdr:nvSpPr>
        <xdr:cNvPr id="10" name="TextBox 9"/>
        <xdr:cNvSpPr txBox="1"/>
      </xdr:nvSpPr>
      <xdr:spPr>
        <a:xfrm>
          <a:off x="1728610" y="11606388"/>
          <a:ext cx="6937375" cy="28751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a:latin typeface="Times New Roman" pitchFamily="18" charset="0"/>
              <a:cs typeface="Times New Roman" pitchFamily="18" charset="0"/>
            </a:rPr>
            <a:t>Shoes and Dresses are the top-performing products by sales value</a:t>
          </a:r>
        </a:p>
      </xdr:txBody>
    </xdr:sp>
    <xdr:clientData/>
  </xdr:twoCellAnchor>
  <xdr:twoCellAnchor>
    <xdr:from>
      <xdr:col>45</xdr:col>
      <xdr:colOff>2</xdr:colOff>
      <xdr:row>62</xdr:row>
      <xdr:rowOff>139347</xdr:rowOff>
    </xdr:from>
    <xdr:to>
      <xdr:col>50</xdr:col>
      <xdr:colOff>506236</xdr:colOff>
      <xdr:row>68</xdr:row>
      <xdr:rowOff>10583</xdr:rowOff>
    </xdr:to>
    <xdr:sp macro="" textlink="">
      <xdr:nvSpPr>
        <xdr:cNvPr id="12" name="TextBox 11"/>
        <xdr:cNvSpPr txBox="1"/>
      </xdr:nvSpPr>
      <xdr:spPr>
        <a:xfrm>
          <a:off x="29174724" y="10652125"/>
          <a:ext cx="3593040" cy="9295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1">
              <a:latin typeface="Times New Roman" pitchFamily="18" charset="0"/>
              <a:cs typeface="Times New Roman" pitchFamily="18" charset="0"/>
            </a:rPr>
            <a:t>Strong sales performance is driven by Clothing category and South region, with noticeable seasonal trends.</a:t>
          </a:r>
        </a:p>
      </xdr:txBody>
    </xdr:sp>
    <xdr:clientData/>
  </xdr:twoCellAnchor>
  <xdr:twoCellAnchor>
    <xdr:from>
      <xdr:col>44</xdr:col>
      <xdr:colOff>601487</xdr:colOff>
      <xdr:row>54</xdr:row>
      <xdr:rowOff>156986</xdr:rowOff>
    </xdr:from>
    <xdr:to>
      <xdr:col>51</xdr:col>
      <xdr:colOff>142875</xdr:colOff>
      <xdr:row>60</xdr:row>
      <xdr:rowOff>77611</xdr:rowOff>
    </xdr:to>
    <xdr:sp macro="" textlink="">
      <xdr:nvSpPr>
        <xdr:cNvPr id="19" name="Rectangle 18"/>
        <xdr:cNvSpPr/>
      </xdr:nvSpPr>
      <xdr:spPr>
        <a:xfrm>
          <a:off x="29158848" y="9258653"/>
          <a:ext cx="3862916" cy="978958"/>
        </a:xfrm>
        <a:prstGeom prst="rect">
          <a:avLst/>
        </a:prstGeom>
        <a:solidFill>
          <a:schemeClr val="accent3">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a:latin typeface="Times New Roman" pitchFamily="18" charset="0"/>
              <a:cs typeface="Times New Roman" pitchFamily="18" charset="0"/>
            </a:rPr>
            <a:t>Profit Margin = </a:t>
          </a:r>
        </a:p>
        <a:p>
          <a:pPr algn="l"/>
          <a:r>
            <a:rPr lang="en-US" sz="2800">
              <a:latin typeface="Times New Roman" pitchFamily="18" charset="0"/>
              <a:cs typeface="Times New Roman" pitchFamily="18" charset="0"/>
            </a:rPr>
            <a:t>Total Profit / Total Sales</a:t>
          </a:r>
        </a:p>
        <a:p>
          <a:pPr algn="l"/>
          <a:endParaRPr lang="en-US" sz="2800">
            <a:latin typeface="Times New Roman" pitchFamily="18" charset="0"/>
            <a:cs typeface="Times New Roman" pitchFamily="18" charset="0"/>
          </a:endParaRPr>
        </a:p>
      </xdr:txBody>
    </xdr:sp>
    <xdr:clientData/>
  </xdr:twoCellAnchor>
  <xdr:twoCellAnchor>
    <xdr:from>
      <xdr:col>41</xdr:col>
      <xdr:colOff>141111</xdr:colOff>
      <xdr:row>3</xdr:row>
      <xdr:rowOff>75847</xdr:rowOff>
    </xdr:from>
    <xdr:to>
      <xdr:col>50</xdr:col>
      <xdr:colOff>546806</xdr:colOff>
      <xdr:row>10</xdr:row>
      <xdr:rowOff>107597</xdr:rowOff>
    </xdr:to>
    <xdr:sp macro="" textlink="'kpi pivot'!E3">
      <xdr:nvSpPr>
        <xdr:cNvPr id="13" name="Rectangle 12"/>
        <xdr:cNvSpPr/>
      </xdr:nvSpPr>
      <xdr:spPr>
        <a:xfrm>
          <a:off x="26846389" y="605014"/>
          <a:ext cx="5961945" cy="126647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8324D57B-8AED-45D6-A339-1E0102512813}" type="TxLink">
            <a:rPr lang="en-US" sz="3200"/>
            <a:pPr algn="ctr"/>
            <a:t>₹ 214,590</a:t>
          </a:fld>
          <a:endParaRPr lang="en-US" sz="3200"/>
        </a:p>
      </xdr:txBody>
    </xdr:sp>
    <xdr:clientData/>
  </xdr:twoCellAnchor>
  <xdr:oneCellAnchor>
    <xdr:from>
      <xdr:col>43</xdr:col>
      <xdr:colOff>-1</xdr:colOff>
      <xdr:row>4</xdr:row>
      <xdr:rowOff>17638</xdr:rowOff>
    </xdr:from>
    <xdr:ext cx="3990964" cy="593304"/>
    <xdr:sp macro="" textlink="">
      <xdr:nvSpPr>
        <xdr:cNvPr id="20" name="TextBox 19"/>
        <xdr:cNvSpPr txBox="1"/>
      </xdr:nvSpPr>
      <xdr:spPr>
        <a:xfrm>
          <a:off x="27939999" y="723194"/>
          <a:ext cx="3990964" cy="593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3200">
              <a:solidFill>
                <a:schemeClr val="bg1"/>
              </a:solidFill>
            </a:rPr>
            <a:t>Avg Order Value (AOV)</a:t>
          </a:r>
        </a:p>
      </xdr:txBody>
    </xdr:sp>
    <xdr:clientData/>
  </xdr:oneCellAnchor>
</xdr:wsDr>
</file>

<file path=xl/drawings/drawing3.xml><?xml version="1.0" encoding="utf-8"?>
<c:userShapes xmlns:c="http://schemas.openxmlformats.org/drawingml/2006/chart">
  <cdr:relSizeAnchor xmlns:cdr="http://schemas.openxmlformats.org/drawingml/2006/chartDrawing">
    <cdr:from>
      <cdr:x>0.03125</cdr:x>
      <cdr:y>0.88327</cdr:y>
    </cdr:from>
    <cdr:to>
      <cdr:x>0.96484</cdr:x>
      <cdr:y>0.95445</cdr:y>
    </cdr:to>
    <cdr:sp macro="" textlink="">
      <cdr:nvSpPr>
        <cdr:cNvPr id="2" name="TextBox 1"/>
        <cdr:cNvSpPr txBox="1"/>
      </cdr:nvSpPr>
      <cdr:spPr>
        <a:xfrm xmlns:a="http://schemas.openxmlformats.org/drawingml/2006/main">
          <a:off x="254000" y="4925251"/>
          <a:ext cx="7588250" cy="3968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600">
              <a:latin typeface="Times New Roman" pitchFamily="18" charset="0"/>
              <a:cs typeface="Times New Roman" pitchFamily="18" charset="0"/>
            </a:rPr>
            <a:t>Sales peaked in May and October, while December shows a decline in both sales</a:t>
          </a:r>
          <a:r>
            <a:rPr lang="en-US" sz="1600" baseline="0">
              <a:latin typeface="Times New Roman" pitchFamily="18" charset="0"/>
              <a:cs typeface="Times New Roman" pitchFamily="18" charset="0"/>
            </a:rPr>
            <a:t> &amp; </a:t>
          </a:r>
          <a:r>
            <a:rPr lang="en-US" sz="1600">
              <a:latin typeface="Times New Roman" pitchFamily="18" charset="0"/>
              <a:cs typeface="Times New Roman" pitchFamily="18" charset="0"/>
            </a:rPr>
            <a:t>profit.</a:t>
          </a:r>
        </a:p>
      </cdr:txBody>
    </cdr:sp>
  </cdr:relSizeAnchor>
</c:userShapes>
</file>

<file path=xl/drawings/drawing4.xml><?xml version="1.0" encoding="utf-8"?>
<c:userShapes xmlns:c="http://schemas.openxmlformats.org/drawingml/2006/chart">
  <cdr:relSizeAnchor xmlns:cdr="http://schemas.openxmlformats.org/drawingml/2006/chartDrawing">
    <cdr:from>
      <cdr:x>0.02206</cdr:x>
      <cdr:y>0.9</cdr:y>
    </cdr:from>
    <cdr:to>
      <cdr:x>0.97243</cdr:x>
      <cdr:y>0.98</cdr:y>
    </cdr:to>
    <cdr:sp macro="" textlink="">
      <cdr:nvSpPr>
        <cdr:cNvPr id="2" name="TextBox 1"/>
        <cdr:cNvSpPr txBox="1"/>
      </cdr:nvSpPr>
      <cdr:spPr>
        <a:xfrm xmlns:a="http://schemas.openxmlformats.org/drawingml/2006/main">
          <a:off x="190500" y="3571875"/>
          <a:ext cx="8207375" cy="3175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US" sz="1600">
              <a:latin typeface="Times New Roman" pitchFamily="18" charset="0"/>
              <a:cs typeface="Times New Roman" pitchFamily="18" charset="0"/>
            </a:rPr>
            <a:t>South region records the highest sales compared to other regions.</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cc" refreshedDate="46004.910040509261" createdVersion="4" refreshedVersion="4" minRefreshableVersion="3" recordCount="5000">
  <cacheSource type="worksheet">
    <worksheetSource name="Table1"/>
  </cacheSource>
  <cacheFields count="14">
    <cacheField name="Order ID" numFmtId="0">
      <sharedItems/>
    </cacheField>
    <cacheField name="Order Date" numFmtId="0">
      <sharedItems/>
    </cacheField>
    <cacheField name="Customer Name" numFmtId="0">
      <sharedItems count="50">
        <s v="Customer_24"/>
        <s v="Customer_42"/>
        <s v="Customer_28"/>
        <s v="Customer_11"/>
        <s v="Customer_14"/>
        <s v="Customer_37"/>
        <s v="Customer_50"/>
        <s v="Customer_27"/>
        <s v="Customer_13"/>
        <s v="Customer_4"/>
        <s v="Customer_44"/>
        <s v="Customer_35"/>
        <s v="Customer_49"/>
        <s v="Customer_32"/>
        <s v="Customer_9"/>
        <s v="Customer_45"/>
        <s v="Customer_48"/>
        <s v="Customer_21"/>
        <s v="Customer_7"/>
        <s v="Customer_38"/>
        <s v="Customer_34"/>
        <s v="Customer_29"/>
        <s v="Customer_26"/>
        <s v="Customer_41"/>
        <s v="Customer_19"/>
        <s v="Customer_12"/>
        <s v="Customer_43"/>
        <s v="Customer_40"/>
        <s v="Customer_15"/>
        <s v="Customer_5"/>
        <s v="Customer_36"/>
        <s v="Customer_2"/>
        <s v="Customer_6"/>
        <s v="Customer_16"/>
        <s v="Customer_47"/>
        <s v="Customer_1"/>
        <s v="Customer_10"/>
        <s v="Customer_3"/>
        <s v="Customer_33"/>
        <s v="Customer_8"/>
        <s v="Customer_20"/>
        <s v="Customer_22"/>
        <s v="Customer_31"/>
        <s v="Customer_18"/>
        <s v="Customer_23"/>
        <s v="Customer_17"/>
        <s v="Customer_30"/>
        <s v="Customer_25"/>
        <s v="Customer_46"/>
        <s v="Customer_39"/>
      </sharedItems>
    </cacheField>
    <cacheField name="Product" numFmtId="0">
      <sharedItems count="28">
        <s v="Chair"/>
        <s v="Mobile"/>
        <s v="Shoes"/>
        <s v="Stapler"/>
        <s v="Stool"/>
        <s v="Cupboard"/>
        <s v="Jeans"/>
        <s v="Bed"/>
        <s v="Sweater"/>
        <s v="Keyboard"/>
        <s v="Marker"/>
        <s v="Printer"/>
        <s v="Headphones"/>
        <s v="Jacket"/>
        <s v="Dress"/>
        <s v="Sofa"/>
        <s v="Pen"/>
        <s v="Power Bank"/>
        <s v="Table"/>
        <s v="Smartwatch"/>
        <s v="Tablet"/>
        <s v="Laptop"/>
        <s v="Camera"/>
        <s v="Desk"/>
        <s v="T-Shirt"/>
        <s v="Notebook"/>
        <s v="Paper Ream"/>
        <s v="File"/>
      </sharedItems>
    </cacheField>
    <cacheField name="Category" numFmtId="0">
      <sharedItems count="4">
        <s v="Furniture"/>
        <s v="Electronics"/>
        <s v="Clothing"/>
        <s v="Office Supplies"/>
      </sharedItems>
    </cacheField>
    <cacheField name="Sub-Category" numFmtId="0">
      <sharedItems/>
    </cacheField>
    <cacheField name="Quantity" numFmtId="0">
      <sharedItems containsSemiMixedTypes="0" containsString="0" containsNumber="1" containsInteger="1" minValue="1" maxValue="15"/>
    </cacheField>
    <cacheField name="Price" numFmtId="0">
      <sharedItems containsSemiMixedTypes="0" containsString="0" containsNumber="1" containsInteger="1" minValue="300" maxValue="59989"/>
    </cacheField>
    <cacheField name="Discount" numFmtId="0">
      <sharedItems containsSemiMixedTypes="0" containsString="0" containsNumber="1" minValue="0" maxValue="0.2"/>
    </cacheField>
    <cacheField name="Sales" numFmtId="0">
      <sharedItems containsSemiMixedTypes="0" containsString="0" containsNumber="1" minValue="351.2" maxValue="898965"/>
    </cacheField>
    <cacheField name="Profit" numFmtId="0">
      <sharedItems containsSemiMixedTypes="0" containsString="0" containsNumber="1" minValue="31.7" maxValue="248622.24"/>
    </cacheField>
    <cacheField name="Region" numFmtId="0">
      <sharedItems count="4">
        <s v="West"/>
        <s v="East"/>
        <s v="South"/>
        <s v="North"/>
      </sharedItems>
    </cacheField>
    <cacheField name="Month" numFmtId="0">
      <sharedItems count="12">
        <s v="Oct"/>
        <s v="Jul"/>
        <s v="Apr"/>
        <s v="Jan"/>
        <s v="Nov"/>
        <s v="Jun"/>
        <s v="May"/>
        <s v="Mar"/>
        <s v="Aug"/>
        <s v="Dec"/>
        <s v="Sep"/>
        <s v="Feb"/>
      </sharedItems>
    </cacheField>
    <cacheField name="Year" numFmtId="0">
      <sharedItems containsSemiMixedTypes="0" containsString="0" containsNumber="1" containsInteger="1" minValue="2023" maxValue="2024" count="2">
        <n v="2024"/>
        <n v="2023"/>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000">
  <r>
    <s v="ORD00001"/>
    <s v="2024-10-09"/>
    <x v="0"/>
    <x v="0"/>
    <x v="0"/>
    <s v="Chair"/>
    <n v="2"/>
    <n v="24023"/>
    <n v="0.1"/>
    <n v="43241.4"/>
    <n v="7724.77"/>
    <x v="0"/>
    <x v="0"/>
    <x v="0"/>
  </r>
  <r>
    <s v="ORD00002"/>
    <s v="2023-07-23"/>
    <x v="1"/>
    <x v="1"/>
    <x v="1"/>
    <s v="Mobile"/>
    <n v="11"/>
    <n v="55342"/>
    <n v="0.15"/>
    <n v="517447.7"/>
    <n v="75476.69"/>
    <x v="1"/>
    <x v="1"/>
    <x v="1"/>
  </r>
  <r>
    <s v="ORD00003"/>
    <s v="2023-04-28"/>
    <x v="2"/>
    <x v="2"/>
    <x v="2"/>
    <s v="Shoes"/>
    <n v="2"/>
    <n v="5322"/>
    <n v="0.2"/>
    <n v="8515.2000000000007"/>
    <n v="2374.42"/>
    <x v="1"/>
    <x v="2"/>
    <x v="1"/>
  </r>
  <r>
    <s v="ORD00004"/>
    <s v="2023-04-24"/>
    <x v="3"/>
    <x v="3"/>
    <x v="3"/>
    <s v="Stapler"/>
    <n v="1"/>
    <n v="25164"/>
    <n v="0.2"/>
    <n v="20131.2"/>
    <n v="3047.59"/>
    <x v="1"/>
    <x v="2"/>
    <x v="1"/>
  </r>
  <r>
    <s v="ORD00005"/>
    <s v="2023-01-25"/>
    <x v="4"/>
    <x v="4"/>
    <x v="0"/>
    <s v="Stool"/>
    <n v="14"/>
    <n v="35143"/>
    <n v="0.05"/>
    <n v="467401.9"/>
    <n v="115578.17"/>
    <x v="1"/>
    <x v="3"/>
    <x v="1"/>
  </r>
  <r>
    <s v="ORD00006"/>
    <s v="2023-11-25"/>
    <x v="5"/>
    <x v="5"/>
    <x v="0"/>
    <s v="Cupboard"/>
    <n v="9"/>
    <n v="21728"/>
    <n v="0.15"/>
    <n v="166219.20000000001"/>
    <n v="47439.87"/>
    <x v="1"/>
    <x v="4"/>
    <x v="1"/>
  </r>
  <r>
    <s v="ORD00007"/>
    <s v="2023-06-04"/>
    <x v="3"/>
    <x v="6"/>
    <x v="2"/>
    <s v="Jeans"/>
    <n v="8"/>
    <n v="1632"/>
    <n v="0.15"/>
    <n v="11097.6"/>
    <n v="1595.06"/>
    <x v="2"/>
    <x v="5"/>
    <x v="1"/>
  </r>
  <r>
    <s v="ORD00008"/>
    <s v="2023-05-16"/>
    <x v="5"/>
    <x v="7"/>
    <x v="0"/>
    <s v="Bed"/>
    <n v="11"/>
    <n v="10430"/>
    <n v="0.1"/>
    <n v="103257"/>
    <n v="27205.87"/>
    <x v="0"/>
    <x v="6"/>
    <x v="1"/>
  </r>
  <r>
    <s v="ORD00009"/>
    <s v="2023-05-03"/>
    <x v="6"/>
    <x v="8"/>
    <x v="2"/>
    <s v="Sweater"/>
    <n v="9"/>
    <n v="30559"/>
    <n v="0.05"/>
    <n v="261279.45"/>
    <n v="42986.66"/>
    <x v="1"/>
    <x v="6"/>
    <x v="1"/>
  </r>
  <r>
    <s v="ORD00010"/>
    <s v="2023-03-20"/>
    <x v="7"/>
    <x v="9"/>
    <x v="1"/>
    <s v="Keyboard"/>
    <n v="9"/>
    <n v="37175"/>
    <n v="0.1"/>
    <n v="301117.5"/>
    <n v="86865.45"/>
    <x v="2"/>
    <x v="7"/>
    <x v="1"/>
  </r>
  <r>
    <s v="ORD00011"/>
    <s v="2024-08-01"/>
    <x v="8"/>
    <x v="10"/>
    <x v="3"/>
    <s v="Marker"/>
    <n v="13"/>
    <n v="32254"/>
    <n v="0.05"/>
    <n v="398336.9"/>
    <n v="108350.83"/>
    <x v="0"/>
    <x v="8"/>
    <x v="0"/>
  </r>
  <r>
    <s v="ORD00012"/>
    <s v="2023-12-24"/>
    <x v="9"/>
    <x v="11"/>
    <x v="3"/>
    <s v="Printer"/>
    <n v="4"/>
    <n v="49901"/>
    <n v="0.05"/>
    <n v="189623.8"/>
    <n v="48844.08"/>
    <x v="0"/>
    <x v="9"/>
    <x v="1"/>
  </r>
  <r>
    <s v="ORD00013"/>
    <s v="2024-09-09"/>
    <x v="10"/>
    <x v="4"/>
    <x v="0"/>
    <s v="Stool"/>
    <n v="1"/>
    <n v="28995"/>
    <n v="0.1"/>
    <n v="26095.5"/>
    <n v="6042.96"/>
    <x v="1"/>
    <x v="10"/>
    <x v="0"/>
  </r>
  <r>
    <s v="ORD00014"/>
    <s v="2023-03-03"/>
    <x v="5"/>
    <x v="11"/>
    <x v="3"/>
    <s v="Printer"/>
    <n v="11"/>
    <n v="41622"/>
    <n v="0"/>
    <n v="457842"/>
    <n v="123146.1"/>
    <x v="3"/>
    <x v="7"/>
    <x v="1"/>
  </r>
  <r>
    <s v="ORD00015"/>
    <s v="2023-08-09"/>
    <x v="11"/>
    <x v="12"/>
    <x v="1"/>
    <s v="Headphones"/>
    <n v="14"/>
    <n v="46391"/>
    <n v="0.05"/>
    <n v="617000.30000000005"/>
    <n v="167529.51999999999"/>
    <x v="1"/>
    <x v="8"/>
    <x v="1"/>
  </r>
  <r>
    <s v="ORD00016"/>
    <s v="2024-09-11"/>
    <x v="12"/>
    <x v="13"/>
    <x v="2"/>
    <s v="Jacket"/>
    <n v="2"/>
    <n v="56695"/>
    <n v="0.05"/>
    <n v="107720.5"/>
    <n v="28757.57"/>
    <x v="1"/>
    <x v="10"/>
    <x v="0"/>
  </r>
  <r>
    <s v="ORD00017"/>
    <s v="2023-01-27"/>
    <x v="13"/>
    <x v="10"/>
    <x v="3"/>
    <s v="Marker"/>
    <n v="15"/>
    <n v="12878"/>
    <n v="0.15"/>
    <n v="164194.5"/>
    <n v="39561.11"/>
    <x v="1"/>
    <x v="3"/>
    <x v="1"/>
  </r>
  <r>
    <s v="ORD00018"/>
    <s v="2024-03-23"/>
    <x v="14"/>
    <x v="14"/>
    <x v="2"/>
    <s v="Dress"/>
    <n v="14"/>
    <n v="8729"/>
    <n v="0.1"/>
    <n v="109985.4"/>
    <n v="32456.560000000001"/>
    <x v="1"/>
    <x v="7"/>
    <x v="0"/>
  </r>
  <r>
    <s v="ORD00019"/>
    <s v="2024-11-06"/>
    <x v="15"/>
    <x v="7"/>
    <x v="0"/>
    <s v="Bed"/>
    <n v="15"/>
    <n v="33120"/>
    <n v="0"/>
    <n v="496800"/>
    <n v="107574.55"/>
    <x v="3"/>
    <x v="4"/>
    <x v="0"/>
  </r>
  <r>
    <s v="ORD00020"/>
    <s v="2023-09-09"/>
    <x v="3"/>
    <x v="15"/>
    <x v="0"/>
    <s v="Sofa"/>
    <n v="1"/>
    <n v="41190"/>
    <n v="0.1"/>
    <n v="37071"/>
    <n v="3135.18"/>
    <x v="3"/>
    <x v="10"/>
    <x v="1"/>
  </r>
  <r>
    <s v="ORD00021"/>
    <s v="2024-03-01"/>
    <x v="16"/>
    <x v="16"/>
    <x v="3"/>
    <s v="Pen"/>
    <n v="11"/>
    <n v="57103"/>
    <n v="0.15"/>
    <n v="533913.05000000005"/>
    <n v="155409.51"/>
    <x v="2"/>
    <x v="7"/>
    <x v="0"/>
  </r>
  <r>
    <s v="ORD00022"/>
    <s v="2023-10-20"/>
    <x v="17"/>
    <x v="13"/>
    <x v="2"/>
    <s v="Jacket"/>
    <n v="3"/>
    <n v="51855"/>
    <n v="0.15"/>
    <n v="132230.25"/>
    <n v="16978.349999999999"/>
    <x v="0"/>
    <x v="0"/>
    <x v="1"/>
  </r>
  <r>
    <s v="ORD00023"/>
    <s v="2023-11-29"/>
    <x v="18"/>
    <x v="2"/>
    <x v="2"/>
    <s v="Shoes"/>
    <n v="3"/>
    <n v="39420"/>
    <n v="0"/>
    <n v="118260"/>
    <n v="32986.44"/>
    <x v="0"/>
    <x v="4"/>
    <x v="1"/>
  </r>
  <r>
    <s v="ORD00024"/>
    <s v="2023-11-04"/>
    <x v="19"/>
    <x v="16"/>
    <x v="3"/>
    <s v="Pen"/>
    <n v="2"/>
    <n v="24918"/>
    <n v="0"/>
    <n v="49836"/>
    <n v="7548.53"/>
    <x v="3"/>
    <x v="4"/>
    <x v="1"/>
  </r>
  <r>
    <s v="ORD00025"/>
    <s v="2023-06-30"/>
    <x v="20"/>
    <x v="17"/>
    <x v="1"/>
    <s v="Power Bank"/>
    <n v="9"/>
    <n v="13426"/>
    <n v="0.05"/>
    <n v="114792.3"/>
    <n v="17712.04"/>
    <x v="1"/>
    <x v="5"/>
    <x v="1"/>
  </r>
  <r>
    <s v="ORD00026"/>
    <s v="2023-01-01"/>
    <x v="21"/>
    <x v="13"/>
    <x v="2"/>
    <s v="Jacket"/>
    <n v="11"/>
    <n v="9850"/>
    <n v="0"/>
    <n v="108350"/>
    <n v="24076.32"/>
    <x v="2"/>
    <x v="3"/>
    <x v="1"/>
  </r>
  <r>
    <s v="ORD00027"/>
    <s v="2023-07-13"/>
    <x v="13"/>
    <x v="18"/>
    <x v="0"/>
    <s v="Table"/>
    <n v="13"/>
    <n v="38524"/>
    <n v="0.2"/>
    <n v="400649.6"/>
    <n v="92403.61"/>
    <x v="3"/>
    <x v="1"/>
    <x v="1"/>
  </r>
  <r>
    <s v="ORD00028"/>
    <s v="2023-01-09"/>
    <x v="22"/>
    <x v="9"/>
    <x v="1"/>
    <s v="Keyboard"/>
    <n v="13"/>
    <n v="57657"/>
    <n v="0.2"/>
    <n v="599632.80000000005"/>
    <n v="174262.88"/>
    <x v="3"/>
    <x v="3"/>
    <x v="1"/>
  </r>
  <r>
    <s v="ORD00029"/>
    <s v="2024-04-07"/>
    <x v="23"/>
    <x v="13"/>
    <x v="2"/>
    <s v="Jacket"/>
    <n v="15"/>
    <n v="22204"/>
    <n v="0.05"/>
    <n v="316407"/>
    <n v="33564.42"/>
    <x v="0"/>
    <x v="2"/>
    <x v="0"/>
  </r>
  <r>
    <s v="ORD00030"/>
    <s v="2024-07-17"/>
    <x v="11"/>
    <x v="0"/>
    <x v="0"/>
    <s v="Chair"/>
    <n v="3"/>
    <n v="672"/>
    <n v="0.2"/>
    <n v="1612.8"/>
    <n v="259.10000000000002"/>
    <x v="2"/>
    <x v="1"/>
    <x v="0"/>
  </r>
  <r>
    <s v="ORD00031"/>
    <s v="2024-04-13"/>
    <x v="24"/>
    <x v="2"/>
    <x v="2"/>
    <s v="Shoes"/>
    <n v="7"/>
    <n v="36573"/>
    <n v="0.2"/>
    <n v="204808.8"/>
    <n v="35054.57"/>
    <x v="2"/>
    <x v="2"/>
    <x v="0"/>
  </r>
  <r>
    <s v="ORD00032"/>
    <s v="2024-11-28"/>
    <x v="25"/>
    <x v="8"/>
    <x v="2"/>
    <s v="Sweater"/>
    <n v="15"/>
    <n v="309"/>
    <n v="0.05"/>
    <n v="4403.25"/>
    <n v="377.07"/>
    <x v="3"/>
    <x v="4"/>
    <x v="0"/>
  </r>
  <r>
    <s v="ORD00033"/>
    <s v="2023-05-01"/>
    <x v="22"/>
    <x v="9"/>
    <x v="1"/>
    <s v="Keyboard"/>
    <n v="13"/>
    <n v="1726"/>
    <n v="0.2"/>
    <n v="17950.400000000001"/>
    <n v="1765.55"/>
    <x v="3"/>
    <x v="6"/>
    <x v="1"/>
  </r>
  <r>
    <s v="ORD00034"/>
    <s v="2023-02-04"/>
    <x v="9"/>
    <x v="19"/>
    <x v="1"/>
    <s v="Smartwatch"/>
    <n v="13"/>
    <n v="10769"/>
    <n v="0.2"/>
    <n v="111997.6"/>
    <n v="25139.79"/>
    <x v="1"/>
    <x v="11"/>
    <x v="1"/>
  </r>
  <r>
    <s v="ORD00035"/>
    <s v="2024-09-22"/>
    <x v="26"/>
    <x v="20"/>
    <x v="1"/>
    <s v="Tablet"/>
    <n v="12"/>
    <n v="28715"/>
    <n v="0"/>
    <n v="344580"/>
    <n v="82177.66"/>
    <x v="3"/>
    <x v="10"/>
    <x v="0"/>
  </r>
  <r>
    <s v="ORD00036"/>
    <s v="2023-12-17"/>
    <x v="27"/>
    <x v="21"/>
    <x v="1"/>
    <s v="Laptop"/>
    <n v="10"/>
    <n v="1085"/>
    <n v="0.1"/>
    <n v="9765"/>
    <n v="2128.4499999999998"/>
    <x v="3"/>
    <x v="9"/>
    <x v="1"/>
  </r>
  <r>
    <s v="ORD00037"/>
    <s v="2023-07-02"/>
    <x v="13"/>
    <x v="11"/>
    <x v="3"/>
    <s v="Printer"/>
    <n v="11"/>
    <n v="31691"/>
    <n v="0"/>
    <n v="348601"/>
    <n v="63326.89"/>
    <x v="2"/>
    <x v="1"/>
    <x v="1"/>
  </r>
  <r>
    <s v="ORD00038"/>
    <s v="2024-09-04"/>
    <x v="28"/>
    <x v="9"/>
    <x v="1"/>
    <s v="Keyboard"/>
    <n v="8"/>
    <n v="40761"/>
    <n v="0.2"/>
    <n v="260870.39999999999"/>
    <n v="51429.16"/>
    <x v="3"/>
    <x v="10"/>
    <x v="0"/>
  </r>
  <r>
    <s v="ORD00039"/>
    <s v="2024-01-09"/>
    <x v="27"/>
    <x v="8"/>
    <x v="2"/>
    <s v="Sweater"/>
    <n v="11"/>
    <n v="15587"/>
    <n v="0"/>
    <n v="171457"/>
    <n v="41573.1"/>
    <x v="3"/>
    <x v="3"/>
    <x v="0"/>
  </r>
  <r>
    <s v="ORD00040"/>
    <s v="2023-08-03"/>
    <x v="13"/>
    <x v="22"/>
    <x v="1"/>
    <s v="Camera"/>
    <n v="13"/>
    <n v="23088"/>
    <n v="0.2"/>
    <n v="240115.20000000001"/>
    <n v="71453.119999999995"/>
    <x v="1"/>
    <x v="8"/>
    <x v="1"/>
  </r>
  <r>
    <s v="ORD00041"/>
    <s v="2024-02-28"/>
    <x v="28"/>
    <x v="15"/>
    <x v="0"/>
    <s v="Sofa"/>
    <n v="8"/>
    <n v="45283"/>
    <n v="0.1"/>
    <n v="326037.59999999998"/>
    <n v="46779.83"/>
    <x v="3"/>
    <x v="11"/>
    <x v="0"/>
  </r>
  <r>
    <s v="ORD00042"/>
    <s v="2024-04-07"/>
    <x v="29"/>
    <x v="0"/>
    <x v="0"/>
    <s v="Chair"/>
    <n v="6"/>
    <n v="59847"/>
    <n v="0.1"/>
    <n v="323173.8"/>
    <n v="36115.67"/>
    <x v="2"/>
    <x v="2"/>
    <x v="0"/>
  </r>
  <r>
    <s v="ORD00043"/>
    <s v="2024-01-18"/>
    <x v="30"/>
    <x v="10"/>
    <x v="3"/>
    <s v="Marker"/>
    <n v="14"/>
    <n v="8133"/>
    <n v="0.05"/>
    <n v="108168.9"/>
    <n v="28291.66"/>
    <x v="3"/>
    <x v="3"/>
    <x v="0"/>
  </r>
  <r>
    <s v="ORD00044"/>
    <s v="2023-02-01"/>
    <x v="6"/>
    <x v="14"/>
    <x v="2"/>
    <s v="Dress"/>
    <n v="12"/>
    <n v="28270"/>
    <n v="0.1"/>
    <n v="305316"/>
    <n v="46675.11"/>
    <x v="0"/>
    <x v="11"/>
    <x v="1"/>
  </r>
  <r>
    <s v="ORD00045"/>
    <s v="2024-11-06"/>
    <x v="31"/>
    <x v="11"/>
    <x v="3"/>
    <s v="Printer"/>
    <n v="3"/>
    <n v="54394"/>
    <n v="0.1"/>
    <n v="146863.79999999999"/>
    <n v="33022.300000000003"/>
    <x v="1"/>
    <x v="4"/>
    <x v="0"/>
  </r>
  <r>
    <s v="ORD00046"/>
    <s v="2023-05-27"/>
    <x v="24"/>
    <x v="1"/>
    <x v="1"/>
    <s v="Mobile"/>
    <n v="12"/>
    <n v="54209"/>
    <n v="0.1"/>
    <n v="585457.19999999995"/>
    <n v="113769.53"/>
    <x v="3"/>
    <x v="6"/>
    <x v="1"/>
  </r>
  <r>
    <s v="ORD00047"/>
    <s v="2024-01-02"/>
    <x v="27"/>
    <x v="23"/>
    <x v="0"/>
    <s v="Desk"/>
    <n v="11"/>
    <n v="19359"/>
    <n v="0.2"/>
    <n v="170359.2"/>
    <n v="38752.050000000003"/>
    <x v="3"/>
    <x v="3"/>
    <x v="0"/>
  </r>
  <r>
    <s v="ORD00048"/>
    <s v="2024-11-02"/>
    <x v="32"/>
    <x v="5"/>
    <x v="0"/>
    <s v="Cupboard"/>
    <n v="7"/>
    <n v="54285"/>
    <n v="0.2"/>
    <n v="303996"/>
    <n v="65574.34"/>
    <x v="2"/>
    <x v="4"/>
    <x v="0"/>
  </r>
  <r>
    <s v="ORD00049"/>
    <s v="2023-03-17"/>
    <x v="29"/>
    <x v="13"/>
    <x v="2"/>
    <s v="Jacket"/>
    <n v="8"/>
    <n v="23583"/>
    <n v="0.2"/>
    <n v="150931.20000000001"/>
    <n v="43238.05"/>
    <x v="2"/>
    <x v="7"/>
    <x v="1"/>
  </r>
  <r>
    <s v="ORD00050"/>
    <s v="2024-06-27"/>
    <x v="33"/>
    <x v="8"/>
    <x v="2"/>
    <s v="Sweater"/>
    <n v="6"/>
    <n v="21292"/>
    <n v="0.05"/>
    <n v="121364.4"/>
    <n v="19470.79"/>
    <x v="2"/>
    <x v="5"/>
    <x v="0"/>
  </r>
  <r>
    <s v="ORD00051"/>
    <s v="2023-06-17"/>
    <x v="34"/>
    <x v="24"/>
    <x v="2"/>
    <s v="T-Shirt"/>
    <n v="4"/>
    <n v="23516"/>
    <n v="0.05"/>
    <n v="89360.8"/>
    <n v="7960.06"/>
    <x v="3"/>
    <x v="5"/>
    <x v="1"/>
  </r>
  <r>
    <s v="ORD00052"/>
    <s v="2023-05-04"/>
    <x v="23"/>
    <x v="1"/>
    <x v="1"/>
    <s v="Mobile"/>
    <n v="2"/>
    <n v="332"/>
    <n v="0"/>
    <n v="664"/>
    <n v="144.19999999999999"/>
    <x v="3"/>
    <x v="6"/>
    <x v="1"/>
  </r>
  <r>
    <s v="ORD00053"/>
    <s v="2024-07-03"/>
    <x v="10"/>
    <x v="10"/>
    <x v="3"/>
    <s v="Marker"/>
    <n v="4"/>
    <n v="17478"/>
    <n v="0.1"/>
    <n v="62920.800000000003"/>
    <n v="16469.28"/>
    <x v="0"/>
    <x v="1"/>
    <x v="0"/>
  </r>
  <r>
    <s v="ORD00054"/>
    <s v="2023-06-20"/>
    <x v="17"/>
    <x v="14"/>
    <x v="2"/>
    <s v="Dress"/>
    <n v="1"/>
    <n v="48283"/>
    <n v="0.05"/>
    <n v="45868.85"/>
    <n v="3939.67"/>
    <x v="0"/>
    <x v="5"/>
    <x v="1"/>
  </r>
  <r>
    <s v="ORD00055"/>
    <s v="2024-09-12"/>
    <x v="35"/>
    <x v="19"/>
    <x v="1"/>
    <s v="Smartwatch"/>
    <n v="1"/>
    <n v="2324"/>
    <n v="0.1"/>
    <n v="2091.6"/>
    <n v="374.94"/>
    <x v="1"/>
    <x v="10"/>
    <x v="0"/>
  </r>
  <r>
    <s v="ORD00056"/>
    <s v="2024-03-15"/>
    <x v="36"/>
    <x v="19"/>
    <x v="1"/>
    <s v="Smartwatch"/>
    <n v="1"/>
    <n v="50683"/>
    <n v="0"/>
    <n v="50683"/>
    <n v="10546.56"/>
    <x v="3"/>
    <x v="7"/>
    <x v="0"/>
  </r>
  <r>
    <s v="ORD00057"/>
    <s v="2023-06-15"/>
    <x v="28"/>
    <x v="10"/>
    <x v="3"/>
    <s v="Marker"/>
    <n v="12"/>
    <n v="25305"/>
    <n v="0.15"/>
    <n v="258111"/>
    <n v="52508.85"/>
    <x v="1"/>
    <x v="5"/>
    <x v="1"/>
  </r>
  <r>
    <s v="ORD00058"/>
    <s v="2024-03-17"/>
    <x v="2"/>
    <x v="16"/>
    <x v="3"/>
    <s v="Pen"/>
    <n v="4"/>
    <n v="35169"/>
    <n v="0.05"/>
    <n v="133642.20000000001"/>
    <n v="10805.52"/>
    <x v="1"/>
    <x v="7"/>
    <x v="0"/>
  </r>
  <r>
    <s v="ORD00059"/>
    <s v="2024-02-21"/>
    <x v="7"/>
    <x v="15"/>
    <x v="0"/>
    <s v="Sofa"/>
    <n v="2"/>
    <n v="35144"/>
    <n v="0.05"/>
    <n v="66773.600000000006"/>
    <n v="13562.39"/>
    <x v="3"/>
    <x v="11"/>
    <x v="0"/>
  </r>
  <r>
    <s v="ORD00060"/>
    <s v="2023-11-27"/>
    <x v="37"/>
    <x v="12"/>
    <x v="1"/>
    <s v="Headphones"/>
    <n v="1"/>
    <n v="7119"/>
    <n v="0"/>
    <n v="7119"/>
    <n v="1544.51"/>
    <x v="1"/>
    <x v="4"/>
    <x v="1"/>
  </r>
  <r>
    <s v="ORD00061"/>
    <s v="2023-06-08"/>
    <x v="38"/>
    <x v="24"/>
    <x v="2"/>
    <s v="T-Shirt"/>
    <n v="8"/>
    <n v="26632"/>
    <n v="0"/>
    <n v="213056"/>
    <n v="56907.9"/>
    <x v="0"/>
    <x v="5"/>
    <x v="1"/>
  </r>
  <r>
    <s v="ORD00062"/>
    <s v="2023-02-26"/>
    <x v="27"/>
    <x v="16"/>
    <x v="3"/>
    <s v="Pen"/>
    <n v="3"/>
    <n v="32305"/>
    <n v="0.15"/>
    <n v="82377.75"/>
    <n v="11722.31"/>
    <x v="3"/>
    <x v="11"/>
    <x v="1"/>
  </r>
  <r>
    <s v="ORD00063"/>
    <s v="2024-06-25"/>
    <x v="39"/>
    <x v="20"/>
    <x v="1"/>
    <s v="Tablet"/>
    <n v="4"/>
    <n v="42393"/>
    <n v="0"/>
    <n v="169572"/>
    <n v="17926.61"/>
    <x v="0"/>
    <x v="5"/>
    <x v="0"/>
  </r>
  <r>
    <s v="ORD00064"/>
    <s v="2023-06-14"/>
    <x v="0"/>
    <x v="2"/>
    <x v="2"/>
    <s v="Shoes"/>
    <n v="3"/>
    <n v="30971"/>
    <n v="0.1"/>
    <n v="83621.7"/>
    <n v="11300.63"/>
    <x v="2"/>
    <x v="5"/>
    <x v="1"/>
  </r>
  <r>
    <s v="ORD00065"/>
    <s v="2024-11-28"/>
    <x v="14"/>
    <x v="12"/>
    <x v="1"/>
    <s v="Headphones"/>
    <n v="11"/>
    <n v="34283"/>
    <n v="0"/>
    <n v="377113"/>
    <n v="59069.62"/>
    <x v="3"/>
    <x v="4"/>
    <x v="0"/>
  </r>
  <r>
    <s v="ORD00066"/>
    <s v="2024-09-29"/>
    <x v="23"/>
    <x v="13"/>
    <x v="2"/>
    <s v="Jacket"/>
    <n v="15"/>
    <n v="8245"/>
    <n v="0.05"/>
    <n v="117491.25"/>
    <n v="35185.25"/>
    <x v="2"/>
    <x v="10"/>
    <x v="0"/>
  </r>
  <r>
    <s v="ORD00067"/>
    <s v="2024-07-18"/>
    <x v="19"/>
    <x v="17"/>
    <x v="1"/>
    <s v="Power Bank"/>
    <n v="4"/>
    <n v="16819"/>
    <n v="0.05"/>
    <n v="63912.2"/>
    <n v="10306.16"/>
    <x v="1"/>
    <x v="1"/>
    <x v="0"/>
  </r>
  <r>
    <s v="ORD00068"/>
    <s v="2023-09-03"/>
    <x v="4"/>
    <x v="3"/>
    <x v="3"/>
    <s v="Stapler"/>
    <n v="15"/>
    <n v="18062"/>
    <n v="0.1"/>
    <n v="243837"/>
    <n v="37985.61"/>
    <x v="1"/>
    <x v="10"/>
    <x v="1"/>
  </r>
  <r>
    <s v="ORD00069"/>
    <s v="2023-05-27"/>
    <x v="22"/>
    <x v="0"/>
    <x v="0"/>
    <s v="Chair"/>
    <n v="6"/>
    <n v="1597"/>
    <n v="0.1"/>
    <n v="8623.7999999999993"/>
    <n v="1480.49"/>
    <x v="3"/>
    <x v="6"/>
    <x v="1"/>
  </r>
  <r>
    <s v="ORD00070"/>
    <s v="2024-08-01"/>
    <x v="39"/>
    <x v="5"/>
    <x v="0"/>
    <s v="Cupboard"/>
    <n v="1"/>
    <n v="59076"/>
    <n v="0"/>
    <n v="59076"/>
    <n v="5129.22"/>
    <x v="1"/>
    <x v="8"/>
    <x v="0"/>
  </r>
  <r>
    <s v="ORD00071"/>
    <s v="2023-12-20"/>
    <x v="19"/>
    <x v="21"/>
    <x v="1"/>
    <s v="Laptop"/>
    <n v="9"/>
    <n v="25229"/>
    <n v="0.05"/>
    <n v="215707.95"/>
    <n v="63704.86"/>
    <x v="2"/>
    <x v="9"/>
    <x v="1"/>
  </r>
  <r>
    <s v="ORD00072"/>
    <s v="2024-01-31"/>
    <x v="21"/>
    <x v="25"/>
    <x v="3"/>
    <s v="Notebook"/>
    <n v="8"/>
    <n v="18584"/>
    <n v="0.2"/>
    <n v="118937.60000000001"/>
    <n v="24849.27"/>
    <x v="0"/>
    <x v="3"/>
    <x v="0"/>
  </r>
  <r>
    <s v="ORD00073"/>
    <s v="2024-10-15"/>
    <x v="40"/>
    <x v="1"/>
    <x v="1"/>
    <s v="Mobile"/>
    <n v="3"/>
    <n v="23827"/>
    <n v="0.1"/>
    <n v="64332.9"/>
    <n v="9794.24"/>
    <x v="1"/>
    <x v="0"/>
    <x v="0"/>
  </r>
  <r>
    <s v="ORD00074"/>
    <s v="2024-01-02"/>
    <x v="5"/>
    <x v="9"/>
    <x v="1"/>
    <s v="Keyboard"/>
    <n v="10"/>
    <n v="13732"/>
    <n v="0.15"/>
    <n v="116722"/>
    <n v="10080.700000000001"/>
    <x v="2"/>
    <x v="3"/>
    <x v="0"/>
  </r>
  <r>
    <s v="ORD00075"/>
    <s v="2023-07-23"/>
    <x v="2"/>
    <x v="24"/>
    <x v="2"/>
    <s v="T-Shirt"/>
    <n v="2"/>
    <n v="50349"/>
    <n v="0.1"/>
    <n v="90628.2"/>
    <n v="10998"/>
    <x v="0"/>
    <x v="1"/>
    <x v="1"/>
  </r>
  <r>
    <s v="ORD00076"/>
    <s v="2024-09-06"/>
    <x v="0"/>
    <x v="8"/>
    <x v="2"/>
    <s v="Sweater"/>
    <n v="5"/>
    <n v="12999"/>
    <n v="0"/>
    <n v="64995"/>
    <n v="17204.71"/>
    <x v="3"/>
    <x v="10"/>
    <x v="0"/>
  </r>
  <r>
    <s v="ORD00077"/>
    <s v="2024-09-11"/>
    <x v="13"/>
    <x v="8"/>
    <x v="2"/>
    <s v="Sweater"/>
    <n v="10"/>
    <n v="20749"/>
    <n v="0.2"/>
    <n v="165992"/>
    <n v="47855.1"/>
    <x v="0"/>
    <x v="10"/>
    <x v="0"/>
  </r>
  <r>
    <s v="ORD00078"/>
    <s v="2024-05-15"/>
    <x v="10"/>
    <x v="15"/>
    <x v="0"/>
    <s v="Sofa"/>
    <n v="12"/>
    <n v="53561"/>
    <n v="0.05"/>
    <n v="610595.4"/>
    <n v="61515.88"/>
    <x v="2"/>
    <x v="6"/>
    <x v="0"/>
  </r>
  <r>
    <s v="ORD00079"/>
    <s v="2024-05-28"/>
    <x v="5"/>
    <x v="1"/>
    <x v="1"/>
    <s v="Mobile"/>
    <n v="3"/>
    <n v="59406"/>
    <n v="0.2"/>
    <n v="142574.39999999999"/>
    <n v="27849.59"/>
    <x v="2"/>
    <x v="6"/>
    <x v="0"/>
  </r>
  <r>
    <s v="ORD00080"/>
    <s v="2023-12-12"/>
    <x v="24"/>
    <x v="15"/>
    <x v="0"/>
    <s v="Sofa"/>
    <n v="15"/>
    <n v="13485"/>
    <n v="0.15"/>
    <n v="171933.75"/>
    <n v="19641.64"/>
    <x v="1"/>
    <x v="9"/>
    <x v="1"/>
  </r>
  <r>
    <s v="ORD00081"/>
    <s v="2024-09-15"/>
    <x v="21"/>
    <x v="15"/>
    <x v="0"/>
    <s v="Sofa"/>
    <n v="10"/>
    <n v="43090"/>
    <n v="0.15"/>
    <n v="366265"/>
    <n v="66853.39"/>
    <x v="2"/>
    <x v="10"/>
    <x v="0"/>
  </r>
  <r>
    <s v="ORD00082"/>
    <s v="2023-05-13"/>
    <x v="15"/>
    <x v="10"/>
    <x v="3"/>
    <s v="Marker"/>
    <n v="15"/>
    <n v="33777"/>
    <n v="0"/>
    <n v="506655"/>
    <n v="110871.55"/>
    <x v="3"/>
    <x v="6"/>
    <x v="1"/>
  </r>
  <r>
    <s v="ORD00083"/>
    <s v="2023-12-27"/>
    <x v="39"/>
    <x v="7"/>
    <x v="0"/>
    <s v="Bed"/>
    <n v="11"/>
    <n v="47221"/>
    <n v="0"/>
    <n v="519431"/>
    <n v="134733.5"/>
    <x v="3"/>
    <x v="9"/>
    <x v="1"/>
  </r>
  <r>
    <s v="ORD00084"/>
    <s v="2023-02-06"/>
    <x v="30"/>
    <x v="25"/>
    <x v="3"/>
    <s v="Notebook"/>
    <n v="8"/>
    <n v="23064"/>
    <n v="0.15"/>
    <n v="156835.20000000001"/>
    <n v="20429.3"/>
    <x v="1"/>
    <x v="11"/>
    <x v="1"/>
  </r>
  <r>
    <s v="ORD00085"/>
    <s v="2024-10-25"/>
    <x v="36"/>
    <x v="3"/>
    <x v="3"/>
    <s v="Stapler"/>
    <n v="2"/>
    <n v="2970"/>
    <n v="0.2"/>
    <n v="4752"/>
    <n v="871.62"/>
    <x v="1"/>
    <x v="0"/>
    <x v="0"/>
  </r>
  <r>
    <s v="ORD00086"/>
    <s v="2023-08-10"/>
    <x v="8"/>
    <x v="6"/>
    <x v="2"/>
    <s v="Jeans"/>
    <n v="11"/>
    <n v="22029"/>
    <n v="0.05"/>
    <n v="230203.05"/>
    <n v="51985.9"/>
    <x v="1"/>
    <x v="8"/>
    <x v="1"/>
  </r>
  <r>
    <s v="ORD00087"/>
    <s v="2024-01-02"/>
    <x v="34"/>
    <x v="24"/>
    <x v="2"/>
    <s v="T-Shirt"/>
    <n v="5"/>
    <n v="14505"/>
    <n v="0.15"/>
    <n v="61646.25"/>
    <n v="5212.18"/>
    <x v="3"/>
    <x v="3"/>
    <x v="0"/>
  </r>
  <r>
    <s v="ORD00088"/>
    <s v="2024-04-06"/>
    <x v="27"/>
    <x v="15"/>
    <x v="0"/>
    <s v="Sofa"/>
    <n v="11"/>
    <n v="14746"/>
    <n v="0"/>
    <n v="162206"/>
    <n v="23296.28"/>
    <x v="0"/>
    <x v="2"/>
    <x v="0"/>
  </r>
  <r>
    <s v="ORD00089"/>
    <s v="2023-05-13"/>
    <x v="41"/>
    <x v="6"/>
    <x v="2"/>
    <s v="Jeans"/>
    <n v="11"/>
    <n v="44695"/>
    <n v="0.2"/>
    <n v="393316"/>
    <n v="42867.06"/>
    <x v="3"/>
    <x v="6"/>
    <x v="1"/>
  </r>
  <r>
    <s v="ORD00090"/>
    <s v="2024-08-25"/>
    <x v="29"/>
    <x v="7"/>
    <x v="0"/>
    <s v="Bed"/>
    <n v="15"/>
    <n v="22395"/>
    <n v="0.1"/>
    <n v="302332.5"/>
    <n v="61325.32"/>
    <x v="0"/>
    <x v="8"/>
    <x v="0"/>
  </r>
  <r>
    <s v="ORD00091"/>
    <s v="2024-10-08"/>
    <x v="42"/>
    <x v="6"/>
    <x v="2"/>
    <s v="Jeans"/>
    <n v="15"/>
    <n v="30853"/>
    <n v="0"/>
    <n v="462795"/>
    <n v="82209.2"/>
    <x v="0"/>
    <x v="0"/>
    <x v="0"/>
  </r>
  <r>
    <s v="ORD00092"/>
    <s v="2023-07-26"/>
    <x v="30"/>
    <x v="0"/>
    <x v="0"/>
    <s v="Chair"/>
    <n v="3"/>
    <n v="29717"/>
    <n v="0.2"/>
    <n v="71320.800000000003"/>
    <n v="11799.31"/>
    <x v="3"/>
    <x v="1"/>
    <x v="1"/>
  </r>
  <r>
    <s v="ORD00093"/>
    <s v="2023-06-30"/>
    <x v="12"/>
    <x v="12"/>
    <x v="1"/>
    <s v="Headphones"/>
    <n v="3"/>
    <n v="19774"/>
    <n v="0.1"/>
    <n v="53389.8"/>
    <n v="7091.3"/>
    <x v="3"/>
    <x v="5"/>
    <x v="1"/>
  </r>
  <r>
    <s v="ORD00094"/>
    <s v="2023-08-13"/>
    <x v="39"/>
    <x v="23"/>
    <x v="0"/>
    <s v="Desk"/>
    <n v="5"/>
    <n v="37216"/>
    <n v="0.05"/>
    <n v="176776"/>
    <n v="29256.83"/>
    <x v="1"/>
    <x v="8"/>
    <x v="1"/>
  </r>
  <r>
    <s v="ORD00095"/>
    <s v="2023-06-02"/>
    <x v="14"/>
    <x v="5"/>
    <x v="0"/>
    <s v="Cupboard"/>
    <n v="13"/>
    <n v="25534"/>
    <n v="0.1"/>
    <n v="298747.8"/>
    <n v="46400.28"/>
    <x v="2"/>
    <x v="5"/>
    <x v="1"/>
  </r>
  <r>
    <s v="ORD00096"/>
    <s v="2023-12-26"/>
    <x v="32"/>
    <x v="15"/>
    <x v="0"/>
    <s v="Sofa"/>
    <n v="8"/>
    <n v="43871"/>
    <n v="0.1"/>
    <n v="315871.2"/>
    <n v="58336.44"/>
    <x v="3"/>
    <x v="9"/>
    <x v="1"/>
  </r>
  <r>
    <s v="ORD00097"/>
    <s v="2024-10-09"/>
    <x v="37"/>
    <x v="6"/>
    <x v="2"/>
    <s v="Jeans"/>
    <n v="15"/>
    <n v="29380"/>
    <n v="0"/>
    <n v="440700"/>
    <n v="91945.31"/>
    <x v="3"/>
    <x v="0"/>
    <x v="0"/>
  </r>
  <r>
    <s v="ORD00098"/>
    <s v="2023-06-24"/>
    <x v="34"/>
    <x v="20"/>
    <x v="1"/>
    <s v="Tablet"/>
    <n v="10"/>
    <n v="45875"/>
    <n v="0.1"/>
    <n v="412875"/>
    <n v="99694.58"/>
    <x v="1"/>
    <x v="5"/>
    <x v="1"/>
  </r>
  <r>
    <s v="ORD00099"/>
    <s v="2023-05-13"/>
    <x v="25"/>
    <x v="22"/>
    <x v="1"/>
    <s v="Camera"/>
    <n v="7"/>
    <n v="40706"/>
    <n v="0"/>
    <n v="284942"/>
    <n v="51131.93"/>
    <x v="3"/>
    <x v="6"/>
    <x v="1"/>
  </r>
  <r>
    <s v="ORD00100"/>
    <s v="2024-09-06"/>
    <x v="38"/>
    <x v="9"/>
    <x v="1"/>
    <s v="Keyboard"/>
    <n v="14"/>
    <n v="2134"/>
    <n v="0.2"/>
    <n v="23900.799999999999"/>
    <n v="4991.8100000000004"/>
    <x v="3"/>
    <x v="10"/>
    <x v="0"/>
  </r>
  <r>
    <s v="ORD00101"/>
    <s v="2024-04-01"/>
    <x v="20"/>
    <x v="17"/>
    <x v="1"/>
    <s v="Power Bank"/>
    <n v="11"/>
    <n v="59261"/>
    <n v="0.2"/>
    <n v="521496.8"/>
    <n v="62996.78"/>
    <x v="2"/>
    <x v="2"/>
    <x v="0"/>
  </r>
  <r>
    <s v="ORD00102"/>
    <s v="2024-05-07"/>
    <x v="4"/>
    <x v="23"/>
    <x v="0"/>
    <s v="Desk"/>
    <n v="1"/>
    <n v="6085"/>
    <n v="0.1"/>
    <n v="5476.5"/>
    <n v="489.43"/>
    <x v="1"/>
    <x v="6"/>
    <x v="0"/>
  </r>
  <r>
    <s v="ORD00103"/>
    <s v="2024-10-27"/>
    <x v="0"/>
    <x v="4"/>
    <x v="0"/>
    <s v="Stool"/>
    <n v="3"/>
    <n v="54543"/>
    <n v="0"/>
    <n v="163629"/>
    <n v="21985.49"/>
    <x v="0"/>
    <x v="0"/>
    <x v="0"/>
  </r>
  <r>
    <s v="ORD00104"/>
    <s v="2024-11-24"/>
    <x v="21"/>
    <x v="15"/>
    <x v="0"/>
    <s v="Sofa"/>
    <n v="11"/>
    <n v="4510"/>
    <n v="0.2"/>
    <n v="39688"/>
    <n v="3357.17"/>
    <x v="2"/>
    <x v="4"/>
    <x v="0"/>
  </r>
  <r>
    <s v="ORD00105"/>
    <s v="2023-11-01"/>
    <x v="12"/>
    <x v="2"/>
    <x v="2"/>
    <s v="Shoes"/>
    <n v="11"/>
    <n v="7096"/>
    <n v="0.2"/>
    <n v="62444.800000000003"/>
    <n v="18004.55"/>
    <x v="1"/>
    <x v="4"/>
    <x v="1"/>
  </r>
  <r>
    <s v="ORD00106"/>
    <s v="2024-03-28"/>
    <x v="21"/>
    <x v="5"/>
    <x v="0"/>
    <s v="Cupboard"/>
    <n v="10"/>
    <n v="56663"/>
    <n v="0"/>
    <n v="566630"/>
    <n v="114894.94"/>
    <x v="0"/>
    <x v="7"/>
    <x v="0"/>
  </r>
  <r>
    <s v="ORD00107"/>
    <s v="2024-06-02"/>
    <x v="41"/>
    <x v="14"/>
    <x v="2"/>
    <s v="Dress"/>
    <n v="6"/>
    <n v="17408"/>
    <n v="0"/>
    <n v="104448"/>
    <n v="15824.69"/>
    <x v="2"/>
    <x v="5"/>
    <x v="0"/>
  </r>
  <r>
    <s v="ORD00108"/>
    <s v="2023-10-30"/>
    <x v="33"/>
    <x v="16"/>
    <x v="3"/>
    <s v="Pen"/>
    <n v="3"/>
    <n v="28272"/>
    <n v="0.05"/>
    <n v="80575.199999999997"/>
    <n v="18090.09"/>
    <x v="3"/>
    <x v="0"/>
    <x v="1"/>
  </r>
  <r>
    <s v="ORD00109"/>
    <s v="2024-08-06"/>
    <x v="9"/>
    <x v="26"/>
    <x v="3"/>
    <s v="Paper Ream"/>
    <n v="12"/>
    <n v="52571"/>
    <n v="0.05"/>
    <n v="599309.4"/>
    <n v="99976.639999999999"/>
    <x v="0"/>
    <x v="8"/>
    <x v="0"/>
  </r>
  <r>
    <s v="ORD00110"/>
    <s v="2023-05-04"/>
    <x v="4"/>
    <x v="16"/>
    <x v="3"/>
    <s v="Pen"/>
    <n v="6"/>
    <n v="54288"/>
    <n v="0.2"/>
    <n v="260582.39999999999"/>
    <n v="51719.08"/>
    <x v="2"/>
    <x v="6"/>
    <x v="1"/>
  </r>
  <r>
    <s v="ORD00111"/>
    <s v="2023-08-23"/>
    <x v="35"/>
    <x v="26"/>
    <x v="3"/>
    <s v="Paper Ream"/>
    <n v="6"/>
    <n v="33092"/>
    <n v="0"/>
    <n v="198552"/>
    <n v="20004"/>
    <x v="2"/>
    <x v="8"/>
    <x v="1"/>
  </r>
  <r>
    <s v="ORD00112"/>
    <s v="2023-03-17"/>
    <x v="40"/>
    <x v="10"/>
    <x v="3"/>
    <s v="Marker"/>
    <n v="4"/>
    <n v="19575"/>
    <n v="0.2"/>
    <n v="62640"/>
    <n v="13997.25"/>
    <x v="3"/>
    <x v="7"/>
    <x v="1"/>
  </r>
  <r>
    <s v="ORD00113"/>
    <s v="2023-05-24"/>
    <x v="0"/>
    <x v="13"/>
    <x v="2"/>
    <s v="Jacket"/>
    <n v="13"/>
    <n v="59531"/>
    <n v="0.2"/>
    <n v="619122.4"/>
    <n v="83192.95"/>
    <x v="3"/>
    <x v="6"/>
    <x v="1"/>
  </r>
  <r>
    <s v="ORD00114"/>
    <s v="2023-07-11"/>
    <x v="11"/>
    <x v="17"/>
    <x v="1"/>
    <s v="Power Bank"/>
    <n v="13"/>
    <n v="58432"/>
    <n v="0"/>
    <n v="759616"/>
    <n v="216509.73"/>
    <x v="2"/>
    <x v="1"/>
    <x v="1"/>
  </r>
  <r>
    <s v="ORD00115"/>
    <s v="2024-06-11"/>
    <x v="18"/>
    <x v="19"/>
    <x v="1"/>
    <s v="Smartwatch"/>
    <n v="6"/>
    <n v="7343"/>
    <n v="0.2"/>
    <n v="35246.400000000001"/>
    <n v="4622.53"/>
    <x v="0"/>
    <x v="5"/>
    <x v="0"/>
  </r>
  <r>
    <s v="ORD00116"/>
    <s v="2023-11-29"/>
    <x v="34"/>
    <x v="8"/>
    <x v="2"/>
    <s v="Sweater"/>
    <n v="1"/>
    <n v="26228"/>
    <n v="0.1"/>
    <n v="23605.200000000001"/>
    <n v="3422.27"/>
    <x v="0"/>
    <x v="4"/>
    <x v="1"/>
  </r>
  <r>
    <s v="ORD00117"/>
    <s v="2024-07-19"/>
    <x v="2"/>
    <x v="4"/>
    <x v="0"/>
    <s v="Stool"/>
    <n v="9"/>
    <n v="26457"/>
    <n v="0.05"/>
    <n v="226207.35"/>
    <n v="40517.699999999997"/>
    <x v="3"/>
    <x v="1"/>
    <x v="0"/>
  </r>
  <r>
    <s v="ORD00118"/>
    <s v="2024-07-11"/>
    <x v="13"/>
    <x v="24"/>
    <x v="2"/>
    <s v="T-Shirt"/>
    <n v="12"/>
    <n v="9754"/>
    <n v="0.15"/>
    <n v="99490.8"/>
    <n v="10178.120000000001"/>
    <x v="1"/>
    <x v="1"/>
    <x v="0"/>
  </r>
  <r>
    <s v="ORD00119"/>
    <s v="2023-02-10"/>
    <x v="13"/>
    <x v="13"/>
    <x v="2"/>
    <s v="Jacket"/>
    <n v="4"/>
    <n v="9680"/>
    <n v="0.15"/>
    <n v="32912"/>
    <n v="8115.93"/>
    <x v="2"/>
    <x v="11"/>
    <x v="1"/>
  </r>
  <r>
    <s v="ORD00120"/>
    <s v="2024-05-30"/>
    <x v="8"/>
    <x v="12"/>
    <x v="1"/>
    <s v="Headphones"/>
    <n v="14"/>
    <n v="25211"/>
    <n v="0.1"/>
    <n v="317658.59999999998"/>
    <n v="28139.56"/>
    <x v="1"/>
    <x v="6"/>
    <x v="0"/>
  </r>
  <r>
    <s v="ORD00121"/>
    <s v="2024-11-30"/>
    <x v="31"/>
    <x v="9"/>
    <x v="1"/>
    <s v="Keyboard"/>
    <n v="3"/>
    <n v="30643"/>
    <n v="0.15"/>
    <n v="78139.649999999994"/>
    <n v="22459.01"/>
    <x v="2"/>
    <x v="4"/>
    <x v="0"/>
  </r>
  <r>
    <s v="ORD00122"/>
    <s v="2023-11-10"/>
    <x v="10"/>
    <x v="13"/>
    <x v="2"/>
    <s v="Jacket"/>
    <n v="5"/>
    <n v="27415"/>
    <n v="0.1"/>
    <n v="123367.5"/>
    <n v="24153.98"/>
    <x v="3"/>
    <x v="4"/>
    <x v="1"/>
  </r>
  <r>
    <s v="ORD00123"/>
    <s v="2023-08-20"/>
    <x v="34"/>
    <x v="5"/>
    <x v="0"/>
    <s v="Cupboard"/>
    <n v="8"/>
    <n v="24814"/>
    <n v="0.05"/>
    <n v="188586.4"/>
    <n v="25335.35"/>
    <x v="2"/>
    <x v="8"/>
    <x v="1"/>
  </r>
  <r>
    <s v="ORD00124"/>
    <s v="2024-11-06"/>
    <x v="40"/>
    <x v="20"/>
    <x v="1"/>
    <s v="Tablet"/>
    <n v="7"/>
    <n v="9227"/>
    <n v="0.15"/>
    <n v="54900.65"/>
    <n v="13657.14"/>
    <x v="2"/>
    <x v="4"/>
    <x v="0"/>
  </r>
  <r>
    <s v="ORD00125"/>
    <s v="2023-09-03"/>
    <x v="26"/>
    <x v="25"/>
    <x v="3"/>
    <s v="Notebook"/>
    <n v="1"/>
    <n v="29763"/>
    <n v="0.05"/>
    <n v="28274.85"/>
    <n v="7505.1"/>
    <x v="1"/>
    <x v="10"/>
    <x v="1"/>
  </r>
  <r>
    <s v="ORD00126"/>
    <s v="2023-09-24"/>
    <x v="15"/>
    <x v="27"/>
    <x v="3"/>
    <s v="File"/>
    <n v="9"/>
    <n v="7140"/>
    <n v="0"/>
    <n v="64260"/>
    <n v="6826.11"/>
    <x v="0"/>
    <x v="10"/>
    <x v="1"/>
  </r>
  <r>
    <s v="ORD00127"/>
    <s v="2023-08-07"/>
    <x v="26"/>
    <x v="23"/>
    <x v="0"/>
    <s v="Desk"/>
    <n v="1"/>
    <n v="56707"/>
    <n v="0.2"/>
    <n v="45365.599999999999"/>
    <n v="9226.36"/>
    <x v="0"/>
    <x v="8"/>
    <x v="1"/>
  </r>
  <r>
    <s v="ORD00128"/>
    <s v="2024-11-09"/>
    <x v="21"/>
    <x v="17"/>
    <x v="1"/>
    <s v="Power Bank"/>
    <n v="5"/>
    <n v="34307"/>
    <n v="0.15"/>
    <n v="145804.75"/>
    <n v="12905.77"/>
    <x v="3"/>
    <x v="4"/>
    <x v="0"/>
  </r>
  <r>
    <s v="ORD00129"/>
    <s v="2024-08-02"/>
    <x v="28"/>
    <x v="11"/>
    <x v="3"/>
    <s v="Printer"/>
    <n v="14"/>
    <n v="15015"/>
    <n v="0.2"/>
    <n v="168168"/>
    <n v="30549.05"/>
    <x v="1"/>
    <x v="8"/>
    <x v="0"/>
  </r>
  <r>
    <s v="ORD00130"/>
    <s v="2024-10-17"/>
    <x v="43"/>
    <x v="26"/>
    <x v="3"/>
    <s v="Paper Ream"/>
    <n v="5"/>
    <n v="22091"/>
    <n v="0.2"/>
    <n v="88364"/>
    <n v="25022.87"/>
    <x v="0"/>
    <x v="0"/>
    <x v="0"/>
  </r>
  <r>
    <s v="ORD00131"/>
    <s v="2023-09-08"/>
    <x v="44"/>
    <x v="17"/>
    <x v="1"/>
    <s v="Power Bank"/>
    <n v="8"/>
    <n v="34275"/>
    <n v="0"/>
    <n v="274200"/>
    <n v="45521.55"/>
    <x v="1"/>
    <x v="10"/>
    <x v="1"/>
  </r>
  <r>
    <s v="ORD00132"/>
    <s v="2024-05-23"/>
    <x v="23"/>
    <x v="6"/>
    <x v="2"/>
    <s v="Jeans"/>
    <n v="5"/>
    <n v="43109"/>
    <n v="0.05"/>
    <n v="204767.75"/>
    <n v="37038.589999999997"/>
    <x v="3"/>
    <x v="6"/>
    <x v="0"/>
  </r>
  <r>
    <s v="ORD00133"/>
    <s v="2024-06-23"/>
    <x v="29"/>
    <x v="8"/>
    <x v="2"/>
    <s v="Sweater"/>
    <n v="2"/>
    <n v="59805"/>
    <n v="0.1"/>
    <n v="107649"/>
    <n v="23395.42"/>
    <x v="1"/>
    <x v="5"/>
    <x v="0"/>
  </r>
  <r>
    <s v="ORD00134"/>
    <s v="2023-05-15"/>
    <x v="10"/>
    <x v="4"/>
    <x v="0"/>
    <s v="Stool"/>
    <n v="12"/>
    <n v="30472"/>
    <n v="0.1"/>
    <n v="329097.59999999998"/>
    <n v="41227.69"/>
    <x v="2"/>
    <x v="6"/>
    <x v="1"/>
  </r>
  <r>
    <s v="ORD00135"/>
    <s v="2024-02-12"/>
    <x v="14"/>
    <x v="6"/>
    <x v="2"/>
    <s v="Jeans"/>
    <n v="12"/>
    <n v="42053"/>
    <n v="0"/>
    <n v="504636"/>
    <n v="136181.65"/>
    <x v="3"/>
    <x v="11"/>
    <x v="0"/>
  </r>
  <r>
    <s v="ORD00136"/>
    <s v="2023-07-13"/>
    <x v="5"/>
    <x v="23"/>
    <x v="0"/>
    <s v="Desk"/>
    <n v="5"/>
    <n v="47622"/>
    <n v="0.15"/>
    <n v="202393.5"/>
    <n v="24552.43"/>
    <x v="3"/>
    <x v="1"/>
    <x v="1"/>
  </r>
  <r>
    <s v="ORD00137"/>
    <s v="2023-10-26"/>
    <x v="9"/>
    <x v="17"/>
    <x v="1"/>
    <s v="Power Bank"/>
    <n v="1"/>
    <n v="34091"/>
    <n v="0.15"/>
    <n v="28977.35"/>
    <n v="7847.03"/>
    <x v="0"/>
    <x v="0"/>
    <x v="1"/>
  </r>
  <r>
    <s v="ORD00138"/>
    <s v="2024-05-13"/>
    <x v="45"/>
    <x v="11"/>
    <x v="3"/>
    <s v="Printer"/>
    <n v="3"/>
    <n v="6684"/>
    <n v="0.2"/>
    <n v="16041.6"/>
    <n v="3623.29"/>
    <x v="2"/>
    <x v="6"/>
    <x v="0"/>
  </r>
  <r>
    <s v="ORD00139"/>
    <s v="2023-04-20"/>
    <x v="33"/>
    <x v="8"/>
    <x v="2"/>
    <s v="Sweater"/>
    <n v="8"/>
    <n v="10247"/>
    <n v="0.1"/>
    <n v="73778.399999999994"/>
    <n v="15506.21"/>
    <x v="0"/>
    <x v="2"/>
    <x v="1"/>
  </r>
  <r>
    <s v="ORD00140"/>
    <s v="2024-04-10"/>
    <x v="9"/>
    <x v="16"/>
    <x v="3"/>
    <s v="Pen"/>
    <n v="10"/>
    <n v="56952"/>
    <n v="0"/>
    <n v="569520"/>
    <n v="61595.11"/>
    <x v="1"/>
    <x v="2"/>
    <x v="0"/>
  </r>
  <r>
    <s v="ORD00141"/>
    <s v="2023-12-30"/>
    <x v="21"/>
    <x v="19"/>
    <x v="1"/>
    <s v="Smartwatch"/>
    <n v="11"/>
    <n v="59034"/>
    <n v="0.1"/>
    <n v="584436.6"/>
    <n v="51525.19"/>
    <x v="1"/>
    <x v="9"/>
    <x v="1"/>
  </r>
  <r>
    <s v="ORD00142"/>
    <s v="2023-04-04"/>
    <x v="39"/>
    <x v="18"/>
    <x v="0"/>
    <s v="Table"/>
    <n v="12"/>
    <n v="50228"/>
    <n v="0"/>
    <n v="602736"/>
    <n v="180392.84"/>
    <x v="0"/>
    <x v="2"/>
    <x v="1"/>
  </r>
  <r>
    <s v="ORD00143"/>
    <s v="2023-07-02"/>
    <x v="8"/>
    <x v="26"/>
    <x v="3"/>
    <s v="Paper Ream"/>
    <n v="5"/>
    <n v="24453"/>
    <n v="0.2"/>
    <n v="97812"/>
    <n v="27697.03"/>
    <x v="3"/>
    <x v="1"/>
    <x v="1"/>
  </r>
  <r>
    <s v="ORD00144"/>
    <s v="2023-06-07"/>
    <x v="33"/>
    <x v="14"/>
    <x v="2"/>
    <s v="Dress"/>
    <n v="5"/>
    <n v="35692"/>
    <n v="0.05"/>
    <n v="169537"/>
    <n v="21352.639999999999"/>
    <x v="2"/>
    <x v="5"/>
    <x v="1"/>
  </r>
  <r>
    <s v="ORD00145"/>
    <s v="2023-05-03"/>
    <x v="46"/>
    <x v="12"/>
    <x v="1"/>
    <s v="Headphones"/>
    <n v="8"/>
    <n v="11608"/>
    <n v="0.1"/>
    <n v="83577.600000000006"/>
    <n v="17232.53"/>
    <x v="3"/>
    <x v="6"/>
    <x v="1"/>
  </r>
  <r>
    <s v="ORD00146"/>
    <s v="2023-06-15"/>
    <x v="30"/>
    <x v="3"/>
    <x v="3"/>
    <s v="Stapler"/>
    <n v="11"/>
    <n v="4059"/>
    <n v="0"/>
    <n v="44649"/>
    <n v="11416.05"/>
    <x v="0"/>
    <x v="5"/>
    <x v="1"/>
  </r>
  <r>
    <s v="ORD00147"/>
    <s v="2023-06-06"/>
    <x v="38"/>
    <x v="20"/>
    <x v="1"/>
    <s v="Tablet"/>
    <n v="13"/>
    <n v="47338"/>
    <n v="0.05"/>
    <n v="584624.30000000005"/>
    <n v="149700.28"/>
    <x v="2"/>
    <x v="5"/>
    <x v="1"/>
  </r>
  <r>
    <s v="ORD00148"/>
    <s v="2024-03-07"/>
    <x v="9"/>
    <x v="9"/>
    <x v="1"/>
    <s v="Keyboard"/>
    <n v="9"/>
    <n v="54870"/>
    <n v="0.2"/>
    <n v="395064"/>
    <n v="76327.69"/>
    <x v="2"/>
    <x v="7"/>
    <x v="0"/>
  </r>
  <r>
    <s v="ORD00149"/>
    <s v="2024-09-17"/>
    <x v="47"/>
    <x v="16"/>
    <x v="3"/>
    <s v="Pen"/>
    <n v="2"/>
    <n v="29801"/>
    <n v="0.2"/>
    <n v="47681.599999999999"/>
    <n v="5545.75"/>
    <x v="3"/>
    <x v="10"/>
    <x v="0"/>
  </r>
  <r>
    <s v="ORD00150"/>
    <s v="2023-01-16"/>
    <x v="37"/>
    <x v="20"/>
    <x v="1"/>
    <s v="Tablet"/>
    <n v="4"/>
    <n v="51811"/>
    <n v="0.15"/>
    <n v="176157.4"/>
    <n v="34855.18"/>
    <x v="1"/>
    <x v="3"/>
    <x v="1"/>
  </r>
  <r>
    <s v="ORD00151"/>
    <s v="2023-10-04"/>
    <x v="12"/>
    <x v="13"/>
    <x v="2"/>
    <s v="Jacket"/>
    <n v="13"/>
    <n v="18434"/>
    <n v="0.15"/>
    <n v="203695.7"/>
    <n v="43393.07"/>
    <x v="2"/>
    <x v="0"/>
    <x v="1"/>
  </r>
  <r>
    <s v="ORD00152"/>
    <s v="2023-07-23"/>
    <x v="34"/>
    <x v="14"/>
    <x v="2"/>
    <s v="Dress"/>
    <n v="4"/>
    <n v="17088"/>
    <n v="0.1"/>
    <n v="61516.800000000003"/>
    <n v="6530.03"/>
    <x v="0"/>
    <x v="1"/>
    <x v="1"/>
  </r>
  <r>
    <s v="ORD00153"/>
    <s v="2024-07-07"/>
    <x v="0"/>
    <x v="1"/>
    <x v="1"/>
    <s v="Mobile"/>
    <n v="1"/>
    <n v="28058"/>
    <n v="0"/>
    <n v="28058"/>
    <n v="2297.15"/>
    <x v="3"/>
    <x v="1"/>
    <x v="0"/>
  </r>
  <r>
    <s v="ORD00154"/>
    <s v="2023-02-20"/>
    <x v="43"/>
    <x v="7"/>
    <x v="0"/>
    <s v="Bed"/>
    <n v="2"/>
    <n v="48583"/>
    <n v="0.1"/>
    <n v="87449.4"/>
    <n v="12043.89"/>
    <x v="2"/>
    <x v="11"/>
    <x v="1"/>
  </r>
  <r>
    <s v="ORD00155"/>
    <s v="2023-12-01"/>
    <x v="45"/>
    <x v="25"/>
    <x v="3"/>
    <s v="Notebook"/>
    <n v="8"/>
    <n v="51504"/>
    <n v="0.2"/>
    <n v="329625.59999999998"/>
    <n v="97893.41"/>
    <x v="3"/>
    <x v="9"/>
    <x v="1"/>
  </r>
  <r>
    <s v="ORD00156"/>
    <s v="2024-06-15"/>
    <x v="12"/>
    <x v="21"/>
    <x v="1"/>
    <s v="Laptop"/>
    <n v="1"/>
    <n v="46271"/>
    <n v="0"/>
    <n v="46271"/>
    <n v="6694.9"/>
    <x v="1"/>
    <x v="5"/>
    <x v="0"/>
  </r>
  <r>
    <s v="ORD00157"/>
    <s v="2023-01-18"/>
    <x v="34"/>
    <x v="20"/>
    <x v="1"/>
    <s v="Tablet"/>
    <n v="14"/>
    <n v="41023"/>
    <n v="0.05"/>
    <n v="545605.9"/>
    <n v="159638.37"/>
    <x v="3"/>
    <x v="3"/>
    <x v="1"/>
  </r>
  <r>
    <s v="ORD00158"/>
    <s v="2024-05-24"/>
    <x v="10"/>
    <x v="27"/>
    <x v="3"/>
    <s v="File"/>
    <n v="2"/>
    <n v="49237"/>
    <n v="0.15"/>
    <n v="83702.899999999994"/>
    <n v="21949.03"/>
    <x v="3"/>
    <x v="6"/>
    <x v="0"/>
  </r>
  <r>
    <s v="ORD00159"/>
    <s v="2023-05-22"/>
    <x v="25"/>
    <x v="15"/>
    <x v="0"/>
    <s v="Sofa"/>
    <n v="3"/>
    <n v="12475"/>
    <n v="0.2"/>
    <n v="29940"/>
    <n v="6935.58"/>
    <x v="1"/>
    <x v="6"/>
    <x v="1"/>
  </r>
  <r>
    <s v="ORD00160"/>
    <s v="2023-11-10"/>
    <x v="45"/>
    <x v="12"/>
    <x v="1"/>
    <s v="Headphones"/>
    <n v="6"/>
    <n v="2456"/>
    <n v="0.15"/>
    <n v="12525.6"/>
    <n v="3127.98"/>
    <x v="3"/>
    <x v="4"/>
    <x v="1"/>
  </r>
  <r>
    <s v="ORD00161"/>
    <s v="2024-05-06"/>
    <x v="35"/>
    <x v="8"/>
    <x v="2"/>
    <s v="Sweater"/>
    <n v="2"/>
    <n v="44581"/>
    <n v="0.15"/>
    <n v="75787.7"/>
    <n v="16444.349999999999"/>
    <x v="2"/>
    <x v="6"/>
    <x v="0"/>
  </r>
  <r>
    <s v="ORD00162"/>
    <s v="2023-09-28"/>
    <x v="6"/>
    <x v="25"/>
    <x v="3"/>
    <s v="Notebook"/>
    <n v="9"/>
    <n v="18839"/>
    <n v="0.2"/>
    <n v="135640.79999999999"/>
    <n v="13721.72"/>
    <x v="0"/>
    <x v="10"/>
    <x v="1"/>
  </r>
  <r>
    <s v="ORD00163"/>
    <s v="2023-07-19"/>
    <x v="6"/>
    <x v="2"/>
    <x v="2"/>
    <s v="Shoes"/>
    <n v="9"/>
    <n v="41056"/>
    <n v="0.05"/>
    <n v="351028.8"/>
    <n v="88842.55"/>
    <x v="0"/>
    <x v="1"/>
    <x v="1"/>
  </r>
  <r>
    <s v="ORD00164"/>
    <s v="2023-09-16"/>
    <x v="3"/>
    <x v="5"/>
    <x v="0"/>
    <s v="Cupboard"/>
    <n v="7"/>
    <n v="58602"/>
    <n v="0.2"/>
    <n v="328171.2"/>
    <n v="84793.48"/>
    <x v="2"/>
    <x v="10"/>
    <x v="1"/>
  </r>
  <r>
    <s v="ORD00165"/>
    <s v="2023-08-01"/>
    <x v="25"/>
    <x v="12"/>
    <x v="1"/>
    <s v="Headphones"/>
    <n v="11"/>
    <n v="30176"/>
    <n v="0.05"/>
    <n v="315339.2"/>
    <n v="82639.39"/>
    <x v="1"/>
    <x v="8"/>
    <x v="1"/>
  </r>
  <r>
    <s v="ORD00166"/>
    <s v="2023-02-13"/>
    <x v="26"/>
    <x v="1"/>
    <x v="1"/>
    <s v="Mobile"/>
    <n v="1"/>
    <n v="5056"/>
    <n v="0"/>
    <n v="5056"/>
    <n v="1080.0999999999999"/>
    <x v="0"/>
    <x v="11"/>
    <x v="1"/>
  </r>
  <r>
    <s v="ORD00167"/>
    <s v="2023-01-04"/>
    <x v="41"/>
    <x v="7"/>
    <x v="0"/>
    <s v="Bed"/>
    <n v="15"/>
    <n v="1446"/>
    <n v="0.05"/>
    <n v="20605.5"/>
    <n v="2193.11"/>
    <x v="0"/>
    <x v="3"/>
    <x v="1"/>
  </r>
  <r>
    <s v="ORD00168"/>
    <s v="2023-03-14"/>
    <x v="19"/>
    <x v="25"/>
    <x v="3"/>
    <s v="Notebook"/>
    <n v="1"/>
    <n v="47886"/>
    <n v="0.1"/>
    <n v="43097.4"/>
    <n v="5370.2"/>
    <x v="0"/>
    <x v="7"/>
    <x v="1"/>
  </r>
  <r>
    <s v="ORD00169"/>
    <s v="2023-07-12"/>
    <x v="34"/>
    <x v="2"/>
    <x v="2"/>
    <s v="Shoes"/>
    <n v="9"/>
    <n v="58086"/>
    <n v="0.05"/>
    <n v="496635.3"/>
    <n v="57875.78"/>
    <x v="2"/>
    <x v="1"/>
    <x v="1"/>
  </r>
  <r>
    <s v="ORD00170"/>
    <s v="2024-09-20"/>
    <x v="43"/>
    <x v="1"/>
    <x v="1"/>
    <s v="Mobile"/>
    <n v="10"/>
    <n v="12995"/>
    <n v="0.05"/>
    <n v="123452.5"/>
    <n v="11721.19"/>
    <x v="0"/>
    <x v="10"/>
    <x v="0"/>
  </r>
  <r>
    <s v="ORD00171"/>
    <s v="2023-09-03"/>
    <x v="41"/>
    <x v="2"/>
    <x v="2"/>
    <s v="Shoes"/>
    <n v="6"/>
    <n v="56204"/>
    <n v="0.15"/>
    <n v="286640.40000000002"/>
    <n v="48251.53"/>
    <x v="1"/>
    <x v="10"/>
    <x v="1"/>
  </r>
  <r>
    <s v="ORD00172"/>
    <s v="2024-05-05"/>
    <x v="40"/>
    <x v="8"/>
    <x v="2"/>
    <s v="Sweater"/>
    <n v="7"/>
    <n v="29580"/>
    <n v="0"/>
    <n v="207060"/>
    <n v="21266.959999999999"/>
    <x v="0"/>
    <x v="6"/>
    <x v="0"/>
  </r>
  <r>
    <s v="ORD00173"/>
    <s v="2024-01-08"/>
    <x v="10"/>
    <x v="15"/>
    <x v="0"/>
    <s v="Sofa"/>
    <n v="10"/>
    <n v="28734"/>
    <n v="0"/>
    <n v="287340"/>
    <n v="27162.61"/>
    <x v="2"/>
    <x v="3"/>
    <x v="0"/>
  </r>
  <r>
    <s v="ORD00174"/>
    <s v="2024-07-10"/>
    <x v="0"/>
    <x v="19"/>
    <x v="1"/>
    <s v="Smartwatch"/>
    <n v="13"/>
    <n v="35893"/>
    <n v="0.05"/>
    <n v="443278.55"/>
    <n v="103692.28"/>
    <x v="2"/>
    <x v="1"/>
    <x v="0"/>
  </r>
  <r>
    <s v="ORD00175"/>
    <s v="2024-02-20"/>
    <x v="31"/>
    <x v="18"/>
    <x v="0"/>
    <s v="Table"/>
    <n v="5"/>
    <n v="52203"/>
    <n v="0"/>
    <n v="261015"/>
    <n v="39530.639999999999"/>
    <x v="0"/>
    <x v="11"/>
    <x v="0"/>
  </r>
  <r>
    <s v="ORD00176"/>
    <s v="2023-11-15"/>
    <x v="46"/>
    <x v="19"/>
    <x v="1"/>
    <s v="Smartwatch"/>
    <n v="5"/>
    <n v="26120"/>
    <n v="0"/>
    <n v="130600"/>
    <n v="15473.83"/>
    <x v="1"/>
    <x v="4"/>
    <x v="1"/>
  </r>
  <r>
    <s v="ORD00177"/>
    <s v="2023-05-06"/>
    <x v="29"/>
    <x v="17"/>
    <x v="1"/>
    <s v="Power Bank"/>
    <n v="12"/>
    <n v="53374"/>
    <n v="0.05"/>
    <n v="608463.6"/>
    <n v="74406.649999999994"/>
    <x v="3"/>
    <x v="6"/>
    <x v="1"/>
  </r>
  <r>
    <s v="ORD00178"/>
    <s v="2024-10-29"/>
    <x v="1"/>
    <x v="6"/>
    <x v="2"/>
    <s v="Jeans"/>
    <n v="11"/>
    <n v="47621"/>
    <n v="0"/>
    <n v="523831"/>
    <n v="96801.8"/>
    <x v="3"/>
    <x v="0"/>
    <x v="0"/>
  </r>
  <r>
    <s v="ORD00179"/>
    <s v="2023-01-12"/>
    <x v="34"/>
    <x v="24"/>
    <x v="2"/>
    <s v="T-Shirt"/>
    <n v="7"/>
    <n v="33254"/>
    <n v="0.2"/>
    <n v="186222.4"/>
    <n v="41028.67"/>
    <x v="0"/>
    <x v="3"/>
    <x v="1"/>
  </r>
  <r>
    <s v="ORD00180"/>
    <s v="2024-04-04"/>
    <x v="40"/>
    <x v="14"/>
    <x v="2"/>
    <s v="Dress"/>
    <n v="12"/>
    <n v="49576"/>
    <n v="0.2"/>
    <n v="475929.59999999998"/>
    <n v="113737.25"/>
    <x v="1"/>
    <x v="2"/>
    <x v="0"/>
  </r>
  <r>
    <s v="ORD00181"/>
    <s v="2023-09-18"/>
    <x v="2"/>
    <x v="18"/>
    <x v="0"/>
    <s v="Table"/>
    <n v="1"/>
    <n v="58221"/>
    <n v="0"/>
    <n v="58221"/>
    <n v="11403.8"/>
    <x v="0"/>
    <x v="10"/>
    <x v="1"/>
  </r>
  <r>
    <s v="ORD00182"/>
    <s v="2024-01-31"/>
    <x v="23"/>
    <x v="8"/>
    <x v="2"/>
    <s v="Sweater"/>
    <n v="9"/>
    <n v="10183"/>
    <n v="0.2"/>
    <n v="73317.600000000006"/>
    <n v="16350.43"/>
    <x v="0"/>
    <x v="3"/>
    <x v="0"/>
  </r>
  <r>
    <s v="ORD00183"/>
    <s v="2024-01-31"/>
    <x v="8"/>
    <x v="3"/>
    <x v="3"/>
    <s v="Stapler"/>
    <n v="14"/>
    <n v="22542"/>
    <n v="0.1"/>
    <n v="284029.2"/>
    <n v="45324.65"/>
    <x v="1"/>
    <x v="3"/>
    <x v="0"/>
  </r>
  <r>
    <s v="ORD00184"/>
    <s v="2024-11-20"/>
    <x v="5"/>
    <x v="8"/>
    <x v="2"/>
    <s v="Sweater"/>
    <n v="11"/>
    <n v="2058"/>
    <n v="0.2"/>
    <n v="18110.400000000001"/>
    <n v="4130.3999999999996"/>
    <x v="2"/>
    <x v="4"/>
    <x v="0"/>
  </r>
  <r>
    <s v="ORD00185"/>
    <s v="2023-03-08"/>
    <x v="1"/>
    <x v="27"/>
    <x v="3"/>
    <s v="File"/>
    <n v="9"/>
    <n v="4388"/>
    <n v="0"/>
    <n v="39492"/>
    <n v="6754.47"/>
    <x v="1"/>
    <x v="7"/>
    <x v="1"/>
  </r>
  <r>
    <s v="ORD00186"/>
    <s v="2023-01-06"/>
    <x v="12"/>
    <x v="21"/>
    <x v="1"/>
    <s v="Laptop"/>
    <n v="12"/>
    <n v="9982"/>
    <n v="0.05"/>
    <n v="113794.8"/>
    <n v="9845.66"/>
    <x v="3"/>
    <x v="3"/>
    <x v="1"/>
  </r>
  <r>
    <s v="ORD00187"/>
    <s v="2023-01-25"/>
    <x v="33"/>
    <x v="24"/>
    <x v="2"/>
    <s v="T-Shirt"/>
    <n v="5"/>
    <n v="21080"/>
    <n v="0.1"/>
    <n v="94860"/>
    <n v="11525.43"/>
    <x v="0"/>
    <x v="3"/>
    <x v="1"/>
  </r>
  <r>
    <s v="ORD00188"/>
    <s v="2024-07-01"/>
    <x v="41"/>
    <x v="16"/>
    <x v="3"/>
    <s v="Pen"/>
    <n v="9"/>
    <n v="3702"/>
    <n v="0.1"/>
    <n v="29986.2"/>
    <n v="6633.19"/>
    <x v="1"/>
    <x v="1"/>
    <x v="0"/>
  </r>
  <r>
    <s v="ORD00189"/>
    <s v="2023-11-15"/>
    <x v="28"/>
    <x v="9"/>
    <x v="1"/>
    <s v="Keyboard"/>
    <n v="13"/>
    <n v="26136"/>
    <n v="0.05"/>
    <n v="322779.59999999998"/>
    <n v="86693.97"/>
    <x v="1"/>
    <x v="4"/>
    <x v="1"/>
  </r>
  <r>
    <s v="ORD00190"/>
    <s v="2023-09-01"/>
    <x v="23"/>
    <x v="12"/>
    <x v="1"/>
    <s v="Headphones"/>
    <n v="9"/>
    <n v="43462"/>
    <n v="0"/>
    <n v="391158"/>
    <n v="97408.98"/>
    <x v="1"/>
    <x v="10"/>
    <x v="1"/>
  </r>
  <r>
    <s v="ORD00191"/>
    <s v="2023-12-02"/>
    <x v="11"/>
    <x v="3"/>
    <x v="3"/>
    <s v="Stapler"/>
    <n v="13"/>
    <n v="40251"/>
    <n v="0.2"/>
    <n v="418610.4"/>
    <n v="77947.56"/>
    <x v="2"/>
    <x v="9"/>
    <x v="1"/>
  </r>
  <r>
    <s v="ORD00192"/>
    <s v="2024-01-07"/>
    <x v="0"/>
    <x v="2"/>
    <x v="2"/>
    <s v="Shoes"/>
    <n v="5"/>
    <n v="28514"/>
    <n v="0"/>
    <n v="142570"/>
    <n v="41083.33"/>
    <x v="3"/>
    <x v="3"/>
    <x v="0"/>
  </r>
  <r>
    <s v="ORD00193"/>
    <s v="2024-11-03"/>
    <x v="16"/>
    <x v="3"/>
    <x v="3"/>
    <s v="Stapler"/>
    <n v="5"/>
    <n v="28040"/>
    <n v="0.2"/>
    <n v="112160"/>
    <n v="11173.99"/>
    <x v="1"/>
    <x v="4"/>
    <x v="0"/>
  </r>
  <r>
    <s v="ORD00194"/>
    <s v="2023-07-01"/>
    <x v="1"/>
    <x v="2"/>
    <x v="2"/>
    <s v="Shoes"/>
    <n v="15"/>
    <n v="9856"/>
    <n v="0"/>
    <n v="147840"/>
    <n v="13007.86"/>
    <x v="0"/>
    <x v="1"/>
    <x v="1"/>
  </r>
  <r>
    <s v="ORD00195"/>
    <s v="2024-03-04"/>
    <x v="6"/>
    <x v="14"/>
    <x v="2"/>
    <s v="Dress"/>
    <n v="8"/>
    <n v="2357"/>
    <n v="0.2"/>
    <n v="15084.8"/>
    <n v="4330.3100000000004"/>
    <x v="0"/>
    <x v="7"/>
    <x v="0"/>
  </r>
  <r>
    <s v="ORD00196"/>
    <s v="2024-03-25"/>
    <x v="38"/>
    <x v="19"/>
    <x v="1"/>
    <s v="Smartwatch"/>
    <n v="7"/>
    <n v="40278"/>
    <n v="0.1"/>
    <n v="253751.4"/>
    <n v="23948.84"/>
    <x v="0"/>
    <x v="7"/>
    <x v="0"/>
  </r>
  <r>
    <s v="ORD00197"/>
    <s v="2023-02-09"/>
    <x v="14"/>
    <x v="11"/>
    <x v="3"/>
    <s v="Printer"/>
    <n v="2"/>
    <n v="23375"/>
    <n v="0.1"/>
    <n v="42075"/>
    <n v="12045.41"/>
    <x v="0"/>
    <x v="11"/>
    <x v="1"/>
  </r>
  <r>
    <s v="ORD00198"/>
    <s v="2024-05-05"/>
    <x v="47"/>
    <x v="13"/>
    <x v="2"/>
    <s v="Jacket"/>
    <n v="12"/>
    <n v="43840"/>
    <n v="0"/>
    <n v="526080"/>
    <n v="134344.04"/>
    <x v="1"/>
    <x v="6"/>
    <x v="0"/>
  </r>
  <r>
    <s v="ORD00199"/>
    <s v="2024-07-23"/>
    <x v="12"/>
    <x v="4"/>
    <x v="0"/>
    <s v="Stool"/>
    <n v="3"/>
    <n v="36486"/>
    <n v="0.1"/>
    <n v="98512.2"/>
    <n v="25127.85"/>
    <x v="2"/>
    <x v="1"/>
    <x v="0"/>
  </r>
  <r>
    <s v="ORD00200"/>
    <s v="2024-03-19"/>
    <x v="28"/>
    <x v="25"/>
    <x v="3"/>
    <s v="Notebook"/>
    <n v="14"/>
    <n v="52253"/>
    <n v="0.15"/>
    <n v="621810.69999999995"/>
    <n v="89878.63"/>
    <x v="2"/>
    <x v="7"/>
    <x v="0"/>
  </r>
  <r>
    <s v="ORD00201"/>
    <s v="2024-02-06"/>
    <x v="5"/>
    <x v="17"/>
    <x v="1"/>
    <s v="Power Bank"/>
    <n v="2"/>
    <n v="54901"/>
    <n v="0.1"/>
    <n v="98821.8"/>
    <n v="16348.82"/>
    <x v="1"/>
    <x v="11"/>
    <x v="0"/>
  </r>
  <r>
    <s v="ORD00202"/>
    <s v="2023-01-27"/>
    <x v="17"/>
    <x v="15"/>
    <x v="0"/>
    <s v="Sofa"/>
    <n v="2"/>
    <n v="45588"/>
    <n v="0.05"/>
    <n v="86617.2"/>
    <n v="23075.55"/>
    <x v="1"/>
    <x v="3"/>
    <x v="1"/>
  </r>
  <r>
    <s v="ORD00203"/>
    <s v="2023-04-13"/>
    <x v="23"/>
    <x v="11"/>
    <x v="3"/>
    <s v="Printer"/>
    <n v="3"/>
    <n v="21710"/>
    <n v="0.1"/>
    <n v="58617"/>
    <n v="10218.07"/>
    <x v="2"/>
    <x v="2"/>
    <x v="1"/>
  </r>
  <r>
    <s v="ORD00204"/>
    <s v="2023-02-26"/>
    <x v="1"/>
    <x v="23"/>
    <x v="0"/>
    <s v="Desk"/>
    <n v="13"/>
    <n v="40518"/>
    <n v="0.2"/>
    <n v="421387.2"/>
    <n v="56812.09"/>
    <x v="3"/>
    <x v="11"/>
    <x v="1"/>
  </r>
  <r>
    <s v="ORD00205"/>
    <s v="2024-02-15"/>
    <x v="24"/>
    <x v="22"/>
    <x v="1"/>
    <s v="Camera"/>
    <n v="9"/>
    <n v="11902"/>
    <n v="0.05"/>
    <n v="101762.1"/>
    <n v="17503.759999999998"/>
    <x v="3"/>
    <x v="11"/>
    <x v="0"/>
  </r>
  <r>
    <s v="ORD00206"/>
    <s v="2023-12-12"/>
    <x v="35"/>
    <x v="8"/>
    <x v="2"/>
    <s v="Sweater"/>
    <n v="3"/>
    <n v="16106"/>
    <n v="0"/>
    <n v="48318"/>
    <n v="7738.08"/>
    <x v="1"/>
    <x v="9"/>
    <x v="1"/>
  </r>
  <r>
    <s v="ORD00207"/>
    <s v="2023-06-16"/>
    <x v="15"/>
    <x v="15"/>
    <x v="0"/>
    <s v="Sofa"/>
    <n v="3"/>
    <n v="27179"/>
    <n v="0"/>
    <n v="81537"/>
    <n v="13517.12"/>
    <x v="1"/>
    <x v="5"/>
    <x v="1"/>
  </r>
  <r>
    <s v="ORD00208"/>
    <s v="2024-03-17"/>
    <x v="15"/>
    <x v="22"/>
    <x v="1"/>
    <s v="Camera"/>
    <n v="4"/>
    <n v="38690"/>
    <n v="0"/>
    <n v="154760"/>
    <n v="35288.93"/>
    <x v="3"/>
    <x v="7"/>
    <x v="0"/>
  </r>
  <r>
    <s v="ORD00209"/>
    <s v="2024-05-04"/>
    <x v="7"/>
    <x v="20"/>
    <x v="1"/>
    <s v="Tablet"/>
    <n v="13"/>
    <n v="52011"/>
    <n v="0"/>
    <n v="676143"/>
    <n v="151256"/>
    <x v="3"/>
    <x v="6"/>
    <x v="0"/>
  </r>
  <r>
    <s v="ORD00210"/>
    <s v="2024-09-09"/>
    <x v="30"/>
    <x v="18"/>
    <x v="0"/>
    <s v="Table"/>
    <n v="7"/>
    <n v="47229"/>
    <n v="0.1"/>
    <n v="297542.7"/>
    <n v="43647.839999999997"/>
    <x v="1"/>
    <x v="10"/>
    <x v="0"/>
  </r>
  <r>
    <s v="ORD00211"/>
    <s v="2024-10-23"/>
    <x v="20"/>
    <x v="13"/>
    <x v="2"/>
    <s v="Jacket"/>
    <n v="14"/>
    <n v="334"/>
    <n v="0.05"/>
    <n v="4442.2"/>
    <n v="546.54999999999995"/>
    <x v="0"/>
    <x v="0"/>
    <x v="0"/>
  </r>
  <r>
    <s v="ORD00212"/>
    <s v="2023-04-30"/>
    <x v="41"/>
    <x v="7"/>
    <x v="0"/>
    <s v="Bed"/>
    <n v="10"/>
    <n v="49717"/>
    <n v="0.1"/>
    <n v="447453"/>
    <n v="120660.94"/>
    <x v="0"/>
    <x v="2"/>
    <x v="1"/>
  </r>
  <r>
    <s v="ORD00213"/>
    <s v="2024-11-25"/>
    <x v="46"/>
    <x v="26"/>
    <x v="3"/>
    <s v="Paper Ream"/>
    <n v="10"/>
    <n v="53283"/>
    <n v="0"/>
    <n v="532830"/>
    <n v="109292.45"/>
    <x v="2"/>
    <x v="4"/>
    <x v="0"/>
  </r>
  <r>
    <s v="ORD00214"/>
    <s v="2024-03-24"/>
    <x v="37"/>
    <x v="16"/>
    <x v="3"/>
    <s v="Pen"/>
    <n v="7"/>
    <n v="35922"/>
    <n v="0.1"/>
    <n v="226308.6"/>
    <n v="43682.81"/>
    <x v="3"/>
    <x v="7"/>
    <x v="0"/>
  </r>
  <r>
    <s v="ORD00215"/>
    <s v="2023-08-19"/>
    <x v="47"/>
    <x v="18"/>
    <x v="0"/>
    <s v="Table"/>
    <n v="8"/>
    <n v="364"/>
    <n v="0.15"/>
    <n v="2475.1999999999998"/>
    <n v="558.32000000000005"/>
    <x v="1"/>
    <x v="8"/>
    <x v="1"/>
  </r>
  <r>
    <s v="ORD00216"/>
    <s v="2024-08-14"/>
    <x v="42"/>
    <x v="12"/>
    <x v="1"/>
    <s v="Headphones"/>
    <n v="12"/>
    <n v="14901"/>
    <n v="0.05"/>
    <n v="169871.4"/>
    <n v="23256.99"/>
    <x v="3"/>
    <x v="8"/>
    <x v="0"/>
  </r>
  <r>
    <s v="ORD00217"/>
    <s v="2024-11-10"/>
    <x v="12"/>
    <x v="13"/>
    <x v="2"/>
    <s v="Jacket"/>
    <n v="1"/>
    <n v="53715"/>
    <n v="0.05"/>
    <n v="51029.25"/>
    <n v="14975.06"/>
    <x v="0"/>
    <x v="4"/>
    <x v="0"/>
  </r>
  <r>
    <s v="ORD00218"/>
    <s v="2024-06-10"/>
    <x v="28"/>
    <x v="11"/>
    <x v="3"/>
    <s v="Printer"/>
    <n v="15"/>
    <n v="34076"/>
    <n v="0.2"/>
    <n v="408912"/>
    <n v="100243"/>
    <x v="0"/>
    <x v="5"/>
    <x v="0"/>
  </r>
  <r>
    <s v="ORD00219"/>
    <s v="2024-07-05"/>
    <x v="23"/>
    <x v="4"/>
    <x v="0"/>
    <s v="Stool"/>
    <n v="6"/>
    <n v="28770"/>
    <n v="0"/>
    <n v="172620"/>
    <n v="49821.83"/>
    <x v="0"/>
    <x v="1"/>
    <x v="0"/>
  </r>
  <r>
    <s v="ORD00220"/>
    <s v="2024-05-03"/>
    <x v="26"/>
    <x v="12"/>
    <x v="1"/>
    <s v="Headphones"/>
    <n v="14"/>
    <n v="13926"/>
    <n v="0.05"/>
    <n v="185215.8"/>
    <n v="41066.69"/>
    <x v="2"/>
    <x v="6"/>
    <x v="0"/>
  </r>
  <r>
    <s v="ORD00221"/>
    <s v="2024-11-05"/>
    <x v="21"/>
    <x v="23"/>
    <x v="0"/>
    <s v="Desk"/>
    <n v="2"/>
    <n v="7764"/>
    <n v="0.05"/>
    <n v="14751.6"/>
    <n v="2518.3000000000002"/>
    <x v="1"/>
    <x v="4"/>
    <x v="0"/>
  </r>
  <r>
    <s v="ORD00222"/>
    <s v="2023-06-17"/>
    <x v="10"/>
    <x v="2"/>
    <x v="2"/>
    <s v="Shoes"/>
    <n v="7"/>
    <n v="40687"/>
    <n v="0.2"/>
    <n v="227847.2"/>
    <n v="28930.12"/>
    <x v="2"/>
    <x v="5"/>
    <x v="1"/>
  </r>
  <r>
    <s v="ORD00223"/>
    <s v="2023-08-25"/>
    <x v="25"/>
    <x v="14"/>
    <x v="2"/>
    <s v="Dress"/>
    <n v="2"/>
    <n v="59428"/>
    <n v="0.05"/>
    <n v="112913.2"/>
    <n v="31646.2"/>
    <x v="2"/>
    <x v="8"/>
    <x v="1"/>
  </r>
  <r>
    <s v="ORD00224"/>
    <s v="2024-07-09"/>
    <x v="48"/>
    <x v="23"/>
    <x v="0"/>
    <s v="Desk"/>
    <n v="5"/>
    <n v="5161"/>
    <n v="0.15"/>
    <n v="21934.25"/>
    <n v="3890.48"/>
    <x v="1"/>
    <x v="1"/>
    <x v="0"/>
  </r>
  <r>
    <s v="ORD00225"/>
    <s v="2023-01-29"/>
    <x v="32"/>
    <x v="17"/>
    <x v="1"/>
    <s v="Power Bank"/>
    <n v="15"/>
    <n v="58891"/>
    <n v="0"/>
    <n v="883365"/>
    <n v="165815.53"/>
    <x v="1"/>
    <x v="3"/>
    <x v="1"/>
  </r>
  <r>
    <s v="ORD00226"/>
    <s v="2023-09-10"/>
    <x v="26"/>
    <x v="14"/>
    <x v="2"/>
    <s v="Dress"/>
    <n v="5"/>
    <n v="59018"/>
    <n v="0"/>
    <n v="295090"/>
    <n v="70399.429999999993"/>
    <x v="2"/>
    <x v="10"/>
    <x v="1"/>
  </r>
  <r>
    <s v="ORD00227"/>
    <s v="2023-09-06"/>
    <x v="37"/>
    <x v="11"/>
    <x v="3"/>
    <s v="Printer"/>
    <n v="11"/>
    <n v="7375"/>
    <n v="0.15"/>
    <n v="68956.25"/>
    <n v="7845.39"/>
    <x v="2"/>
    <x v="10"/>
    <x v="1"/>
  </r>
  <r>
    <s v="ORD00228"/>
    <s v="2024-04-14"/>
    <x v="44"/>
    <x v="3"/>
    <x v="3"/>
    <s v="Stapler"/>
    <n v="3"/>
    <n v="27761"/>
    <n v="0.15"/>
    <n v="70790.55"/>
    <n v="6731.79"/>
    <x v="0"/>
    <x v="2"/>
    <x v="0"/>
  </r>
  <r>
    <s v="ORD00229"/>
    <s v="2024-06-01"/>
    <x v="23"/>
    <x v="3"/>
    <x v="3"/>
    <s v="Stapler"/>
    <n v="14"/>
    <n v="53426"/>
    <n v="0.1"/>
    <n v="673167.6"/>
    <n v="61798.69"/>
    <x v="2"/>
    <x v="5"/>
    <x v="0"/>
  </r>
  <r>
    <s v="ORD00230"/>
    <s v="2024-03-15"/>
    <x v="34"/>
    <x v="26"/>
    <x v="3"/>
    <s v="Paper Ream"/>
    <n v="2"/>
    <n v="48553"/>
    <n v="0.05"/>
    <n v="92250.7"/>
    <n v="12332.78"/>
    <x v="2"/>
    <x v="7"/>
    <x v="0"/>
  </r>
  <r>
    <s v="ORD00231"/>
    <s v="2023-03-18"/>
    <x v="27"/>
    <x v="7"/>
    <x v="0"/>
    <s v="Bed"/>
    <n v="3"/>
    <n v="45486"/>
    <n v="0.05"/>
    <n v="129635.1"/>
    <n v="30859.06"/>
    <x v="1"/>
    <x v="7"/>
    <x v="1"/>
  </r>
  <r>
    <s v="ORD00232"/>
    <s v="2023-01-20"/>
    <x v="10"/>
    <x v="5"/>
    <x v="0"/>
    <s v="Cupboard"/>
    <n v="10"/>
    <n v="29860"/>
    <n v="0.05"/>
    <n v="283670"/>
    <n v="84141.36"/>
    <x v="2"/>
    <x v="3"/>
    <x v="1"/>
  </r>
  <r>
    <s v="ORD00233"/>
    <s v="2024-11-27"/>
    <x v="36"/>
    <x v="21"/>
    <x v="1"/>
    <s v="Laptop"/>
    <n v="7"/>
    <n v="8325"/>
    <n v="0.05"/>
    <n v="55361.25"/>
    <n v="15041.2"/>
    <x v="0"/>
    <x v="4"/>
    <x v="0"/>
  </r>
  <r>
    <s v="ORD00234"/>
    <s v="2023-06-16"/>
    <x v="25"/>
    <x v="5"/>
    <x v="0"/>
    <s v="Cupboard"/>
    <n v="2"/>
    <n v="43148"/>
    <n v="0.05"/>
    <n v="81981.2"/>
    <n v="23534.94"/>
    <x v="2"/>
    <x v="5"/>
    <x v="1"/>
  </r>
  <r>
    <s v="ORD00235"/>
    <s v="2024-02-21"/>
    <x v="31"/>
    <x v="21"/>
    <x v="1"/>
    <s v="Laptop"/>
    <n v="11"/>
    <n v="52291"/>
    <n v="0"/>
    <n v="575201"/>
    <n v="58650.12"/>
    <x v="1"/>
    <x v="11"/>
    <x v="0"/>
  </r>
  <r>
    <s v="ORD00236"/>
    <s v="2024-02-07"/>
    <x v="38"/>
    <x v="10"/>
    <x v="3"/>
    <s v="Marker"/>
    <n v="10"/>
    <n v="50938"/>
    <n v="0.15"/>
    <n v="432973"/>
    <n v="64445.13"/>
    <x v="1"/>
    <x v="11"/>
    <x v="0"/>
  </r>
  <r>
    <s v="ORD00237"/>
    <s v="2024-07-28"/>
    <x v="22"/>
    <x v="4"/>
    <x v="0"/>
    <s v="Stool"/>
    <n v="4"/>
    <n v="31314"/>
    <n v="0.05"/>
    <n v="118993.2"/>
    <n v="15275.88"/>
    <x v="1"/>
    <x v="1"/>
    <x v="0"/>
  </r>
  <r>
    <s v="ORD00238"/>
    <s v="2024-06-03"/>
    <x v="13"/>
    <x v="14"/>
    <x v="2"/>
    <s v="Dress"/>
    <n v="3"/>
    <n v="32910"/>
    <n v="0.05"/>
    <n v="93793.5"/>
    <n v="15355.16"/>
    <x v="3"/>
    <x v="5"/>
    <x v="0"/>
  </r>
  <r>
    <s v="ORD00239"/>
    <s v="2023-04-25"/>
    <x v="30"/>
    <x v="24"/>
    <x v="2"/>
    <s v="T-Shirt"/>
    <n v="15"/>
    <n v="27826"/>
    <n v="0.15"/>
    <n v="354781.5"/>
    <n v="78101.960000000006"/>
    <x v="1"/>
    <x v="2"/>
    <x v="1"/>
  </r>
  <r>
    <s v="ORD00240"/>
    <s v="2023-08-10"/>
    <x v="0"/>
    <x v="2"/>
    <x v="2"/>
    <s v="Shoes"/>
    <n v="4"/>
    <n v="32971"/>
    <n v="0.05"/>
    <n v="125289.8"/>
    <n v="29274.240000000002"/>
    <x v="2"/>
    <x v="8"/>
    <x v="1"/>
  </r>
  <r>
    <s v="ORD00241"/>
    <s v="2023-01-12"/>
    <x v="2"/>
    <x v="21"/>
    <x v="1"/>
    <s v="Laptop"/>
    <n v="14"/>
    <n v="25328"/>
    <n v="0.15"/>
    <n v="301403.2"/>
    <n v="71446.070000000007"/>
    <x v="0"/>
    <x v="3"/>
    <x v="1"/>
  </r>
  <r>
    <s v="ORD00242"/>
    <s v="2024-01-25"/>
    <x v="44"/>
    <x v="17"/>
    <x v="1"/>
    <s v="Power Bank"/>
    <n v="7"/>
    <n v="13475"/>
    <n v="0.05"/>
    <n v="89608.75"/>
    <n v="17228.810000000001"/>
    <x v="1"/>
    <x v="3"/>
    <x v="0"/>
  </r>
  <r>
    <s v="ORD00243"/>
    <s v="2023-03-03"/>
    <x v="5"/>
    <x v="24"/>
    <x v="2"/>
    <s v="T-Shirt"/>
    <n v="10"/>
    <n v="15608"/>
    <n v="0.15"/>
    <n v="132668"/>
    <n v="16494.599999999999"/>
    <x v="0"/>
    <x v="7"/>
    <x v="1"/>
  </r>
  <r>
    <s v="ORD00244"/>
    <s v="2023-08-01"/>
    <x v="21"/>
    <x v="24"/>
    <x v="2"/>
    <s v="T-Shirt"/>
    <n v="2"/>
    <n v="26414"/>
    <n v="0.15"/>
    <n v="44903.8"/>
    <n v="6364.23"/>
    <x v="0"/>
    <x v="8"/>
    <x v="1"/>
  </r>
  <r>
    <s v="ORD00245"/>
    <s v="2023-08-13"/>
    <x v="32"/>
    <x v="14"/>
    <x v="2"/>
    <s v="Dress"/>
    <n v="14"/>
    <n v="27953"/>
    <n v="0.05"/>
    <n v="371774.9"/>
    <n v="100082.45"/>
    <x v="1"/>
    <x v="8"/>
    <x v="1"/>
  </r>
  <r>
    <s v="ORD00246"/>
    <s v="2024-06-30"/>
    <x v="36"/>
    <x v="8"/>
    <x v="2"/>
    <s v="Sweater"/>
    <n v="10"/>
    <n v="23458"/>
    <n v="0"/>
    <n v="234580"/>
    <n v="46017.78"/>
    <x v="1"/>
    <x v="5"/>
    <x v="0"/>
  </r>
  <r>
    <s v="ORD00247"/>
    <s v="2024-01-05"/>
    <x v="37"/>
    <x v="2"/>
    <x v="2"/>
    <s v="Shoes"/>
    <n v="10"/>
    <n v="56501"/>
    <n v="0.05"/>
    <n v="536759.5"/>
    <n v="44330.28"/>
    <x v="2"/>
    <x v="3"/>
    <x v="0"/>
  </r>
  <r>
    <s v="ORD00248"/>
    <s v="2023-11-19"/>
    <x v="21"/>
    <x v="14"/>
    <x v="2"/>
    <s v="Dress"/>
    <n v="12"/>
    <n v="7814"/>
    <n v="0.2"/>
    <n v="75014.399999999994"/>
    <n v="21631.99"/>
    <x v="3"/>
    <x v="4"/>
    <x v="1"/>
  </r>
  <r>
    <s v="ORD00249"/>
    <s v="2024-01-26"/>
    <x v="10"/>
    <x v="6"/>
    <x v="2"/>
    <s v="Jeans"/>
    <n v="3"/>
    <n v="10582"/>
    <n v="0.05"/>
    <n v="30158.7"/>
    <n v="8071.43"/>
    <x v="0"/>
    <x v="3"/>
    <x v="0"/>
  </r>
  <r>
    <s v="ORD00250"/>
    <s v="2024-04-09"/>
    <x v="47"/>
    <x v="26"/>
    <x v="3"/>
    <s v="Paper Ream"/>
    <n v="13"/>
    <n v="39941"/>
    <n v="0.15"/>
    <n v="441348.05"/>
    <n v="55519.16"/>
    <x v="2"/>
    <x v="2"/>
    <x v="0"/>
  </r>
  <r>
    <s v="ORD00251"/>
    <s v="2024-08-06"/>
    <x v="22"/>
    <x v="8"/>
    <x v="2"/>
    <s v="Sweater"/>
    <n v="2"/>
    <n v="55616"/>
    <n v="0.05"/>
    <n v="105670.39999999999"/>
    <n v="26874.04"/>
    <x v="0"/>
    <x v="8"/>
    <x v="0"/>
  </r>
  <r>
    <s v="ORD00252"/>
    <s v="2023-11-16"/>
    <x v="15"/>
    <x v="7"/>
    <x v="0"/>
    <s v="Bed"/>
    <n v="12"/>
    <n v="20122"/>
    <n v="0.05"/>
    <n v="229390.8"/>
    <n v="47015.17"/>
    <x v="2"/>
    <x v="4"/>
    <x v="1"/>
  </r>
  <r>
    <s v="ORD00253"/>
    <s v="2024-11-12"/>
    <x v="17"/>
    <x v="25"/>
    <x v="3"/>
    <s v="Notebook"/>
    <n v="7"/>
    <n v="11712"/>
    <n v="0"/>
    <n v="81984"/>
    <n v="11826.57"/>
    <x v="0"/>
    <x v="4"/>
    <x v="0"/>
  </r>
  <r>
    <s v="ORD00254"/>
    <s v="2023-11-23"/>
    <x v="1"/>
    <x v="4"/>
    <x v="0"/>
    <s v="Stool"/>
    <n v="15"/>
    <n v="58062"/>
    <n v="0.15"/>
    <n v="740290.5"/>
    <n v="94133.75"/>
    <x v="1"/>
    <x v="4"/>
    <x v="1"/>
  </r>
  <r>
    <s v="ORD00255"/>
    <s v="2023-08-17"/>
    <x v="20"/>
    <x v="21"/>
    <x v="1"/>
    <s v="Laptop"/>
    <n v="7"/>
    <n v="51112"/>
    <n v="0.2"/>
    <n v="286227.20000000001"/>
    <n v="59545.8"/>
    <x v="3"/>
    <x v="8"/>
    <x v="1"/>
  </r>
  <r>
    <s v="ORD00256"/>
    <s v="2024-08-25"/>
    <x v="8"/>
    <x v="8"/>
    <x v="2"/>
    <s v="Sweater"/>
    <n v="13"/>
    <n v="23021"/>
    <n v="0.1"/>
    <n v="269345.7"/>
    <n v="50892.92"/>
    <x v="0"/>
    <x v="8"/>
    <x v="0"/>
  </r>
  <r>
    <s v="ORD00257"/>
    <s v="2023-01-14"/>
    <x v="10"/>
    <x v="14"/>
    <x v="2"/>
    <s v="Dress"/>
    <n v="14"/>
    <n v="59764"/>
    <n v="0.15"/>
    <n v="711191.6"/>
    <n v="177055.98"/>
    <x v="0"/>
    <x v="3"/>
    <x v="1"/>
  </r>
  <r>
    <s v="ORD00258"/>
    <s v="2024-11-13"/>
    <x v="37"/>
    <x v="0"/>
    <x v="0"/>
    <s v="Chair"/>
    <n v="13"/>
    <n v="31788"/>
    <n v="0.1"/>
    <n v="371919.6"/>
    <n v="97136.3"/>
    <x v="3"/>
    <x v="4"/>
    <x v="0"/>
  </r>
  <r>
    <s v="ORD00259"/>
    <s v="2023-05-07"/>
    <x v="4"/>
    <x v="6"/>
    <x v="2"/>
    <s v="Jeans"/>
    <n v="10"/>
    <n v="16690"/>
    <n v="0.1"/>
    <n v="150210"/>
    <n v="22937.439999999999"/>
    <x v="3"/>
    <x v="6"/>
    <x v="1"/>
  </r>
  <r>
    <s v="ORD00260"/>
    <s v="2024-09-13"/>
    <x v="25"/>
    <x v="21"/>
    <x v="1"/>
    <s v="Laptop"/>
    <n v="8"/>
    <n v="29375"/>
    <n v="0"/>
    <n v="235000"/>
    <n v="20963.650000000001"/>
    <x v="0"/>
    <x v="10"/>
    <x v="0"/>
  </r>
  <r>
    <s v="ORD00261"/>
    <s v="2023-12-22"/>
    <x v="36"/>
    <x v="6"/>
    <x v="2"/>
    <s v="Jeans"/>
    <n v="11"/>
    <n v="22291"/>
    <n v="0.2"/>
    <n v="196160.8"/>
    <n v="43328.5"/>
    <x v="0"/>
    <x v="9"/>
    <x v="1"/>
  </r>
  <r>
    <s v="ORD00262"/>
    <s v="2024-09-07"/>
    <x v="31"/>
    <x v="24"/>
    <x v="2"/>
    <s v="T-Shirt"/>
    <n v="1"/>
    <n v="35054"/>
    <n v="0"/>
    <n v="35054"/>
    <n v="7693.24"/>
    <x v="3"/>
    <x v="10"/>
    <x v="0"/>
  </r>
  <r>
    <s v="ORD00263"/>
    <s v="2024-07-24"/>
    <x v="20"/>
    <x v="27"/>
    <x v="3"/>
    <s v="File"/>
    <n v="2"/>
    <n v="6379"/>
    <n v="0.1"/>
    <n v="11482.2"/>
    <n v="1585.58"/>
    <x v="2"/>
    <x v="1"/>
    <x v="0"/>
  </r>
  <r>
    <s v="ORD00264"/>
    <s v="2024-03-11"/>
    <x v="39"/>
    <x v="23"/>
    <x v="0"/>
    <s v="Desk"/>
    <n v="11"/>
    <n v="56903"/>
    <n v="0.15"/>
    <n v="532043.05000000005"/>
    <n v="151166.32"/>
    <x v="3"/>
    <x v="7"/>
    <x v="0"/>
  </r>
  <r>
    <s v="ORD00265"/>
    <s v="2023-01-12"/>
    <x v="41"/>
    <x v="27"/>
    <x v="3"/>
    <s v="File"/>
    <n v="7"/>
    <n v="32340"/>
    <n v="0.15"/>
    <n v="192423"/>
    <n v="44184.13"/>
    <x v="0"/>
    <x v="3"/>
    <x v="1"/>
  </r>
  <r>
    <s v="ORD00266"/>
    <s v="2024-11-16"/>
    <x v="4"/>
    <x v="3"/>
    <x v="3"/>
    <s v="Stapler"/>
    <n v="6"/>
    <n v="58137"/>
    <n v="0.1"/>
    <n v="313939.8"/>
    <n v="75358.179999999993"/>
    <x v="3"/>
    <x v="4"/>
    <x v="0"/>
  </r>
  <r>
    <s v="ORD00267"/>
    <s v="2024-04-03"/>
    <x v="31"/>
    <x v="14"/>
    <x v="2"/>
    <s v="Dress"/>
    <n v="15"/>
    <n v="15718"/>
    <n v="0.2"/>
    <n v="188616"/>
    <n v="15532.24"/>
    <x v="3"/>
    <x v="2"/>
    <x v="0"/>
  </r>
  <r>
    <s v="ORD00268"/>
    <s v="2024-10-17"/>
    <x v="30"/>
    <x v="22"/>
    <x v="1"/>
    <s v="Camera"/>
    <n v="11"/>
    <n v="7283"/>
    <n v="0.2"/>
    <n v="64090.400000000001"/>
    <n v="17147.57"/>
    <x v="1"/>
    <x v="0"/>
    <x v="0"/>
  </r>
  <r>
    <s v="ORD00269"/>
    <s v="2023-05-24"/>
    <x v="8"/>
    <x v="23"/>
    <x v="0"/>
    <s v="Desk"/>
    <n v="9"/>
    <n v="9623"/>
    <n v="0.15"/>
    <n v="73615.95"/>
    <n v="11549.1"/>
    <x v="2"/>
    <x v="6"/>
    <x v="1"/>
  </r>
  <r>
    <s v="ORD00270"/>
    <s v="2023-01-06"/>
    <x v="23"/>
    <x v="10"/>
    <x v="3"/>
    <s v="Marker"/>
    <n v="6"/>
    <n v="20823"/>
    <n v="0.05"/>
    <n v="118691.1"/>
    <n v="33352.69"/>
    <x v="1"/>
    <x v="3"/>
    <x v="1"/>
  </r>
  <r>
    <s v="ORD00271"/>
    <s v="2024-10-01"/>
    <x v="34"/>
    <x v="9"/>
    <x v="1"/>
    <s v="Keyboard"/>
    <n v="1"/>
    <n v="4299"/>
    <n v="0.15"/>
    <n v="3654.15"/>
    <n v="651.92999999999995"/>
    <x v="3"/>
    <x v="0"/>
    <x v="0"/>
  </r>
  <r>
    <s v="ORD00272"/>
    <s v="2023-09-13"/>
    <x v="33"/>
    <x v="3"/>
    <x v="3"/>
    <s v="Stapler"/>
    <n v="8"/>
    <n v="6688"/>
    <n v="0"/>
    <n v="53504"/>
    <n v="6311.23"/>
    <x v="3"/>
    <x v="10"/>
    <x v="1"/>
  </r>
  <r>
    <s v="ORD00273"/>
    <s v="2023-02-20"/>
    <x v="8"/>
    <x v="23"/>
    <x v="0"/>
    <s v="Desk"/>
    <n v="15"/>
    <n v="45642"/>
    <n v="0.05"/>
    <n v="650398.5"/>
    <n v="103379.98"/>
    <x v="2"/>
    <x v="11"/>
    <x v="1"/>
  </r>
  <r>
    <s v="ORD00274"/>
    <s v="2023-03-13"/>
    <x v="12"/>
    <x v="16"/>
    <x v="3"/>
    <s v="Pen"/>
    <n v="9"/>
    <n v="38587"/>
    <n v="0"/>
    <n v="347283"/>
    <n v="46764.89"/>
    <x v="2"/>
    <x v="7"/>
    <x v="1"/>
  </r>
  <r>
    <s v="ORD00275"/>
    <s v="2024-02-15"/>
    <x v="37"/>
    <x v="22"/>
    <x v="1"/>
    <s v="Camera"/>
    <n v="10"/>
    <n v="34453"/>
    <n v="0"/>
    <n v="344530"/>
    <n v="86133.759999999995"/>
    <x v="0"/>
    <x v="11"/>
    <x v="0"/>
  </r>
  <r>
    <s v="ORD00276"/>
    <s v="2024-07-05"/>
    <x v="22"/>
    <x v="26"/>
    <x v="3"/>
    <s v="Paper Ream"/>
    <n v="10"/>
    <n v="14679"/>
    <n v="0.15"/>
    <n v="124771.5"/>
    <n v="32348.54"/>
    <x v="2"/>
    <x v="1"/>
    <x v="0"/>
  </r>
  <r>
    <s v="ORD00277"/>
    <s v="2023-11-20"/>
    <x v="47"/>
    <x v="26"/>
    <x v="3"/>
    <s v="Paper Ream"/>
    <n v="7"/>
    <n v="49246"/>
    <n v="0.05"/>
    <n v="327485.90000000002"/>
    <n v="32913.769999999997"/>
    <x v="2"/>
    <x v="4"/>
    <x v="1"/>
  </r>
  <r>
    <s v="ORD00278"/>
    <s v="2024-07-18"/>
    <x v="8"/>
    <x v="22"/>
    <x v="1"/>
    <s v="Camera"/>
    <n v="9"/>
    <n v="29158"/>
    <n v="0.2"/>
    <n v="209937.6"/>
    <n v="57458.34"/>
    <x v="1"/>
    <x v="1"/>
    <x v="0"/>
  </r>
  <r>
    <s v="ORD00279"/>
    <s v="2023-05-09"/>
    <x v="38"/>
    <x v="14"/>
    <x v="2"/>
    <s v="Dress"/>
    <n v="2"/>
    <n v="47732"/>
    <n v="0.15"/>
    <n v="81144.399999999994"/>
    <n v="19253.009999999998"/>
    <x v="3"/>
    <x v="6"/>
    <x v="1"/>
  </r>
  <r>
    <s v="ORD00280"/>
    <s v="2024-08-27"/>
    <x v="19"/>
    <x v="4"/>
    <x v="0"/>
    <s v="Stool"/>
    <n v="15"/>
    <n v="50907"/>
    <n v="0.05"/>
    <n v="725424.75"/>
    <n v="196578.74"/>
    <x v="0"/>
    <x v="8"/>
    <x v="0"/>
  </r>
  <r>
    <s v="ORD00281"/>
    <s v="2023-12-18"/>
    <x v="6"/>
    <x v="18"/>
    <x v="0"/>
    <s v="Table"/>
    <n v="13"/>
    <n v="11911"/>
    <n v="0.2"/>
    <n v="123874.4"/>
    <n v="32947.67"/>
    <x v="2"/>
    <x v="9"/>
    <x v="1"/>
  </r>
  <r>
    <s v="ORD00282"/>
    <s v="2023-10-03"/>
    <x v="16"/>
    <x v="7"/>
    <x v="0"/>
    <s v="Bed"/>
    <n v="10"/>
    <n v="58644"/>
    <n v="0.15"/>
    <n v="498474"/>
    <n v="81758.44"/>
    <x v="1"/>
    <x v="0"/>
    <x v="1"/>
  </r>
  <r>
    <s v="ORD00283"/>
    <s v="2023-07-02"/>
    <x v="39"/>
    <x v="25"/>
    <x v="3"/>
    <s v="Notebook"/>
    <n v="13"/>
    <n v="33333"/>
    <n v="0"/>
    <n v="433329"/>
    <n v="93264.9"/>
    <x v="1"/>
    <x v="1"/>
    <x v="1"/>
  </r>
  <r>
    <s v="ORD00284"/>
    <s v="2024-05-22"/>
    <x v="33"/>
    <x v="16"/>
    <x v="3"/>
    <s v="Pen"/>
    <n v="4"/>
    <n v="14397"/>
    <n v="0.1"/>
    <n v="51829.2"/>
    <n v="9172.8700000000008"/>
    <x v="0"/>
    <x v="6"/>
    <x v="0"/>
  </r>
  <r>
    <s v="ORD00285"/>
    <s v="2023-12-29"/>
    <x v="43"/>
    <x v="1"/>
    <x v="1"/>
    <s v="Mobile"/>
    <n v="14"/>
    <n v="8960"/>
    <n v="0.1"/>
    <n v="112896"/>
    <n v="11171.06"/>
    <x v="1"/>
    <x v="9"/>
    <x v="1"/>
  </r>
  <r>
    <s v="ORD00286"/>
    <s v="2024-05-25"/>
    <x v="22"/>
    <x v="1"/>
    <x v="1"/>
    <s v="Mobile"/>
    <n v="1"/>
    <n v="12391"/>
    <n v="0"/>
    <n v="12391"/>
    <n v="1813.76"/>
    <x v="0"/>
    <x v="6"/>
    <x v="0"/>
  </r>
  <r>
    <s v="ORD00287"/>
    <s v="2023-06-16"/>
    <x v="44"/>
    <x v="14"/>
    <x v="2"/>
    <s v="Dress"/>
    <n v="11"/>
    <n v="41712"/>
    <n v="0"/>
    <n v="458832"/>
    <n v="40127.69"/>
    <x v="2"/>
    <x v="5"/>
    <x v="1"/>
  </r>
  <r>
    <s v="ORD00288"/>
    <s v="2024-06-04"/>
    <x v="34"/>
    <x v="23"/>
    <x v="0"/>
    <s v="Desk"/>
    <n v="13"/>
    <n v="6330"/>
    <n v="0.15"/>
    <n v="69946.5"/>
    <n v="13359.8"/>
    <x v="3"/>
    <x v="5"/>
    <x v="0"/>
  </r>
  <r>
    <s v="ORD00289"/>
    <s v="2023-07-18"/>
    <x v="2"/>
    <x v="0"/>
    <x v="0"/>
    <s v="Chair"/>
    <n v="11"/>
    <n v="14525"/>
    <n v="0.1"/>
    <n v="143797.5"/>
    <n v="32161.24"/>
    <x v="2"/>
    <x v="1"/>
    <x v="1"/>
  </r>
  <r>
    <s v="ORD00290"/>
    <s v="2023-04-30"/>
    <x v="39"/>
    <x v="12"/>
    <x v="1"/>
    <s v="Headphones"/>
    <n v="10"/>
    <n v="57867"/>
    <n v="0.05"/>
    <n v="549736.5"/>
    <n v="98458.69"/>
    <x v="0"/>
    <x v="2"/>
    <x v="1"/>
  </r>
  <r>
    <s v="ORD00291"/>
    <s v="2024-11-24"/>
    <x v="28"/>
    <x v="20"/>
    <x v="1"/>
    <s v="Tablet"/>
    <n v="13"/>
    <n v="32910"/>
    <n v="0.2"/>
    <n v="342264"/>
    <n v="58705.53"/>
    <x v="0"/>
    <x v="4"/>
    <x v="0"/>
  </r>
  <r>
    <s v="ORD00292"/>
    <s v="2024-01-11"/>
    <x v="15"/>
    <x v="23"/>
    <x v="0"/>
    <s v="Desk"/>
    <n v="13"/>
    <n v="46281"/>
    <n v="0.05"/>
    <n v="571570.35"/>
    <n v="145117.17000000001"/>
    <x v="3"/>
    <x v="3"/>
    <x v="0"/>
  </r>
  <r>
    <s v="ORD00293"/>
    <s v="2024-03-11"/>
    <x v="30"/>
    <x v="11"/>
    <x v="3"/>
    <s v="Printer"/>
    <n v="5"/>
    <n v="24371"/>
    <n v="0"/>
    <n v="121855"/>
    <n v="13633.41"/>
    <x v="1"/>
    <x v="7"/>
    <x v="0"/>
  </r>
  <r>
    <s v="ORD00294"/>
    <s v="2023-05-02"/>
    <x v="12"/>
    <x v="13"/>
    <x v="2"/>
    <s v="Jacket"/>
    <n v="6"/>
    <n v="34991"/>
    <n v="0.1"/>
    <n v="188951.4"/>
    <n v="33054.67"/>
    <x v="0"/>
    <x v="6"/>
    <x v="1"/>
  </r>
  <r>
    <s v="ORD00295"/>
    <s v="2023-09-24"/>
    <x v="7"/>
    <x v="2"/>
    <x v="2"/>
    <s v="Shoes"/>
    <n v="4"/>
    <n v="45891"/>
    <n v="0.15"/>
    <n v="156029.4"/>
    <n v="24428.83"/>
    <x v="2"/>
    <x v="10"/>
    <x v="1"/>
  </r>
  <r>
    <s v="ORD00296"/>
    <s v="2023-11-04"/>
    <x v="9"/>
    <x v="11"/>
    <x v="3"/>
    <s v="Printer"/>
    <n v="4"/>
    <n v="35683"/>
    <n v="0"/>
    <n v="142732"/>
    <n v="22456.87"/>
    <x v="1"/>
    <x v="4"/>
    <x v="1"/>
  </r>
  <r>
    <s v="ORD00297"/>
    <s v="2024-03-19"/>
    <x v="19"/>
    <x v="10"/>
    <x v="3"/>
    <s v="Marker"/>
    <n v="12"/>
    <n v="32873"/>
    <n v="0.15"/>
    <n v="335304.59999999998"/>
    <n v="85250.29"/>
    <x v="3"/>
    <x v="7"/>
    <x v="0"/>
  </r>
  <r>
    <s v="ORD00298"/>
    <s v="2023-01-04"/>
    <x v="4"/>
    <x v="16"/>
    <x v="3"/>
    <s v="Pen"/>
    <n v="8"/>
    <n v="13211"/>
    <n v="0"/>
    <n v="105688"/>
    <n v="8687.43"/>
    <x v="3"/>
    <x v="3"/>
    <x v="1"/>
  </r>
  <r>
    <s v="ORD00299"/>
    <s v="2023-08-26"/>
    <x v="46"/>
    <x v="4"/>
    <x v="0"/>
    <s v="Stool"/>
    <n v="11"/>
    <n v="12637"/>
    <n v="0.15"/>
    <n v="118155.95"/>
    <n v="29118.15"/>
    <x v="1"/>
    <x v="8"/>
    <x v="1"/>
  </r>
  <r>
    <s v="ORD00300"/>
    <s v="2024-03-26"/>
    <x v="41"/>
    <x v="12"/>
    <x v="1"/>
    <s v="Headphones"/>
    <n v="14"/>
    <n v="41624"/>
    <n v="0"/>
    <n v="582736"/>
    <n v="171343.35"/>
    <x v="3"/>
    <x v="7"/>
    <x v="0"/>
  </r>
  <r>
    <s v="ORD00301"/>
    <s v="2024-11-11"/>
    <x v="23"/>
    <x v="16"/>
    <x v="3"/>
    <s v="Pen"/>
    <n v="7"/>
    <n v="13454"/>
    <n v="0.2"/>
    <n v="75342.399999999994"/>
    <n v="19726.439999999999"/>
    <x v="3"/>
    <x v="4"/>
    <x v="0"/>
  </r>
  <r>
    <s v="ORD00302"/>
    <s v="2023-11-11"/>
    <x v="46"/>
    <x v="5"/>
    <x v="0"/>
    <s v="Cupboard"/>
    <n v="7"/>
    <n v="39776"/>
    <n v="0.15"/>
    <n v="236667.2"/>
    <n v="58245.55"/>
    <x v="0"/>
    <x v="4"/>
    <x v="1"/>
  </r>
  <r>
    <s v="ORD00303"/>
    <s v="2023-05-26"/>
    <x v="35"/>
    <x v="21"/>
    <x v="1"/>
    <s v="Laptop"/>
    <n v="11"/>
    <n v="33646"/>
    <n v="0.2"/>
    <n v="296084.8"/>
    <n v="25364.12"/>
    <x v="1"/>
    <x v="6"/>
    <x v="1"/>
  </r>
  <r>
    <s v="ORD00304"/>
    <s v="2024-04-06"/>
    <x v="49"/>
    <x v="12"/>
    <x v="1"/>
    <s v="Headphones"/>
    <n v="15"/>
    <n v="24325"/>
    <n v="0.15"/>
    <n v="310143.75"/>
    <n v="52458.9"/>
    <x v="3"/>
    <x v="2"/>
    <x v="0"/>
  </r>
  <r>
    <s v="ORD00305"/>
    <s v="2024-07-10"/>
    <x v="41"/>
    <x v="27"/>
    <x v="3"/>
    <s v="File"/>
    <n v="12"/>
    <n v="20679"/>
    <n v="0.15"/>
    <n v="210925.8"/>
    <n v="62385.93"/>
    <x v="0"/>
    <x v="1"/>
    <x v="0"/>
  </r>
  <r>
    <s v="ORD00306"/>
    <s v="2024-08-09"/>
    <x v="19"/>
    <x v="14"/>
    <x v="2"/>
    <s v="Dress"/>
    <n v="7"/>
    <n v="54681"/>
    <n v="0.2"/>
    <n v="306213.59999999998"/>
    <n v="30665.87"/>
    <x v="3"/>
    <x v="8"/>
    <x v="0"/>
  </r>
  <r>
    <s v="ORD00307"/>
    <s v="2024-07-24"/>
    <x v="37"/>
    <x v="1"/>
    <x v="1"/>
    <s v="Mobile"/>
    <n v="15"/>
    <n v="7254"/>
    <n v="0.1"/>
    <n v="97929"/>
    <n v="13669.53"/>
    <x v="1"/>
    <x v="1"/>
    <x v="0"/>
  </r>
  <r>
    <s v="ORD00308"/>
    <s v="2024-04-07"/>
    <x v="29"/>
    <x v="15"/>
    <x v="0"/>
    <s v="Sofa"/>
    <n v="5"/>
    <n v="28284"/>
    <n v="0.15"/>
    <n v="120207"/>
    <n v="10195.219999999999"/>
    <x v="1"/>
    <x v="2"/>
    <x v="0"/>
  </r>
  <r>
    <s v="ORD00309"/>
    <s v="2024-08-02"/>
    <x v="37"/>
    <x v="3"/>
    <x v="3"/>
    <s v="Stapler"/>
    <n v="14"/>
    <n v="28911"/>
    <n v="0.05"/>
    <n v="384516.3"/>
    <n v="86284.94"/>
    <x v="0"/>
    <x v="8"/>
    <x v="0"/>
  </r>
  <r>
    <s v="ORD00310"/>
    <s v="2024-01-12"/>
    <x v="45"/>
    <x v="23"/>
    <x v="0"/>
    <s v="Desk"/>
    <n v="10"/>
    <n v="36394"/>
    <n v="0.15"/>
    <n v="309349"/>
    <n v="92213.01"/>
    <x v="0"/>
    <x v="3"/>
    <x v="0"/>
  </r>
  <r>
    <s v="ORD00311"/>
    <s v="2023-06-13"/>
    <x v="0"/>
    <x v="15"/>
    <x v="0"/>
    <s v="Sofa"/>
    <n v="8"/>
    <n v="21066"/>
    <n v="0"/>
    <n v="168528"/>
    <n v="29281.72"/>
    <x v="1"/>
    <x v="5"/>
    <x v="1"/>
  </r>
  <r>
    <s v="ORD00312"/>
    <s v="2024-05-07"/>
    <x v="31"/>
    <x v="27"/>
    <x v="3"/>
    <s v="File"/>
    <n v="2"/>
    <n v="30721"/>
    <n v="0.1"/>
    <n v="55297.8"/>
    <n v="6036.95"/>
    <x v="0"/>
    <x v="6"/>
    <x v="0"/>
  </r>
  <r>
    <s v="ORD00313"/>
    <s v="2024-11-07"/>
    <x v="42"/>
    <x v="16"/>
    <x v="3"/>
    <s v="Pen"/>
    <n v="10"/>
    <n v="38756"/>
    <n v="0.05"/>
    <n v="368182"/>
    <n v="47217.16"/>
    <x v="1"/>
    <x v="4"/>
    <x v="0"/>
  </r>
  <r>
    <s v="ORD00314"/>
    <s v="2023-07-08"/>
    <x v="25"/>
    <x v="24"/>
    <x v="2"/>
    <s v="T-Shirt"/>
    <n v="15"/>
    <n v="59918"/>
    <n v="0.2"/>
    <n v="719016"/>
    <n v="126041.1"/>
    <x v="3"/>
    <x v="1"/>
    <x v="1"/>
  </r>
  <r>
    <s v="ORD00315"/>
    <s v="2024-01-14"/>
    <x v="14"/>
    <x v="22"/>
    <x v="1"/>
    <s v="Camera"/>
    <n v="4"/>
    <n v="34534"/>
    <n v="0.15"/>
    <n v="117415.6"/>
    <n v="12285.27"/>
    <x v="1"/>
    <x v="3"/>
    <x v="0"/>
  </r>
  <r>
    <s v="ORD00316"/>
    <s v="2024-02-15"/>
    <x v="36"/>
    <x v="19"/>
    <x v="1"/>
    <s v="Smartwatch"/>
    <n v="6"/>
    <n v="38699"/>
    <n v="0.2"/>
    <n v="185755.2"/>
    <n v="44189.48"/>
    <x v="1"/>
    <x v="11"/>
    <x v="0"/>
  </r>
  <r>
    <s v="ORD00317"/>
    <s v="2023-05-12"/>
    <x v="0"/>
    <x v="14"/>
    <x v="2"/>
    <s v="Dress"/>
    <n v="7"/>
    <n v="1738"/>
    <n v="0.05"/>
    <n v="11557.7"/>
    <n v="1826.7"/>
    <x v="1"/>
    <x v="6"/>
    <x v="1"/>
  </r>
  <r>
    <s v="ORD00318"/>
    <s v="2024-02-07"/>
    <x v="13"/>
    <x v="0"/>
    <x v="0"/>
    <s v="Chair"/>
    <n v="1"/>
    <n v="17742"/>
    <n v="0.1"/>
    <n v="15967.8"/>
    <n v="4534.16"/>
    <x v="2"/>
    <x v="11"/>
    <x v="0"/>
  </r>
  <r>
    <s v="ORD00319"/>
    <s v="2023-10-06"/>
    <x v="36"/>
    <x v="13"/>
    <x v="2"/>
    <s v="Jacket"/>
    <n v="15"/>
    <n v="50035"/>
    <n v="0.15"/>
    <n v="637946.25"/>
    <n v="62728.27"/>
    <x v="3"/>
    <x v="0"/>
    <x v="1"/>
  </r>
  <r>
    <s v="ORD00320"/>
    <s v="2023-06-30"/>
    <x v="1"/>
    <x v="11"/>
    <x v="3"/>
    <s v="Printer"/>
    <n v="14"/>
    <n v="24213"/>
    <n v="0.05"/>
    <n v="322032.90000000002"/>
    <n v="66734.33"/>
    <x v="0"/>
    <x v="5"/>
    <x v="1"/>
  </r>
  <r>
    <s v="ORD00321"/>
    <s v="2023-08-19"/>
    <x v="20"/>
    <x v="25"/>
    <x v="3"/>
    <s v="Notebook"/>
    <n v="3"/>
    <n v="52557"/>
    <n v="0"/>
    <n v="157671"/>
    <n v="29896.68"/>
    <x v="0"/>
    <x v="8"/>
    <x v="1"/>
  </r>
  <r>
    <s v="ORD00322"/>
    <s v="2024-06-22"/>
    <x v="5"/>
    <x v="3"/>
    <x v="3"/>
    <s v="Stapler"/>
    <n v="4"/>
    <n v="22492"/>
    <n v="0.05"/>
    <n v="85469.6"/>
    <n v="18131.04"/>
    <x v="1"/>
    <x v="5"/>
    <x v="0"/>
  </r>
  <r>
    <s v="ORD00323"/>
    <s v="2024-04-09"/>
    <x v="0"/>
    <x v="22"/>
    <x v="1"/>
    <s v="Camera"/>
    <n v="13"/>
    <n v="5808"/>
    <n v="0.2"/>
    <n v="60403.199999999997"/>
    <n v="18120.13"/>
    <x v="3"/>
    <x v="2"/>
    <x v="0"/>
  </r>
  <r>
    <s v="ORD00324"/>
    <s v="2024-02-27"/>
    <x v="20"/>
    <x v="1"/>
    <x v="1"/>
    <s v="Mobile"/>
    <n v="11"/>
    <n v="38736"/>
    <n v="0.2"/>
    <n v="340876.79999999999"/>
    <n v="46840.44"/>
    <x v="0"/>
    <x v="11"/>
    <x v="0"/>
  </r>
  <r>
    <s v="ORD00325"/>
    <s v="2023-12-18"/>
    <x v="29"/>
    <x v="15"/>
    <x v="0"/>
    <s v="Sofa"/>
    <n v="7"/>
    <n v="10164"/>
    <n v="0.1"/>
    <n v="64033.2"/>
    <n v="5727.31"/>
    <x v="1"/>
    <x v="9"/>
    <x v="1"/>
  </r>
  <r>
    <s v="ORD00326"/>
    <s v="2023-12-13"/>
    <x v="25"/>
    <x v="3"/>
    <x v="3"/>
    <s v="Stapler"/>
    <n v="11"/>
    <n v="53523"/>
    <n v="0.15"/>
    <n v="500440.05"/>
    <n v="133048.57999999999"/>
    <x v="1"/>
    <x v="9"/>
    <x v="1"/>
  </r>
  <r>
    <s v="ORD00327"/>
    <s v="2024-10-01"/>
    <x v="36"/>
    <x v="6"/>
    <x v="2"/>
    <s v="Jeans"/>
    <n v="5"/>
    <n v="37217"/>
    <n v="0.2"/>
    <n v="148868"/>
    <n v="18590.46"/>
    <x v="2"/>
    <x v="0"/>
    <x v="0"/>
  </r>
  <r>
    <s v="ORD00328"/>
    <s v="2023-10-18"/>
    <x v="15"/>
    <x v="11"/>
    <x v="3"/>
    <s v="Printer"/>
    <n v="13"/>
    <n v="21422"/>
    <n v="0.05"/>
    <n v="264561.7"/>
    <n v="59163.62"/>
    <x v="0"/>
    <x v="0"/>
    <x v="1"/>
  </r>
  <r>
    <s v="ORD00329"/>
    <s v="2023-03-08"/>
    <x v="36"/>
    <x v="6"/>
    <x v="2"/>
    <s v="Jeans"/>
    <n v="3"/>
    <n v="40169"/>
    <n v="0"/>
    <n v="120507"/>
    <n v="24751.69"/>
    <x v="2"/>
    <x v="7"/>
    <x v="1"/>
  </r>
  <r>
    <s v="ORD00330"/>
    <s v="2023-07-22"/>
    <x v="20"/>
    <x v="10"/>
    <x v="3"/>
    <s v="Marker"/>
    <n v="14"/>
    <n v="23621"/>
    <n v="0.2"/>
    <n v="264555.2"/>
    <n v="25227.85"/>
    <x v="3"/>
    <x v="1"/>
    <x v="1"/>
  </r>
  <r>
    <s v="ORD00331"/>
    <s v="2024-04-05"/>
    <x v="27"/>
    <x v="3"/>
    <x v="3"/>
    <s v="Stapler"/>
    <n v="10"/>
    <n v="24081"/>
    <n v="0.1"/>
    <n v="216729"/>
    <n v="58798.14"/>
    <x v="2"/>
    <x v="2"/>
    <x v="0"/>
  </r>
  <r>
    <s v="ORD00332"/>
    <s v="2024-07-03"/>
    <x v="8"/>
    <x v="21"/>
    <x v="1"/>
    <s v="Laptop"/>
    <n v="2"/>
    <n v="15017"/>
    <n v="0"/>
    <n v="30034"/>
    <n v="3060.61"/>
    <x v="3"/>
    <x v="1"/>
    <x v="0"/>
  </r>
  <r>
    <s v="ORD00333"/>
    <s v="2024-05-31"/>
    <x v="21"/>
    <x v="26"/>
    <x v="3"/>
    <s v="Paper Ream"/>
    <n v="1"/>
    <n v="45219"/>
    <n v="0.1"/>
    <n v="40697.1"/>
    <n v="12025.72"/>
    <x v="1"/>
    <x v="6"/>
    <x v="0"/>
  </r>
  <r>
    <s v="ORD00334"/>
    <s v="2023-06-27"/>
    <x v="39"/>
    <x v="13"/>
    <x v="2"/>
    <s v="Jacket"/>
    <n v="1"/>
    <n v="55990"/>
    <n v="0.1"/>
    <n v="50391"/>
    <n v="5287.6"/>
    <x v="3"/>
    <x v="5"/>
    <x v="1"/>
  </r>
  <r>
    <s v="ORD00335"/>
    <s v="2023-07-03"/>
    <x v="18"/>
    <x v="18"/>
    <x v="0"/>
    <s v="Table"/>
    <n v="12"/>
    <n v="58822"/>
    <n v="0.2"/>
    <n v="564691.19999999995"/>
    <n v="106755.24"/>
    <x v="1"/>
    <x v="1"/>
    <x v="1"/>
  </r>
  <r>
    <s v="ORD00336"/>
    <s v="2024-06-14"/>
    <x v="27"/>
    <x v="27"/>
    <x v="3"/>
    <s v="File"/>
    <n v="13"/>
    <n v="20363"/>
    <n v="0.05"/>
    <n v="251483.05"/>
    <n v="23744.95"/>
    <x v="1"/>
    <x v="5"/>
    <x v="0"/>
  </r>
  <r>
    <s v="ORD00337"/>
    <s v="2023-11-28"/>
    <x v="8"/>
    <x v="9"/>
    <x v="1"/>
    <s v="Keyboard"/>
    <n v="12"/>
    <n v="52845"/>
    <n v="0.05"/>
    <n v="602433"/>
    <n v="91835.8"/>
    <x v="3"/>
    <x v="4"/>
    <x v="1"/>
  </r>
  <r>
    <s v="ORD00338"/>
    <s v="2023-08-22"/>
    <x v="9"/>
    <x v="16"/>
    <x v="3"/>
    <s v="Pen"/>
    <n v="10"/>
    <n v="16729"/>
    <n v="0.15"/>
    <n v="142196.5"/>
    <n v="27059.02"/>
    <x v="1"/>
    <x v="8"/>
    <x v="1"/>
  </r>
  <r>
    <s v="ORD00339"/>
    <s v="2023-04-19"/>
    <x v="6"/>
    <x v="23"/>
    <x v="0"/>
    <s v="Desk"/>
    <n v="14"/>
    <n v="47935"/>
    <n v="0.2"/>
    <n v="536872"/>
    <n v="89925.59"/>
    <x v="3"/>
    <x v="2"/>
    <x v="1"/>
  </r>
  <r>
    <s v="ORD00340"/>
    <s v="2023-03-12"/>
    <x v="20"/>
    <x v="6"/>
    <x v="2"/>
    <s v="Jeans"/>
    <n v="4"/>
    <n v="39293"/>
    <n v="0.15"/>
    <n v="133596.20000000001"/>
    <n v="36447.440000000002"/>
    <x v="2"/>
    <x v="7"/>
    <x v="1"/>
  </r>
  <r>
    <s v="ORD00341"/>
    <s v="2024-02-04"/>
    <x v="7"/>
    <x v="12"/>
    <x v="1"/>
    <s v="Headphones"/>
    <n v="2"/>
    <n v="23487"/>
    <n v="0.1"/>
    <n v="42276.6"/>
    <n v="12050.88"/>
    <x v="3"/>
    <x v="11"/>
    <x v="0"/>
  </r>
  <r>
    <s v="ORD00342"/>
    <s v="2023-08-04"/>
    <x v="31"/>
    <x v="5"/>
    <x v="0"/>
    <s v="Cupboard"/>
    <n v="10"/>
    <n v="45894"/>
    <n v="0.15"/>
    <n v="390099"/>
    <n v="48783.56"/>
    <x v="0"/>
    <x v="8"/>
    <x v="1"/>
  </r>
  <r>
    <s v="ORD00343"/>
    <s v="2023-10-18"/>
    <x v="17"/>
    <x v="2"/>
    <x v="2"/>
    <s v="Shoes"/>
    <n v="2"/>
    <n v="53163"/>
    <n v="0.05"/>
    <n v="101009.7"/>
    <n v="21014.77"/>
    <x v="2"/>
    <x v="0"/>
    <x v="1"/>
  </r>
  <r>
    <s v="ORD00344"/>
    <s v="2024-05-10"/>
    <x v="16"/>
    <x v="20"/>
    <x v="1"/>
    <s v="Tablet"/>
    <n v="7"/>
    <n v="41481"/>
    <n v="0.2"/>
    <n v="232293.6"/>
    <n v="46912.13"/>
    <x v="3"/>
    <x v="6"/>
    <x v="0"/>
  </r>
  <r>
    <s v="ORD00345"/>
    <s v="2024-10-03"/>
    <x v="45"/>
    <x v="2"/>
    <x v="2"/>
    <s v="Shoes"/>
    <n v="10"/>
    <n v="49819"/>
    <n v="0"/>
    <n v="498190"/>
    <n v="117855.21"/>
    <x v="1"/>
    <x v="0"/>
    <x v="0"/>
  </r>
  <r>
    <s v="ORD00346"/>
    <s v="2023-02-05"/>
    <x v="36"/>
    <x v="27"/>
    <x v="3"/>
    <s v="File"/>
    <n v="3"/>
    <n v="46947"/>
    <n v="0.1"/>
    <n v="126756.9"/>
    <n v="27641.52"/>
    <x v="2"/>
    <x v="11"/>
    <x v="1"/>
  </r>
  <r>
    <s v="ORD00347"/>
    <s v="2024-07-05"/>
    <x v="41"/>
    <x v="7"/>
    <x v="0"/>
    <s v="Bed"/>
    <n v="7"/>
    <n v="38082"/>
    <n v="0.05"/>
    <n v="253245.3"/>
    <n v="39547.35"/>
    <x v="1"/>
    <x v="1"/>
    <x v="0"/>
  </r>
  <r>
    <s v="ORD00348"/>
    <s v="2023-09-07"/>
    <x v="20"/>
    <x v="8"/>
    <x v="2"/>
    <s v="Sweater"/>
    <n v="14"/>
    <n v="18220"/>
    <n v="0.1"/>
    <n v="229572"/>
    <n v="27823.82"/>
    <x v="3"/>
    <x v="10"/>
    <x v="1"/>
  </r>
  <r>
    <s v="ORD00349"/>
    <s v="2023-10-06"/>
    <x v="19"/>
    <x v="3"/>
    <x v="3"/>
    <s v="Stapler"/>
    <n v="15"/>
    <n v="29064"/>
    <n v="0.15"/>
    <n v="370566"/>
    <n v="62312.99"/>
    <x v="0"/>
    <x v="0"/>
    <x v="1"/>
  </r>
  <r>
    <s v="ORD00350"/>
    <s v="2023-07-26"/>
    <x v="46"/>
    <x v="23"/>
    <x v="0"/>
    <s v="Desk"/>
    <n v="1"/>
    <n v="44581"/>
    <n v="0.05"/>
    <n v="42351.95"/>
    <n v="8615.5400000000009"/>
    <x v="1"/>
    <x v="1"/>
    <x v="1"/>
  </r>
  <r>
    <s v="ORD00351"/>
    <s v="2023-04-07"/>
    <x v="7"/>
    <x v="20"/>
    <x v="1"/>
    <s v="Tablet"/>
    <n v="4"/>
    <n v="36624"/>
    <n v="0.05"/>
    <n v="139171.20000000001"/>
    <n v="19198.73"/>
    <x v="3"/>
    <x v="2"/>
    <x v="1"/>
  </r>
  <r>
    <s v="ORD00352"/>
    <s v="2024-04-10"/>
    <x v="7"/>
    <x v="19"/>
    <x v="1"/>
    <s v="Smartwatch"/>
    <n v="12"/>
    <n v="4700"/>
    <n v="0.05"/>
    <n v="53580"/>
    <n v="15374.59"/>
    <x v="0"/>
    <x v="2"/>
    <x v="0"/>
  </r>
  <r>
    <s v="ORD00353"/>
    <s v="2023-02-22"/>
    <x v="40"/>
    <x v="3"/>
    <x v="3"/>
    <s v="Stapler"/>
    <n v="14"/>
    <n v="45371"/>
    <n v="0.15"/>
    <n v="539914.9"/>
    <n v="150440.99"/>
    <x v="2"/>
    <x v="11"/>
    <x v="1"/>
  </r>
  <r>
    <s v="ORD00354"/>
    <s v="2023-09-14"/>
    <x v="4"/>
    <x v="27"/>
    <x v="3"/>
    <s v="File"/>
    <n v="14"/>
    <n v="52567"/>
    <n v="0.2"/>
    <n v="588750.4"/>
    <n v="161136.12"/>
    <x v="1"/>
    <x v="10"/>
    <x v="1"/>
  </r>
  <r>
    <s v="ORD00355"/>
    <s v="2024-11-11"/>
    <x v="45"/>
    <x v="3"/>
    <x v="3"/>
    <s v="Stapler"/>
    <n v="5"/>
    <n v="23497"/>
    <n v="0"/>
    <n v="117485"/>
    <n v="13181.46"/>
    <x v="0"/>
    <x v="4"/>
    <x v="0"/>
  </r>
  <r>
    <s v="ORD00356"/>
    <s v="2023-02-11"/>
    <x v="45"/>
    <x v="24"/>
    <x v="2"/>
    <s v="T-Shirt"/>
    <n v="10"/>
    <n v="34395"/>
    <n v="0"/>
    <n v="343950"/>
    <n v="62999.26"/>
    <x v="2"/>
    <x v="11"/>
    <x v="1"/>
  </r>
  <r>
    <s v="ORD00357"/>
    <s v="2024-04-26"/>
    <x v="1"/>
    <x v="1"/>
    <x v="1"/>
    <s v="Mobile"/>
    <n v="11"/>
    <n v="24330"/>
    <n v="0"/>
    <n v="267630"/>
    <n v="23077.11"/>
    <x v="3"/>
    <x v="2"/>
    <x v="0"/>
  </r>
  <r>
    <s v="ORD00358"/>
    <s v="2023-10-01"/>
    <x v="31"/>
    <x v="3"/>
    <x v="3"/>
    <s v="Stapler"/>
    <n v="6"/>
    <n v="52146"/>
    <n v="0.2"/>
    <n v="250300.79999999999"/>
    <n v="57803.68"/>
    <x v="1"/>
    <x v="0"/>
    <x v="1"/>
  </r>
  <r>
    <s v="ORD00359"/>
    <s v="2024-01-26"/>
    <x v="9"/>
    <x v="26"/>
    <x v="3"/>
    <s v="Paper Ream"/>
    <n v="14"/>
    <n v="4301"/>
    <n v="0.05"/>
    <n v="57203.3"/>
    <n v="13329.46"/>
    <x v="1"/>
    <x v="3"/>
    <x v="0"/>
  </r>
  <r>
    <s v="ORD00360"/>
    <s v="2023-03-02"/>
    <x v="46"/>
    <x v="4"/>
    <x v="0"/>
    <s v="Stool"/>
    <n v="8"/>
    <n v="14503"/>
    <n v="0.05"/>
    <n v="110222.8"/>
    <n v="13163.01"/>
    <x v="3"/>
    <x v="7"/>
    <x v="1"/>
  </r>
  <r>
    <s v="ORD00361"/>
    <s v="2023-09-16"/>
    <x v="30"/>
    <x v="23"/>
    <x v="0"/>
    <s v="Desk"/>
    <n v="13"/>
    <n v="21558"/>
    <n v="0.2"/>
    <n v="224203.2"/>
    <n v="39775.360000000001"/>
    <x v="0"/>
    <x v="10"/>
    <x v="1"/>
  </r>
  <r>
    <s v="ORD00362"/>
    <s v="2024-06-03"/>
    <x v="26"/>
    <x v="24"/>
    <x v="2"/>
    <s v="T-Shirt"/>
    <n v="13"/>
    <n v="17131"/>
    <n v="0.2"/>
    <n v="178162.4"/>
    <n v="37701.53"/>
    <x v="2"/>
    <x v="5"/>
    <x v="0"/>
  </r>
  <r>
    <s v="ORD00363"/>
    <s v="2024-08-26"/>
    <x v="22"/>
    <x v="0"/>
    <x v="0"/>
    <s v="Chair"/>
    <n v="14"/>
    <n v="5357"/>
    <n v="0.05"/>
    <n v="71248.100000000006"/>
    <n v="5779.45"/>
    <x v="3"/>
    <x v="8"/>
    <x v="0"/>
  </r>
  <r>
    <s v="ORD00364"/>
    <s v="2023-08-31"/>
    <x v="0"/>
    <x v="26"/>
    <x v="3"/>
    <s v="Paper Ream"/>
    <n v="14"/>
    <n v="27720"/>
    <n v="0"/>
    <n v="388080"/>
    <n v="77128.009999999995"/>
    <x v="1"/>
    <x v="8"/>
    <x v="1"/>
  </r>
  <r>
    <s v="ORD00365"/>
    <s v="2023-04-07"/>
    <x v="30"/>
    <x v="14"/>
    <x v="2"/>
    <s v="Dress"/>
    <n v="8"/>
    <n v="16367"/>
    <n v="0"/>
    <n v="130936"/>
    <n v="23950.43"/>
    <x v="2"/>
    <x v="2"/>
    <x v="1"/>
  </r>
  <r>
    <s v="ORD00366"/>
    <s v="2024-11-30"/>
    <x v="46"/>
    <x v="6"/>
    <x v="2"/>
    <s v="Jeans"/>
    <n v="9"/>
    <n v="28208"/>
    <n v="0.05"/>
    <n v="241178.4"/>
    <n v="42250.28"/>
    <x v="0"/>
    <x v="4"/>
    <x v="0"/>
  </r>
  <r>
    <s v="ORD00367"/>
    <s v="2023-04-04"/>
    <x v="5"/>
    <x v="8"/>
    <x v="2"/>
    <s v="Sweater"/>
    <n v="10"/>
    <n v="54803"/>
    <n v="0.15"/>
    <n v="465825.5"/>
    <n v="60907.519999999997"/>
    <x v="3"/>
    <x v="2"/>
    <x v="1"/>
  </r>
  <r>
    <s v="ORD00368"/>
    <s v="2023-08-21"/>
    <x v="0"/>
    <x v="14"/>
    <x v="2"/>
    <s v="Dress"/>
    <n v="1"/>
    <n v="36078"/>
    <n v="0.05"/>
    <n v="34274.1"/>
    <n v="3116.49"/>
    <x v="0"/>
    <x v="8"/>
    <x v="1"/>
  </r>
  <r>
    <s v="ORD00369"/>
    <s v="2023-05-10"/>
    <x v="24"/>
    <x v="14"/>
    <x v="2"/>
    <s v="Dress"/>
    <n v="7"/>
    <n v="53475"/>
    <n v="0.15"/>
    <n v="318176.25"/>
    <n v="74266.58"/>
    <x v="3"/>
    <x v="6"/>
    <x v="1"/>
  </r>
  <r>
    <s v="ORD00370"/>
    <s v="2024-03-09"/>
    <x v="18"/>
    <x v="11"/>
    <x v="3"/>
    <s v="Printer"/>
    <n v="14"/>
    <n v="6618"/>
    <n v="0"/>
    <n v="92652"/>
    <n v="21025.32"/>
    <x v="1"/>
    <x v="7"/>
    <x v="0"/>
  </r>
  <r>
    <s v="ORD00371"/>
    <s v="2024-04-26"/>
    <x v="10"/>
    <x v="14"/>
    <x v="2"/>
    <s v="Dress"/>
    <n v="3"/>
    <n v="31642"/>
    <n v="0.05"/>
    <n v="90179.7"/>
    <n v="16097.56"/>
    <x v="1"/>
    <x v="2"/>
    <x v="0"/>
  </r>
  <r>
    <s v="ORD00372"/>
    <s v="2023-10-26"/>
    <x v="47"/>
    <x v="2"/>
    <x v="2"/>
    <s v="Shoes"/>
    <n v="8"/>
    <n v="44157"/>
    <n v="0"/>
    <n v="353256"/>
    <n v="40861.01"/>
    <x v="1"/>
    <x v="0"/>
    <x v="1"/>
  </r>
  <r>
    <s v="ORD00373"/>
    <s v="2023-11-09"/>
    <x v="21"/>
    <x v="18"/>
    <x v="0"/>
    <s v="Table"/>
    <n v="4"/>
    <n v="33777"/>
    <n v="0.15"/>
    <n v="114841.8"/>
    <n v="33190.050000000003"/>
    <x v="2"/>
    <x v="4"/>
    <x v="1"/>
  </r>
  <r>
    <s v="ORD00374"/>
    <s v="2024-11-20"/>
    <x v="47"/>
    <x v="24"/>
    <x v="2"/>
    <s v="T-Shirt"/>
    <n v="12"/>
    <n v="57887"/>
    <n v="0"/>
    <n v="694644"/>
    <n v="189942.66"/>
    <x v="2"/>
    <x v="4"/>
    <x v="0"/>
  </r>
  <r>
    <s v="ORD00375"/>
    <s v="2023-09-10"/>
    <x v="20"/>
    <x v="19"/>
    <x v="1"/>
    <s v="Smartwatch"/>
    <n v="1"/>
    <n v="16646"/>
    <n v="0"/>
    <n v="16646"/>
    <n v="3559.83"/>
    <x v="2"/>
    <x v="10"/>
    <x v="1"/>
  </r>
  <r>
    <s v="ORD00376"/>
    <s v="2023-06-04"/>
    <x v="37"/>
    <x v="16"/>
    <x v="3"/>
    <s v="Pen"/>
    <n v="5"/>
    <n v="21787"/>
    <n v="0.1"/>
    <n v="98041.5"/>
    <n v="12267.33"/>
    <x v="1"/>
    <x v="5"/>
    <x v="1"/>
  </r>
  <r>
    <s v="ORD00377"/>
    <s v="2023-07-12"/>
    <x v="41"/>
    <x v="24"/>
    <x v="2"/>
    <s v="T-Shirt"/>
    <n v="9"/>
    <n v="4417"/>
    <n v="0"/>
    <n v="39753"/>
    <n v="5224.32"/>
    <x v="0"/>
    <x v="1"/>
    <x v="1"/>
  </r>
  <r>
    <s v="ORD00378"/>
    <s v="2024-02-07"/>
    <x v="39"/>
    <x v="14"/>
    <x v="2"/>
    <s v="Dress"/>
    <n v="3"/>
    <n v="51302"/>
    <n v="0"/>
    <n v="153906"/>
    <n v="31188.78"/>
    <x v="1"/>
    <x v="11"/>
    <x v="0"/>
  </r>
  <r>
    <s v="ORD00379"/>
    <s v="2023-12-07"/>
    <x v="8"/>
    <x v="4"/>
    <x v="0"/>
    <s v="Stool"/>
    <n v="7"/>
    <n v="50982"/>
    <n v="0"/>
    <n v="356874"/>
    <n v="39864.86"/>
    <x v="0"/>
    <x v="9"/>
    <x v="1"/>
  </r>
  <r>
    <s v="ORD00380"/>
    <s v="2023-02-06"/>
    <x v="7"/>
    <x v="14"/>
    <x v="2"/>
    <s v="Dress"/>
    <n v="15"/>
    <n v="5134"/>
    <n v="0.05"/>
    <n v="73159.5"/>
    <n v="19139.82"/>
    <x v="1"/>
    <x v="11"/>
    <x v="1"/>
  </r>
  <r>
    <s v="ORD00381"/>
    <s v="2023-01-24"/>
    <x v="41"/>
    <x v="4"/>
    <x v="0"/>
    <s v="Stool"/>
    <n v="4"/>
    <n v="36985"/>
    <n v="0.1"/>
    <n v="133146"/>
    <n v="22751.27"/>
    <x v="1"/>
    <x v="3"/>
    <x v="1"/>
  </r>
  <r>
    <s v="ORD00382"/>
    <s v="2024-09-29"/>
    <x v="6"/>
    <x v="16"/>
    <x v="3"/>
    <s v="Pen"/>
    <n v="2"/>
    <n v="25814"/>
    <n v="0"/>
    <n v="51628"/>
    <n v="9470.58"/>
    <x v="1"/>
    <x v="10"/>
    <x v="0"/>
  </r>
  <r>
    <s v="ORD00383"/>
    <s v="2024-10-14"/>
    <x v="10"/>
    <x v="25"/>
    <x v="3"/>
    <s v="Notebook"/>
    <n v="14"/>
    <n v="34268"/>
    <n v="0.05"/>
    <n v="455764.4"/>
    <n v="64140.25"/>
    <x v="1"/>
    <x v="0"/>
    <x v="0"/>
  </r>
  <r>
    <s v="ORD00384"/>
    <s v="2024-01-09"/>
    <x v="21"/>
    <x v="19"/>
    <x v="1"/>
    <s v="Smartwatch"/>
    <n v="9"/>
    <n v="4175"/>
    <n v="0.05"/>
    <n v="35696.25"/>
    <n v="10580.02"/>
    <x v="1"/>
    <x v="3"/>
    <x v="0"/>
  </r>
  <r>
    <s v="ORD00385"/>
    <s v="2023-02-12"/>
    <x v="15"/>
    <x v="13"/>
    <x v="2"/>
    <s v="Jacket"/>
    <n v="7"/>
    <n v="39710"/>
    <n v="0.1"/>
    <n v="250173"/>
    <n v="27994.67"/>
    <x v="3"/>
    <x v="11"/>
    <x v="1"/>
  </r>
  <r>
    <s v="ORD00386"/>
    <s v="2023-10-18"/>
    <x v="48"/>
    <x v="16"/>
    <x v="3"/>
    <s v="Pen"/>
    <n v="6"/>
    <n v="49090"/>
    <n v="0.05"/>
    <n v="279813"/>
    <n v="68042.820000000007"/>
    <x v="0"/>
    <x v="0"/>
    <x v="1"/>
  </r>
  <r>
    <s v="ORD00387"/>
    <s v="2024-11-20"/>
    <x v="12"/>
    <x v="18"/>
    <x v="0"/>
    <s v="Table"/>
    <n v="2"/>
    <n v="17565"/>
    <n v="0.05"/>
    <n v="33373.5"/>
    <n v="8137.11"/>
    <x v="3"/>
    <x v="4"/>
    <x v="0"/>
  </r>
  <r>
    <s v="ORD00388"/>
    <s v="2024-02-08"/>
    <x v="35"/>
    <x v="2"/>
    <x v="2"/>
    <s v="Shoes"/>
    <n v="10"/>
    <n v="55149"/>
    <n v="0.15"/>
    <n v="468766.5"/>
    <n v="43858.78"/>
    <x v="3"/>
    <x v="11"/>
    <x v="0"/>
  </r>
  <r>
    <s v="ORD00389"/>
    <s v="2023-11-03"/>
    <x v="11"/>
    <x v="6"/>
    <x v="2"/>
    <s v="Jeans"/>
    <n v="7"/>
    <n v="29516"/>
    <n v="0.2"/>
    <n v="165289.60000000001"/>
    <n v="18300.57"/>
    <x v="3"/>
    <x v="4"/>
    <x v="1"/>
  </r>
  <r>
    <s v="ORD00390"/>
    <s v="2024-03-02"/>
    <x v="14"/>
    <x v="20"/>
    <x v="1"/>
    <s v="Tablet"/>
    <n v="13"/>
    <n v="35065"/>
    <n v="0.05"/>
    <n v="433052.75"/>
    <n v="57201.15"/>
    <x v="3"/>
    <x v="7"/>
    <x v="0"/>
  </r>
  <r>
    <s v="ORD00391"/>
    <s v="2024-02-23"/>
    <x v="19"/>
    <x v="0"/>
    <x v="0"/>
    <s v="Chair"/>
    <n v="8"/>
    <n v="36300"/>
    <n v="0.05"/>
    <n v="275880"/>
    <n v="55103.97"/>
    <x v="1"/>
    <x v="11"/>
    <x v="0"/>
  </r>
  <r>
    <s v="ORD00392"/>
    <s v="2023-11-06"/>
    <x v="7"/>
    <x v="22"/>
    <x v="1"/>
    <s v="Camera"/>
    <n v="8"/>
    <n v="27745"/>
    <n v="0.05"/>
    <n v="210862"/>
    <n v="17891.8"/>
    <x v="0"/>
    <x v="4"/>
    <x v="1"/>
  </r>
  <r>
    <s v="ORD00393"/>
    <s v="2023-10-19"/>
    <x v="8"/>
    <x v="3"/>
    <x v="3"/>
    <s v="Stapler"/>
    <n v="15"/>
    <n v="2534"/>
    <n v="0"/>
    <n v="38010"/>
    <n v="5905.66"/>
    <x v="1"/>
    <x v="0"/>
    <x v="1"/>
  </r>
  <r>
    <s v="ORD00394"/>
    <s v="2024-07-17"/>
    <x v="8"/>
    <x v="20"/>
    <x v="1"/>
    <s v="Tablet"/>
    <n v="12"/>
    <n v="56131"/>
    <n v="0.05"/>
    <n v="639893.4"/>
    <n v="128451.96"/>
    <x v="3"/>
    <x v="1"/>
    <x v="0"/>
  </r>
  <r>
    <s v="ORD00395"/>
    <s v="2024-01-28"/>
    <x v="3"/>
    <x v="4"/>
    <x v="0"/>
    <s v="Stool"/>
    <n v="15"/>
    <n v="22099"/>
    <n v="0.05"/>
    <n v="314910.75"/>
    <n v="31938.16"/>
    <x v="2"/>
    <x v="3"/>
    <x v="0"/>
  </r>
  <r>
    <s v="ORD00396"/>
    <s v="2023-04-02"/>
    <x v="26"/>
    <x v="13"/>
    <x v="2"/>
    <s v="Jacket"/>
    <n v="14"/>
    <n v="29282"/>
    <n v="0.05"/>
    <n v="389450.6"/>
    <n v="101556.49"/>
    <x v="3"/>
    <x v="2"/>
    <x v="1"/>
  </r>
  <r>
    <s v="ORD00397"/>
    <s v="2023-02-16"/>
    <x v="31"/>
    <x v="17"/>
    <x v="1"/>
    <s v="Power Bank"/>
    <n v="2"/>
    <n v="24126"/>
    <n v="0.15"/>
    <n v="41014.199999999997"/>
    <n v="10609.62"/>
    <x v="0"/>
    <x v="11"/>
    <x v="1"/>
  </r>
  <r>
    <s v="ORD00398"/>
    <s v="2023-03-20"/>
    <x v="8"/>
    <x v="15"/>
    <x v="0"/>
    <s v="Sofa"/>
    <n v="8"/>
    <n v="32394"/>
    <n v="0.15"/>
    <n v="220279.2"/>
    <n v="44459.88"/>
    <x v="2"/>
    <x v="7"/>
    <x v="1"/>
  </r>
  <r>
    <s v="ORD00399"/>
    <s v="2023-02-06"/>
    <x v="25"/>
    <x v="1"/>
    <x v="1"/>
    <s v="Mobile"/>
    <n v="8"/>
    <n v="18999"/>
    <n v="0"/>
    <n v="151992"/>
    <n v="32442.12"/>
    <x v="2"/>
    <x v="11"/>
    <x v="1"/>
  </r>
  <r>
    <s v="ORD00400"/>
    <s v="2024-10-27"/>
    <x v="48"/>
    <x v="3"/>
    <x v="3"/>
    <s v="Stapler"/>
    <n v="3"/>
    <n v="26557"/>
    <n v="0"/>
    <n v="79671"/>
    <n v="18433.47"/>
    <x v="1"/>
    <x v="0"/>
    <x v="0"/>
  </r>
  <r>
    <s v="ORD00401"/>
    <s v="2023-08-27"/>
    <x v="30"/>
    <x v="19"/>
    <x v="1"/>
    <s v="Smartwatch"/>
    <n v="9"/>
    <n v="48629"/>
    <n v="0.2"/>
    <n v="350128.8"/>
    <n v="93129.1"/>
    <x v="1"/>
    <x v="8"/>
    <x v="1"/>
  </r>
  <r>
    <s v="ORD00402"/>
    <s v="2024-03-18"/>
    <x v="40"/>
    <x v="1"/>
    <x v="1"/>
    <s v="Mobile"/>
    <n v="8"/>
    <n v="5417"/>
    <n v="0.1"/>
    <n v="39002.400000000001"/>
    <n v="9565.31"/>
    <x v="1"/>
    <x v="7"/>
    <x v="0"/>
  </r>
  <r>
    <s v="ORD00403"/>
    <s v="2023-06-13"/>
    <x v="7"/>
    <x v="5"/>
    <x v="0"/>
    <s v="Cupboard"/>
    <n v="14"/>
    <n v="16298"/>
    <n v="0"/>
    <n v="228172"/>
    <n v="32335"/>
    <x v="2"/>
    <x v="5"/>
    <x v="1"/>
  </r>
  <r>
    <s v="ORD00404"/>
    <s v="2023-11-17"/>
    <x v="26"/>
    <x v="27"/>
    <x v="3"/>
    <s v="File"/>
    <n v="13"/>
    <n v="19939"/>
    <n v="0.2"/>
    <n v="207365.6"/>
    <n v="40413.11"/>
    <x v="1"/>
    <x v="4"/>
    <x v="1"/>
  </r>
  <r>
    <s v="ORD00405"/>
    <s v="2023-09-13"/>
    <x v="11"/>
    <x v="20"/>
    <x v="1"/>
    <s v="Tablet"/>
    <n v="6"/>
    <n v="15699"/>
    <n v="0.1"/>
    <n v="84774.6"/>
    <n v="22043.42"/>
    <x v="2"/>
    <x v="10"/>
    <x v="1"/>
  </r>
  <r>
    <s v="ORD00406"/>
    <s v="2023-10-02"/>
    <x v="18"/>
    <x v="10"/>
    <x v="3"/>
    <s v="Marker"/>
    <n v="1"/>
    <n v="38292"/>
    <n v="0.1"/>
    <n v="34462.800000000003"/>
    <n v="4778.54"/>
    <x v="0"/>
    <x v="0"/>
    <x v="1"/>
  </r>
  <r>
    <s v="ORD00407"/>
    <s v="2024-01-29"/>
    <x v="15"/>
    <x v="15"/>
    <x v="0"/>
    <s v="Sofa"/>
    <n v="10"/>
    <n v="17625"/>
    <n v="0"/>
    <n v="176250"/>
    <n v="37790.660000000003"/>
    <x v="3"/>
    <x v="3"/>
    <x v="0"/>
  </r>
  <r>
    <s v="ORD00408"/>
    <s v="2023-04-23"/>
    <x v="49"/>
    <x v="12"/>
    <x v="1"/>
    <s v="Headphones"/>
    <n v="14"/>
    <n v="8920"/>
    <n v="0"/>
    <n v="124880"/>
    <n v="28274.35"/>
    <x v="2"/>
    <x v="2"/>
    <x v="1"/>
  </r>
  <r>
    <s v="ORD00409"/>
    <s v="2023-07-03"/>
    <x v="19"/>
    <x v="10"/>
    <x v="3"/>
    <s v="Marker"/>
    <n v="14"/>
    <n v="10866"/>
    <n v="0"/>
    <n v="152124"/>
    <n v="37837.800000000003"/>
    <x v="3"/>
    <x v="1"/>
    <x v="1"/>
  </r>
  <r>
    <s v="ORD00410"/>
    <s v="2024-09-25"/>
    <x v="0"/>
    <x v="21"/>
    <x v="1"/>
    <s v="Laptop"/>
    <n v="14"/>
    <n v="44465"/>
    <n v="0.05"/>
    <n v="591384.5"/>
    <n v="64632.61"/>
    <x v="3"/>
    <x v="10"/>
    <x v="0"/>
  </r>
  <r>
    <s v="ORD00411"/>
    <s v="2024-08-14"/>
    <x v="39"/>
    <x v="13"/>
    <x v="2"/>
    <s v="Jacket"/>
    <n v="7"/>
    <n v="16677"/>
    <n v="0.1"/>
    <n v="105065.1"/>
    <n v="11002.17"/>
    <x v="2"/>
    <x v="8"/>
    <x v="0"/>
  </r>
  <r>
    <s v="ORD00412"/>
    <s v="2024-09-21"/>
    <x v="22"/>
    <x v="12"/>
    <x v="1"/>
    <s v="Headphones"/>
    <n v="10"/>
    <n v="23588"/>
    <n v="0.15"/>
    <n v="200498"/>
    <n v="56172.54"/>
    <x v="0"/>
    <x v="10"/>
    <x v="0"/>
  </r>
  <r>
    <s v="ORD00413"/>
    <s v="2023-12-06"/>
    <x v="49"/>
    <x v="25"/>
    <x v="3"/>
    <s v="Notebook"/>
    <n v="15"/>
    <n v="14405"/>
    <n v="0.15"/>
    <n v="183663.75"/>
    <n v="44185.77"/>
    <x v="0"/>
    <x v="9"/>
    <x v="1"/>
  </r>
  <r>
    <s v="ORD00414"/>
    <s v="2023-05-07"/>
    <x v="30"/>
    <x v="1"/>
    <x v="1"/>
    <s v="Mobile"/>
    <n v="9"/>
    <n v="37516"/>
    <n v="0.2"/>
    <n v="270115.20000000001"/>
    <n v="48915.23"/>
    <x v="2"/>
    <x v="6"/>
    <x v="1"/>
  </r>
  <r>
    <s v="ORD00415"/>
    <s v="2023-03-21"/>
    <x v="37"/>
    <x v="7"/>
    <x v="0"/>
    <s v="Bed"/>
    <n v="10"/>
    <n v="17253"/>
    <n v="0.05"/>
    <n v="163903.5"/>
    <n v="23056.560000000001"/>
    <x v="3"/>
    <x v="7"/>
    <x v="1"/>
  </r>
  <r>
    <s v="ORD00416"/>
    <s v="2024-07-06"/>
    <x v="18"/>
    <x v="23"/>
    <x v="0"/>
    <s v="Desk"/>
    <n v="5"/>
    <n v="19300"/>
    <n v="0.15"/>
    <n v="82025"/>
    <n v="8491.77"/>
    <x v="1"/>
    <x v="1"/>
    <x v="0"/>
  </r>
  <r>
    <s v="ORD00417"/>
    <s v="2024-09-08"/>
    <x v="30"/>
    <x v="8"/>
    <x v="2"/>
    <s v="Sweater"/>
    <n v="14"/>
    <n v="38442"/>
    <n v="0"/>
    <n v="538188"/>
    <n v="148144.01999999999"/>
    <x v="0"/>
    <x v="10"/>
    <x v="0"/>
  </r>
  <r>
    <s v="ORD00418"/>
    <s v="2024-08-17"/>
    <x v="45"/>
    <x v="22"/>
    <x v="1"/>
    <s v="Camera"/>
    <n v="6"/>
    <n v="17396"/>
    <n v="0"/>
    <n v="104376"/>
    <n v="16817.3"/>
    <x v="1"/>
    <x v="8"/>
    <x v="0"/>
  </r>
  <r>
    <s v="ORD00419"/>
    <s v="2024-07-20"/>
    <x v="19"/>
    <x v="10"/>
    <x v="3"/>
    <s v="Marker"/>
    <n v="9"/>
    <n v="13015"/>
    <n v="0.2"/>
    <n v="93708"/>
    <n v="7674.2"/>
    <x v="0"/>
    <x v="1"/>
    <x v="0"/>
  </r>
  <r>
    <s v="ORD00420"/>
    <s v="2023-10-13"/>
    <x v="43"/>
    <x v="7"/>
    <x v="0"/>
    <s v="Bed"/>
    <n v="6"/>
    <n v="48420"/>
    <n v="0"/>
    <n v="290520"/>
    <n v="68848.34"/>
    <x v="1"/>
    <x v="0"/>
    <x v="1"/>
  </r>
  <r>
    <s v="ORD00421"/>
    <s v="2023-01-30"/>
    <x v="38"/>
    <x v="12"/>
    <x v="1"/>
    <s v="Headphones"/>
    <n v="15"/>
    <n v="55993"/>
    <n v="0.05"/>
    <n v="797900.25"/>
    <n v="109023.96"/>
    <x v="0"/>
    <x v="3"/>
    <x v="1"/>
  </r>
  <r>
    <s v="ORD00422"/>
    <s v="2024-08-29"/>
    <x v="12"/>
    <x v="24"/>
    <x v="2"/>
    <s v="T-Shirt"/>
    <n v="3"/>
    <n v="6891"/>
    <n v="0.2"/>
    <n v="16538.400000000001"/>
    <n v="2669.31"/>
    <x v="1"/>
    <x v="8"/>
    <x v="0"/>
  </r>
  <r>
    <s v="ORD00423"/>
    <s v="2024-06-19"/>
    <x v="1"/>
    <x v="26"/>
    <x v="3"/>
    <s v="Paper Ream"/>
    <n v="12"/>
    <n v="23981"/>
    <n v="0"/>
    <n v="287772"/>
    <n v="68446.34"/>
    <x v="3"/>
    <x v="5"/>
    <x v="0"/>
  </r>
  <r>
    <s v="ORD00424"/>
    <s v="2023-04-17"/>
    <x v="8"/>
    <x v="8"/>
    <x v="2"/>
    <s v="Sweater"/>
    <n v="9"/>
    <n v="23413"/>
    <n v="0.2"/>
    <n v="168573.6"/>
    <n v="40804.86"/>
    <x v="3"/>
    <x v="2"/>
    <x v="1"/>
  </r>
  <r>
    <s v="ORD00425"/>
    <s v="2024-11-14"/>
    <x v="7"/>
    <x v="23"/>
    <x v="0"/>
    <s v="Desk"/>
    <n v="5"/>
    <n v="37074"/>
    <n v="0"/>
    <n v="185370"/>
    <n v="31643.61"/>
    <x v="1"/>
    <x v="4"/>
    <x v="0"/>
  </r>
  <r>
    <s v="ORD00426"/>
    <s v="2024-02-19"/>
    <x v="29"/>
    <x v="24"/>
    <x v="2"/>
    <s v="T-Shirt"/>
    <n v="14"/>
    <n v="6231"/>
    <n v="0.05"/>
    <n v="82872.3"/>
    <n v="10549.71"/>
    <x v="0"/>
    <x v="11"/>
    <x v="0"/>
  </r>
  <r>
    <s v="ORD00427"/>
    <s v="2024-08-04"/>
    <x v="31"/>
    <x v="24"/>
    <x v="2"/>
    <s v="T-Shirt"/>
    <n v="13"/>
    <n v="32850"/>
    <n v="0.15"/>
    <n v="362992.5"/>
    <n v="89479.26"/>
    <x v="2"/>
    <x v="8"/>
    <x v="0"/>
  </r>
  <r>
    <s v="ORD00428"/>
    <s v="2024-11-20"/>
    <x v="23"/>
    <x v="7"/>
    <x v="0"/>
    <s v="Bed"/>
    <n v="10"/>
    <n v="1051"/>
    <n v="0.05"/>
    <n v="9984.5"/>
    <n v="2871.05"/>
    <x v="1"/>
    <x v="4"/>
    <x v="0"/>
  </r>
  <r>
    <s v="ORD00429"/>
    <s v="2023-03-12"/>
    <x v="40"/>
    <x v="16"/>
    <x v="3"/>
    <s v="Pen"/>
    <n v="15"/>
    <n v="15736"/>
    <n v="0.05"/>
    <n v="224238"/>
    <n v="40067.46"/>
    <x v="3"/>
    <x v="7"/>
    <x v="1"/>
  </r>
  <r>
    <s v="ORD00430"/>
    <s v="2023-02-17"/>
    <x v="47"/>
    <x v="10"/>
    <x v="3"/>
    <s v="Marker"/>
    <n v="1"/>
    <n v="26063"/>
    <n v="0.2"/>
    <n v="20850.400000000001"/>
    <n v="1749.97"/>
    <x v="3"/>
    <x v="11"/>
    <x v="1"/>
  </r>
  <r>
    <s v="ORD00431"/>
    <s v="2024-11-16"/>
    <x v="1"/>
    <x v="18"/>
    <x v="0"/>
    <s v="Table"/>
    <n v="6"/>
    <n v="59185"/>
    <n v="0.1"/>
    <n v="319599"/>
    <n v="43063.92"/>
    <x v="3"/>
    <x v="4"/>
    <x v="0"/>
  </r>
  <r>
    <s v="ORD00432"/>
    <s v="2024-08-22"/>
    <x v="21"/>
    <x v="25"/>
    <x v="3"/>
    <s v="Notebook"/>
    <n v="5"/>
    <n v="9427"/>
    <n v="0"/>
    <n v="47135"/>
    <n v="7896.52"/>
    <x v="0"/>
    <x v="8"/>
    <x v="0"/>
  </r>
  <r>
    <s v="ORD00433"/>
    <s v="2024-03-12"/>
    <x v="28"/>
    <x v="3"/>
    <x v="3"/>
    <s v="Stapler"/>
    <n v="7"/>
    <n v="28953"/>
    <n v="0.1"/>
    <n v="182403.9"/>
    <n v="54562.69"/>
    <x v="1"/>
    <x v="7"/>
    <x v="0"/>
  </r>
  <r>
    <s v="ORD00434"/>
    <s v="2024-05-12"/>
    <x v="39"/>
    <x v="0"/>
    <x v="0"/>
    <s v="Chair"/>
    <n v="4"/>
    <n v="41980"/>
    <n v="0.15"/>
    <n v="142732"/>
    <n v="40305.949999999997"/>
    <x v="3"/>
    <x v="6"/>
    <x v="0"/>
  </r>
  <r>
    <s v="ORD00435"/>
    <s v="2024-06-19"/>
    <x v="5"/>
    <x v="18"/>
    <x v="0"/>
    <s v="Table"/>
    <n v="12"/>
    <n v="28955"/>
    <n v="0.05"/>
    <n v="330087"/>
    <n v="48381.120000000003"/>
    <x v="2"/>
    <x v="5"/>
    <x v="0"/>
  </r>
  <r>
    <s v="ORD00436"/>
    <s v="2024-06-26"/>
    <x v="9"/>
    <x v="2"/>
    <x v="2"/>
    <s v="Shoes"/>
    <n v="11"/>
    <n v="33590"/>
    <n v="0"/>
    <n v="369490"/>
    <n v="98235.76"/>
    <x v="2"/>
    <x v="5"/>
    <x v="0"/>
  </r>
  <r>
    <s v="ORD00437"/>
    <s v="2023-11-17"/>
    <x v="19"/>
    <x v="14"/>
    <x v="2"/>
    <s v="Dress"/>
    <n v="4"/>
    <n v="41052"/>
    <n v="0.05"/>
    <n v="155997.6"/>
    <n v="46671.92"/>
    <x v="2"/>
    <x v="4"/>
    <x v="1"/>
  </r>
  <r>
    <s v="ORD00438"/>
    <s v="2024-10-10"/>
    <x v="30"/>
    <x v="6"/>
    <x v="2"/>
    <s v="Jeans"/>
    <n v="2"/>
    <n v="44388"/>
    <n v="0.1"/>
    <n v="79898.399999999994"/>
    <n v="22807.35"/>
    <x v="0"/>
    <x v="0"/>
    <x v="0"/>
  </r>
  <r>
    <s v="ORD00439"/>
    <s v="2023-08-04"/>
    <x v="3"/>
    <x v="14"/>
    <x v="2"/>
    <s v="Dress"/>
    <n v="12"/>
    <n v="50086"/>
    <n v="0.2"/>
    <n v="480825.59999999998"/>
    <n v="40232.89"/>
    <x v="0"/>
    <x v="8"/>
    <x v="1"/>
  </r>
  <r>
    <s v="ORD00440"/>
    <s v="2023-03-19"/>
    <x v="45"/>
    <x v="5"/>
    <x v="0"/>
    <s v="Cupboard"/>
    <n v="4"/>
    <n v="34358"/>
    <n v="0.05"/>
    <n v="130560.4"/>
    <n v="24044.880000000001"/>
    <x v="2"/>
    <x v="7"/>
    <x v="1"/>
  </r>
  <r>
    <s v="ORD00441"/>
    <s v="2023-10-09"/>
    <x v="48"/>
    <x v="5"/>
    <x v="0"/>
    <s v="Cupboard"/>
    <n v="6"/>
    <n v="30786"/>
    <n v="0.05"/>
    <n v="175480.2"/>
    <n v="43265.03"/>
    <x v="2"/>
    <x v="0"/>
    <x v="1"/>
  </r>
  <r>
    <s v="ORD00442"/>
    <s v="2023-06-14"/>
    <x v="13"/>
    <x v="17"/>
    <x v="1"/>
    <s v="Power Bank"/>
    <n v="15"/>
    <n v="15085"/>
    <n v="0.15"/>
    <n v="192333.75"/>
    <n v="18861.28"/>
    <x v="3"/>
    <x v="5"/>
    <x v="1"/>
  </r>
  <r>
    <s v="ORD00443"/>
    <s v="2024-05-21"/>
    <x v="16"/>
    <x v="17"/>
    <x v="1"/>
    <s v="Power Bank"/>
    <n v="1"/>
    <n v="34625"/>
    <n v="0.05"/>
    <n v="32893.75"/>
    <n v="6685.91"/>
    <x v="1"/>
    <x v="6"/>
    <x v="0"/>
  </r>
  <r>
    <s v="ORD00444"/>
    <s v="2023-12-26"/>
    <x v="49"/>
    <x v="3"/>
    <x v="3"/>
    <s v="Stapler"/>
    <n v="2"/>
    <n v="4988"/>
    <n v="0.1"/>
    <n v="8978.4"/>
    <n v="1712.27"/>
    <x v="1"/>
    <x v="9"/>
    <x v="1"/>
  </r>
  <r>
    <s v="ORD00445"/>
    <s v="2024-08-21"/>
    <x v="26"/>
    <x v="3"/>
    <x v="3"/>
    <s v="Stapler"/>
    <n v="5"/>
    <n v="41233"/>
    <n v="0.05"/>
    <n v="195856.75"/>
    <n v="23716.03"/>
    <x v="0"/>
    <x v="8"/>
    <x v="0"/>
  </r>
  <r>
    <s v="ORD00446"/>
    <s v="2023-11-25"/>
    <x v="19"/>
    <x v="17"/>
    <x v="1"/>
    <s v="Power Bank"/>
    <n v="7"/>
    <n v="6098"/>
    <n v="0.1"/>
    <n v="38417.4"/>
    <n v="4204.2"/>
    <x v="2"/>
    <x v="4"/>
    <x v="1"/>
  </r>
  <r>
    <s v="ORD00447"/>
    <s v="2023-11-19"/>
    <x v="9"/>
    <x v="15"/>
    <x v="0"/>
    <s v="Sofa"/>
    <n v="6"/>
    <n v="13840"/>
    <n v="0"/>
    <n v="83040"/>
    <n v="18568.169999999998"/>
    <x v="0"/>
    <x v="4"/>
    <x v="1"/>
  </r>
  <r>
    <s v="ORD00448"/>
    <s v="2024-03-30"/>
    <x v="24"/>
    <x v="7"/>
    <x v="0"/>
    <s v="Bed"/>
    <n v="13"/>
    <n v="31493"/>
    <n v="0.1"/>
    <n v="368468.1"/>
    <n v="51798.55"/>
    <x v="1"/>
    <x v="7"/>
    <x v="0"/>
  </r>
  <r>
    <s v="ORD00449"/>
    <s v="2023-12-25"/>
    <x v="48"/>
    <x v="10"/>
    <x v="3"/>
    <s v="Marker"/>
    <n v="5"/>
    <n v="49188"/>
    <n v="0.1"/>
    <n v="221346"/>
    <n v="37981.769999999997"/>
    <x v="2"/>
    <x v="9"/>
    <x v="1"/>
  </r>
  <r>
    <s v="ORD00450"/>
    <s v="2024-03-21"/>
    <x v="24"/>
    <x v="20"/>
    <x v="1"/>
    <s v="Tablet"/>
    <n v="9"/>
    <n v="24224"/>
    <n v="0.1"/>
    <n v="196214.39999999999"/>
    <n v="45019.21"/>
    <x v="2"/>
    <x v="7"/>
    <x v="0"/>
  </r>
  <r>
    <s v="ORD00451"/>
    <s v="2024-06-02"/>
    <x v="35"/>
    <x v="9"/>
    <x v="1"/>
    <s v="Keyboard"/>
    <n v="1"/>
    <n v="836"/>
    <n v="0.15"/>
    <n v="710.6"/>
    <n v="63.18"/>
    <x v="2"/>
    <x v="5"/>
    <x v="0"/>
  </r>
  <r>
    <s v="ORD00452"/>
    <s v="2024-03-18"/>
    <x v="22"/>
    <x v="15"/>
    <x v="0"/>
    <s v="Sofa"/>
    <n v="7"/>
    <n v="41014"/>
    <n v="0.1"/>
    <n v="258388.2"/>
    <n v="76217.23"/>
    <x v="2"/>
    <x v="7"/>
    <x v="0"/>
  </r>
  <r>
    <s v="ORD00453"/>
    <s v="2023-07-27"/>
    <x v="1"/>
    <x v="12"/>
    <x v="1"/>
    <s v="Headphones"/>
    <n v="7"/>
    <n v="56258"/>
    <n v="0.15"/>
    <n v="334735.09999999998"/>
    <n v="60328.33"/>
    <x v="2"/>
    <x v="1"/>
    <x v="1"/>
  </r>
  <r>
    <s v="ORD00454"/>
    <s v="2024-10-13"/>
    <x v="24"/>
    <x v="25"/>
    <x v="3"/>
    <s v="Notebook"/>
    <n v="4"/>
    <n v="37295"/>
    <n v="0.2"/>
    <n v="119344"/>
    <n v="13327.48"/>
    <x v="3"/>
    <x v="0"/>
    <x v="0"/>
  </r>
  <r>
    <s v="ORD00455"/>
    <s v="2024-04-26"/>
    <x v="34"/>
    <x v="14"/>
    <x v="2"/>
    <s v="Dress"/>
    <n v="8"/>
    <n v="8263"/>
    <n v="0.05"/>
    <n v="62798.8"/>
    <n v="7366.83"/>
    <x v="0"/>
    <x v="2"/>
    <x v="0"/>
  </r>
  <r>
    <s v="ORD00456"/>
    <s v="2023-05-03"/>
    <x v="44"/>
    <x v="4"/>
    <x v="0"/>
    <s v="Stool"/>
    <n v="5"/>
    <n v="12673"/>
    <n v="0.05"/>
    <n v="60196.75"/>
    <n v="16117.12"/>
    <x v="3"/>
    <x v="6"/>
    <x v="1"/>
  </r>
  <r>
    <s v="ORD00457"/>
    <s v="2023-02-17"/>
    <x v="6"/>
    <x v="0"/>
    <x v="0"/>
    <s v="Chair"/>
    <n v="8"/>
    <n v="23501"/>
    <n v="0.15"/>
    <n v="159806.79999999999"/>
    <n v="20555.830000000002"/>
    <x v="2"/>
    <x v="11"/>
    <x v="1"/>
  </r>
  <r>
    <s v="ORD00458"/>
    <s v="2023-04-14"/>
    <x v="2"/>
    <x v="24"/>
    <x v="2"/>
    <s v="T-Shirt"/>
    <n v="15"/>
    <n v="17463"/>
    <n v="0.1"/>
    <n v="235750.5"/>
    <n v="25399.41"/>
    <x v="0"/>
    <x v="2"/>
    <x v="1"/>
  </r>
  <r>
    <s v="ORD00459"/>
    <s v="2023-06-13"/>
    <x v="2"/>
    <x v="4"/>
    <x v="0"/>
    <s v="Stool"/>
    <n v="8"/>
    <n v="20993"/>
    <n v="0.1"/>
    <n v="151149.6"/>
    <n v="40631.870000000003"/>
    <x v="3"/>
    <x v="5"/>
    <x v="1"/>
  </r>
  <r>
    <s v="ORD00460"/>
    <s v="2023-07-15"/>
    <x v="0"/>
    <x v="8"/>
    <x v="2"/>
    <s v="Sweater"/>
    <n v="5"/>
    <n v="55866"/>
    <n v="0.05"/>
    <n v="265363.5"/>
    <n v="25339.66"/>
    <x v="1"/>
    <x v="1"/>
    <x v="1"/>
  </r>
  <r>
    <s v="ORD00461"/>
    <s v="2024-02-10"/>
    <x v="34"/>
    <x v="12"/>
    <x v="1"/>
    <s v="Headphones"/>
    <n v="11"/>
    <n v="18000"/>
    <n v="0.05"/>
    <n v="188100"/>
    <n v="25885.19"/>
    <x v="1"/>
    <x v="11"/>
    <x v="0"/>
  </r>
  <r>
    <s v="ORD00462"/>
    <s v="2023-10-16"/>
    <x v="25"/>
    <x v="20"/>
    <x v="1"/>
    <s v="Tablet"/>
    <n v="4"/>
    <n v="41172"/>
    <n v="0.15"/>
    <n v="139984.79999999999"/>
    <n v="18735.8"/>
    <x v="2"/>
    <x v="0"/>
    <x v="1"/>
  </r>
  <r>
    <s v="ORD00463"/>
    <s v="2024-04-04"/>
    <x v="39"/>
    <x v="5"/>
    <x v="0"/>
    <s v="Cupboard"/>
    <n v="13"/>
    <n v="38233"/>
    <n v="0"/>
    <n v="497029"/>
    <n v="124100.74"/>
    <x v="0"/>
    <x v="2"/>
    <x v="0"/>
  </r>
  <r>
    <s v="ORD00464"/>
    <s v="2024-04-14"/>
    <x v="35"/>
    <x v="3"/>
    <x v="3"/>
    <s v="Stapler"/>
    <n v="12"/>
    <n v="52222"/>
    <n v="0.1"/>
    <n v="563997.6"/>
    <n v="81464.42"/>
    <x v="0"/>
    <x v="2"/>
    <x v="0"/>
  </r>
  <r>
    <s v="ORD00465"/>
    <s v="2023-12-08"/>
    <x v="25"/>
    <x v="5"/>
    <x v="0"/>
    <s v="Cupboard"/>
    <n v="13"/>
    <n v="37681"/>
    <n v="0.15"/>
    <n v="416375.05"/>
    <n v="63812.86"/>
    <x v="1"/>
    <x v="9"/>
    <x v="1"/>
  </r>
  <r>
    <s v="ORD00466"/>
    <s v="2023-07-26"/>
    <x v="44"/>
    <x v="10"/>
    <x v="3"/>
    <s v="Marker"/>
    <n v="3"/>
    <n v="3085"/>
    <n v="0"/>
    <n v="9255"/>
    <n v="755.51"/>
    <x v="0"/>
    <x v="1"/>
    <x v="1"/>
  </r>
  <r>
    <s v="ORD00467"/>
    <s v="2023-11-16"/>
    <x v="41"/>
    <x v="3"/>
    <x v="3"/>
    <s v="Stapler"/>
    <n v="4"/>
    <n v="14637"/>
    <n v="0.15"/>
    <n v="49765.8"/>
    <n v="4930.3500000000004"/>
    <x v="3"/>
    <x v="4"/>
    <x v="1"/>
  </r>
  <r>
    <s v="ORD00468"/>
    <s v="2023-05-14"/>
    <x v="41"/>
    <x v="8"/>
    <x v="2"/>
    <s v="Sweater"/>
    <n v="13"/>
    <n v="57659"/>
    <n v="0.2"/>
    <n v="599653.6"/>
    <n v="140754.32"/>
    <x v="3"/>
    <x v="6"/>
    <x v="1"/>
  </r>
  <r>
    <s v="ORD00469"/>
    <s v="2024-09-12"/>
    <x v="10"/>
    <x v="5"/>
    <x v="0"/>
    <s v="Cupboard"/>
    <n v="7"/>
    <n v="19896"/>
    <n v="0.15"/>
    <n v="118381.2"/>
    <n v="30069.16"/>
    <x v="3"/>
    <x v="10"/>
    <x v="0"/>
  </r>
  <r>
    <s v="ORD00470"/>
    <s v="2024-01-05"/>
    <x v="42"/>
    <x v="13"/>
    <x v="2"/>
    <s v="Jacket"/>
    <n v="12"/>
    <n v="2077"/>
    <n v="0.1"/>
    <n v="22431.599999999999"/>
    <n v="4077.62"/>
    <x v="3"/>
    <x v="3"/>
    <x v="0"/>
  </r>
  <r>
    <s v="ORD00471"/>
    <s v="2023-03-20"/>
    <x v="5"/>
    <x v="23"/>
    <x v="0"/>
    <s v="Desk"/>
    <n v="13"/>
    <n v="48881"/>
    <n v="0"/>
    <n v="635453"/>
    <n v="132325.41"/>
    <x v="2"/>
    <x v="7"/>
    <x v="1"/>
  </r>
  <r>
    <s v="ORD00472"/>
    <s v="2024-03-26"/>
    <x v="40"/>
    <x v="6"/>
    <x v="2"/>
    <s v="Jeans"/>
    <n v="3"/>
    <n v="1910"/>
    <n v="0.05"/>
    <n v="5443.5"/>
    <n v="951.81"/>
    <x v="3"/>
    <x v="7"/>
    <x v="0"/>
  </r>
  <r>
    <s v="ORD00473"/>
    <s v="2023-03-04"/>
    <x v="25"/>
    <x v="5"/>
    <x v="0"/>
    <s v="Cupboard"/>
    <n v="7"/>
    <n v="26649"/>
    <n v="0.1"/>
    <n v="167888.7"/>
    <n v="13935.81"/>
    <x v="3"/>
    <x v="7"/>
    <x v="1"/>
  </r>
  <r>
    <s v="ORD00474"/>
    <s v="2024-09-28"/>
    <x v="18"/>
    <x v="27"/>
    <x v="3"/>
    <s v="File"/>
    <n v="11"/>
    <n v="12187"/>
    <n v="0.2"/>
    <n v="107245.6"/>
    <n v="15926.22"/>
    <x v="3"/>
    <x v="10"/>
    <x v="0"/>
  </r>
  <r>
    <s v="ORD00475"/>
    <s v="2024-06-01"/>
    <x v="37"/>
    <x v="3"/>
    <x v="3"/>
    <s v="Stapler"/>
    <n v="11"/>
    <n v="40215"/>
    <n v="0.15"/>
    <n v="376010.25"/>
    <n v="47842.98"/>
    <x v="2"/>
    <x v="5"/>
    <x v="0"/>
  </r>
  <r>
    <s v="ORD00476"/>
    <s v="2023-05-26"/>
    <x v="47"/>
    <x v="13"/>
    <x v="2"/>
    <s v="Jacket"/>
    <n v="15"/>
    <n v="28206"/>
    <n v="0"/>
    <n v="423090"/>
    <n v="96715.75"/>
    <x v="1"/>
    <x v="6"/>
    <x v="1"/>
  </r>
  <r>
    <s v="ORD00477"/>
    <s v="2024-08-17"/>
    <x v="32"/>
    <x v="6"/>
    <x v="2"/>
    <s v="Jeans"/>
    <n v="14"/>
    <n v="53882"/>
    <n v="0"/>
    <n v="754348"/>
    <n v="202172.24"/>
    <x v="3"/>
    <x v="8"/>
    <x v="0"/>
  </r>
  <r>
    <s v="ORD00478"/>
    <s v="2023-04-10"/>
    <x v="18"/>
    <x v="4"/>
    <x v="0"/>
    <s v="Stool"/>
    <n v="5"/>
    <n v="56253"/>
    <n v="0.15"/>
    <n v="239075.25"/>
    <n v="21199.08"/>
    <x v="3"/>
    <x v="2"/>
    <x v="1"/>
  </r>
  <r>
    <s v="ORD00479"/>
    <s v="2023-09-30"/>
    <x v="7"/>
    <x v="0"/>
    <x v="0"/>
    <s v="Chair"/>
    <n v="15"/>
    <n v="51139"/>
    <n v="0"/>
    <n v="767085"/>
    <n v="71996.72"/>
    <x v="2"/>
    <x v="10"/>
    <x v="1"/>
  </r>
  <r>
    <s v="ORD00480"/>
    <s v="2023-04-24"/>
    <x v="11"/>
    <x v="22"/>
    <x v="1"/>
    <s v="Camera"/>
    <n v="2"/>
    <n v="59717"/>
    <n v="0"/>
    <n v="119434"/>
    <n v="18355.25"/>
    <x v="1"/>
    <x v="2"/>
    <x v="1"/>
  </r>
  <r>
    <s v="ORD00481"/>
    <s v="2023-02-04"/>
    <x v="1"/>
    <x v="24"/>
    <x v="2"/>
    <s v="T-Shirt"/>
    <n v="13"/>
    <n v="4140"/>
    <n v="0.15"/>
    <n v="45747"/>
    <n v="10319.74"/>
    <x v="3"/>
    <x v="11"/>
    <x v="1"/>
  </r>
  <r>
    <s v="ORD00482"/>
    <s v="2024-05-06"/>
    <x v="10"/>
    <x v="4"/>
    <x v="0"/>
    <s v="Stool"/>
    <n v="15"/>
    <n v="28086"/>
    <n v="0.2"/>
    <n v="337032"/>
    <n v="39689.269999999997"/>
    <x v="0"/>
    <x v="6"/>
    <x v="0"/>
  </r>
  <r>
    <s v="ORD00483"/>
    <s v="2023-07-07"/>
    <x v="21"/>
    <x v="3"/>
    <x v="3"/>
    <s v="Stapler"/>
    <n v="6"/>
    <n v="39177"/>
    <n v="0.15"/>
    <n v="199802.7"/>
    <n v="57484.15"/>
    <x v="0"/>
    <x v="1"/>
    <x v="1"/>
  </r>
  <r>
    <s v="ORD00484"/>
    <s v="2023-12-20"/>
    <x v="6"/>
    <x v="14"/>
    <x v="2"/>
    <s v="Dress"/>
    <n v="3"/>
    <n v="23230"/>
    <n v="0.15"/>
    <n v="59236.5"/>
    <n v="4755.42"/>
    <x v="2"/>
    <x v="9"/>
    <x v="1"/>
  </r>
  <r>
    <s v="ORD00485"/>
    <s v="2023-11-17"/>
    <x v="40"/>
    <x v="14"/>
    <x v="2"/>
    <s v="Dress"/>
    <n v="3"/>
    <n v="33309"/>
    <n v="0.15"/>
    <n v="84937.95"/>
    <n v="10350.44"/>
    <x v="0"/>
    <x v="4"/>
    <x v="1"/>
  </r>
  <r>
    <s v="ORD00486"/>
    <s v="2024-03-23"/>
    <x v="22"/>
    <x v="6"/>
    <x v="2"/>
    <s v="Jeans"/>
    <n v="14"/>
    <n v="17555"/>
    <n v="0.05"/>
    <n v="233481.5"/>
    <n v="59381.21"/>
    <x v="3"/>
    <x v="7"/>
    <x v="0"/>
  </r>
  <r>
    <s v="ORD00487"/>
    <s v="2024-09-20"/>
    <x v="37"/>
    <x v="23"/>
    <x v="0"/>
    <s v="Desk"/>
    <n v="4"/>
    <n v="3975"/>
    <n v="0.15"/>
    <n v="13515"/>
    <n v="1743.75"/>
    <x v="3"/>
    <x v="10"/>
    <x v="0"/>
  </r>
  <r>
    <s v="ORD00488"/>
    <s v="2024-05-01"/>
    <x v="42"/>
    <x v="13"/>
    <x v="2"/>
    <s v="Jacket"/>
    <n v="6"/>
    <n v="57055"/>
    <n v="0.1"/>
    <n v="308097"/>
    <n v="60344.33"/>
    <x v="3"/>
    <x v="6"/>
    <x v="0"/>
  </r>
  <r>
    <s v="ORD00489"/>
    <s v="2023-12-25"/>
    <x v="22"/>
    <x v="3"/>
    <x v="3"/>
    <s v="Stapler"/>
    <n v="10"/>
    <n v="17626"/>
    <n v="0.05"/>
    <n v="167447"/>
    <n v="42000.36"/>
    <x v="3"/>
    <x v="9"/>
    <x v="1"/>
  </r>
  <r>
    <s v="ORD00490"/>
    <s v="2024-04-08"/>
    <x v="32"/>
    <x v="1"/>
    <x v="1"/>
    <s v="Mobile"/>
    <n v="3"/>
    <n v="30860"/>
    <n v="0.15"/>
    <n v="78693"/>
    <n v="23256.54"/>
    <x v="1"/>
    <x v="2"/>
    <x v="0"/>
  </r>
  <r>
    <s v="ORD00491"/>
    <s v="2023-06-12"/>
    <x v="41"/>
    <x v="4"/>
    <x v="0"/>
    <s v="Stool"/>
    <n v="12"/>
    <n v="34023"/>
    <n v="0.2"/>
    <n v="326620.79999999999"/>
    <n v="44337.3"/>
    <x v="3"/>
    <x v="5"/>
    <x v="1"/>
  </r>
  <r>
    <s v="ORD00492"/>
    <s v="2023-06-10"/>
    <x v="28"/>
    <x v="25"/>
    <x v="3"/>
    <s v="Notebook"/>
    <n v="12"/>
    <n v="28223"/>
    <n v="0.05"/>
    <n v="321742.2"/>
    <n v="48928.51"/>
    <x v="2"/>
    <x v="5"/>
    <x v="1"/>
  </r>
  <r>
    <s v="ORD00493"/>
    <s v="2023-11-25"/>
    <x v="22"/>
    <x v="12"/>
    <x v="1"/>
    <s v="Headphones"/>
    <n v="2"/>
    <n v="45252"/>
    <n v="0"/>
    <n v="90504"/>
    <n v="24756.73"/>
    <x v="1"/>
    <x v="4"/>
    <x v="1"/>
  </r>
  <r>
    <s v="ORD00494"/>
    <s v="2023-10-28"/>
    <x v="4"/>
    <x v="4"/>
    <x v="0"/>
    <s v="Stool"/>
    <n v="9"/>
    <n v="51228"/>
    <n v="0"/>
    <n v="461052"/>
    <n v="106982.73"/>
    <x v="2"/>
    <x v="0"/>
    <x v="1"/>
  </r>
  <r>
    <s v="ORD00495"/>
    <s v="2024-04-28"/>
    <x v="22"/>
    <x v="23"/>
    <x v="0"/>
    <s v="Desk"/>
    <n v="13"/>
    <n v="12195"/>
    <n v="0.15"/>
    <n v="134754.75"/>
    <n v="31697.08"/>
    <x v="1"/>
    <x v="2"/>
    <x v="0"/>
  </r>
  <r>
    <s v="ORD00496"/>
    <s v="2023-06-08"/>
    <x v="1"/>
    <x v="3"/>
    <x v="3"/>
    <s v="Stapler"/>
    <n v="13"/>
    <n v="2749"/>
    <n v="0.2"/>
    <n v="28589.599999999999"/>
    <n v="8514.25"/>
    <x v="1"/>
    <x v="5"/>
    <x v="1"/>
  </r>
  <r>
    <s v="ORD00497"/>
    <s v="2024-03-23"/>
    <x v="2"/>
    <x v="6"/>
    <x v="2"/>
    <s v="Jeans"/>
    <n v="15"/>
    <n v="35137"/>
    <n v="0"/>
    <n v="527055"/>
    <n v="130324.78"/>
    <x v="1"/>
    <x v="7"/>
    <x v="0"/>
  </r>
  <r>
    <s v="ORD00498"/>
    <s v="2023-06-07"/>
    <x v="26"/>
    <x v="4"/>
    <x v="0"/>
    <s v="Stool"/>
    <n v="4"/>
    <n v="11962"/>
    <n v="0.05"/>
    <n v="45455.6"/>
    <n v="11367.73"/>
    <x v="0"/>
    <x v="5"/>
    <x v="1"/>
  </r>
  <r>
    <s v="ORD00499"/>
    <s v="2024-08-03"/>
    <x v="9"/>
    <x v="15"/>
    <x v="0"/>
    <s v="Sofa"/>
    <n v="2"/>
    <n v="12703"/>
    <n v="0.05"/>
    <n v="24135.7"/>
    <n v="4381.66"/>
    <x v="2"/>
    <x v="8"/>
    <x v="0"/>
  </r>
  <r>
    <s v="ORD00500"/>
    <s v="2024-06-09"/>
    <x v="2"/>
    <x v="0"/>
    <x v="0"/>
    <s v="Chair"/>
    <n v="15"/>
    <n v="32601"/>
    <n v="0.15"/>
    <n v="415662.75"/>
    <n v="99087.08"/>
    <x v="0"/>
    <x v="5"/>
    <x v="0"/>
  </r>
  <r>
    <s v="ORD00501"/>
    <s v="2023-12-28"/>
    <x v="8"/>
    <x v="13"/>
    <x v="2"/>
    <s v="Jacket"/>
    <n v="1"/>
    <n v="40250"/>
    <n v="0.15"/>
    <n v="34212.5"/>
    <n v="4072.52"/>
    <x v="1"/>
    <x v="9"/>
    <x v="1"/>
  </r>
  <r>
    <s v="ORD00502"/>
    <s v="2023-01-27"/>
    <x v="4"/>
    <x v="18"/>
    <x v="0"/>
    <s v="Table"/>
    <n v="3"/>
    <n v="42382"/>
    <n v="0.15"/>
    <n v="108074.1"/>
    <n v="20345.46"/>
    <x v="1"/>
    <x v="3"/>
    <x v="1"/>
  </r>
  <r>
    <s v="ORD00503"/>
    <s v="2024-06-26"/>
    <x v="12"/>
    <x v="13"/>
    <x v="2"/>
    <s v="Jacket"/>
    <n v="8"/>
    <n v="4398"/>
    <n v="0.05"/>
    <n v="33424.800000000003"/>
    <n v="2917.34"/>
    <x v="3"/>
    <x v="5"/>
    <x v="0"/>
  </r>
  <r>
    <s v="ORD00504"/>
    <s v="2023-10-11"/>
    <x v="13"/>
    <x v="18"/>
    <x v="0"/>
    <s v="Table"/>
    <n v="3"/>
    <n v="47871"/>
    <n v="0.1"/>
    <n v="129251.7"/>
    <n v="21475.29"/>
    <x v="0"/>
    <x v="0"/>
    <x v="1"/>
  </r>
  <r>
    <s v="ORD00505"/>
    <s v="2024-07-30"/>
    <x v="19"/>
    <x v="0"/>
    <x v="0"/>
    <s v="Chair"/>
    <n v="11"/>
    <n v="23297"/>
    <n v="0.05"/>
    <n v="243453.65"/>
    <n v="53656.83"/>
    <x v="1"/>
    <x v="1"/>
    <x v="0"/>
  </r>
  <r>
    <s v="ORD00506"/>
    <s v="2024-08-12"/>
    <x v="39"/>
    <x v="10"/>
    <x v="3"/>
    <s v="Marker"/>
    <n v="12"/>
    <n v="4354"/>
    <n v="0.05"/>
    <n v="49635.6"/>
    <n v="7932.79"/>
    <x v="0"/>
    <x v="8"/>
    <x v="0"/>
  </r>
  <r>
    <s v="ORD00507"/>
    <s v="2024-05-15"/>
    <x v="0"/>
    <x v="21"/>
    <x v="1"/>
    <s v="Laptop"/>
    <n v="5"/>
    <n v="4017"/>
    <n v="0"/>
    <n v="20085"/>
    <n v="4742.83"/>
    <x v="3"/>
    <x v="6"/>
    <x v="0"/>
  </r>
  <r>
    <s v="ORD00508"/>
    <s v="2023-10-23"/>
    <x v="21"/>
    <x v="11"/>
    <x v="3"/>
    <s v="Printer"/>
    <n v="11"/>
    <n v="27647"/>
    <n v="0.1"/>
    <n v="273705.3"/>
    <n v="80526.97"/>
    <x v="2"/>
    <x v="0"/>
    <x v="1"/>
  </r>
  <r>
    <s v="ORD00509"/>
    <s v="2024-10-03"/>
    <x v="46"/>
    <x v="17"/>
    <x v="1"/>
    <s v="Power Bank"/>
    <n v="13"/>
    <n v="14375"/>
    <n v="0.05"/>
    <n v="177531.25"/>
    <n v="42593.34"/>
    <x v="1"/>
    <x v="0"/>
    <x v="0"/>
  </r>
  <r>
    <s v="ORD00510"/>
    <s v="2023-10-18"/>
    <x v="9"/>
    <x v="26"/>
    <x v="3"/>
    <s v="Paper Ream"/>
    <n v="13"/>
    <n v="2826"/>
    <n v="0.15"/>
    <n v="31227.3"/>
    <n v="7064.63"/>
    <x v="0"/>
    <x v="0"/>
    <x v="1"/>
  </r>
  <r>
    <s v="ORD00511"/>
    <s v="2024-10-02"/>
    <x v="0"/>
    <x v="14"/>
    <x v="2"/>
    <s v="Dress"/>
    <n v="10"/>
    <n v="39288"/>
    <n v="0.2"/>
    <n v="314304"/>
    <n v="80128.789999999994"/>
    <x v="0"/>
    <x v="0"/>
    <x v="0"/>
  </r>
  <r>
    <s v="ORD00512"/>
    <s v="2024-01-17"/>
    <x v="28"/>
    <x v="10"/>
    <x v="3"/>
    <s v="Marker"/>
    <n v="13"/>
    <n v="58121"/>
    <n v="0.15"/>
    <n v="642237.05000000005"/>
    <n v="151165.57999999999"/>
    <x v="2"/>
    <x v="3"/>
    <x v="0"/>
  </r>
  <r>
    <s v="ORD00513"/>
    <s v="2023-02-13"/>
    <x v="5"/>
    <x v="19"/>
    <x v="1"/>
    <s v="Smartwatch"/>
    <n v="11"/>
    <n v="29606"/>
    <n v="0.1"/>
    <n v="293099.40000000002"/>
    <n v="85523.75"/>
    <x v="2"/>
    <x v="11"/>
    <x v="1"/>
  </r>
  <r>
    <s v="ORD00514"/>
    <s v="2023-11-20"/>
    <x v="15"/>
    <x v="21"/>
    <x v="1"/>
    <s v="Laptop"/>
    <n v="4"/>
    <n v="51389"/>
    <n v="0.05"/>
    <n v="195278.2"/>
    <n v="55377.83"/>
    <x v="0"/>
    <x v="4"/>
    <x v="1"/>
  </r>
  <r>
    <s v="ORD00515"/>
    <s v="2024-08-30"/>
    <x v="35"/>
    <x v="5"/>
    <x v="0"/>
    <s v="Cupboard"/>
    <n v="14"/>
    <n v="8188"/>
    <n v="0.05"/>
    <n v="108900.4"/>
    <n v="24220.2"/>
    <x v="3"/>
    <x v="8"/>
    <x v="0"/>
  </r>
  <r>
    <s v="ORD00516"/>
    <s v="2024-06-11"/>
    <x v="7"/>
    <x v="12"/>
    <x v="1"/>
    <s v="Headphones"/>
    <n v="6"/>
    <n v="14463"/>
    <n v="0.2"/>
    <n v="69422.399999999994"/>
    <n v="16445.41"/>
    <x v="1"/>
    <x v="5"/>
    <x v="0"/>
  </r>
  <r>
    <s v="ORD00517"/>
    <s v="2024-11-14"/>
    <x v="17"/>
    <x v="21"/>
    <x v="1"/>
    <s v="Laptop"/>
    <n v="3"/>
    <n v="7834"/>
    <n v="0.15"/>
    <n v="19976.7"/>
    <n v="3719.02"/>
    <x v="3"/>
    <x v="4"/>
    <x v="0"/>
  </r>
  <r>
    <s v="ORD00518"/>
    <s v="2024-07-18"/>
    <x v="18"/>
    <x v="15"/>
    <x v="0"/>
    <s v="Sofa"/>
    <n v="9"/>
    <n v="50964"/>
    <n v="0.1"/>
    <n v="412808.4"/>
    <n v="69549.72"/>
    <x v="2"/>
    <x v="1"/>
    <x v="0"/>
  </r>
  <r>
    <s v="ORD00519"/>
    <s v="2024-06-19"/>
    <x v="13"/>
    <x v="14"/>
    <x v="2"/>
    <s v="Dress"/>
    <n v="3"/>
    <n v="12188"/>
    <n v="0.05"/>
    <n v="34735.800000000003"/>
    <n v="6742.43"/>
    <x v="0"/>
    <x v="5"/>
    <x v="0"/>
  </r>
  <r>
    <s v="ORD00520"/>
    <s v="2024-01-25"/>
    <x v="2"/>
    <x v="26"/>
    <x v="3"/>
    <s v="Paper Ream"/>
    <n v="10"/>
    <n v="44463"/>
    <n v="0.15"/>
    <n v="377935.5"/>
    <n v="88184.47"/>
    <x v="3"/>
    <x v="3"/>
    <x v="0"/>
  </r>
  <r>
    <s v="ORD00521"/>
    <s v="2024-10-11"/>
    <x v="1"/>
    <x v="1"/>
    <x v="1"/>
    <s v="Mobile"/>
    <n v="10"/>
    <n v="34531"/>
    <n v="0.1"/>
    <n v="310779"/>
    <n v="39672.19"/>
    <x v="3"/>
    <x v="0"/>
    <x v="0"/>
  </r>
  <r>
    <s v="ORD00522"/>
    <s v="2023-07-12"/>
    <x v="7"/>
    <x v="27"/>
    <x v="3"/>
    <s v="File"/>
    <n v="7"/>
    <n v="49078"/>
    <n v="0.15"/>
    <n v="292014.09999999998"/>
    <n v="75885.710000000006"/>
    <x v="1"/>
    <x v="1"/>
    <x v="1"/>
  </r>
  <r>
    <s v="ORD00523"/>
    <s v="2024-07-29"/>
    <x v="47"/>
    <x v="26"/>
    <x v="3"/>
    <s v="Paper Ream"/>
    <n v="6"/>
    <n v="13540"/>
    <n v="0.1"/>
    <n v="73116"/>
    <n v="17889.009999999998"/>
    <x v="0"/>
    <x v="1"/>
    <x v="0"/>
  </r>
  <r>
    <s v="ORD00524"/>
    <s v="2024-02-06"/>
    <x v="48"/>
    <x v="2"/>
    <x v="2"/>
    <s v="Shoes"/>
    <n v="9"/>
    <n v="22525"/>
    <n v="0.1"/>
    <n v="182452.5"/>
    <n v="14735.79"/>
    <x v="0"/>
    <x v="11"/>
    <x v="0"/>
  </r>
  <r>
    <s v="ORD00525"/>
    <s v="2024-11-10"/>
    <x v="24"/>
    <x v="3"/>
    <x v="3"/>
    <s v="Stapler"/>
    <n v="5"/>
    <n v="57831"/>
    <n v="0"/>
    <n v="289155"/>
    <n v="62409.51"/>
    <x v="0"/>
    <x v="4"/>
    <x v="0"/>
  </r>
  <r>
    <s v="ORD00526"/>
    <s v="2024-08-22"/>
    <x v="28"/>
    <x v="6"/>
    <x v="2"/>
    <s v="Jeans"/>
    <n v="4"/>
    <n v="5328"/>
    <n v="0.15"/>
    <n v="18115.2"/>
    <n v="3851.35"/>
    <x v="2"/>
    <x v="8"/>
    <x v="0"/>
  </r>
  <r>
    <s v="ORD00527"/>
    <s v="2023-06-06"/>
    <x v="48"/>
    <x v="25"/>
    <x v="3"/>
    <s v="Notebook"/>
    <n v="10"/>
    <n v="4164"/>
    <n v="0.15"/>
    <n v="35394"/>
    <n v="6360.1"/>
    <x v="2"/>
    <x v="5"/>
    <x v="1"/>
  </r>
  <r>
    <s v="ORD00528"/>
    <s v="2024-09-17"/>
    <x v="7"/>
    <x v="20"/>
    <x v="1"/>
    <s v="Tablet"/>
    <n v="10"/>
    <n v="37026"/>
    <n v="0.1"/>
    <n v="333234"/>
    <n v="95372.82"/>
    <x v="3"/>
    <x v="10"/>
    <x v="0"/>
  </r>
  <r>
    <s v="ORD00529"/>
    <s v="2024-02-27"/>
    <x v="26"/>
    <x v="8"/>
    <x v="2"/>
    <s v="Sweater"/>
    <n v="1"/>
    <n v="5789"/>
    <n v="0.2"/>
    <n v="4631.2"/>
    <n v="1063.72"/>
    <x v="3"/>
    <x v="11"/>
    <x v="0"/>
  </r>
  <r>
    <s v="ORD00530"/>
    <s v="2024-08-30"/>
    <x v="17"/>
    <x v="2"/>
    <x v="2"/>
    <s v="Shoes"/>
    <n v="15"/>
    <n v="39688"/>
    <n v="0.2"/>
    <n v="476256"/>
    <n v="38486.83"/>
    <x v="3"/>
    <x v="8"/>
    <x v="0"/>
  </r>
  <r>
    <s v="ORD00531"/>
    <s v="2023-03-19"/>
    <x v="34"/>
    <x v="1"/>
    <x v="1"/>
    <s v="Mobile"/>
    <n v="12"/>
    <n v="14156"/>
    <n v="0.15"/>
    <n v="144391.20000000001"/>
    <n v="40618.980000000003"/>
    <x v="3"/>
    <x v="7"/>
    <x v="1"/>
  </r>
  <r>
    <s v="ORD00532"/>
    <s v="2024-10-19"/>
    <x v="10"/>
    <x v="10"/>
    <x v="3"/>
    <s v="Marker"/>
    <n v="6"/>
    <n v="32114"/>
    <n v="0.15"/>
    <n v="163781.4"/>
    <n v="41572.47"/>
    <x v="1"/>
    <x v="0"/>
    <x v="0"/>
  </r>
  <r>
    <s v="ORD00533"/>
    <s v="2024-02-01"/>
    <x v="40"/>
    <x v="10"/>
    <x v="3"/>
    <s v="Marker"/>
    <n v="5"/>
    <n v="52917"/>
    <n v="0.2"/>
    <n v="211668"/>
    <n v="30459.93"/>
    <x v="3"/>
    <x v="11"/>
    <x v="0"/>
  </r>
  <r>
    <s v="ORD00534"/>
    <s v="2024-06-26"/>
    <x v="31"/>
    <x v="22"/>
    <x v="1"/>
    <s v="Camera"/>
    <n v="9"/>
    <n v="18325"/>
    <n v="0"/>
    <n v="164925"/>
    <n v="32469.17"/>
    <x v="1"/>
    <x v="5"/>
    <x v="0"/>
  </r>
  <r>
    <s v="ORD00535"/>
    <s v="2024-02-23"/>
    <x v="44"/>
    <x v="0"/>
    <x v="0"/>
    <s v="Chair"/>
    <n v="4"/>
    <n v="3160"/>
    <n v="0"/>
    <n v="12640"/>
    <n v="2019.51"/>
    <x v="2"/>
    <x v="11"/>
    <x v="0"/>
  </r>
  <r>
    <s v="ORD00536"/>
    <s v="2024-11-13"/>
    <x v="46"/>
    <x v="18"/>
    <x v="0"/>
    <s v="Table"/>
    <n v="10"/>
    <n v="34421"/>
    <n v="0.2"/>
    <n v="275368"/>
    <n v="62251.1"/>
    <x v="1"/>
    <x v="4"/>
    <x v="0"/>
  </r>
  <r>
    <s v="ORD00537"/>
    <s v="2024-02-18"/>
    <x v="32"/>
    <x v="12"/>
    <x v="1"/>
    <s v="Headphones"/>
    <n v="15"/>
    <n v="53415"/>
    <n v="0.15"/>
    <n v="681041.25"/>
    <n v="168401.14"/>
    <x v="0"/>
    <x v="11"/>
    <x v="0"/>
  </r>
  <r>
    <s v="ORD00538"/>
    <s v="2023-09-28"/>
    <x v="10"/>
    <x v="13"/>
    <x v="2"/>
    <s v="Jacket"/>
    <n v="6"/>
    <n v="25087"/>
    <n v="0.05"/>
    <n v="142995.9"/>
    <n v="15615.18"/>
    <x v="0"/>
    <x v="10"/>
    <x v="1"/>
  </r>
  <r>
    <s v="ORD00539"/>
    <s v="2024-06-21"/>
    <x v="36"/>
    <x v="26"/>
    <x v="3"/>
    <s v="Paper Ream"/>
    <n v="1"/>
    <n v="22564"/>
    <n v="0"/>
    <n v="22564"/>
    <n v="5526.91"/>
    <x v="0"/>
    <x v="5"/>
    <x v="0"/>
  </r>
  <r>
    <s v="ORD00540"/>
    <s v="2024-06-27"/>
    <x v="25"/>
    <x v="22"/>
    <x v="1"/>
    <s v="Camera"/>
    <n v="6"/>
    <n v="31082"/>
    <n v="0"/>
    <n v="186492"/>
    <n v="42432.75"/>
    <x v="0"/>
    <x v="5"/>
    <x v="0"/>
  </r>
  <r>
    <s v="ORD00541"/>
    <s v="2023-06-24"/>
    <x v="41"/>
    <x v="25"/>
    <x v="3"/>
    <s v="Notebook"/>
    <n v="13"/>
    <n v="45818"/>
    <n v="0.05"/>
    <n v="565852.30000000005"/>
    <n v="104273.87"/>
    <x v="3"/>
    <x v="5"/>
    <x v="1"/>
  </r>
  <r>
    <s v="ORD00542"/>
    <s v="2023-05-06"/>
    <x v="38"/>
    <x v="24"/>
    <x v="2"/>
    <s v="T-Shirt"/>
    <n v="7"/>
    <n v="26692"/>
    <n v="0"/>
    <n v="186844"/>
    <n v="30561.42"/>
    <x v="1"/>
    <x v="6"/>
    <x v="1"/>
  </r>
  <r>
    <s v="ORD00543"/>
    <s v="2024-06-04"/>
    <x v="39"/>
    <x v="15"/>
    <x v="0"/>
    <s v="Sofa"/>
    <n v="3"/>
    <n v="13313"/>
    <n v="0.2"/>
    <n v="31951.200000000001"/>
    <n v="8633.7000000000007"/>
    <x v="0"/>
    <x v="5"/>
    <x v="0"/>
  </r>
  <r>
    <s v="ORD00544"/>
    <s v="2023-08-11"/>
    <x v="18"/>
    <x v="23"/>
    <x v="0"/>
    <s v="Desk"/>
    <n v="11"/>
    <n v="38188"/>
    <n v="0"/>
    <n v="420068"/>
    <n v="57118.53"/>
    <x v="3"/>
    <x v="8"/>
    <x v="1"/>
  </r>
  <r>
    <s v="ORD00545"/>
    <s v="2023-04-06"/>
    <x v="31"/>
    <x v="12"/>
    <x v="1"/>
    <s v="Headphones"/>
    <n v="4"/>
    <n v="1546"/>
    <n v="0.05"/>
    <n v="5874.8"/>
    <n v="1584.34"/>
    <x v="1"/>
    <x v="2"/>
    <x v="1"/>
  </r>
  <r>
    <s v="ORD00546"/>
    <s v="2023-12-22"/>
    <x v="6"/>
    <x v="15"/>
    <x v="0"/>
    <s v="Sofa"/>
    <n v="8"/>
    <n v="21404"/>
    <n v="0.2"/>
    <n v="136985.60000000001"/>
    <n v="33709.589999999997"/>
    <x v="3"/>
    <x v="9"/>
    <x v="1"/>
  </r>
  <r>
    <s v="ORD00547"/>
    <s v="2024-05-11"/>
    <x v="39"/>
    <x v="15"/>
    <x v="0"/>
    <s v="Sofa"/>
    <n v="1"/>
    <n v="33447"/>
    <n v="0"/>
    <n v="33447"/>
    <n v="2972.09"/>
    <x v="0"/>
    <x v="6"/>
    <x v="0"/>
  </r>
  <r>
    <s v="ORD00548"/>
    <s v="2024-07-05"/>
    <x v="49"/>
    <x v="2"/>
    <x v="2"/>
    <s v="Shoes"/>
    <n v="14"/>
    <n v="51843"/>
    <n v="0.1"/>
    <n v="653221.80000000005"/>
    <n v="106327.55"/>
    <x v="0"/>
    <x v="1"/>
    <x v="0"/>
  </r>
  <r>
    <s v="ORD00549"/>
    <s v="2023-09-17"/>
    <x v="45"/>
    <x v="18"/>
    <x v="0"/>
    <s v="Table"/>
    <n v="7"/>
    <n v="23218"/>
    <n v="0.1"/>
    <n v="146273.4"/>
    <n v="41471.339999999997"/>
    <x v="1"/>
    <x v="10"/>
    <x v="1"/>
  </r>
  <r>
    <s v="ORD00550"/>
    <s v="2023-08-15"/>
    <x v="45"/>
    <x v="7"/>
    <x v="0"/>
    <s v="Bed"/>
    <n v="2"/>
    <n v="7151"/>
    <n v="0.15"/>
    <n v="12156.7"/>
    <n v="1872.56"/>
    <x v="3"/>
    <x v="8"/>
    <x v="1"/>
  </r>
  <r>
    <s v="ORD00551"/>
    <s v="2023-02-25"/>
    <x v="26"/>
    <x v="4"/>
    <x v="0"/>
    <s v="Stool"/>
    <n v="1"/>
    <n v="7979"/>
    <n v="0.1"/>
    <n v="7181.1"/>
    <n v="1851.63"/>
    <x v="2"/>
    <x v="11"/>
    <x v="1"/>
  </r>
  <r>
    <s v="ORD00552"/>
    <s v="2024-06-28"/>
    <x v="7"/>
    <x v="5"/>
    <x v="0"/>
    <s v="Cupboard"/>
    <n v="12"/>
    <n v="14831"/>
    <n v="0.15"/>
    <n v="151276.20000000001"/>
    <n v="20113.03"/>
    <x v="3"/>
    <x v="5"/>
    <x v="0"/>
  </r>
  <r>
    <s v="ORD00553"/>
    <s v="2023-03-04"/>
    <x v="30"/>
    <x v="27"/>
    <x v="3"/>
    <s v="File"/>
    <n v="2"/>
    <n v="34951"/>
    <n v="0.15"/>
    <n v="59416.7"/>
    <n v="12144.17"/>
    <x v="2"/>
    <x v="7"/>
    <x v="1"/>
  </r>
  <r>
    <s v="ORD00554"/>
    <s v="2023-04-13"/>
    <x v="32"/>
    <x v="7"/>
    <x v="0"/>
    <s v="Bed"/>
    <n v="9"/>
    <n v="59989"/>
    <n v="0.2"/>
    <n v="431920.8"/>
    <n v="50738.58"/>
    <x v="1"/>
    <x v="2"/>
    <x v="1"/>
  </r>
  <r>
    <s v="ORD00555"/>
    <s v="2023-05-23"/>
    <x v="10"/>
    <x v="25"/>
    <x v="3"/>
    <s v="Notebook"/>
    <n v="14"/>
    <n v="49274"/>
    <n v="0.1"/>
    <n v="620852.4"/>
    <n v="56088.31"/>
    <x v="3"/>
    <x v="6"/>
    <x v="1"/>
  </r>
  <r>
    <s v="ORD00556"/>
    <s v="2023-03-29"/>
    <x v="7"/>
    <x v="12"/>
    <x v="1"/>
    <s v="Headphones"/>
    <n v="3"/>
    <n v="3359"/>
    <n v="0.15"/>
    <n v="8565.4500000000007"/>
    <n v="1472.87"/>
    <x v="3"/>
    <x v="7"/>
    <x v="1"/>
  </r>
  <r>
    <s v="ORD00557"/>
    <s v="2023-11-05"/>
    <x v="17"/>
    <x v="11"/>
    <x v="3"/>
    <s v="Printer"/>
    <n v="1"/>
    <n v="31042"/>
    <n v="0.2"/>
    <n v="24833.599999999999"/>
    <n v="5610.41"/>
    <x v="3"/>
    <x v="4"/>
    <x v="1"/>
  </r>
  <r>
    <s v="ORD00558"/>
    <s v="2024-11-04"/>
    <x v="10"/>
    <x v="24"/>
    <x v="2"/>
    <s v="T-Shirt"/>
    <n v="4"/>
    <n v="7294"/>
    <n v="0.1"/>
    <n v="26258.400000000001"/>
    <n v="3351.3"/>
    <x v="0"/>
    <x v="4"/>
    <x v="0"/>
  </r>
  <r>
    <s v="ORD00559"/>
    <s v="2023-01-30"/>
    <x v="37"/>
    <x v="13"/>
    <x v="2"/>
    <s v="Jacket"/>
    <n v="14"/>
    <n v="54303"/>
    <n v="0.05"/>
    <n v="722229.9"/>
    <n v="72596.289999999994"/>
    <x v="3"/>
    <x v="3"/>
    <x v="1"/>
  </r>
  <r>
    <s v="ORD00560"/>
    <s v="2024-05-18"/>
    <x v="38"/>
    <x v="10"/>
    <x v="3"/>
    <s v="Marker"/>
    <n v="14"/>
    <n v="58116"/>
    <n v="0.1"/>
    <n v="732261.6"/>
    <n v="200476.04"/>
    <x v="3"/>
    <x v="6"/>
    <x v="0"/>
  </r>
  <r>
    <s v="ORD00561"/>
    <s v="2024-11-25"/>
    <x v="35"/>
    <x v="12"/>
    <x v="1"/>
    <s v="Headphones"/>
    <n v="5"/>
    <n v="14146"/>
    <n v="0"/>
    <n v="70730"/>
    <n v="12046.33"/>
    <x v="0"/>
    <x v="4"/>
    <x v="0"/>
  </r>
  <r>
    <s v="ORD00562"/>
    <s v="2023-08-01"/>
    <x v="15"/>
    <x v="13"/>
    <x v="2"/>
    <s v="Jacket"/>
    <n v="5"/>
    <n v="15463"/>
    <n v="0.1"/>
    <n v="69583.5"/>
    <n v="15161.83"/>
    <x v="0"/>
    <x v="8"/>
    <x v="1"/>
  </r>
  <r>
    <s v="ORD00563"/>
    <s v="2024-07-29"/>
    <x v="48"/>
    <x v="14"/>
    <x v="2"/>
    <s v="Dress"/>
    <n v="8"/>
    <n v="53024"/>
    <n v="0.1"/>
    <n v="381772.79999999999"/>
    <n v="87879.2"/>
    <x v="0"/>
    <x v="1"/>
    <x v="0"/>
  </r>
  <r>
    <s v="ORD00564"/>
    <s v="2023-07-26"/>
    <x v="44"/>
    <x v="24"/>
    <x v="2"/>
    <s v="T-Shirt"/>
    <n v="1"/>
    <n v="27747"/>
    <n v="0.05"/>
    <n v="26359.65"/>
    <n v="5762.67"/>
    <x v="1"/>
    <x v="1"/>
    <x v="1"/>
  </r>
  <r>
    <s v="ORD00565"/>
    <s v="2024-02-17"/>
    <x v="21"/>
    <x v="3"/>
    <x v="3"/>
    <s v="Stapler"/>
    <n v="8"/>
    <n v="31272"/>
    <n v="0.05"/>
    <n v="237667.20000000001"/>
    <n v="39154.06"/>
    <x v="0"/>
    <x v="11"/>
    <x v="0"/>
  </r>
  <r>
    <s v="ORD00566"/>
    <s v="2023-12-06"/>
    <x v="31"/>
    <x v="22"/>
    <x v="1"/>
    <s v="Camera"/>
    <n v="8"/>
    <n v="23728"/>
    <n v="0.2"/>
    <n v="151859.20000000001"/>
    <n v="27402.880000000001"/>
    <x v="2"/>
    <x v="9"/>
    <x v="1"/>
  </r>
  <r>
    <s v="ORD00567"/>
    <s v="2023-02-13"/>
    <x v="3"/>
    <x v="12"/>
    <x v="1"/>
    <s v="Headphones"/>
    <n v="14"/>
    <n v="53814"/>
    <n v="0.15"/>
    <n v="640386.6"/>
    <n v="114561.61"/>
    <x v="2"/>
    <x v="11"/>
    <x v="1"/>
  </r>
  <r>
    <s v="ORD00568"/>
    <s v="2024-02-20"/>
    <x v="5"/>
    <x v="17"/>
    <x v="1"/>
    <s v="Power Bank"/>
    <n v="15"/>
    <n v="10771"/>
    <n v="0"/>
    <n v="161565"/>
    <n v="29496.85"/>
    <x v="0"/>
    <x v="11"/>
    <x v="0"/>
  </r>
  <r>
    <s v="ORD00569"/>
    <s v="2024-08-24"/>
    <x v="12"/>
    <x v="6"/>
    <x v="2"/>
    <s v="Jeans"/>
    <n v="9"/>
    <n v="41965"/>
    <n v="0.05"/>
    <n v="358800.75"/>
    <n v="48225.98"/>
    <x v="3"/>
    <x v="8"/>
    <x v="0"/>
  </r>
  <r>
    <s v="ORD00570"/>
    <s v="2023-02-07"/>
    <x v="16"/>
    <x v="26"/>
    <x v="3"/>
    <s v="Paper Ream"/>
    <n v="14"/>
    <n v="19068"/>
    <n v="0.1"/>
    <n v="240256.8"/>
    <n v="58860.31"/>
    <x v="0"/>
    <x v="11"/>
    <x v="1"/>
  </r>
  <r>
    <s v="ORD00571"/>
    <s v="2023-08-25"/>
    <x v="5"/>
    <x v="11"/>
    <x v="3"/>
    <s v="Printer"/>
    <n v="5"/>
    <n v="41519"/>
    <n v="0.15"/>
    <n v="176455.75"/>
    <n v="44708.44"/>
    <x v="1"/>
    <x v="8"/>
    <x v="1"/>
  </r>
  <r>
    <s v="ORD00572"/>
    <s v="2024-05-19"/>
    <x v="12"/>
    <x v="26"/>
    <x v="3"/>
    <s v="Paper Ream"/>
    <n v="3"/>
    <n v="44221"/>
    <n v="0.1"/>
    <n v="119396.7"/>
    <n v="25907.89"/>
    <x v="0"/>
    <x v="6"/>
    <x v="0"/>
  </r>
  <r>
    <s v="ORD00573"/>
    <s v="2024-08-25"/>
    <x v="41"/>
    <x v="17"/>
    <x v="1"/>
    <s v="Power Bank"/>
    <n v="9"/>
    <n v="11339"/>
    <n v="0.05"/>
    <n v="96948.45"/>
    <n v="16152.97"/>
    <x v="0"/>
    <x v="8"/>
    <x v="0"/>
  </r>
  <r>
    <s v="ORD00574"/>
    <s v="2023-03-31"/>
    <x v="36"/>
    <x v="5"/>
    <x v="0"/>
    <s v="Cupboard"/>
    <n v="14"/>
    <n v="10250"/>
    <n v="0"/>
    <n v="143500"/>
    <n v="40707.589999999997"/>
    <x v="3"/>
    <x v="7"/>
    <x v="1"/>
  </r>
  <r>
    <s v="ORD00575"/>
    <s v="2024-04-03"/>
    <x v="13"/>
    <x v="17"/>
    <x v="1"/>
    <s v="Power Bank"/>
    <n v="9"/>
    <n v="29280"/>
    <n v="0.2"/>
    <n v="210816"/>
    <n v="55927.9"/>
    <x v="3"/>
    <x v="2"/>
    <x v="0"/>
  </r>
  <r>
    <s v="ORD00576"/>
    <s v="2023-11-12"/>
    <x v="13"/>
    <x v="23"/>
    <x v="0"/>
    <s v="Desk"/>
    <n v="6"/>
    <n v="28844"/>
    <n v="0.1"/>
    <n v="155757.6"/>
    <n v="19386.5"/>
    <x v="3"/>
    <x v="4"/>
    <x v="1"/>
  </r>
  <r>
    <s v="ORD00577"/>
    <s v="2024-07-14"/>
    <x v="48"/>
    <x v="14"/>
    <x v="2"/>
    <s v="Dress"/>
    <n v="14"/>
    <n v="987"/>
    <n v="0.1"/>
    <n v="12436.2"/>
    <n v="2716.88"/>
    <x v="0"/>
    <x v="1"/>
    <x v="0"/>
  </r>
  <r>
    <s v="ORD00578"/>
    <s v="2024-11-27"/>
    <x v="29"/>
    <x v="19"/>
    <x v="1"/>
    <s v="Smartwatch"/>
    <n v="9"/>
    <n v="53281"/>
    <n v="0.15"/>
    <n v="407599.65"/>
    <n v="41985.99"/>
    <x v="0"/>
    <x v="4"/>
    <x v="0"/>
  </r>
  <r>
    <s v="ORD00579"/>
    <s v="2024-11-19"/>
    <x v="49"/>
    <x v="10"/>
    <x v="3"/>
    <s v="Marker"/>
    <n v="15"/>
    <n v="36598"/>
    <n v="0.2"/>
    <n v="439176"/>
    <n v="116613.3"/>
    <x v="1"/>
    <x v="4"/>
    <x v="0"/>
  </r>
  <r>
    <s v="ORD00580"/>
    <s v="2024-01-07"/>
    <x v="3"/>
    <x v="8"/>
    <x v="2"/>
    <s v="Sweater"/>
    <n v="4"/>
    <n v="29357"/>
    <n v="0.1"/>
    <n v="105685.2"/>
    <n v="22077.03"/>
    <x v="0"/>
    <x v="3"/>
    <x v="0"/>
  </r>
  <r>
    <s v="ORD00581"/>
    <s v="2024-04-01"/>
    <x v="48"/>
    <x v="11"/>
    <x v="3"/>
    <s v="Printer"/>
    <n v="10"/>
    <n v="2146"/>
    <n v="0.2"/>
    <n v="17168"/>
    <n v="2738.59"/>
    <x v="1"/>
    <x v="2"/>
    <x v="0"/>
  </r>
  <r>
    <s v="ORD00582"/>
    <s v="2024-04-27"/>
    <x v="15"/>
    <x v="2"/>
    <x v="2"/>
    <s v="Shoes"/>
    <n v="12"/>
    <n v="44403"/>
    <n v="0.1"/>
    <n v="479552.4"/>
    <n v="48666.400000000001"/>
    <x v="1"/>
    <x v="2"/>
    <x v="0"/>
  </r>
  <r>
    <s v="ORD00583"/>
    <s v="2024-08-15"/>
    <x v="39"/>
    <x v="2"/>
    <x v="2"/>
    <s v="Shoes"/>
    <n v="8"/>
    <n v="36595"/>
    <n v="0.05"/>
    <n v="278122"/>
    <n v="28014.36"/>
    <x v="3"/>
    <x v="8"/>
    <x v="0"/>
  </r>
  <r>
    <s v="ORD00584"/>
    <s v="2024-05-05"/>
    <x v="41"/>
    <x v="2"/>
    <x v="2"/>
    <s v="Shoes"/>
    <n v="9"/>
    <n v="28028"/>
    <n v="0.15"/>
    <n v="214414.2"/>
    <n v="42426.15"/>
    <x v="1"/>
    <x v="6"/>
    <x v="0"/>
  </r>
  <r>
    <s v="ORD00585"/>
    <s v="2023-04-16"/>
    <x v="40"/>
    <x v="15"/>
    <x v="0"/>
    <s v="Sofa"/>
    <n v="10"/>
    <n v="46639"/>
    <n v="0.2"/>
    <n v="373112"/>
    <n v="74120.25"/>
    <x v="2"/>
    <x v="2"/>
    <x v="1"/>
  </r>
  <r>
    <s v="ORD00586"/>
    <s v="2024-05-23"/>
    <x v="40"/>
    <x v="17"/>
    <x v="1"/>
    <s v="Power Bank"/>
    <n v="3"/>
    <n v="38725"/>
    <n v="0"/>
    <n v="116175"/>
    <n v="26596.45"/>
    <x v="1"/>
    <x v="6"/>
    <x v="0"/>
  </r>
  <r>
    <s v="ORD00587"/>
    <s v="2024-07-31"/>
    <x v="30"/>
    <x v="15"/>
    <x v="0"/>
    <s v="Sofa"/>
    <n v="14"/>
    <n v="1237"/>
    <n v="0.15"/>
    <n v="14720.3"/>
    <n v="3884.87"/>
    <x v="1"/>
    <x v="1"/>
    <x v="0"/>
  </r>
  <r>
    <s v="ORD00588"/>
    <s v="2023-12-29"/>
    <x v="21"/>
    <x v="17"/>
    <x v="1"/>
    <s v="Power Bank"/>
    <n v="8"/>
    <n v="7753"/>
    <n v="0.1"/>
    <n v="55821.599999999999"/>
    <n v="15558.92"/>
    <x v="0"/>
    <x v="9"/>
    <x v="1"/>
  </r>
  <r>
    <s v="ORD00589"/>
    <s v="2023-08-25"/>
    <x v="26"/>
    <x v="17"/>
    <x v="1"/>
    <s v="Power Bank"/>
    <n v="4"/>
    <n v="46260"/>
    <n v="0.1"/>
    <n v="166536"/>
    <n v="25648.23"/>
    <x v="1"/>
    <x v="8"/>
    <x v="1"/>
  </r>
  <r>
    <s v="ORD00590"/>
    <s v="2023-12-25"/>
    <x v="14"/>
    <x v="7"/>
    <x v="0"/>
    <s v="Bed"/>
    <n v="10"/>
    <n v="648"/>
    <n v="0.05"/>
    <n v="6156"/>
    <n v="1211.42"/>
    <x v="3"/>
    <x v="9"/>
    <x v="1"/>
  </r>
  <r>
    <s v="ORD00591"/>
    <s v="2023-05-26"/>
    <x v="49"/>
    <x v="24"/>
    <x v="2"/>
    <s v="T-Shirt"/>
    <n v="13"/>
    <n v="41907"/>
    <n v="0"/>
    <n v="544791"/>
    <n v="61607.46"/>
    <x v="3"/>
    <x v="6"/>
    <x v="1"/>
  </r>
  <r>
    <s v="ORD00592"/>
    <s v="2024-05-25"/>
    <x v="0"/>
    <x v="5"/>
    <x v="0"/>
    <s v="Cupboard"/>
    <n v="4"/>
    <n v="59226"/>
    <n v="0"/>
    <n v="236904"/>
    <n v="70696.12"/>
    <x v="3"/>
    <x v="6"/>
    <x v="0"/>
  </r>
  <r>
    <s v="ORD00593"/>
    <s v="2023-07-11"/>
    <x v="32"/>
    <x v="24"/>
    <x v="2"/>
    <s v="T-Shirt"/>
    <n v="15"/>
    <n v="28155"/>
    <n v="0.1"/>
    <n v="380092.5"/>
    <n v="92660.71"/>
    <x v="0"/>
    <x v="1"/>
    <x v="1"/>
  </r>
  <r>
    <s v="ORD00594"/>
    <s v="2023-01-04"/>
    <x v="39"/>
    <x v="26"/>
    <x v="3"/>
    <s v="Paper Ream"/>
    <n v="10"/>
    <n v="16898"/>
    <n v="0.05"/>
    <n v="160531"/>
    <n v="33767.730000000003"/>
    <x v="3"/>
    <x v="3"/>
    <x v="1"/>
  </r>
  <r>
    <s v="ORD00595"/>
    <s v="2024-04-21"/>
    <x v="8"/>
    <x v="10"/>
    <x v="3"/>
    <s v="Marker"/>
    <n v="10"/>
    <n v="42130"/>
    <n v="0"/>
    <n v="421300"/>
    <n v="106422.27"/>
    <x v="2"/>
    <x v="2"/>
    <x v="0"/>
  </r>
  <r>
    <s v="ORD00596"/>
    <s v="2023-04-10"/>
    <x v="7"/>
    <x v="3"/>
    <x v="3"/>
    <s v="Stapler"/>
    <n v="15"/>
    <n v="4338"/>
    <n v="0.2"/>
    <n v="52056"/>
    <n v="15093.26"/>
    <x v="0"/>
    <x v="2"/>
    <x v="1"/>
  </r>
  <r>
    <s v="ORD00597"/>
    <s v="2023-07-24"/>
    <x v="32"/>
    <x v="16"/>
    <x v="3"/>
    <s v="Pen"/>
    <n v="6"/>
    <n v="26520"/>
    <n v="0.1"/>
    <n v="143208"/>
    <n v="26158.26"/>
    <x v="0"/>
    <x v="1"/>
    <x v="1"/>
  </r>
  <r>
    <s v="ORD00598"/>
    <s v="2023-08-30"/>
    <x v="17"/>
    <x v="17"/>
    <x v="1"/>
    <s v="Power Bank"/>
    <n v="2"/>
    <n v="45495"/>
    <n v="0.2"/>
    <n v="72792"/>
    <n v="19461.650000000001"/>
    <x v="0"/>
    <x v="8"/>
    <x v="1"/>
  </r>
  <r>
    <s v="ORD00599"/>
    <s v="2024-06-19"/>
    <x v="44"/>
    <x v="3"/>
    <x v="3"/>
    <s v="Stapler"/>
    <n v="11"/>
    <n v="49444"/>
    <n v="0"/>
    <n v="543884"/>
    <n v="126828.78"/>
    <x v="2"/>
    <x v="5"/>
    <x v="0"/>
  </r>
  <r>
    <s v="ORD00600"/>
    <s v="2023-08-21"/>
    <x v="23"/>
    <x v="15"/>
    <x v="0"/>
    <s v="Sofa"/>
    <n v="10"/>
    <n v="30671"/>
    <n v="0.15"/>
    <n v="260703.5"/>
    <n v="51719.41"/>
    <x v="2"/>
    <x v="8"/>
    <x v="1"/>
  </r>
  <r>
    <s v="ORD00601"/>
    <s v="2023-12-30"/>
    <x v="19"/>
    <x v="15"/>
    <x v="0"/>
    <s v="Sofa"/>
    <n v="3"/>
    <n v="1787"/>
    <n v="0.1"/>
    <n v="4824.8999999999996"/>
    <n v="1407.93"/>
    <x v="2"/>
    <x v="9"/>
    <x v="1"/>
  </r>
  <r>
    <s v="ORD00602"/>
    <s v="2024-02-24"/>
    <x v="22"/>
    <x v="7"/>
    <x v="0"/>
    <s v="Bed"/>
    <n v="1"/>
    <n v="38669"/>
    <n v="0.15"/>
    <n v="32868.65"/>
    <n v="7458.73"/>
    <x v="3"/>
    <x v="11"/>
    <x v="0"/>
  </r>
  <r>
    <s v="ORD00603"/>
    <s v="2024-02-13"/>
    <x v="30"/>
    <x v="7"/>
    <x v="0"/>
    <s v="Bed"/>
    <n v="14"/>
    <n v="36962"/>
    <n v="0.2"/>
    <n v="413974.4"/>
    <n v="68817.3"/>
    <x v="1"/>
    <x v="11"/>
    <x v="0"/>
  </r>
  <r>
    <s v="ORD00604"/>
    <s v="2024-06-26"/>
    <x v="15"/>
    <x v="2"/>
    <x v="2"/>
    <s v="Shoes"/>
    <n v="1"/>
    <n v="8402"/>
    <n v="0.05"/>
    <n v="7981.9"/>
    <n v="2269.0100000000002"/>
    <x v="2"/>
    <x v="5"/>
    <x v="0"/>
  </r>
  <r>
    <s v="ORD00605"/>
    <s v="2023-06-23"/>
    <x v="3"/>
    <x v="19"/>
    <x v="1"/>
    <s v="Smartwatch"/>
    <n v="14"/>
    <n v="21343"/>
    <n v="0"/>
    <n v="298802"/>
    <n v="59248.29"/>
    <x v="1"/>
    <x v="5"/>
    <x v="1"/>
  </r>
  <r>
    <s v="ORD00606"/>
    <s v="2024-09-01"/>
    <x v="38"/>
    <x v="5"/>
    <x v="0"/>
    <s v="Cupboard"/>
    <n v="4"/>
    <n v="8677"/>
    <n v="0.15"/>
    <n v="29501.8"/>
    <n v="4296.5"/>
    <x v="2"/>
    <x v="10"/>
    <x v="0"/>
  </r>
  <r>
    <s v="ORD00607"/>
    <s v="2023-10-08"/>
    <x v="23"/>
    <x v="8"/>
    <x v="2"/>
    <s v="Sweater"/>
    <n v="2"/>
    <n v="50464"/>
    <n v="0"/>
    <n v="100928"/>
    <n v="22760.27"/>
    <x v="1"/>
    <x v="0"/>
    <x v="1"/>
  </r>
  <r>
    <s v="ORD00608"/>
    <s v="2024-06-07"/>
    <x v="31"/>
    <x v="0"/>
    <x v="0"/>
    <s v="Chair"/>
    <n v="14"/>
    <n v="53298"/>
    <n v="0.15"/>
    <n v="634246.19999999995"/>
    <n v="164917.73000000001"/>
    <x v="2"/>
    <x v="5"/>
    <x v="0"/>
  </r>
  <r>
    <s v="ORD00609"/>
    <s v="2024-11-02"/>
    <x v="33"/>
    <x v="13"/>
    <x v="2"/>
    <s v="Jacket"/>
    <n v="8"/>
    <n v="35654"/>
    <n v="0.15"/>
    <n v="242447.2"/>
    <n v="32318.84"/>
    <x v="2"/>
    <x v="4"/>
    <x v="0"/>
  </r>
  <r>
    <s v="ORD00610"/>
    <s v="2023-10-17"/>
    <x v="4"/>
    <x v="25"/>
    <x v="3"/>
    <s v="Notebook"/>
    <n v="14"/>
    <n v="27214"/>
    <n v="0.1"/>
    <n v="342896.4"/>
    <n v="53357.78"/>
    <x v="0"/>
    <x v="0"/>
    <x v="1"/>
  </r>
  <r>
    <s v="ORD00611"/>
    <s v="2023-11-17"/>
    <x v="48"/>
    <x v="26"/>
    <x v="3"/>
    <s v="Paper Ream"/>
    <n v="14"/>
    <n v="27446"/>
    <n v="0"/>
    <n v="384244"/>
    <n v="96837.5"/>
    <x v="3"/>
    <x v="4"/>
    <x v="1"/>
  </r>
  <r>
    <s v="ORD00612"/>
    <s v="2023-12-09"/>
    <x v="49"/>
    <x v="2"/>
    <x v="2"/>
    <s v="Shoes"/>
    <n v="3"/>
    <n v="35247"/>
    <n v="0.15"/>
    <n v="89879.85"/>
    <n v="13541.02"/>
    <x v="1"/>
    <x v="9"/>
    <x v="1"/>
  </r>
  <r>
    <s v="ORD00613"/>
    <s v="2023-11-26"/>
    <x v="0"/>
    <x v="23"/>
    <x v="0"/>
    <s v="Desk"/>
    <n v="6"/>
    <n v="40161"/>
    <n v="0.15"/>
    <n v="204821.1"/>
    <n v="27365.65"/>
    <x v="3"/>
    <x v="4"/>
    <x v="1"/>
  </r>
  <r>
    <s v="ORD00614"/>
    <s v="2024-10-02"/>
    <x v="42"/>
    <x v="5"/>
    <x v="0"/>
    <s v="Cupboard"/>
    <n v="4"/>
    <n v="43510"/>
    <n v="0.05"/>
    <n v="165338"/>
    <n v="35318.160000000003"/>
    <x v="0"/>
    <x v="0"/>
    <x v="0"/>
  </r>
  <r>
    <s v="ORD00615"/>
    <s v="2024-09-15"/>
    <x v="20"/>
    <x v="15"/>
    <x v="0"/>
    <s v="Sofa"/>
    <n v="2"/>
    <n v="18054"/>
    <n v="0.15"/>
    <n v="30691.8"/>
    <n v="9202.84"/>
    <x v="0"/>
    <x v="10"/>
    <x v="0"/>
  </r>
  <r>
    <s v="ORD00616"/>
    <s v="2023-02-19"/>
    <x v="9"/>
    <x v="13"/>
    <x v="2"/>
    <s v="Jacket"/>
    <n v="5"/>
    <n v="52415"/>
    <n v="0.1"/>
    <n v="235867.5"/>
    <n v="25314.28"/>
    <x v="3"/>
    <x v="11"/>
    <x v="1"/>
  </r>
  <r>
    <s v="ORD00617"/>
    <s v="2024-01-24"/>
    <x v="45"/>
    <x v="24"/>
    <x v="2"/>
    <s v="T-Shirt"/>
    <n v="12"/>
    <n v="27169"/>
    <n v="0"/>
    <n v="326028"/>
    <n v="58353.59"/>
    <x v="3"/>
    <x v="3"/>
    <x v="0"/>
  </r>
  <r>
    <s v="ORD00618"/>
    <s v="2023-12-29"/>
    <x v="5"/>
    <x v="7"/>
    <x v="0"/>
    <s v="Bed"/>
    <n v="8"/>
    <n v="46390"/>
    <n v="0.05"/>
    <n v="352564"/>
    <n v="88391.89"/>
    <x v="0"/>
    <x v="9"/>
    <x v="1"/>
  </r>
  <r>
    <s v="ORD00619"/>
    <s v="2023-04-04"/>
    <x v="5"/>
    <x v="7"/>
    <x v="0"/>
    <s v="Bed"/>
    <n v="13"/>
    <n v="47221"/>
    <n v="0"/>
    <n v="613873"/>
    <n v="90061.31"/>
    <x v="0"/>
    <x v="2"/>
    <x v="1"/>
  </r>
  <r>
    <s v="ORD00620"/>
    <s v="2024-03-19"/>
    <x v="43"/>
    <x v="25"/>
    <x v="3"/>
    <s v="Notebook"/>
    <n v="2"/>
    <n v="51180"/>
    <n v="0.1"/>
    <n v="92124"/>
    <n v="11143.13"/>
    <x v="0"/>
    <x v="7"/>
    <x v="0"/>
  </r>
  <r>
    <s v="ORD00621"/>
    <s v="2024-11-25"/>
    <x v="20"/>
    <x v="25"/>
    <x v="3"/>
    <s v="Notebook"/>
    <n v="7"/>
    <n v="6308"/>
    <n v="0.2"/>
    <n v="35324.800000000003"/>
    <n v="5553.24"/>
    <x v="3"/>
    <x v="4"/>
    <x v="0"/>
  </r>
  <r>
    <s v="ORD00622"/>
    <s v="2024-11-18"/>
    <x v="9"/>
    <x v="0"/>
    <x v="0"/>
    <s v="Chair"/>
    <n v="6"/>
    <n v="33098"/>
    <n v="0"/>
    <n v="198588"/>
    <n v="29502.63"/>
    <x v="2"/>
    <x v="4"/>
    <x v="0"/>
  </r>
  <r>
    <s v="ORD00623"/>
    <s v="2024-07-30"/>
    <x v="24"/>
    <x v="23"/>
    <x v="0"/>
    <s v="Desk"/>
    <n v="3"/>
    <n v="49926"/>
    <n v="0.15"/>
    <n v="127311.3"/>
    <n v="15524.59"/>
    <x v="2"/>
    <x v="1"/>
    <x v="0"/>
  </r>
  <r>
    <s v="ORD00624"/>
    <s v="2024-02-29"/>
    <x v="4"/>
    <x v="18"/>
    <x v="0"/>
    <s v="Table"/>
    <n v="8"/>
    <n v="12913"/>
    <n v="0"/>
    <n v="103304"/>
    <n v="18900.13"/>
    <x v="2"/>
    <x v="11"/>
    <x v="0"/>
  </r>
  <r>
    <s v="ORD00625"/>
    <s v="2023-03-18"/>
    <x v="6"/>
    <x v="21"/>
    <x v="1"/>
    <s v="Laptop"/>
    <n v="8"/>
    <n v="45719"/>
    <n v="0.1"/>
    <n v="329176.8"/>
    <n v="92248.2"/>
    <x v="1"/>
    <x v="7"/>
    <x v="1"/>
  </r>
  <r>
    <s v="ORD00626"/>
    <s v="2024-06-28"/>
    <x v="8"/>
    <x v="7"/>
    <x v="0"/>
    <s v="Bed"/>
    <n v="3"/>
    <n v="36902"/>
    <n v="0.15"/>
    <n v="94100.1"/>
    <n v="19848.28"/>
    <x v="2"/>
    <x v="5"/>
    <x v="0"/>
  </r>
  <r>
    <s v="ORD00627"/>
    <s v="2024-09-02"/>
    <x v="46"/>
    <x v="8"/>
    <x v="2"/>
    <s v="Sweater"/>
    <n v="6"/>
    <n v="23663"/>
    <n v="0.05"/>
    <n v="134879.1"/>
    <n v="37738.26"/>
    <x v="0"/>
    <x v="10"/>
    <x v="0"/>
  </r>
  <r>
    <s v="ORD00628"/>
    <s v="2024-11-30"/>
    <x v="0"/>
    <x v="23"/>
    <x v="0"/>
    <s v="Desk"/>
    <n v="12"/>
    <n v="56500"/>
    <n v="0.1"/>
    <n v="610200"/>
    <n v="100311.83"/>
    <x v="0"/>
    <x v="4"/>
    <x v="0"/>
  </r>
  <r>
    <s v="ORD00629"/>
    <s v="2023-09-12"/>
    <x v="23"/>
    <x v="26"/>
    <x v="3"/>
    <s v="Paper Ream"/>
    <n v="5"/>
    <n v="12606"/>
    <n v="0.05"/>
    <n v="59878.5"/>
    <n v="8055.92"/>
    <x v="1"/>
    <x v="10"/>
    <x v="1"/>
  </r>
  <r>
    <s v="ORD00630"/>
    <s v="2024-11-01"/>
    <x v="36"/>
    <x v="14"/>
    <x v="2"/>
    <s v="Dress"/>
    <n v="7"/>
    <n v="19799"/>
    <n v="0.05"/>
    <n v="131663.35"/>
    <n v="28323.46"/>
    <x v="3"/>
    <x v="4"/>
    <x v="0"/>
  </r>
  <r>
    <s v="ORD00631"/>
    <s v="2023-09-24"/>
    <x v="8"/>
    <x v="17"/>
    <x v="1"/>
    <s v="Power Bank"/>
    <n v="6"/>
    <n v="16853"/>
    <n v="0.15"/>
    <n v="85950.3"/>
    <n v="16580.45"/>
    <x v="3"/>
    <x v="10"/>
    <x v="1"/>
  </r>
  <r>
    <s v="ORD00632"/>
    <s v="2024-11-25"/>
    <x v="19"/>
    <x v="27"/>
    <x v="3"/>
    <s v="File"/>
    <n v="6"/>
    <n v="30783"/>
    <n v="0.15"/>
    <n v="156993.29999999999"/>
    <n v="23334.9"/>
    <x v="2"/>
    <x v="4"/>
    <x v="0"/>
  </r>
  <r>
    <s v="ORD00633"/>
    <s v="2023-04-12"/>
    <x v="7"/>
    <x v="24"/>
    <x v="2"/>
    <s v="T-Shirt"/>
    <n v="14"/>
    <n v="42466"/>
    <n v="0"/>
    <n v="594524"/>
    <n v="131942.69"/>
    <x v="3"/>
    <x v="2"/>
    <x v="1"/>
  </r>
  <r>
    <s v="ORD00634"/>
    <s v="2024-05-05"/>
    <x v="26"/>
    <x v="12"/>
    <x v="1"/>
    <s v="Headphones"/>
    <n v="13"/>
    <n v="57989"/>
    <n v="0"/>
    <n v="753857"/>
    <n v="87188.65"/>
    <x v="2"/>
    <x v="6"/>
    <x v="0"/>
  </r>
  <r>
    <s v="ORD00635"/>
    <s v="2024-05-16"/>
    <x v="23"/>
    <x v="15"/>
    <x v="0"/>
    <s v="Sofa"/>
    <n v="3"/>
    <n v="16725"/>
    <n v="0.2"/>
    <n v="40140"/>
    <n v="3794"/>
    <x v="0"/>
    <x v="6"/>
    <x v="0"/>
  </r>
  <r>
    <s v="ORD00636"/>
    <s v="2023-10-03"/>
    <x v="6"/>
    <x v="14"/>
    <x v="2"/>
    <s v="Dress"/>
    <n v="12"/>
    <n v="25976"/>
    <n v="0"/>
    <n v="311712"/>
    <n v="64003.199999999997"/>
    <x v="0"/>
    <x v="0"/>
    <x v="1"/>
  </r>
  <r>
    <s v="ORD00637"/>
    <s v="2024-02-26"/>
    <x v="39"/>
    <x v="7"/>
    <x v="0"/>
    <s v="Bed"/>
    <n v="10"/>
    <n v="28580"/>
    <n v="0.15"/>
    <n v="242930"/>
    <n v="32575.78"/>
    <x v="2"/>
    <x v="11"/>
    <x v="0"/>
  </r>
  <r>
    <s v="ORD00638"/>
    <s v="2024-01-11"/>
    <x v="39"/>
    <x v="8"/>
    <x v="2"/>
    <s v="Sweater"/>
    <n v="2"/>
    <n v="58604"/>
    <n v="0.1"/>
    <n v="105487.2"/>
    <n v="25390.45"/>
    <x v="1"/>
    <x v="3"/>
    <x v="0"/>
  </r>
  <r>
    <s v="ORD00639"/>
    <s v="2024-04-11"/>
    <x v="37"/>
    <x v="11"/>
    <x v="3"/>
    <s v="Printer"/>
    <n v="11"/>
    <n v="30146"/>
    <n v="0.05"/>
    <n v="315025.7"/>
    <n v="80382.69"/>
    <x v="3"/>
    <x v="2"/>
    <x v="0"/>
  </r>
  <r>
    <s v="ORD00640"/>
    <s v="2023-01-24"/>
    <x v="34"/>
    <x v="8"/>
    <x v="2"/>
    <s v="Sweater"/>
    <n v="12"/>
    <n v="14070"/>
    <n v="0.2"/>
    <n v="135072"/>
    <n v="27505.74"/>
    <x v="3"/>
    <x v="3"/>
    <x v="1"/>
  </r>
  <r>
    <s v="ORD00641"/>
    <s v="2024-07-08"/>
    <x v="34"/>
    <x v="8"/>
    <x v="2"/>
    <s v="Sweater"/>
    <n v="11"/>
    <n v="23946"/>
    <n v="0"/>
    <n v="263406"/>
    <n v="58670.11"/>
    <x v="3"/>
    <x v="1"/>
    <x v="0"/>
  </r>
  <r>
    <s v="ORD00642"/>
    <s v="2023-07-06"/>
    <x v="17"/>
    <x v="22"/>
    <x v="1"/>
    <s v="Camera"/>
    <n v="14"/>
    <n v="10867"/>
    <n v="0"/>
    <n v="152138"/>
    <n v="25903.91"/>
    <x v="3"/>
    <x v="1"/>
    <x v="1"/>
  </r>
  <r>
    <s v="ORD00643"/>
    <s v="2024-02-11"/>
    <x v="20"/>
    <x v="6"/>
    <x v="2"/>
    <s v="Jeans"/>
    <n v="12"/>
    <n v="27605"/>
    <n v="0.05"/>
    <n v="314697"/>
    <n v="67609.72"/>
    <x v="1"/>
    <x v="11"/>
    <x v="0"/>
  </r>
  <r>
    <s v="ORD00644"/>
    <s v="2024-05-26"/>
    <x v="41"/>
    <x v="17"/>
    <x v="1"/>
    <s v="Power Bank"/>
    <n v="6"/>
    <n v="7939"/>
    <n v="0.05"/>
    <n v="45252.3"/>
    <n v="10422.32"/>
    <x v="1"/>
    <x v="6"/>
    <x v="0"/>
  </r>
  <r>
    <s v="ORD00645"/>
    <s v="2024-06-11"/>
    <x v="24"/>
    <x v="24"/>
    <x v="2"/>
    <s v="T-Shirt"/>
    <n v="9"/>
    <n v="40518"/>
    <n v="0.15"/>
    <n v="309962.7"/>
    <n v="65113.41"/>
    <x v="3"/>
    <x v="5"/>
    <x v="0"/>
  </r>
  <r>
    <s v="ORD00646"/>
    <s v="2024-06-27"/>
    <x v="36"/>
    <x v="18"/>
    <x v="0"/>
    <s v="Table"/>
    <n v="11"/>
    <n v="38628"/>
    <n v="0.1"/>
    <n v="382417.2"/>
    <n v="32058.39"/>
    <x v="3"/>
    <x v="5"/>
    <x v="0"/>
  </r>
  <r>
    <s v="ORD00647"/>
    <s v="2023-08-15"/>
    <x v="46"/>
    <x v="20"/>
    <x v="1"/>
    <s v="Tablet"/>
    <n v="10"/>
    <n v="44269"/>
    <n v="0.05"/>
    <n v="420555.5"/>
    <n v="83632.81"/>
    <x v="3"/>
    <x v="8"/>
    <x v="1"/>
  </r>
  <r>
    <s v="ORD00648"/>
    <s v="2024-05-26"/>
    <x v="2"/>
    <x v="11"/>
    <x v="3"/>
    <s v="Printer"/>
    <n v="3"/>
    <n v="10135"/>
    <n v="0.05"/>
    <n v="28884.75"/>
    <n v="4807.8599999999997"/>
    <x v="1"/>
    <x v="6"/>
    <x v="0"/>
  </r>
  <r>
    <s v="ORD00649"/>
    <s v="2024-03-05"/>
    <x v="41"/>
    <x v="19"/>
    <x v="1"/>
    <s v="Smartwatch"/>
    <n v="3"/>
    <n v="19402"/>
    <n v="0.2"/>
    <n v="46564.800000000003"/>
    <n v="9058.34"/>
    <x v="1"/>
    <x v="7"/>
    <x v="0"/>
  </r>
  <r>
    <s v="ORD00650"/>
    <s v="2023-06-22"/>
    <x v="31"/>
    <x v="19"/>
    <x v="1"/>
    <s v="Smartwatch"/>
    <n v="7"/>
    <n v="23361"/>
    <n v="0.05"/>
    <n v="155350.65"/>
    <n v="27027.88"/>
    <x v="1"/>
    <x v="5"/>
    <x v="1"/>
  </r>
  <r>
    <s v="ORD00651"/>
    <s v="2024-07-19"/>
    <x v="18"/>
    <x v="22"/>
    <x v="1"/>
    <s v="Camera"/>
    <n v="1"/>
    <n v="58948"/>
    <n v="0.1"/>
    <n v="53053.2"/>
    <n v="12040.66"/>
    <x v="2"/>
    <x v="1"/>
    <x v="0"/>
  </r>
  <r>
    <s v="ORD00652"/>
    <s v="2024-10-20"/>
    <x v="30"/>
    <x v="26"/>
    <x v="3"/>
    <s v="Paper Ream"/>
    <n v="11"/>
    <n v="36437"/>
    <n v="0.05"/>
    <n v="380766.65"/>
    <n v="110917.85"/>
    <x v="1"/>
    <x v="0"/>
    <x v="0"/>
  </r>
  <r>
    <s v="ORD00653"/>
    <s v="2024-09-19"/>
    <x v="33"/>
    <x v="16"/>
    <x v="3"/>
    <s v="Pen"/>
    <n v="7"/>
    <n v="21302"/>
    <n v="0.15"/>
    <n v="126746.9"/>
    <n v="26560.89"/>
    <x v="3"/>
    <x v="10"/>
    <x v="0"/>
  </r>
  <r>
    <s v="ORD00654"/>
    <s v="2024-02-21"/>
    <x v="48"/>
    <x v="7"/>
    <x v="0"/>
    <s v="Bed"/>
    <n v="1"/>
    <n v="37833"/>
    <n v="0"/>
    <n v="37833"/>
    <n v="10702.26"/>
    <x v="1"/>
    <x v="11"/>
    <x v="0"/>
  </r>
  <r>
    <s v="ORD00655"/>
    <s v="2024-08-11"/>
    <x v="29"/>
    <x v="22"/>
    <x v="1"/>
    <s v="Camera"/>
    <n v="8"/>
    <n v="10136"/>
    <n v="0.2"/>
    <n v="64870.400000000001"/>
    <n v="17188.740000000002"/>
    <x v="3"/>
    <x v="8"/>
    <x v="0"/>
  </r>
  <r>
    <s v="ORD00656"/>
    <s v="2024-07-09"/>
    <x v="12"/>
    <x v="9"/>
    <x v="1"/>
    <s v="Keyboard"/>
    <n v="12"/>
    <n v="44694"/>
    <n v="0.1"/>
    <n v="482695.2"/>
    <n v="41366.03"/>
    <x v="1"/>
    <x v="1"/>
    <x v="0"/>
  </r>
  <r>
    <s v="ORD00657"/>
    <s v="2024-02-04"/>
    <x v="44"/>
    <x v="11"/>
    <x v="3"/>
    <s v="Printer"/>
    <n v="10"/>
    <n v="32477"/>
    <n v="0.05"/>
    <n v="308531.5"/>
    <n v="31232.5"/>
    <x v="1"/>
    <x v="11"/>
    <x v="0"/>
  </r>
  <r>
    <s v="ORD00658"/>
    <s v="2024-02-19"/>
    <x v="24"/>
    <x v="4"/>
    <x v="0"/>
    <s v="Stool"/>
    <n v="6"/>
    <n v="5702"/>
    <n v="0.1"/>
    <n v="30790.799999999999"/>
    <n v="7437.22"/>
    <x v="0"/>
    <x v="11"/>
    <x v="0"/>
  </r>
  <r>
    <s v="ORD00659"/>
    <s v="2023-05-23"/>
    <x v="43"/>
    <x v="14"/>
    <x v="2"/>
    <s v="Dress"/>
    <n v="1"/>
    <n v="42128"/>
    <n v="0"/>
    <n v="42128"/>
    <n v="3562.87"/>
    <x v="2"/>
    <x v="6"/>
    <x v="1"/>
  </r>
  <r>
    <s v="ORD00660"/>
    <s v="2024-11-10"/>
    <x v="31"/>
    <x v="8"/>
    <x v="2"/>
    <s v="Sweater"/>
    <n v="3"/>
    <n v="31102"/>
    <n v="0.15"/>
    <n v="79310.100000000006"/>
    <n v="6664.69"/>
    <x v="0"/>
    <x v="4"/>
    <x v="0"/>
  </r>
  <r>
    <s v="ORD00661"/>
    <s v="2023-02-02"/>
    <x v="25"/>
    <x v="3"/>
    <x v="3"/>
    <s v="Stapler"/>
    <n v="15"/>
    <n v="50027"/>
    <n v="0.05"/>
    <n v="712884.75"/>
    <n v="101146.91"/>
    <x v="3"/>
    <x v="11"/>
    <x v="1"/>
  </r>
  <r>
    <s v="ORD00662"/>
    <s v="2023-10-12"/>
    <x v="38"/>
    <x v="8"/>
    <x v="2"/>
    <s v="Sweater"/>
    <n v="1"/>
    <n v="20632"/>
    <n v="0.1"/>
    <n v="18568.8"/>
    <n v="3649.15"/>
    <x v="3"/>
    <x v="0"/>
    <x v="1"/>
  </r>
  <r>
    <s v="ORD00663"/>
    <s v="2024-09-13"/>
    <x v="15"/>
    <x v="24"/>
    <x v="2"/>
    <s v="T-Shirt"/>
    <n v="15"/>
    <n v="44519"/>
    <n v="0.05"/>
    <n v="634395.75"/>
    <n v="78622.22"/>
    <x v="0"/>
    <x v="10"/>
    <x v="0"/>
  </r>
  <r>
    <s v="ORD00664"/>
    <s v="2023-07-01"/>
    <x v="2"/>
    <x v="13"/>
    <x v="2"/>
    <s v="Jacket"/>
    <n v="2"/>
    <n v="3521"/>
    <n v="0"/>
    <n v="7042"/>
    <n v="1187.1199999999999"/>
    <x v="2"/>
    <x v="1"/>
    <x v="1"/>
  </r>
  <r>
    <s v="ORD00665"/>
    <s v="2023-10-29"/>
    <x v="5"/>
    <x v="24"/>
    <x v="2"/>
    <s v="T-Shirt"/>
    <n v="6"/>
    <n v="56198"/>
    <n v="0"/>
    <n v="337188"/>
    <n v="66496.259999999995"/>
    <x v="0"/>
    <x v="0"/>
    <x v="1"/>
  </r>
  <r>
    <s v="ORD00666"/>
    <s v="2023-03-25"/>
    <x v="34"/>
    <x v="15"/>
    <x v="0"/>
    <s v="Sofa"/>
    <n v="12"/>
    <n v="19388"/>
    <n v="0.2"/>
    <n v="186124.79999999999"/>
    <n v="28542.17"/>
    <x v="1"/>
    <x v="7"/>
    <x v="1"/>
  </r>
  <r>
    <s v="ORD00667"/>
    <s v="2024-10-04"/>
    <x v="48"/>
    <x v="13"/>
    <x v="2"/>
    <s v="Jacket"/>
    <n v="3"/>
    <n v="33917"/>
    <n v="0"/>
    <n v="101751"/>
    <n v="23304.23"/>
    <x v="0"/>
    <x v="0"/>
    <x v="0"/>
  </r>
  <r>
    <s v="ORD00668"/>
    <s v="2024-11-12"/>
    <x v="4"/>
    <x v="27"/>
    <x v="3"/>
    <s v="File"/>
    <n v="7"/>
    <n v="3986"/>
    <n v="0.15"/>
    <n v="23716.7"/>
    <n v="5734.55"/>
    <x v="1"/>
    <x v="4"/>
    <x v="0"/>
  </r>
  <r>
    <s v="ORD00669"/>
    <s v="2024-08-23"/>
    <x v="8"/>
    <x v="18"/>
    <x v="0"/>
    <s v="Table"/>
    <n v="6"/>
    <n v="21371"/>
    <n v="0.2"/>
    <n v="102580.8"/>
    <n v="11451.44"/>
    <x v="2"/>
    <x v="8"/>
    <x v="0"/>
  </r>
  <r>
    <s v="ORD00670"/>
    <s v="2023-06-04"/>
    <x v="36"/>
    <x v="14"/>
    <x v="2"/>
    <s v="Dress"/>
    <n v="12"/>
    <n v="59368"/>
    <n v="0.1"/>
    <n v="641174.4"/>
    <n v="96713.57"/>
    <x v="0"/>
    <x v="5"/>
    <x v="1"/>
  </r>
  <r>
    <s v="ORD00671"/>
    <s v="2023-08-27"/>
    <x v="19"/>
    <x v="21"/>
    <x v="1"/>
    <s v="Laptop"/>
    <n v="14"/>
    <n v="21260"/>
    <n v="0.05"/>
    <n v="282758"/>
    <n v="79662.98"/>
    <x v="2"/>
    <x v="8"/>
    <x v="1"/>
  </r>
  <r>
    <s v="ORD00672"/>
    <s v="2024-10-13"/>
    <x v="23"/>
    <x v="0"/>
    <x v="0"/>
    <s v="Chair"/>
    <n v="15"/>
    <n v="56043"/>
    <n v="0.15"/>
    <n v="714548.25"/>
    <n v="180046.9"/>
    <x v="2"/>
    <x v="0"/>
    <x v="0"/>
  </r>
  <r>
    <s v="ORD00673"/>
    <s v="2023-05-28"/>
    <x v="26"/>
    <x v="7"/>
    <x v="0"/>
    <s v="Bed"/>
    <n v="14"/>
    <n v="16845"/>
    <n v="0.1"/>
    <n v="212247"/>
    <n v="39059.620000000003"/>
    <x v="3"/>
    <x v="6"/>
    <x v="1"/>
  </r>
  <r>
    <s v="ORD00674"/>
    <s v="2023-03-15"/>
    <x v="39"/>
    <x v="22"/>
    <x v="1"/>
    <s v="Camera"/>
    <n v="8"/>
    <n v="23543"/>
    <n v="0.05"/>
    <n v="178926.8"/>
    <n v="40862.46"/>
    <x v="2"/>
    <x v="7"/>
    <x v="1"/>
  </r>
  <r>
    <s v="ORD00675"/>
    <s v="2023-03-29"/>
    <x v="22"/>
    <x v="26"/>
    <x v="3"/>
    <s v="Paper Ream"/>
    <n v="6"/>
    <n v="40544"/>
    <n v="0.05"/>
    <n v="231100.79999999999"/>
    <n v="40394.68"/>
    <x v="3"/>
    <x v="7"/>
    <x v="1"/>
  </r>
  <r>
    <s v="ORD00676"/>
    <s v="2024-11-08"/>
    <x v="33"/>
    <x v="17"/>
    <x v="1"/>
    <s v="Power Bank"/>
    <n v="9"/>
    <n v="29209"/>
    <n v="0.1"/>
    <n v="236592.9"/>
    <n v="20034.48"/>
    <x v="1"/>
    <x v="4"/>
    <x v="0"/>
  </r>
  <r>
    <s v="ORD00677"/>
    <s v="2024-04-18"/>
    <x v="47"/>
    <x v="23"/>
    <x v="0"/>
    <s v="Desk"/>
    <n v="13"/>
    <n v="58527"/>
    <n v="0"/>
    <n v="760851"/>
    <n v="151875.70000000001"/>
    <x v="0"/>
    <x v="2"/>
    <x v="0"/>
  </r>
  <r>
    <s v="ORD00678"/>
    <s v="2023-12-11"/>
    <x v="46"/>
    <x v="4"/>
    <x v="0"/>
    <s v="Stool"/>
    <n v="11"/>
    <n v="437"/>
    <n v="0.15"/>
    <n v="4085.95"/>
    <n v="644.46"/>
    <x v="0"/>
    <x v="9"/>
    <x v="1"/>
  </r>
  <r>
    <s v="ORD00679"/>
    <s v="2023-06-17"/>
    <x v="29"/>
    <x v="15"/>
    <x v="0"/>
    <s v="Sofa"/>
    <n v="12"/>
    <n v="6095"/>
    <n v="0.1"/>
    <n v="65826"/>
    <n v="15383.46"/>
    <x v="1"/>
    <x v="5"/>
    <x v="1"/>
  </r>
  <r>
    <s v="ORD00680"/>
    <s v="2024-02-10"/>
    <x v="28"/>
    <x v="12"/>
    <x v="1"/>
    <s v="Headphones"/>
    <n v="12"/>
    <n v="35272"/>
    <n v="0"/>
    <n v="423264"/>
    <n v="121751.3"/>
    <x v="1"/>
    <x v="11"/>
    <x v="0"/>
  </r>
  <r>
    <s v="ORD00681"/>
    <s v="2023-01-05"/>
    <x v="49"/>
    <x v="10"/>
    <x v="3"/>
    <s v="Marker"/>
    <n v="4"/>
    <n v="9340"/>
    <n v="0.15"/>
    <n v="31756"/>
    <n v="7365.5"/>
    <x v="1"/>
    <x v="3"/>
    <x v="1"/>
  </r>
  <r>
    <s v="ORD00682"/>
    <s v="2024-09-06"/>
    <x v="4"/>
    <x v="27"/>
    <x v="3"/>
    <s v="File"/>
    <n v="8"/>
    <n v="41743"/>
    <n v="0.05"/>
    <n v="317246.8"/>
    <n v="87096.68"/>
    <x v="1"/>
    <x v="10"/>
    <x v="0"/>
  </r>
  <r>
    <s v="ORD00683"/>
    <s v="2023-12-04"/>
    <x v="13"/>
    <x v="5"/>
    <x v="0"/>
    <s v="Cupboard"/>
    <n v="5"/>
    <n v="31758"/>
    <n v="0.15"/>
    <n v="134971.5"/>
    <n v="17749.37"/>
    <x v="2"/>
    <x v="9"/>
    <x v="1"/>
  </r>
  <r>
    <s v="ORD00684"/>
    <s v="2024-09-15"/>
    <x v="37"/>
    <x v="2"/>
    <x v="2"/>
    <s v="Shoes"/>
    <n v="2"/>
    <n v="59945"/>
    <n v="0.2"/>
    <n v="95912"/>
    <n v="10372.01"/>
    <x v="1"/>
    <x v="10"/>
    <x v="0"/>
  </r>
  <r>
    <s v="ORD00685"/>
    <s v="2024-09-01"/>
    <x v="27"/>
    <x v="23"/>
    <x v="0"/>
    <s v="Desk"/>
    <n v="14"/>
    <n v="9873"/>
    <n v="0"/>
    <n v="138222"/>
    <n v="41086.79"/>
    <x v="0"/>
    <x v="10"/>
    <x v="0"/>
  </r>
  <r>
    <s v="ORD00686"/>
    <s v="2024-04-06"/>
    <x v="30"/>
    <x v="17"/>
    <x v="1"/>
    <s v="Power Bank"/>
    <n v="13"/>
    <n v="12505"/>
    <n v="0.15"/>
    <n v="138180.25"/>
    <n v="23838.45"/>
    <x v="0"/>
    <x v="2"/>
    <x v="0"/>
  </r>
  <r>
    <s v="ORD00687"/>
    <s v="2023-07-27"/>
    <x v="21"/>
    <x v="10"/>
    <x v="3"/>
    <s v="Marker"/>
    <n v="6"/>
    <n v="21982"/>
    <n v="0.05"/>
    <n v="125297.4"/>
    <n v="34639.980000000003"/>
    <x v="2"/>
    <x v="1"/>
    <x v="1"/>
  </r>
  <r>
    <s v="ORD00688"/>
    <s v="2024-05-14"/>
    <x v="46"/>
    <x v="7"/>
    <x v="0"/>
    <s v="Bed"/>
    <n v="4"/>
    <n v="10962"/>
    <n v="0"/>
    <n v="43848"/>
    <n v="7322.49"/>
    <x v="1"/>
    <x v="6"/>
    <x v="0"/>
  </r>
  <r>
    <s v="ORD00689"/>
    <s v="2024-10-12"/>
    <x v="33"/>
    <x v="23"/>
    <x v="0"/>
    <s v="Desk"/>
    <n v="15"/>
    <n v="49087"/>
    <n v="0.1"/>
    <n v="662674.5"/>
    <n v="109276.18"/>
    <x v="1"/>
    <x v="0"/>
    <x v="0"/>
  </r>
  <r>
    <s v="ORD00690"/>
    <s v="2023-01-04"/>
    <x v="38"/>
    <x v="12"/>
    <x v="1"/>
    <s v="Headphones"/>
    <n v="10"/>
    <n v="35421"/>
    <n v="0.05"/>
    <n v="336499.5"/>
    <n v="65398.400000000001"/>
    <x v="0"/>
    <x v="3"/>
    <x v="1"/>
  </r>
  <r>
    <s v="ORD00691"/>
    <s v="2023-05-04"/>
    <x v="37"/>
    <x v="15"/>
    <x v="0"/>
    <s v="Sofa"/>
    <n v="11"/>
    <n v="19067"/>
    <n v="0.2"/>
    <n v="167789.6"/>
    <n v="18486.93"/>
    <x v="3"/>
    <x v="6"/>
    <x v="1"/>
  </r>
  <r>
    <s v="ORD00692"/>
    <s v="2023-07-08"/>
    <x v="26"/>
    <x v="23"/>
    <x v="0"/>
    <s v="Desk"/>
    <n v="1"/>
    <n v="48902"/>
    <n v="0.05"/>
    <n v="46456.9"/>
    <n v="8434.52"/>
    <x v="3"/>
    <x v="1"/>
    <x v="1"/>
  </r>
  <r>
    <s v="ORD00693"/>
    <s v="2023-05-30"/>
    <x v="33"/>
    <x v="4"/>
    <x v="0"/>
    <s v="Stool"/>
    <n v="11"/>
    <n v="47631"/>
    <n v="0.1"/>
    <n v="471546.9"/>
    <n v="99885.46"/>
    <x v="3"/>
    <x v="6"/>
    <x v="1"/>
  </r>
  <r>
    <s v="ORD00694"/>
    <s v="2023-04-26"/>
    <x v="21"/>
    <x v="2"/>
    <x v="2"/>
    <s v="Shoes"/>
    <n v="9"/>
    <n v="23009"/>
    <n v="0.1"/>
    <n v="186372.9"/>
    <n v="55882.52"/>
    <x v="1"/>
    <x v="2"/>
    <x v="1"/>
  </r>
  <r>
    <s v="ORD00695"/>
    <s v="2024-03-11"/>
    <x v="31"/>
    <x v="4"/>
    <x v="0"/>
    <s v="Stool"/>
    <n v="15"/>
    <n v="56407"/>
    <n v="0.15"/>
    <n v="719189.25"/>
    <n v="140232.32000000001"/>
    <x v="3"/>
    <x v="7"/>
    <x v="0"/>
  </r>
  <r>
    <s v="ORD00696"/>
    <s v="2024-02-24"/>
    <x v="45"/>
    <x v="23"/>
    <x v="0"/>
    <s v="Desk"/>
    <n v="4"/>
    <n v="38740"/>
    <n v="0"/>
    <n v="154960"/>
    <n v="30297.3"/>
    <x v="1"/>
    <x v="11"/>
    <x v="0"/>
  </r>
  <r>
    <s v="ORD00697"/>
    <s v="2023-08-20"/>
    <x v="10"/>
    <x v="15"/>
    <x v="0"/>
    <s v="Sofa"/>
    <n v="6"/>
    <n v="37576"/>
    <n v="0"/>
    <n v="225456"/>
    <n v="44882.75"/>
    <x v="1"/>
    <x v="8"/>
    <x v="1"/>
  </r>
  <r>
    <s v="ORD00698"/>
    <s v="2023-09-04"/>
    <x v="29"/>
    <x v="5"/>
    <x v="0"/>
    <s v="Cupboard"/>
    <n v="2"/>
    <n v="5938"/>
    <n v="0.15"/>
    <n v="10094.6"/>
    <n v="2600.34"/>
    <x v="0"/>
    <x v="10"/>
    <x v="1"/>
  </r>
  <r>
    <s v="ORD00699"/>
    <s v="2024-11-14"/>
    <x v="39"/>
    <x v="24"/>
    <x v="2"/>
    <s v="T-Shirt"/>
    <n v="13"/>
    <n v="58498"/>
    <n v="0.05"/>
    <n v="722450.3"/>
    <n v="210122.88"/>
    <x v="3"/>
    <x v="4"/>
    <x v="0"/>
  </r>
  <r>
    <s v="ORD00700"/>
    <s v="2024-10-07"/>
    <x v="42"/>
    <x v="21"/>
    <x v="1"/>
    <s v="Laptop"/>
    <n v="11"/>
    <n v="35871"/>
    <n v="0.2"/>
    <n v="315664.8"/>
    <n v="47215.02"/>
    <x v="2"/>
    <x v="0"/>
    <x v="0"/>
  </r>
  <r>
    <s v="ORD00701"/>
    <s v="2023-12-25"/>
    <x v="46"/>
    <x v="3"/>
    <x v="3"/>
    <s v="Stapler"/>
    <n v="6"/>
    <n v="57467"/>
    <n v="0"/>
    <n v="344802"/>
    <n v="49032.94"/>
    <x v="0"/>
    <x v="9"/>
    <x v="1"/>
  </r>
  <r>
    <s v="ORD00702"/>
    <s v="2023-12-03"/>
    <x v="44"/>
    <x v="27"/>
    <x v="3"/>
    <s v="File"/>
    <n v="12"/>
    <n v="9988"/>
    <n v="0.1"/>
    <n v="107870.39999999999"/>
    <n v="20708.63"/>
    <x v="1"/>
    <x v="9"/>
    <x v="1"/>
  </r>
  <r>
    <s v="ORD00703"/>
    <s v="2024-01-06"/>
    <x v="49"/>
    <x v="5"/>
    <x v="0"/>
    <s v="Cupboard"/>
    <n v="15"/>
    <n v="12454"/>
    <n v="0.1"/>
    <n v="168129"/>
    <n v="27937.97"/>
    <x v="3"/>
    <x v="3"/>
    <x v="0"/>
  </r>
  <r>
    <s v="ORD00704"/>
    <s v="2023-06-14"/>
    <x v="41"/>
    <x v="10"/>
    <x v="3"/>
    <s v="Marker"/>
    <n v="11"/>
    <n v="8042"/>
    <n v="0.05"/>
    <n v="84038.9"/>
    <n v="21163.119999999999"/>
    <x v="2"/>
    <x v="5"/>
    <x v="1"/>
  </r>
  <r>
    <s v="ORD00705"/>
    <s v="2023-07-18"/>
    <x v="46"/>
    <x v="6"/>
    <x v="2"/>
    <s v="Jeans"/>
    <n v="3"/>
    <n v="52922"/>
    <n v="0.05"/>
    <n v="150827.70000000001"/>
    <n v="24451.77"/>
    <x v="0"/>
    <x v="1"/>
    <x v="1"/>
  </r>
  <r>
    <s v="ORD00706"/>
    <s v="2023-12-18"/>
    <x v="35"/>
    <x v="10"/>
    <x v="3"/>
    <s v="Marker"/>
    <n v="5"/>
    <n v="47455"/>
    <n v="0.15"/>
    <n v="201683.75"/>
    <n v="23689.82"/>
    <x v="0"/>
    <x v="9"/>
    <x v="1"/>
  </r>
  <r>
    <s v="ORD00707"/>
    <s v="2024-11-29"/>
    <x v="1"/>
    <x v="11"/>
    <x v="3"/>
    <s v="Printer"/>
    <n v="4"/>
    <n v="44237"/>
    <n v="0"/>
    <n v="176948"/>
    <n v="31800.42"/>
    <x v="2"/>
    <x v="4"/>
    <x v="0"/>
  </r>
  <r>
    <s v="ORD00708"/>
    <s v="2024-06-27"/>
    <x v="0"/>
    <x v="16"/>
    <x v="3"/>
    <s v="Pen"/>
    <n v="13"/>
    <n v="15035"/>
    <n v="0.15"/>
    <n v="166136.75"/>
    <n v="18868.38"/>
    <x v="3"/>
    <x v="5"/>
    <x v="0"/>
  </r>
  <r>
    <s v="ORD00709"/>
    <s v="2024-11-12"/>
    <x v="10"/>
    <x v="9"/>
    <x v="1"/>
    <s v="Keyboard"/>
    <n v="5"/>
    <n v="40320"/>
    <n v="0.15"/>
    <n v="171360"/>
    <n v="31141.78"/>
    <x v="3"/>
    <x v="4"/>
    <x v="0"/>
  </r>
  <r>
    <s v="ORD00710"/>
    <s v="2023-12-26"/>
    <x v="30"/>
    <x v="24"/>
    <x v="2"/>
    <s v="T-Shirt"/>
    <n v="7"/>
    <n v="42824"/>
    <n v="0.1"/>
    <n v="269791.2"/>
    <n v="56931.4"/>
    <x v="1"/>
    <x v="9"/>
    <x v="1"/>
  </r>
  <r>
    <s v="ORD00711"/>
    <s v="2023-10-06"/>
    <x v="9"/>
    <x v="26"/>
    <x v="3"/>
    <s v="Paper Ream"/>
    <n v="14"/>
    <n v="54490"/>
    <n v="0.15"/>
    <n v="648431"/>
    <n v="65117.49"/>
    <x v="1"/>
    <x v="0"/>
    <x v="1"/>
  </r>
  <r>
    <s v="ORD00712"/>
    <s v="2024-09-17"/>
    <x v="22"/>
    <x v="21"/>
    <x v="1"/>
    <s v="Laptop"/>
    <n v="9"/>
    <n v="43139"/>
    <n v="0.05"/>
    <n v="368838.45"/>
    <n v="69949.570000000007"/>
    <x v="3"/>
    <x v="10"/>
    <x v="0"/>
  </r>
  <r>
    <s v="ORD00713"/>
    <s v="2023-01-25"/>
    <x v="8"/>
    <x v="16"/>
    <x v="3"/>
    <s v="Pen"/>
    <n v="1"/>
    <n v="18050"/>
    <n v="0.15"/>
    <n v="15342.5"/>
    <n v="1901.76"/>
    <x v="3"/>
    <x v="3"/>
    <x v="1"/>
  </r>
  <r>
    <s v="ORD00714"/>
    <s v="2024-11-07"/>
    <x v="5"/>
    <x v="8"/>
    <x v="2"/>
    <s v="Sweater"/>
    <n v="3"/>
    <n v="9919"/>
    <n v="0.1"/>
    <n v="26781.3"/>
    <n v="2795.79"/>
    <x v="0"/>
    <x v="4"/>
    <x v="0"/>
  </r>
  <r>
    <s v="ORD00715"/>
    <s v="2023-07-30"/>
    <x v="2"/>
    <x v="14"/>
    <x v="2"/>
    <s v="Dress"/>
    <n v="6"/>
    <n v="26560"/>
    <n v="0.2"/>
    <n v="127488"/>
    <n v="29618.15"/>
    <x v="3"/>
    <x v="1"/>
    <x v="1"/>
  </r>
  <r>
    <s v="ORD00716"/>
    <s v="2024-06-22"/>
    <x v="18"/>
    <x v="8"/>
    <x v="2"/>
    <s v="Sweater"/>
    <n v="5"/>
    <n v="3778"/>
    <n v="0.2"/>
    <n v="15112"/>
    <n v="3691.12"/>
    <x v="1"/>
    <x v="5"/>
    <x v="0"/>
  </r>
  <r>
    <s v="ORD00717"/>
    <s v="2024-05-05"/>
    <x v="23"/>
    <x v="5"/>
    <x v="0"/>
    <s v="Cupboard"/>
    <n v="4"/>
    <n v="13042"/>
    <n v="0.1"/>
    <n v="46951.199999999997"/>
    <n v="7748.81"/>
    <x v="2"/>
    <x v="6"/>
    <x v="0"/>
  </r>
  <r>
    <s v="ORD00718"/>
    <s v="2023-06-25"/>
    <x v="26"/>
    <x v="0"/>
    <x v="0"/>
    <s v="Chair"/>
    <n v="1"/>
    <n v="40318"/>
    <n v="0.2"/>
    <n v="32254.400000000001"/>
    <n v="3129.61"/>
    <x v="2"/>
    <x v="5"/>
    <x v="1"/>
  </r>
  <r>
    <s v="ORD00719"/>
    <s v="2024-08-11"/>
    <x v="9"/>
    <x v="15"/>
    <x v="0"/>
    <s v="Sofa"/>
    <n v="9"/>
    <n v="19443"/>
    <n v="0.1"/>
    <n v="157488.29999999999"/>
    <n v="28881.24"/>
    <x v="3"/>
    <x v="8"/>
    <x v="0"/>
  </r>
  <r>
    <s v="ORD00720"/>
    <s v="2023-07-25"/>
    <x v="31"/>
    <x v="8"/>
    <x v="2"/>
    <s v="Sweater"/>
    <n v="1"/>
    <n v="5266"/>
    <n v="0.1"/>
    <n v="4739.3999999999996"/>
    <n v="626.12"/>
    <x v="2"/>
    <x v="1"/>
    <x v="1"/>
  </r>
  <r>
    <s v="ORD00721"/>
    <s v="2023-04-04"/>
    <x v="46"/>
    <x v="20"/>
    <x v="1"/>
    <s v="Tablet"/>
    <n v="10"/>
    <n v="3637"/>
    <n v="0.05"/>
    <n v="34551.5"/>
    <n v="8785.02"/>
    <x v="1"/>
    <x v="2"/>
    <x v="1"/>
  </r>
  <r>
    <s v="ORD00722"/>
    <s v="2024-06-26"/>
    <x v="15"/>
    <x v="6"/>
    <x v="2"/>
    <s v="Jeans"/>
    <n v="5"/>
    <n v="38459"/>
    <n v="0.2"/>
    <n v="153836"/>
    <n v="35837.33"/>
    <x v="2"/>
    <x v="5"/>
    <x v="0"/>
  </r>
  <r>
    <s v="ORD00723"/>
    <s v="2023-03-28"/>
    <x v="15"/>
    <x v="25"/>
    <x v="3"/>
    <s v="Notebook"/>
    <n v="12"/>
    <n v="49591"/>
    <n v="0.15"/>
    <n v="505828.2"/>
    <n v="117662.96"/>
    <x v="2"/>
    <x v="7"/>
    <x v="1"/>
  </r>
  <r>
    <s v="ORD00724"/>
    <s v="2023-01-11"/>
    <x v="48"/>
    <x v="12"/>
    <x v="1"/>
    <s v="Headphones"/>
    <n v="4"/>
    <n v="40803"/>
    <n v="0.1"/>
    <n v="146890.79999999999"/>
    <n v="24473.759999999998"/>
    <x v="2"/>
    <x v="3"/>
    <x v="1"/>
  </r>
  <r>
    <s v="ORD00725"/>
    <s v="2023-05-02"/>
    <x v="2"/>
    <x v="15"/>
    <x v="0"/>
    <s v="Sofa"/>
    <n v="13"/>
    <n v="23675"/>
    <n v="0"/>
    <n v="307775"/>
    <n v="60497.83"/>
    <x v="1"/>
    <x v="6"/>
    <x v="1"/>
  </r>
  <r>
    <s v="ORD00726"/>
    <s v="2023-07-02"/>
    <x v="43"/>
    <x v="21"/>
    <x v="1"/>
    <s v="Laptop"/>
    <n v="6"/>
    <n v="6793"/>
    <n v="0"/>
    <n v="40758"/>
    <n v="3624.57"/>
    <x v="2"/>
    <x v="1"/>
    <x v="1"/>
  </r>
  <r>
    <s v="ORD00727"/>
    <s v="2023-11-06"/>
    <x v="15"/>
    <x v="4"/>
    <x v="0"/>
    <s v="Stool"/>
    <n v="9"/>
    <n v="21670"/>
    <n v="0.05"/>
    <n v="185278.5"/>
    <n v="42180.13"/>
    <x v="0"/>
    <x v="4"/>
    <x v="1"/>
  </r>
  <r>
    <s v="ORD00728"/>
    <s v="2024-11-13"/>
    <x v="4"/>
    <x v="26"/>
    <x v="3"/>
    <s v="Paper Ream"/>
    <n v="8"/>
    <n v="37061"/>
    <n v="0.2"/>
    <n v="237190.39999999999"/>
    <n v="26567.17"/>
    <x v="0"/>
    <x v="4"/>
    <x v="0"/>
  </r>
  <r>
    <s v="ORD00729"/>
    <s v="2024-11-11"/>
    <x v="24"/>
    <x v="2"/>
    <x v="2"/>
    <s v="Shoes"/>
    <n v="3"/>
    <n v="22225"/>
    <n v="0.15"/>
    <n v="56673.75"/>
    <n v="15504.8"/>
    <x v="2"/>
    <x v="4"/>
    <x v="0"/>
  </r>
  <r>
    <s v="ORD00730"/>
    <s v="2023-02-08"/>
    <x v="16"/>
    <x v="17"/>
    <x v="1"/>
    <s v="Power Bank"/>
    <n v="15"/>
    <n v="50567"/>
    <n v="0"/>
    <n v="758505"/>
    <n v="96706.41"/>
    <x v="1"/>
    <x v="11"/>
    <x v="1"/>
  </r>
  <r>
    <s v="ORD00731"/>
    <s v="2023-04-08"/>
    <x v="49"/>
    <x v="20"/>
    <x v="1"/>
    <s v="Tablet"/>
    <n v="13"/>
    <n v="38819"/>
    <n v="0.2"/>
    <n v="403717.6"/>
    <n v="47497.17"/>
    <x v="2"/>
    <x v="2"/>
    <x v="1"/>
  </r>
  <r>
    <s v="ORD00732"/>
    <s v="2023-08-28"/>
    <x v="47"/>
    <x v="10"/>
    <x v="3"/>
    <s v="Marker"/>
    <n v="3"/>
    <n v="12272"/>
    <n v="0.15"/>
    <n v="31293.599999999999"/>
    <n v="4033.22"/>
    <x v="1"/>
    <x v="8"/>
    <x v="1"/>
  </r>
  <r>
    <s v="ORD00733"/>
    <s v="2024-11-13"/>
    <x v="16"/>
    <x v="20"/>
    <x v="1"/>
    <s v="Tablet"/>
    <n v="14"/>
    <n v="55984"/>
    <n v="0.1"/>
    <n v="705398.4"/>
    <n v="142590.54"/>
    <x v="2"/>
    <x v="4"/>
    <x v="0"/>
  </r>
  <r>
    <s v="ORD00734"/>
    <s v="2023-10-18"/>
    <x v="41"/>
    <x v="14"/>
    <x v="2"/>
    <s v="Dress"/>
    <n v="15"/>
    <n v="23044"/>
    <n v="0.05"/>
    <n v="328377"/>
    <n v="65885.89"/>
    <x v="2"/>
    <x v="0"/>
    <x v="1"/>
  </r>
  <r>
    <s v="ORD00735"/>
    <s v="2023-09-02"/>
    <x v="1"/>
    <x v="3"/>
    <x v="3"/>
    <s v="Stapler"/>
    <n v="12"/>
    <n v="41982"/>
    <n v="0.05"/>
    <n v="478594.8"/>
    <n v="118125.79"/>
    <x v="3"/>
    <x v="10"/>
    <x v="1"/>
  </r>
  <r>
    <s v="ORD00736"/>
    <s v="2023-03-29"/>
    <x v="11"/>
    <x v="9"/>
    <x v="1"/>
    <s v="Keyboard"/>
    <n v="1"/>
    <n v="14689"/>
    <n v="0.1"/>
    <n v="13220.1"/>
    <n v="3410.44"/>
    <x v="1"/>
    <x v="7"/>
    <x v="1"/>
  </r>
  <r>
    <s v="ORD00737"/>
    <s v="2024-10-02"/>
    <x v="9"/>
    <x v="2"/>
    <x v="2"/>
    <s v="Shoes"/>
    <n v="10"/>
    <n v="4485"/>
    <n v="0.2"/>
    <n v="35880"/>
    <n v="7666.35"/>
    <x v="0"/>
    <x v="0"/>
    <x v="0"/>
  </r>
  <r>
    <s v="ORD00738"/>
    <s v="2023-03-10"/>
    <x v="43"/>
    <x v="17"/>
    <x v="1"/>
    <s v="Power Bank"/>
    <n v="2"/>
    <n v="43577"/>
    <n v="0.1"/>
    <n v="78438.600000000006"/>
    <n v="16920.16"/>
    <x v="2"/>
    <x v="7"/>
    <x v="1"/>
  </r>
  <r>
    <s v="ORD00739"/>
    <s v="2024-02-02"/>
    <x v="46"/>
    <x v="16"/>
    <x v="3"/>
    <s v="Pen"/>
    <n v="2"/>
    <n v="25453"/>
    <n v="0"/>
    <n v="50906"/>
    <n v="14191.08"/>
    <x v="2"/>
    <x v="11"/>
    <x v="0"/>
  </r>
  <r>
    <s v="ORD00740"/>
    <s v="2023-03-09"/>
    <x v="40"/>
    <x v="6"/>
    <x v="2"/>
    <s v="Jeans"/>
    <n v="1"/>
    <n v="2820"/>
    <n v="0.15"/>
    <n v="2397"/>
    <n v="574.70000000000005"/>
    <x v="1"/>
    <x v="7"/>
    <x v="1"/>
  </r>
  <r>
    <s v="ORD00741"/>
    <s v="2023-06-05"/>
    <x v="40"/>
    <x v="24"/>
    <x v="2"/>
    <s v="T-Shirt"/>
    <n v="3"/>
    <n v="47044"/>
    <n v="0.05"/>
    <n v="134075.4"/>
    <n v="24803.25"/>
    <x v="1"/>
    <x v="5"/>
    <x v="1"/>
  </r>
  <r>
    <s v="ORD00742"/>
    <s v="2023-12-29"/>
    <x v="32"/>
    <x v="8"/>
    <x v="2"/>
    <s v="Sweater"/>
    <n v="3"/>
    <n v="31665"/>
    <n v="0.05"/>
    <n v="90245.25"/>
    <n v="20606.419999999998"/>
    <x v="3"/>
    <x v="9"/>
    <x v="1"/>
  </r>
  <r>
    <s v="ORD00743"/>
    <s v="2024-10-28"/>
    <x v="34"/>
    <x v="11"/>
    <x v="3"/>
    <s v="Printer"/>
    <n v="9"/>
    <n v="29549"/>
    <n v="0"/>
    <n v="265941"/>
    <n v="27656.14"/>
    <x v="3"/>
    <x v="0"/>
    <x v="0"/>
  </r>
  <r>
    <s v="ORD00744"/>
    <s v="2024-06-17"/>
    <x v="27"/>
    <x v="23"/>
    <x v="0"/>
    <s v="Desk"/>
    <n v="15"/>
    <n v="43082"/>
    <n v="0.1"/>
    <n v="581607"/>
    <n v="132752.89000000001"/>
    <x v="0"/>
    <x v="5"/>
    <x v="0"/>
  </r>
  <r>
    <s v="ORD00745"/>
    <s v="2024-09-23"/>
    <x v="22"/>
    <x v="8"/>
    <x v="2"/>
    <s v="Sweater"/>
    <n v="3"/>
    <n v="44207"/>
    <n v="0.1"/>
    <n v="119358.9"/>
    <n v="10701.2"/>
    <x v="3"/>
    <x v="10"/>
    <x v="0"/>
  </r>
  <r>
    <s v="ORD00746"/>
    <s v="2024-07-21"/>
    <x v="3"/>
    <x v="27"/>
    <x v="3"/>
    <s v="File"/>
    <n v="13"/>
    <n v="25053"/>
    <n v="0.1"/>
    <n v="293120.09999999998"/>
    <n v="86782.38"/>
    <x v="1"/>
    <x v="1"/>
    <x v="0"/>
  </r>
  <r>
    <s v="ORD00747"/>
    <s v="2023-02-08"/>
    <x v="29"/>
    <x v="5"/>
    <x v="0"/>
    <s v="Cupboard"/>
    <n v="8"/>
    <n v="913"/>
    <n v="0.1"/>
    <n v="6573.6"/>
    <n v="1547.11"/>
    <x v="3"/>
    <x v="11"/>
    <x v="1"/>
  </r>
  <r>
    <s v="ORD00748"/>
    <s v="2024-02-17"/>
    <x v="35"/>
    <x v="2"/>
    <x v="2"/>
    <s v="Shoes"/>
    <n v="5"/>
    <n v="12001"/>
    <n v="0.1"/>
    <n v="54004.5"/>
    <n v="4530.51"/>
    <x v="1"/>
    <x v="11"/>
    <x v="0"/>
  </r>
  <r>
    <s v="ORD00749"/>
    <s v="2024-08-15"/>
    <x v="25"/>
    <x v="26"/>
    <x v="3"/>
    <s v="Paper Ream"/>
    <n v="9"/>
    <n v="48527"/>
    <n v="0.1"/>
    <n v="393068.7"/>
    <n v="109392.92"/>
    <x v="2"/>
    <x v="8"/>
    <x v="0"/>
  </r>
  <r>
    <s v="ORD00750"/>
    <s v="2023-03-04"/>
    <x v="9"/>
    <x v="7"/>
    <x v="0"/>
    <s v="Bed"/>
    <n v="11"/>
    <n v="4090"/>
    <n v="0.1"/>
    <n v="40491"/>
    <n v="12061.91"/>
    <x v="1"/>
    <x v="7"/>
    <x v="1"/>
  </r>
  <r>
    <s v="ORD00751"/>
    <s v="2023-12-03"/>
    <x v="9"/>
    <x v="18"/>
    <x v="0"/>
    <s v="Table"/>
    <n v="2"/>
    <n v="29255"/>
    <n v="0.2"/>
    <n v="46808"/>
    <n v="5285.78"/>
    <x v="3"/>
    <x v="9"/>
    <x v="1"/>
  </r>
  <r>
    <s v="ORD00752"/>
    <s v="2024-11-27"/>
    <x v="45"/>
    <x v="20"/>
    <x v="1"/>
    <s v="Tablet"/>
    <n v="13"/>
    <n v="58833"/>
    <n v="0.2"/>
    <n v="611863.19999999995"/>
    <n v="127583.08"/>
    <x v="2"/>
    <x v="4"/>
    <x v="0"/>
  </r>
  <r>
    <s v="ORD00753"/>
    <s v="2023-06-07"/>
    <x v="1"/>
    <x v="1"/>
    <x v="1"/>
    <s v="Mobile"/>
    <n v="1"/>
    <n v="42888"/>
    <n v="0"/>
    <n v="42888"/>
    <n v="9763.83"/>
    <x v="3"/>
    <x v="5"/>
    <x v="1"/>
  </r>
  <r>
    <s v="ORD00754"/>
    <s v="2024-01-27"/>
    <x v="22"/>
    <x v="21"/>
    <x v="1"/>
    <s v="Laptop"/>
    <n v="6"/>
    <n v="44769"/>
    <n v="0"/>
    <n v="268614"/>
    <n v="64827.79"/>
    <x v="3"/>
    <x v="3"/>
    <x v="0"/>
  </r>
  <r>
    <s v="ORD00755"/>
    <s v="2023-11-26"/>
    <x v="38"/>
    <x v="8"/>
    <x v="2"/>
    <s v="Sweater"/>
    <n v="2"/>
    <n v="39706"/>
    <n v="0"/>
    <n v="79412"/>
    <n v="21382.37"/>
    <x v="3"/>
    <x v="4"/>
    <x v="1"/>
  </r>
  <r>
    <s v="ORD00756"/>
    <s v="2023-08-13"/>
    <x v="37"/>
    <x v="23"/>
    <x v="0"/>
    <s v="Desk"/>
    <n v="6"/>
    <n v="8613"/>
    <n v="0.05"/>
    <n v="49094.1"/>
    <n v="7432.76"/>
    <x v="2"/>
    <x v="8"/>
    <x v="1"/>
  </r>
  <r>
    <s v="ORD00757"/>
    <s v="2024-10-03"/>
    <x v="14"/>
    <x v="18"/>
    <x v="0"/>
    <s v="Table"/>
    <n v="11"/>
    <n v="27849"/>
    <n v="0"/>
    <n v="306339"/>
    <n v="63361.19"/>
    <x v="3"/>
    <x v="0"/>
    <x v="0"/>
  </r>
  <r>
    <s v="ORD00758"/>
    <s v="2023-09-14"/>
    <x v="22"/>
    <x v="5"/>
    <x v="0"/>
    <s v="Cupboard"/>
    <n v="9"/>
    <n v="21710"/>
    <n v="0.1"/>
    <n v="175851"/>
    <n v="47984.9"/>
    <x v="2"/>
    <x v="10"/>
    <x v="1"/>
  </r>
  <r>
    <s v="ORD00759"/>
    <s v="2023-12-04"/>
    <x v="44"/>
    <x v="5"/>
    <x v="0"/>
    <s v="Cupboard"/>
    <n v="12"/>
    <n v="58804"/>
    <n v="0"/>
    <n v="705648"/>
    <n v="134798.37"/>
    <x v="2"/>
    <x v="9"/>
    <x v="1"/>
  </r>
  <r>
    <s v="ORD00760"/>
    <s v="2023-11-28"/>
    <x v="47"/>
    <x v="9"/>
    <x v="1"/>
    <s v="Keyboard"/>
    <n v="2"/>
    <n v="29275"/>
    <n v="0.2"/>
    <n v="46840"/>
    <n v="5362.7"/>
    <x v="0"/>
    <x v="4"/>
    <x v="1"/>
  </r>
  <r>
    <s v="ORD00761"/>
    <s v="2023-02-15"/>
    <x v="21"/>
    <x v="4"/>
    <x v="0"/>
    <s v="Stool"/>
    <n v="1"/>
    <n v="1528"/>
    <n v="0.05"/>
    <n v="1451.6"/>
    <n v="142.63"/>
    <x v="0"/>
    <x v="11"/>
    <x v="1"/>
  </r>
  <r>
    <s v="ORD00762"/>
    <s v="2023-03-22"/>
    <x v="12"/>
    <x v="8"/>
    <x v="2"/>
    <s v="Sweater"/>
    <n v="13"/>
    <n v="8597"/>
    <n v="0.2"/>
    <n v="89408.8"/>
    <n v="17356.68"/>
    <x v="1"/>
    <x v="7"/>
    <x v="1"/>
  </r>
  <r>
    <s v="ORD00763"/>
    <s v="2023-09-22"/>
    <x v="23"/>
    <x v="2"/>
    <x v="2"/>
    <s v="Shoes"/>
    <n v="2"/>
    <n v="30752"/>
    <n v="0.05"/>
    <n v="58428.800000000003"/>
    <n v="6762.23"/>
    <x v="1"/>
    <x v="10"/>
    <x v="1"/>
  </r>
  <r>
    <s v="ORD00764"/>
    <s v="2024-08-20"/>
    <x v="4"/>
    <x v="18"/>
    <x v="0"/>
    <s v="Table"/>
    <n v="8"/>
    <n v="13699"/>
    <n v="0.05"/>
    <n v="104112.4"/>
    <n v="16763.37"/>
    <x v="1"/>
    <x v="8"/>
    <x v="0"/>
  </r>
  <r>
    <s v="ORD00765"/>
    <s v="2023-12-21"/>
    <x v="21"/>
    <x v="5"/>
    <x v="0"/>
    <s v="Cupboard"/>
    <n v="14"/>
    <n v="40506"/>
    <n v="0.2"/>
    <n v="453667.2"/>
    <n v="77805.25"/>
    <x v="2"/>
    <x v="9"/>
    <x v="1"/>
  </r>
  <r>
    <s v="ORD00766"/>
    <s v="2023-03-15"/>
    <x v="40"/>
    <x v="11"/>
    <x v="3"/>
    <s v="Printer"/>
    <n v="8"/>
    <n v="15546"/>
    <n v="0.05"/>
    <n v="118149.6"/>
    <n v="10613.68"/>
    <x v="0"/>
    <x v="7"/>
    <x v="1"/>
  </r>
  <r>
    <s v="ORD00767"/>
    <s v="2023-07-27"/>
    <x v="39"/>
    <x v="20"/>
    <x v="1"/>
    <s v="Tablet"/>
    <n v="5"/>
    <n v="37024"/>
    <n v="0"/>
    <n v="185120"/>
    <n v="22766.27"/>
    <x v="0"/>
    <x v="1"/>
    <x v="1"/>
  </r>
  <r>
    <s v="ORD00768"/>
    <s v="2024-10-01"/>
    <x v="7"/>
    <x v="18"/>
    <x v="0"/>
    <s v="Table"/>
    <n v="6"/>
    <n v="51331"/>
    <n v="0.05"/>
    <n v="292586.7"/>
    <n v="44108.19"/>
    <x v="3"/>
    <x v="0"/>
    <x v="0"/>
  </r>
  <r>
    <s v="ORD00769"/>
    <s v="2023-03-02"/>
    <x v="12"/>
    <x v="5"/>
    <x v="0"/>
    <s v="Cupboard"/>
    <n v="8"/>
    <n v="10013"/>
    <n v="0"/>
    <n v="80104"/>
    <n v="20058.55"/>
    <x v="1"/>
    <x v="7"/>
    <x v="1"/>
  </r>
  <r>
    <s v="ORD00770"/>
    <s v="2023-09-07"/>
    <x v="49"/>
    <x v="1"/>
    <x v="1"/>
    <s v="Mobile"/>
    <n v="11"/>
    <n v="56685"/>
    <n v="0"/>
    <n v="623535"/>
    <n v="177483.37"/>
    <x v="3"/>
    <x v="10"/>
    <x v="1"/>
  </r>
  <r>
    <s v="ORD00771"/>
    <s v="2024-01-22"/>
    <x v="10"/>
    <x v="22"/>
    <x v="1"/>
    <s v="Camera"/>
    <n v="4"/>
    <n v="10036"/>
    <n v="0"/>
    <n v="40144"/>
    <n v="7320.81"/>
    <x v="2"/>
    <x v="3"/>
    <x v="0"/>
  </r>
  <r>
    <s v="ORD00772"/>
    <s v="2024-01-18"/>
    <x v="11"/>
    <x v="0"/>
    <x v="0"/>
    <s v="Chair"/>
    <n v="7"/>
    <n v="28892"/>
    <n v="0.2"/>
    <n v="161795.20000000001"/>
    <n v="17386.27"/>
    <x v="3"/>
    <x v="3"/>
    <x v="0"/>
  </r>
  <r>
    <s v="ORD00773"/>
    <s v="2024-02-23"/>
    <x v="11"/>
    <x v="5"/>
    <x v="0"/>
    <s v="Cupboard"/>
    <n v="5"/>
    <n v="32808"/>
    <n v="0.15"/>
    <n v="139434"/>
    <n v="25518.87"/>
    <x v="2"/>
    <x v="11"/>
    <x v="0"/>
  </r>
  <r>
    <s v="ORD00774"/>
    <s v="2024-12-01"/>
    <x v="11"/>
    <x v="18"/>
    <x v="0"/>
    <s v="Table"/>
    <n v="14"/>
    <n v="49837"/>
    <n v="0"/>
    <n v="697718"/>
    <n v="176733.83"/>
    <x v="1"/>
    <x v="9"/>
    <x v="0"/>
  </r>
  <r>
    <s v="ORD00775"/>
    <s v="2023-07-28"/>
    <x v="23"/>
    <x v="3"/>
    <x v="3"/>
    <s v="Stapler"/>
    <n v="4"/>
    <n v="36268"/>
    <n v="0.15"/>
    <n v="123311.2"/>
    <n v="15976.63"/>
    <x v="0"/>
    <x v="1"/>
    <x v="1"/>
  </r>
  <r>
    <s v="ORD00776"/>
    <s v="2024-10-30"/>
    <x v="6"/>
    <x v="9"/>
    <x v="1"/>
    <s v="Keyboard"/>
    <n v="15"/>
    <n v="11074"/>
    <n v="0.2"/>
    <n v="132888"/>
    <n v="12351.06"/>
    <x v="2"/>
    <x v="0"/>
    <x v="0"/>
  </r>
  <r>
    <s v="ORD00777"/>
    <s v="2023-02-17"/>
    <x v="17"/>
    <x v="16"/>
    <x v="3"/>
    <s v="Pen"/>
    <n v="13"/>
    <n v="11303"/>
    <n v="0.2"/>
    <n v="117551.2"/>
    <n v="16331.2"/>
    <x v="2"/>
    <x v="11"/>
    <x v="1"/>
  </r>
  <r>
    <s v="ORD00778"/>
    <s v="2023-09-28"/>
    <x v="48"/>
    <x v="21"/>
    <x v="1"/>
    <s v="Laptop"/>
    <n v="9"/>
    <n v="20431"/>
    <n v="0.2"/>
    <n v="147103.20000000001"/>
    <n v="41191.440000000002"/>
    <x v="1"/>
    <x v="10"/>
    <x v="1"/>
  </r>
  <r>
    <s v="ORD00779"/>
    <s v="2023-03-12"/>
    <x v="5"/>
    <x v="21"/>
    <x v="1"/>
    <s v="Laptop"/>
    <n v="5"/>
    <n v="25511"/>
    <n v="0.1"/>
    <n v="114799.5"/>
    <n v="10906.1"/>
    <x v="0"/>
    <x v="7"/>
    <x v="1"/>
  </r>
  <r>
    <s v="ORD00780"/>
    <s v="2023-08-16"/>
    <x v="34"/>
    <x v="27"/>
    <x v="3"/>
    <s v="File"/>
    <n v="3"/>
    <n v="18335"/>
    <n v="0.15"/>
    <n v="46754.25"/>
    <n v="11947.05"/>
    <x v="2"/>
    <x v="8"/>
    <x v="1"/>
  </r>
  <r>
    <s v="ORD00781"/>
    <s v="2023-12-16"/>
    <x v="19"/>
    <x v="5"/>
    <x v="0"/>
    <s v="Cupboard"/>
    <n v="15"/>
    <n v="4633"/>
    <n v="0.05"/>
    <n v="66020.25"/>
    <n v="6372.39"/>
    <x v="2"/>
    <x v="9"/>
    <x v="1"/>
  </r>
  <r>
    <s v="ORD00782"/>
    <s v="2024-01-02"/>
    <x v="38"/>
    <x v="12"/>
    <x v="1"/>
    <s v="Headphones"/>
    <n v="7"/>
    <n v="19078"/>
    <n v="0.2"/>
    <n v="106836.8"/>
    <n v="14659.57"/>
    <x v="3"/>
    <x v="3"/>
    <x v="0"/>
  </r>
  <r>
    <s v="ORD00783"/>
    <s v="2023-04-17"/>
    <x v="7"/>
    <x v="18"/>
    <x v="0"/>
    <s v="Table"/>
    <n v="4"/>
    <n v="40373"/>
    <n v="0.15"/>
    <n v="137268.20000000001"/>
    <n v="29456.21"/>
    <x v="1"/>
    <x v="2"/>
    <x v="1"/>
  </r>
  <r>
    <s v="ORD00784"/>
    <s v="2024-07-24"/>
    <x v="31"/>
    <x v="12"/>
    <x v="1"/>
    <s v="Headphones"/>
    <n v="12"/>
    <n v="31116"/>
    <n v="0.05"/>
    <n v="354722.4"/>
    <n v="94331.17"/>
    <x v="2"/>
    <x v="1"/>
    <x v="0"/>
  </r>
  <r>
    <s v="ORD00785"/>
    <s v="2024-01-02"/>
    <x v="42"/>
    <x v="8"/>
    <x v="2"/>
    <s v="Sweater"/>
    <n v="1"/>
    <n v="12074"/>
    <n v="0.2"/>
    <n v="9659.2000000000007"/>
    <n v="1466.53"/>
    <x v="2"/>
    <x v="3"/>
    <x v="0"/>
  </r>
  <r>
    <s v="ORD00786"/>
    <s v="2024-08-19"/>
    <x v="19"/>
    <x v="11"/>
    <x v="3"/>
    <s v="Printer"/>
    <n v="3"/>
    <n v="22347"/>
    <n v="0.2"/>
    <n v="53632.800000000003"/>
    <n v="13147.74"/>
    <x v="0"/>
    <x v="8"/>
    <x v="0"/>
  </r>
  <r>
    <s v="ORD00787"/>
    <s v="2023-06-18"/>
    <x v="3"/>
    <x v="14"/>
    <x v="2"/>
    <s v="Dress"/>
    <n v="1"/>
    <n v="27952"/>
    <n v="0.15"/>
    <n v="23759.200000000001"/>
    <n v="4653.59"/>
    <x v="1"/>
    <x v="5"/>
    <x v="1"/>
  </r>
  <r>
    <s v="ORD00788"/>
    <s v="2023-12-30"/>
    <x v="1"/>
    <x v="11"/>
    <x v="3"/>
    <s v="Printer"/>
    <n v="6"/>
    <n v="26336"/>
    <n v="0.1"/>
    <n v="142214.39999999999"/>
    <n v="42026.18"/>
    <x v="1"/>
    <x v="9"/>
    <x v="1"/>
  </r>
  <r>
    <s v="ORD00789"/>
    <s v="2023-07-10"/>
    <x v="1"/>
    <x v="17"/>
    <x v="1"/>
    <s v="Power Bank"/>
    <n v="14"/>
    <n v="22653"/>
    <n v="0"/>
    <n v="317142"/>
    <n v="28892.27"/>
    <x v="1"/>
    <x v="1"/>
    <x v="1"/>
  </r>
  <r>
    <s v="ORD00790"/>
    <s v="2023-04-11"/>
    <x v="1"/>
    <x v="14"/>
    <x v="2"/>
    <s v="Dress"/>
    <n v="15"/>
    <n v="38640"/>
    <n v="0.2"/>
    <n v="463680"/>
    <n v="51959.18"/>
    <x v="2"/>
    <x v="2"/>
    <x v="1"/>
  </r>
  <r>
    <s v="ORD00791"/>
    <s v="2023-12-09"/>
    <x v="35"/>
    <x v="16"/>
    <x v="3"/>
    <s v="Pen"/>
    <n v="2"/>
    <n v="4546"/>
    <n v="0"/>
    <n v="9092"/>
    <n v="1869.31"/>
    <x v="1"/>
    <x v="9"/>
    <x v="1"/>
  </r>
  <r>
    <s v="ORD00792"/>
    <s v="2023-04-28"/>
    <x v="18"/>
    <x v="16"/>
    <x v="3"/>
    <s v="Pen"/>
    <n v="15"/>
    <n v="46485"/>
    <n v="0.1"/>
    <n v="627547.5"/>
    <n v="145398.79999999999"/>
    <x v="0"/>
    <x v="2"/>
    <x v="1"/>
  </r>
  <r>
    <s v="ORD00793"/>
    <s v="2023-03-10"/>
    <x v="12"/>
    <x v="19"/>
    <x v="1"/>
    <s v="Smartwatch"/>
    <n v="2"/>
    <n v="31764"/>
    <n v="0"/>
    <n v="63528"/>
    <n v="9557.06"/>
    <x v="2"/>
    <x v="7"/>
    <x v="1"/>
  </r>
  <r>
    <s v="ORD00794"/>
    <s v="2023-01-21"/>
    <x v="32"/>
    <x v="25"/>
    <x v="3"/>
    <s v="Notebook"/>
    <n v="13"/>
    <n v="18483"/>
    <n v="0.15"/>
    <n v="204237.15"/>
    <n v="16998.689999999999"/>
    <x v="3"/>
    <x v="3"/>
    <x v="1"/>
  </r>
  <r>
    <s v="ORD00795"/>
    <s v="2024-05-18"/>
    <x v="13"/>
    <x v="1"/>
    <x v="1"/>
    <s v="Mobile"/>
    <n v="12"/>
    <n v="30223"/>
    <n v="0.05"/>
    <n v="344542.2"/>
    <n v="80125.919999999998"/>
    <x v="1"/>
    <x v="6"/>
    <x v="0"/>
  </r>
  <r>
    <s v="ORD00796"/>
    <s v="2023-08-31"/>
    <x v="41"/>
    <x v="26"/>
    <x v="3"/>
    <s v="Paper Ream"/>
    <n v="6"/>
    <n v="21857"/>
    <n v="0.2"/>
    <n v="104913.60000000001"/>
    <n v="29642.26"/>
    <x v="1"/>
    <x v="8"/>
    <x v="1"/>
  </r>
  <r>
    <s v="ORD00797"/>
    <s v="2023-05-23"/>
    <x v="46"/>
    <x v="21"/>
    <x v="1"/>
    <s v="Laptop"/>
    <n v="13"/>
    <n v="27816"/>
    <n v="0.15"/>
    <n v="307366.8"/>
    <n v="50149.72"/>
    <x v="2"/>
    <x v="6"/>
    <x v="1"/>
  </r>
  <r>
    <s v="ORD00798"/>
    <s v="2023-01-15"/>
    <x v="2"/>
    <x v="4"/>
    <x v="0"/>
    <s v="Stool"/>
    <n v="2"/>
    <n v="31683"/>
    <n v="0.1"/>
    <n v="57029.4"/>
    <n v="11279.91"/>
    <x v="2"/>
    <x v="3"/>
    <x v="1"/>
  </r>
  <r>
    <s v="ORD00799"/>
    <s v="2023-06-10"/>
    <x v="9"/>
    <x v="21"/>
    <x v="1"/>
    <s v="Laptop"/>
    <n v="11"/>
    <n v="41688"/>
    <n v="0.15"/>
    <n v="389782.8"/>
    <n v="116127.7"/>
    <x v="1"/>
    <x v="5"/>
    <x v="1"/>
  </r>
  <r>
    <s v="ORD00800"/>
    <s v="2023-05-21"/>
    <x v="25"/>
    <x v="3"/>
    <x v="3"/>
    <s v="Stapler"/>
    <n v="14"/>
    <n v="14853"/>
    <n v="0.05"/>
    <n v="197544.9"/>
    <n v="44780.67"/>
    <x v="1"/>
    <x v="6"/>
    <x v="1"/>
  </r>
  <r>
    <s v="ORD00801"/>
    <s v="2024-01-04"/>
    <x v="19"/>
    <x v="22"/>
    <x v="1"/>
    <s v="Camera"/>
    <n v="2"/>
    <n v="12990"/>
    <n v="0.1"/>
    <n v="23382"/>
    <n v="3192.12"/>
    <x v="2"/>
    <x v="3"/>
    <x v="0"/>
  </r>
  <r>
    <s v="ORD00802"/>
    <s v="2023-09-07"/>
    <x v="7"/>
    <x v="8"/>
    <x v="2"/>
    <s v="Sweater"/>
    <n v="2"/>
    <n v="16295"/>
    <n v="0.05"/>
    <n v="30960.5"/>
    <n v="8389.17"/>
    <x v="3"/>
    <x v="10"/>
    <x v="1"/>
  </r>
  <r>
    <s v="ORD00803"/>
    <s v="2023-03-16"/>
    <x v="8"/>
    <x v="16"/>
    <x v="3"/>
    <s v="Pen"/>
    <n v="10"/>
    <n v="49447"/>
    <n v="0.05"/>
    <n v="469746.5"/>
    <n v="39729.85"/>
    <x v="1"/>
    <x v="7"/>
    <x v="1"/>
  </r>
  <r>
    <s v="ORD00804"/>
    <s v="2024-05-22"/>
    <x v="15"/>
    <x v="25"/>
    <x v="3"/>
    <s v="Notebook"/>
    <n v="9"/>
    <n v="28977"/>
    <n v="0"/>
    <n v="260793"/>
    <n v="37384.03"/>
    <x v="0"/>
    <x v="6"/>
    <x v="0"/>
  </r>
  <r>
    <s v="ORD00805"/>
    <s v="2024-02-19"/>
    <x v="18"/>
    <x v="22"/>
    <x v="1"/>
    <s v="Camera"/>
    <n v="10"/>
    <n v="37489"/>
    <n v="0"/>
    <n v="374890"/>
    <n v="67622.710000000006"/>
    <x v="0"/>
    <x v="11"/>
    <x v="0"/>
  </r>
  <r>
    <s v="ORD00806"/>
    <s v="2024-04-19"/>
    <x v="10"/>
    <x v="1"/>
    <x v="1"/>
    <s v="Mobile"/>
    <n v="8"/>
    <n v="35135"/>
    <n v="0.1"/>
    <n v="252972"/>
    <n v="64933.36"/>
    <x v="3"/>
    <x v="2"/>
    <x v="0"/>
  </r>
  <r>
    <s v="ORD00807"/>
    <s v="2024-08-04"/>
    <x v="47"/>
    <x v="11"/>
    <x v="3"/>
    <s v="Printer"/>
    <n v="5"/>
    <n v="38757"/>
    <n v="0.15"/>
    <n v="164717.25"/>
    <n v="31349.07"/>
    <x v="3"/>
    <x v="8"/>
    <x v="0"/>
  </r>
  <r>
    <s v="ORD00808"/>
    <s v="2023-12-08"/>
    <x v="17"/>
    <x v="0"/>
    <x v="0"/>
    <s v="Chair"/>
    <n v="10"/>
    <n v="55787"/>
    <n v="0.05"/>
    <n v="529976.5"/>
    <n v="122747"/>
    <x v="0"/>
    <x v="9"/>
    <x v="1"/>
  </r>
  <r>
    <s v="ORD00809"/>
    <s v="2023-10-28"/>
    <x v="17"/>
    <x v="9"/>
    <x v="1"/>
    <s v="Keyboard"/>
    <n v="4"/>
    <n v="42637"/>
    <n v="0.15"/>
    <n v="144965.79999999999"/>
    <n v="22991.51"/>
    <x v="2"/>
    <x v="0"/>
    <x v="1"/>
  </r>
  <r>
    <s v="ORD00810"/>
    <s v="2023-10-23"/>
    <x v="34"/>
    <x v="24"/>
    <x v="2"/>
    <s v="T-Shirt"/>
    <n v="10"/>
    <n v="45767"/>
    <n v="0.05"/>
    <n v="434786.5"/>
    <n v="61466.55"/>
    <x v="1"/>
    <x v="0"/>
    <x v="1"/>
  </r>
  <r>
    <s v="ORD00811"/>
    <s v="2023-04-03"/>
    <x v="24"/>
    <x v="9"/>
    <x v="1"/>
    <s v="Keyboard"/>
    <n v="3"/>
    <n v="15898"/>
    <n v="0.05"/>
    <n v="45309.3"/>
    <n v="11431.91"/>
    <x v="1"/>
    <x v="2"/>
    <x v="1"/>
  </r>
  <r>
    <s v="ORD00812"/>
    <s v="2023-09-27"/>
    <x v="46"/>
    <x v="6"/>
    <x v="2"/>
    <s v="Jeans"/>
    <n v="3"/>
    <n v="38893"/>
    <n v="0.1"/>
    <n v="105011.1"/>
    <n v="20702.05"/>
    <x v="3"/>
    <x v="10"/>
    <x v="1"/>
  </r>
  <r>
    <s v="ORD00813"/>
    <s v="2024-07-11"/>
    <x v="1"/>
    <x v="20"/>
    <x v="1"/>
    <s v="Tablet"/>
    <n v="5"/>
    <n v="43367"/>
    <n v="0.05"/>
    <n v="205993.25"/>
    <n v="36838.69"/>
    <x v="3"/>
    <x v="1"/>
    <x v="0"/>
  </r>
  <r>
    <s v="ORD00814"/>
    <s v="2023-12-18"/>
    <x v="33"/>
    <x v="10"/>
    <x v="3"/>
    <s v="Marker"/>
    <n v="12"/>
    <n v="46555"/>
    <n v="0.2"/>
    <n v="446928"/>
    <n v="48336.13"/>
    <x v="3"/>
    <x v="9"/>
    <x v="1"/>
  </r>
  <r>
    <s v="ORD00815"/>
    <s v="2024-08-12"/>
    <x v="36"/>
    <x v="7"/>
    <x v="0"/>
    <s v="Bed"/>
    <n v="11"/>
    <n v="2488"/>
    <n v="0.1"/>
    <n v="24631.200000000001"/>
    <n v="6099.37"/>
    <x v="2"/>
    <x v="8"/>
    <x v="0"/>
  </r>
  <r>
    <s v="ORD00816"/>
    <s v="2023-06-27"/>
    <x v="4"/>
    <x v="15"/>
    <x v="0"/>
    <s v="Sofa"/>
    <n v="1"/>
    <n v="3517"/>
    <n v="0.05"/>
    <n v="3341.15"/>
    <n v="901.41"/>
    <x v="1"/>
    <x v="5"/>
    <x v="1"/>
  </r>
  <r>
    <s v="ORD00817"/>
    <s v="2023-02-15"/>
    <x v="1"/>
    <x v="6"/>
    <x v="2"/>
    <s v="Jeans"/>
    <n v="4"/>
    <n v="25374"/>
    <n v="0.15"/>
    <n v="86271.6"/>
    <n v="22215.54"/>
    <x v="3"/>
    <x v="11"/>
    <x v="1"/>
  </r>
  <r>
    <s v="ORD00818"/>
    <s v="2024-05-23"/>
    <x v="15"/>
    <x v="16"/>
    <x v="3"/>
    <s v="Pen"/>
    <n v="12"/>
    <n v="24478"/>
    <n v="0.1"/>
    <n v="264362.40000000002"/>
    <n v="22533.13"/>
    <x v="0"/>
    <x v="6"/>
    <x v="0"/>
  </r>
  <r>
    <s v="ORD00819"/>
    <s v="2023-01-06"/>
    <x v="40"/>
    <x v="3"/>
    <x v="3"/>
    <s v="Stapler"/>
    <n v="13"/>
    <n v="28045"/>
    <n v="0.15"/>
    <n v="309897.25"/>
    <n v="88915.92"/>
    <x v="1"/>
    <x v="3"/>
    <x v="1"/>
  </r>
  <r>
    <s v="ORD00820"/>
    <s v="2023-08-13"/>
    <x v="31"/>
    <x v="5"/>
    <x v="0"/>
    <s v="Cupboard"/>
    <n v="9"/>
    <n v="19346"/>
    <n v="0.2"/>
    <n v="139291.20000000001"/>
    <n v="40624.03"/>
    <x v="2"/>
    <x v="8"/>
    <x v="1"/>
  </r>
  <r>
    <s v="ORD00821"/>
    <s v="2023-11-30"/>
    <x v="26"/>
    <x v="3"/>
    <x v="3"/>
    <s v="Stapler"/>
    <n v="5"/>
    <n v="27189"/>
    <n v="0.1"/>
    <n v="122350.5"/>
    <n v="35200.629999999997"/>
    <x v="2"/>
    <x v="4"/>
    <x v="1"/>
  </r>
  <r>
    <s v="ORD00822"/>
    <s v="2023-05-07"/>
    <x v="16"/>
    <x v="11"/>
    <x v="3"/>
    <s v="Printer"/>
    <n v="5"/>
    <n v="12443"/>
    <n v="0.1"/>
    <n v="55993.5"/>
    <n v="7874.11"/>
    <x v="2"/>
    <x v="6"/>
    <x v="1"/>
  </r>
  <r>
    <s v="ORD00823"/>
    <s v="2024-05-23"/>
    <x v="10"/>
    <x v="12"/>
    <x v="1"/>
    <s v="Headphones"/>
    <n v="12"/>
    <n v="53927"/>
    <n v="0.15"/>
    <n v="550055.4"/>
    <n v="120906.73"/>
    <x v="2"/>
    <x v="6"/>
    <x v="0"/>
  </r>
  <r>
    <s v="ORD00824"/>
    <s v="2023-12-11"/>
    <x v="5"/>
    <x v="15"/>
    <x v="0"/>
    <s v="Sofa"/>
    <n v="5"/>
    <n v="22785"/>
    <n v="0.2"/>
    <n v="91140"/>
    <n v="20075.09"/>
    <x v="1"/>
    <x v="9"/>
    <x v="1"/>
  </r>
  <r>
    <s v="ORD00825"/>
    <s v="2023-04-16"/>
    <x v="46"/>
    <x v="6"/>
    <x v="2"/>
    <s v="Jeans"/>
    <n v="15"/>
    <n v="11367"/>
    <n v="0"/>
    <n v="170505"/>
    <n v="38078.26"/>
    <x v="2"/>
    <x v="2"/>
    <x v="1"/>
  </r>
  <r>
    <s v="ORD00826"/>
    <s v="2024-08-29"/>
    <x v="16"/>
    <x v="11"/>
    <x v="3"/>
    <s v="Printer"/>
    <n v="6"/>
    <n v="47411"/>
    <n v="0.05"/>
    <n v="270242.7"/>
    <n v="22706.61"/>
    <x v="3"/>
    <x v="8"/>
    <x v="0"/>
  </r>
  <r>
    <s v="ORD00827"/>
    <s v="2023-12-17"/>
    <x v="8"/>
    <x v="24"/>
    <x v="2"/>
    <s v="T-Shirt"/>
    <n v="11"/>
    <n v="4178"/>
    <n v="0.05"/>
    <n v="43660.1"/>
    <n v="10588.24"/>
    <x v="1"/>
    <x v="9"/>
    <x v="1"/>
  </r>
  <r>
    <s v="ORD00828"/>
    <s v="2024-03-02"/>
    <x v="32"/>
    <x v="2"/>
    <x v="2"/>
    <s v="Shoes"/>
    <n v="5"/>
    <n v="28492"/>
    <n v="0.15"/>
    <n v="121091"/>
    <n v="12947.62"/>
    <x v="2"/>
    <x v="7"/>
    <x v="0"/>
  </r>
  <r>
    <s v="ORD00829"/>
    <s v="2023-08-21"/>
    <x v="49"/>
    <x v="10"/>
    <x v="3"/>
    <s v="Marker"/>
    <n v="4"/>
    <n v="18584"/>
    <n v="0"/>
    <n v="74336"/>
    <n v="7190.56"/>
    <x v="1"/>
    <x v="8"/>
    <x v="1"/>
  </r>
  <r>
    <s v="ORD00830"/>
    <s v="2023-10-31"/>
    <x v="3"/>
    <x v="14"/>
    <x v="2"/>
    <s v="Dress"/>
    <n v="9"/>
    <n v="56224"/>
    <n v="0.05"/>
    <n v="480715.2"/>
    <n v="103913.41"/>
    <x v="1"/>
    <x v="0"/>
    <x v="1"/>
  </r>
  <r>
    <s v="ORD00831"/>
    <s v="2023-04-02"/>
    <x v="0"/>
    <x v="26"/>
    <x v="3"/>
    <s v="Paper Ream"/>
    <n v="6"/>
    <n v="24152"/>
    <n v="0.2"/>
    <n v="115929.60000000001"/>
    <n v="29665.39"/>
    <x v="2"/>
    <x v="2"/>
    <x v="1"/>
  </r>
  <r>
    <s v="ORD00832"/>
    <s v="2024-08-31"/>
    <x v="20"/>
    <x v="3"/>
    <x v="3"/>
    <s v="Stapler"/>
    <n v="13"/>
    <n v="43632"/>
    <n v="0.05"/>
    <n v="538855.19999999995"/>
    <n v="70048.679999999993"/>
    <x v="3"/>
    <x v="8"/>
    <x v="0"/>
  </r>
  <r>
    <s v="ORD00833"/>
    <s v="2023-01-10"/>
    <x v="33"/>
    <x v="18"/>
    <x v="0"/>
    <s v="Table"/>
    <n v="2"/>
    <n v="24380"/>
    <n v="0.2"/>
    <n v="39008"/>
    <n v="3552.22"/>
    <x v="0"/>
    <x v="3"/>
    <x v="1"/>
  </r>
  <r>
    <s v="ORD00834"/>
    <s v="2024-11-15"/>
    <x v="35"/>
    <x v="14"/>
    <x v="2"/>
    <s v="Dress"/>
    <n v="12"/>
    <n v="10521"/>
    <n v="0.15"/>
    <n v="107314.2"/>
    <n v="15461.94"/>
    <x v="3"/>
    <x v="4"/>
    <x v="0"/>
  </r>
  <r>
    <s v="ORD00835"/>
    <s v="2024-04-15"/>
    <x v="17"/>
    <x v="17"/>
    <x v="1"/>
    <s v="Power Bank"/>
    <n v="1"/>
    <n v="54580"/>
    <n v="0.15"/>
    <n v="46393"/>
    <n v="7156.26"/>
    <x v="2"/>
    <x v="2"/>
    <x v="0"/>
  </r>
  <r>
    <s v="ORD00836"/>
    <s v="2024-05-12"/>
    <x v="26"/>
    <x v="23"/>
    <x v="0"/>
    <s v="Desk"/>
    <n v="13"/>
    <n v="32372"/>
    <n v="0.15"/>
    <n v="357710.6"/>
    <n v="58835.040000000001"/>
    <x v="1"/>
    <x v="6"/>
    <x v="0"/>
  </r>
  <r>
    <s v="ORD00837"/>
    <s v="2023-11-21"/>
    <x v="44"/>
    <x v="19"/>
    <x v="1"/>
    <s v="Smartwatch"/>
    <n v="3"/>
    <n v="58662"/>
    <n v="0.15"/>
    <n v="149588.1"/>
    <n v="17442.21"/>
    <x v="1"/>
    <x v="4"/>
    <x v="1"/>
  </r>
  <r>
    <s v="ORD00838"/>
    <s v="2023-04-11"/>
    <x v="43"/>
    <x v="27"/>
    <x v="3"/>
    <s v="File"/>
    <n v="11"/>
    <n v="21891"/>
    <n v="0"/>
    <n v="240801"/>
    <n v="31360.2"/>
    <x v="3"/>
    <x v="2"/>
    <x v="1"/>
  </r>
  <r>
    <s v="ORD00839"/>
    <s v="2024-10-14"/>
    <x v="31"/>
    <x v="22"/>
    <x v="1"/>
    <s v="Camera"/>
    <n v="8"/>
    <n v="40544"/>
    <n v="0.2"/>
    <n v="259481.60000000001"/>
    <n v="43675"/>
    <x v="3"/>
    <x v="0"/>
    <x v="0"/>
  </r>
  <r>
    <s v="ORD00840"/>
    <s v="2024-10-24"/>
    <x v="40"/>
    <x v="12"/>
    <x v="1"/>
    <s v="Headphones"/>
    <n v="4"/>
    <n v="37405"/>
    <n v="0.15"/>
    <n v="127177"/>
    <n v="22037.02"/>
    <x v="1"/>
    <x v="0"/>
    <x v="0"/>
  </r>
  <r>
    <s v="ORD00841"/>
    <s v="2024-10-28"/>
    <x v="23"/>
    <x v="17"/>
    <x v="1"/>
    <s v="Power Bank"/>
    <n v="5"/>
    <n v="31418"/>
    <n v="0.2"/>
    <n v="125672"/>
    <n v="10612.05"/>
    <x v="0"/>
    <x v="0"/>
    <x v="0"/>
  </r>
  <r>
    <s v="ORD00842"/>
    <s v="2024-09-12"/>
    <x v="3"/>
    <x v="16"/>
    <x v="3"/>
    <s v="Pen"/>
    <n v="8"/>
    <n v="39386"/>
    <n v="0.15"/>
    <n v="267824.8"/>
    <n v="32477.86"/>
    <x v="2"/>
    <x v="10"/>
    <x v="0"/>
  </r>
  <r>
    <s v="ORD00843"/>
    <s v="2023-02-28"/>
    <x v="9"/>
    <x v="18"/>
    <x v="0"/>
    <s v="Table"/>
    <n v="10"/>
    <n v="38935"/>
    <n v="0.05"/>
    <n v="369882.5"/>
    <n v="65935.679999999993"/>
    <x v="2"/>
    <x v="11"/>
    <x v="1"/>
  </r>
  <r>
    <s v="ORD00844"/>
    <s v="2024-07-03"/>
    <x v="7"/>
    <x v="4"/>
    <x v="0"/>
    <s v="Stool"/>
    <n v="9"/>
    <n v="44616"/>
    <n v="0.1"/>
    <n v="361389.6"/>
    <n v="46531.11"/>
    <x v="1"/>
    <x v="1"/>
    <x v="0"/>
  </r>
  <r>
    <s v="ORD00845"/>
    <s v="2024-01-31"/>
    <x v="36"/>
    <x v="2"/>
    <x v="2"/>
    <s v="Shoes"/>
    <n v="7"/>
    <n v="23121"/>
    <n v="0"/>
    <n v="161847"/>
    <n v="39212.76"/>
    <x v="2"/>
    <x v="3"/>
    <x v="0"/>
  </r>
  <r>
    <s v="ORD00846"/>
    <s v="2024-04-28"/>
    <x v="22"/>
    <x v="22"/>
    <x v="1"/>
    <s v="Camera"/>
    <n v="6"/>
    <n v="22021"/>
    <n v="0.2"/>
    <n v="105700.8"/>
    <n v="13570.41"/>
    <x v="1"/>
    <x v="2"/>
    <x v="0"/>
  </r>
  <r>
    <s v="ORD00847"/>
    <s v="2023-03-29"/>
    <x v="48"/>
    <x v="23"/>
    <x v="0"/>
    <s v="Desk"/>
    <n v="4"/>
    <n v="25453"/>
    <n v="0.2"/>
    <n v="81449.600000000006"/>
    <n v="14404.16"/>
    <x v="0"/>
    <x v="7"/>
    <x v="1"/>
  </r>
  <r>
    <s v="ORD00848"/>
    <s v="2023-11-25"/>
    <x v="27"/>
    <x v="14"/>
    <x v="2"/>
    <s v="Dress"/>
    <n v="15"/>
    <n v="20001"/>
    <n v="0.15"/>
    <n v="255012.75"/>
    <n v="22668.26"/>
    <x v="3"/>
    <x v="4"/>
    <x v="1"/>
  </r>
  <r>
    <s v="ORD00849"/>
    <s v="2024-11-17"/>
    <x v="9"/>
    <x v="6"/>
    <x v="2"/>
    <s v="Jeans"/>
    <n v="7"/>
    <n v="53477"/>
    <n v="0.2"/>
    <n v="299471.2"/>
    <n v="68448.490000000005"/>
    <x v="0"/>
    <x v="4"/>
    <x v="0"/>
  </r>
  <r>
    <s v="ORD00850"/>
    <s v="2023-03-11"/>
    <x v="45"/>
    <x v="25"/>
    <x v="3"/>
    <s v="Notebook"/>
    <n v="5"/>
    <n v="22880"/>
    <n v="0.1"/>
    <n v="102960"/>
    <n v="15027.44"/>
    <x v="3"/>
    <x v="7"/>
    <x v="1"/>
  </r>
  <r>
    <s v="ORD00851"/>
    <s v="2023-12-28"/>
    <x v="37"/>
    <x v="19"/>
    <x v="1"/>
    <s v="Smartwatch"/>
    <n v="10"/>
    <n v="17490"/>
    <n v="0.1"/>
    <n v="157410"/>
    <n v="44425.51"/>
    <x v="0"/>
    <x v="9"/>
    <x v="1"/>
  </r>
  <r>
    <s v="ORD00852"/>
    <s v="2023-08-29"/>
    <x v="36"/>
    <x v="24"/>
    <x v="2"/>
    <s v="T-Shirt"/>
    <n v="12"/>
    <n v="18515"/>
    <n v="0.05"/>
    <n v="211071"/>
    <n v="50860.45"/>
    <x v="0"/>
    <x v="8"/>
    <x v="1"/>
  </r>
  <r>
    <s v="ORD00853"/>
    <s v="2023-06-01"/>
    <x v="27"/>
    <x v="6"/>
    <x v="2"/>
    <s v="Jeans"/>
    <n v="3"/>
    <n v="1846"/>
    <n v="0.2"/>
    <n v="4430.3999999999996"/>
    <n v="1213.95"/>
    <x v="0"/>
    <x v="5"/>
    <x v="1"/>
  </r>
  <r>
    <s v="ORD00854"/>
    <s v="2024-11-13"/>
    <x v="23"/>
    <x v="3"/>
    <x v="3"/>
    <s v="Stapler"/>
    <n v="12"/>
    <n v="19213"/>
    <n v="0"/>
    <n v="230556"/>
    <n v="59502.11"/>
    <x v="3"/>
    <x v="4"/>
    <x v="0"/>
  </r>
  <r>
    <s v="ORD00855"/>
    <s v="2024-02-29"/>
    <x v="19"/>
    <x v="24"/>
    <x v="2"/>
    <s v="T-Shirt"/>
    <n v="3"/>
    <n v="13480"/>
    <n v="0.05"/>
    <n v="38418"/>
    <n v="4795.5200000000004"/>
    <x v="3"/>
    <x v="11"/>
    <x v="0"/>
  </r>
  <r>
    <s v="ORD00856"/>
    <s v="2024-07-09"/>
    <x v="28"/>
    <x v="4"/>
    <x v="0"/>
    <s v="Stool"/>
    <n v="5"/>
    <n v="18968"/>
    <n v="0.05"/>
    <n v="90098"/>
    <n v="25877.88"/>
    <x v="3"/>
    <x v="1"/>
    <x v="0"/>
  </r>
  <r>
    <s v="ORD00857"/>
    <s v="2024-02-21"/>
    <x v="39"/>
    <x v="15"/>
    <x v="0"/>
    <s v="Sofa"/>
    <n v="15"/>
    <n v="27653"/>
    <n v="0.2"/>
    <n v="331836"/>
    <n v="59718.3"/>
    <x v="0"/>
    <x v="11"/>
    <x v="0"/>
  </r>
  <r>
    <s v="ORD00858"/>
    <s v="2024-01-14"/>
    <x v="45"/>
    <x v="16"/>
    <x v="3"/>
    <s v="Pen"/>
    <n v="8"/>
    <n v="36422"/>
    <n v="0.05"/>
    <n v="276807.2"/>
    <n v="67641.320000000007"/>
    <x v="1"/>
    <x v="3"/>
    <x v="0"/>
  </r>
  <r>
    <s v="ORD00859"/>
    <s v="2024-04-30"/>
    <x v="14"/>
    <x v="10"/>
    <x v="3"/>
    <s v="Marker"/>
    <n v="1"/>
    <n v="30275"/>
    <n v="0.2"/>
    <n v="24220"/>
    <n v="5629.13"/>
    <x v="0"/>
    <x v="2"/>
    <x v="0"/>
  </r>
  <r>
    <s v="ORD00860"/>
    <s v="2024-03-23"/>
    <x v="9"/>
    <x v="19"/>
    <x v="1"/>
    <s v="Smartwatch"/>
    <n v="8"/>
    <n v="56981"/>
    <n v="0.1"/>
    <n v="410263.2"/>
    <n v="82396.2"/>
    <x v="2"/>
    <x v="7"/>
    <x v="0"/>
  </r>
  <r>
    <s v="ORD00861"/>
    <s v="2024-10-14"/>
    <x v="37"/>
    <x v="18"/>
    <x v="0"/>
    <s v="Table"/>
    <n v="13"/>
    <n v="41810"/>
    <n v="0.15"/>
    <n v="462000.5"/>
    <n v="122678.28"/>
    <x v="1"/>
    <x v="0"/>
    <x v="0"/>
  </r>
  <r>
    <s v="ORD00862"/>
    <s v="2023-01-09"/>
    <x v="34"/>
    <x v="13"/>
    <x v="2"/>
    <s v="Jacket"/>
    <n v="9"/>
    <n v="33220"/>
    <n v="0.15"/>
    <n v="254133"/>
    <n v="56761.79"/>
    <x v="3"/>
    <x v="3"/>
    <x v="1"/>
  </r>
  <r>
    <s v="ORD00863"/>
    <s v="2024-08-03"/>
    <x v="36"/>
    <x v="12"/>
    <x v="1"/>
    <s v="Headphones"/>
    <n v="5"/>
    <n v="25855"/>
    <n v="0.1"/>
    <n v="116347.5"/>
    <n v="20302.650000000001"/>
    <x v="0"/>
    <x v="8"/>
    <x v="0"/>
  </r>
  <r>
    <s v="ORD00864"/>
    <s v="2023-09-30"/>
    <x v="25"/>
    <x v="18"/>
    <x v="0"/>
    <s v="Table"/>
    <n v="13"/>
    <n v="24634"/>
    <n v="0.15"/>
    <n v="272205.7"/>
    <n v="69009.509999999995"/>
    <x v="3"/>
    <x v="10"/>
    <x v="1"/>
  </r>
  <r>
    <s v="ORD00865"/>
    <s v="2023-07-23"/>
    <x v="14"/>
    <x v="2"/>
    <x v="2"/>
    <s v="Shoes"/>
    <n v="2"/>
    <n v="7205"/>
    <n v="0.1"/>
    <n v="12969"/>
    <n v="3628.12"/>
    <x v="2"/>
    <x v="1"/>
    <x v="1"/>
  </r>
  <r>
    <s v="ORD00866"/>
    <s v="2023-02-18"/>
    <x v="24"/>
    <x v="26"/>
    <x v="3"/>
    <s v="Paper Ream"/>
    <n v="2"/>
    <n v="58218"/>
    <n v="0"/>
    <n v="116436"/>
    <n v="16012.9"/>
    <x v="0"/>
    <x v="11"/>
    <x v="1"/>
  </r>
  <r>
    <s v="ORD00867"/>
    <s v="2024-01-09"/>
    <x v="0"/>
    <x v="2"/>
    <x v="2"/>
    <s v="Shoes"/>
    <n v="5"/>
    <n v="47796"/>
    <n v="0.05"/>
    <n v="227031"/>
    <n v="34165.74"/>
    <x v="2"/>
    <x v="3"/>
    <x v="0"/>
  </r>
  <r>
    <s v="ORD00868"/>
    <s v="2023-12-16"/>
    <x v="30"/>
    <x v="2"/>
    <x v="2"/>
    <s v="Shoes"/>
    <n v="7"/>
    <n v="29782"/>
    <n v="0.1"/>
    <n v="187626.6"/>
    <n v="36054.910000000003"/>
    <x v="0"/>
    <x v="9"/>
    <x v="1"/>
  </r>
  <r>
    <s v="ORD00869"/>
    <s v="2023-05-31"/>
    <x v="48"/>
    <x v="20"/>
    <x v="1"/>
    <s v="Tablet"/>
    <n v="4"/>
    <n v="44190"/>
    <n v="0"/>
    <n v="176760"/>
    <n v="40163.21"/>
    <x v="0"/>
    <x v="6"/>
    <x v="1"/>
  </r>
  <r>
    <s v="ORD00870"/>
    <s v="2024-02-24"/>
    <x v="32"/>
    <x v="5"/>
    <x v="0"/>
    <s v="Cupboard"/>
    <n v="7"/>
    <n v="3006"/>
    <n v="0.15"/>
    <n v="17885.7"/>
    <n v="2919.22"/>
    <x v="1"/>
    <x v="11"/>
    <x v="0"/>
  </r>
  <r>
    <s v="ORD00871"/>
    <s v="2024-05-30"/>
    <x v="12"/>
    <x v="6"/>
    <x v="2"/>
    <s v="Jeans"/>
    <n v="2"/>
    <n v="18260"/>
    <n v="0.15"/>
    <n v="31042"/>
    <n v="8785.02"/>
    <x v="2"/>
    <x v="6"/>
    <x v="0"/>
  </r>
  <r>
    <s v="ORD00872"/>
    <s v="2023-06-22"/>
    <x v="0"/>
    <x v="10"/>
    <x v="3"/>
    <s v="Marker"/>
    <n v="1"/>
    <n v="53217"/>
    <n v="0"/>
    <n v="53217"/>
    <n v="5340.04"/>
    <x v="1"/>
    <x v="5"/>
    <x v="1"/>
  </r>
  <r>
    <s v="ORD00873"/>
    <s v="2023-05-23"/>
    <x v="45"/>
    <x v="27"/>
    <x v="3"/>
    <s v="File"/>
    <n v="5"/>
    <n v="57957"/>
    <n v="0.15"/>
    <n v="246317.25"/>
    <n v="57324.67"/>
    <x v="2"/>
    <x v="6"/>
    <x v="1"/>
  </r>
  <r>
    <s v="ORD00874"/>
    <s v="2023-02-15"/>
    <x v="10"/>
    <x v="13"/>
    <x v="2"/>
    <s v="Jacket"/>
    <n v="8"/>
    <n v="15554"/>
    <n v="0.2"/>
    <n v="99545.600000000006"/>
    <n v="13928.24"/>
    <x v="3"/>
    <x v="11"/>
    <x v="1"/>
  </r>
  <r>
    <s v="ORD00875"/>
    <s v="2023-04-07"/>
    <x v="32"/>
    <x v="8"/>
    <x v="2"/>
    <s v="Sweater"/>
    <n v="5"/>
    <n v="57735"/>
    <n v="0.05"/>
    <n v="274241.25"/>
    <n v="50385.599999999999"/>
    <x v="3"/>
    <x v="2"/>
    <x v="1"/>
  </r>
  <r>
    <s v="ORD00876"/>
    <s v="2024-08-27"/>
    <x v="14"/>
    <x v="6"/>
    <x v="2"/>
    <s v="Jeans"/>
    <n v="10"/>
    <n v="42574"/>
    <n v="0.1"/>
    <n v="383166"/>
    <n v="80494.63"/>
    <x v="0"/>
    <x v="8"/>
    <x v="0"/>
  </r>
  <r>
    <s v="ORD00877"/>
    <s v="2024-01-27"/>
    <x v="33"/>
    <x v="7"/>
    <x v="0"/>
    <s v="Bed"/>
    <n v="14"/>
    <n v="37204"/>
    <n v="0.2"/>
    <n v="416684.79999999999"/>
    <n v="76354.66"/>
    <x v="3"/>
    <x v="3"/>
    <x v="0"/>
  </r>
  <r>
    <s v="ORD00878"/>
    <s v="2024-10-04"/>
    <x v="40"/>
    <x v="26"/>
    <x v="3"/>
    <s v="Paper Ream"/>
    <n v="10"/>
    <n v="14860"/>
    <n v="0.1"/>
    <n v="133740"/>
    <n v="27459.19"/>
    <x v="1"/>
    <x v="0"/>
    <x v="0"/>
  </r>
  <r>
    <s v="ORD00879"/>
    <s v="2024-01-18"/>
    <x v="7"/>
    <x v="10"/>
    <x v="3"/>
    <s v="Marker"/>
    <n v="7"/>
    <n v="49925"/>
    <n v="0"/>
    <n v="349475"/>
    <n v="56382.42"/>
    <x v="3"/>
    <x v="3"/>
    <x v="0"/>
  </r>
  <r>
    <s v="ORD00880"/>
    <s v="2024-10-27"/>
    <x v="36"/>
    <x v="18"/>
    <x v="0"/>
    <s v="Table"/>
    <n v="5"/>
    <n v="38854"/>
    <n v="0.15"/>
    <n v="165129.5"/>
    <n v="25709.15"/>
    <x v="2"/>
    <x v="0"/>
    <x v="0"/>
  </r>
  <r>
    <s v="ORD00881"/>
    <s v="2023-12-16"/>
    <x v="29"/>
    <x v="19"/>
    <x v="1"/>
    <s v="Smartwatch"/>
    <n v="15"/>
    <n v="56398"/>
    <n v="0.1"/>
    <n v="761373"/>
    <n v="174810.57"/>
    <x v="1"/>
    <x v="9"/>
    <x v="1"/>
  </r>
  <r>
    <s v="ORD00882"/>
    <s v="2024-01-13"/>
    <x v="27"/>
    <x v="22"/>
    <x v="1"/>
    <s v="Camera"/>
    <n v="4"/>
    <n v="29993"/>
    <n v="0"/>
    <n v="119972"/>
    <n v="19820.650000000001"/>
    <x v="0"/>
    <x v="3"/>
    <x v="0"/>
  </r>
  <r>
    <s v="ORD00883"/>
    <s v="2023-06-20"/>
    <x v="36"/>
    <x v="9"/>
    <x v="1"/>
    <s v="Keyboard"/>
    <n v="1"/>
    <n v="45413"/>
    <n v="0.05"/>
    <n v="43142.35"/>
    <n v="7445.84"/>
    <x v="0"/>
    <x v="5"/>
    <x v="1"/>
  </r>
  <r>
    <s v="ORD00884"/>
    <s v="2023-03-12"/>
    <x v="40"/>
    <x v="11"/>
    <x v="3"/>
    <s v="Printer"/>
    <n v="14"/>
    <n v="28839"/>
    <n v="0.05"/>
    <n v="383558.7"/>
    <n v="111500.91"/>
    <x v="0"/>
    <x v="7"/>
    <x v="1"/>
  </r>
  <r>
    <s v="ORD00885"/>
    <s v="2024-01-07"/>
    <x v="49"/>
    <x v="17"/>
    <x v="1"/>
    <s v="Power Bank"/>
    <n v="1"/>
    <n v="59947"/>
    <n v="0.2"/>
    <n v="47957.599999999999"/>
    <n v="14263.44"/>
    <x v="1"/>
    <x v="3"/>
    <x v="0"/>
  </r>
  <r>
    <s v="ORD00886"/>
    <s v="2023-08-06"/>
    <x v="32"/>
    <x v="19"/>
    <x v="1"/>
    <s v="Smartwatch"/>
    <n v="2"/>
    <n v="45660"/>
    <n v="0.15"/>
    <n v="77622"/>
    <n v="19384.16"/>
    <x v="2"/>
    <x v="8"/>
    <x v="1"/>
  </r>
  <r>
    <s v="ORD00887"/>
    <s v="2024-02-12"/>
    <x v="4"/>
    <x v="21"/>
    <x v="1"/>
    <s v="Laptop"/>
    <n v="13"/>
    <n v="17555"/>
    <n v="0.05"/>
    <n v="216804.25"/>
    <n v="60447.61"/>
    <x v="3"/>
    <x v="11"/>
    <x v="0"/>
  </r>
  <r>
    <s v="ORD00888"/>
    <s v="2023-04-26"/>
    <x v="13"/>
    <x v="25"/>
    <x v="3"/>
    <s v="Notebook"/>
    <n v="5"/>
    <n v="48430"/>
    <n v="0"/>
    <n v="242150"/>
    <n v="28054.06"/>
    <x v="3"/>
    <x v="2"/>
    <x v="1"/>
  </r>
  <r>
    <s v="ORD00889"/>
    <s v="2023-10-07"/>
    <x v="46"/>
    <x v="2"/>
    <x v="2"/>
    <s v="Shoes"/>
    <n v="10"/>
    <n v="13455"/>
    <n v="0.1"/>
    <n v="121095"/>
    <n v="29585.97"/>
    <x v="2"/>
    <x v="0"/>
    <x v="1"/>
  </r>
  <r>
    <s v="ORD00890"/>
    <s v="2023-03-23"/>
    <x v="7"/>
    <x v="4"/>
    <x v="0"/>
    <s v="Stool"/>
    <n v="6"/>
    <n v="18132"/>
    <n v="0.05"/>
    <n v="103352.4"/>
    <n v="26397.71"/>
    <x v="3"/>
    <x v="7"/>
    <x v="1"/>
  </r>
  <r>
    <s v="ORD00891"/>
    <s v="2024-02-10"/>
    <x v="21"/>
    <x v="19"/>
    <x v="1"/>
    <s v="Smartwatch"/>
    <n v="15"/>
    <n v="32568"/>
    <n v="0.2"/>
    <n v="390816"/>
    <n v="106216.8"/>
    <x v="3"/>
    <x v="11"/>
    <x v="0"/>
  </r>
  <r>
    <s v="ORD00892"/>
    <s v="2024-03-31"/>
    <x v="10"/>
    <x v="5"/>
    <x v="0"/>
    <s v="Cupboard"/>
    <n v="1"/>
    <n v="51845"/>
    <n v="0"/>
    <n v="51845"/>
    <n v="12381.53"/>
    <x v="1"/>
    <x v="7"/>
    <x v="0"/>
  </r>
  <r>
    <s v="ORD00893"/>
    <s v="2023-10-17"/>
    <x v="33"/>
    <x v="13"/>
    <x v="2"/>
    <s v="Jacket"/>
    <n v="14"/>
    <n v="26118"/>
    <n v="0"/>
    <n v="365652"/>
    <n v="41407.730000000003"/>
    <x v="0"/>
    <x v="0"/>
    <x v="1"/>
  </r>
  <r>
    <s v="ORD00894"/>
    <s v="2024-11-08"/>
    <x v="40"/>
    <x v="11"/>
    <x v="3"/>
    <s v="Printer"/>
    <n v="3"/>
    <n v="44398"/>
    <n v="0"/>
    <n v="133194"/>
    <n v="26981.77"/>
    <x v="1"/>
    <x v="4"/>
    <x v="0"/>
  </r>
  <r>
    <s v="ORD00895"/>
    <s v="2024-01-16"/>
    <x v="48"/>
    <x v="20"/>
    <x v="1"/>
    <s v="Tablet"/>
    <n v="4"/>
    <n v="48188"/>
    <n v="0.15"/>
    <n v="163839.20000000001"/>
    <n v="47819.83"/>
    <x v="1"/>
    <x v="3"/>
    <x v="0"/>
  </r>
  <r>
    <s v="ORD00896"/>
    <s v="2023-02-20"/>
    <x v="16"/>
    <x v="14"/>
    <x v="2"/>
    <s v="Dress"/>
    <n v="4"/>
    <n v="8641"/>
    <n v="0"/>
    <n v="34564"/>
    <n v="4612.59"/>
    <x v="0"/>
    <x v="11"/>
    <x v="1"/>
  </r>
  <r>
    <s v="ORD00897"/>
    <s v="2023-06-07"/>
    <x v="25"/>
    <x v="5"/>
    <x v="0"/>
    <s v="Cupboard"/>
    <n v="8"/>
    <n v="24312"/>
    <n v="0.15"/>
    <n v="165321.60000000001"/>
    <n v="47504.31"/>
    <x v="1"/>
    <x v="5"/>
    <x v="1"/>
  </r>
  <r>
    <s v="ORD00898"/>
    <s v="2023-06-29"/>
    <x v="45"/>
    <x v="17"/>
    <x v="1"/>
    <s v="Power Bank"/>
    <n v="13"/>
    <n v="25579"/>
    <n v="0.05"/>
    <n v="315900.65000000002"/>
    <n v="83296.47"/>
    <x v="1"/>
    <x v="5"/>
    <x v="1"/>
  </r>
  <r>
    <s v="ORD00899"/>
    <s v="2023-07-16"/>
    <x v="37"/>
    <x v="6"/>
    <x v="2"/>
    <s v="Jeans"/>
    <n v="15"/>
    <n v="51048"/>
    <n v="0.15"/>
    <n v="650862"/>
    <n v="127798.51"/>
    <x v="1"/>
    <x v="1"/>
    <x v="1"/>
  </r>
  <r>
    <s v="ORD00900"/>
    <s v="2023-08-22"/>
    <x v="18"/>
    <x v="26"/>
    <x v="3"/>
    <s v="Paper Ream"/>
    <n v="12"/>
    <n v="45458"/>
    <n v="0.1"/>
    <n v="490946.4"/>
    <n v="73385.759999999995"/>
    <x v="1"/>
    <x v="8"/>
    <x v="1"/>
  </r>
  <r>
    <s v="ORD00901"/>
    <s v="2024-07-11"/>
    <x v="29"/>
    <x v="3"/>
    <x v="3"/>
    <s v="Stapler"/>
    <n v="10"/>
    <n v="35600"/>
    <n v="0.2"/>
    <n v="284800"/>
    <n v="56475.519999999997"/>
    <x v="3"/>
    <x v="1"/>
    <x v="0"/>
  </r>
  <r>
    <s v="ORD00902"/>
    <s v="2023-11-19"/>
    <x v="11"/>
    <x v="2"/>
    <x v="2"/>
    <s v="Shoes"/>
    <n v="1"/>
    <n v="17382"/>
    <n v="0.15"/>
    <n v="14774.7"/>
    <n v="3390.48"/>
    <x v="1"/>
    <x v="4"/>
    <x v="1"/>
  </r>
  <r>
    <s v="ORD00903"/>
    <s v="2023-11-14"/>
    <x v="46"/>
    <x v="6"/>
    <x v="2"/>
    <s v="Jeans"/>
    <n v="3"/>
    <n v="35126"/>
    <n v="0.05"/>
    <n v="100109.1"/>
    <n v="21863.63"/>
    <x v="2"/>
    <x v="4"/>
    <x v="1"/>
  </r>
  <r>
    <s v="ORD00904"/>
    <s v="2024-03-28"/>
    <x v="3"/>
    <x v="9"/>
    <x v="1"/>
    <s v="Keyboard"/>
    <n v="9"/>
    <n v="25442"/>
    <n v="0.2"/>
    <n v="183182.4"/>
    <n v="21365.95"/>
    <x v="3"/>
    <x v="7"/>
    <x v="0"/>
  </r>
  <r>
    <s v="ORD00905"/>
    <s v="2023-07-16"/>
    <x v="44"/>
    <x v="15"/>
    <x v="0"/>
    <s v="Sofa"/>
    <n v="8"/>
    <n v="32435"/>
    <n v="0"/>
    <n v="259480"/>
    <n v="72688.14"/>
    <x v="1"/>
    <x v="1"/>
    <x v="1"/>
  </r>
  <r>
    <s v="ORD00906"/>
    <s v="2024-04-04"/>
    <x v="8"/>
    <x v="5"/>
    <x v="0"/>
    <s v="Cupboard"/>
    <n v="12"/>
    <n v="23082"/>
    <n v="0.1"/>
    <n v="249285.6"/>
    <n v="24634.39"/>
    <x v="2"/>
    <x v="2"/>
    <x v="0"/>
  </r>
  <r>
    <s v="ORD00907"/>
    <s v="2023-10-18"/>
    <x v="30"/>
    <x v="24"/>
    <x v="2"/>
    <s v="T-Shirt"/>
    <n v="13"/>
    <n v="32091"/>
    <n v="0.1"/>
    <n v="375464.7"/>
    <n v="45277.279999999999"/>
    <x v="2"/>
    <x v="0"/>
    <x v="1"/>
  </r>
  <r>
    <s v="ORD00908"/>
    <s v="2023-01-19"/>
    <x v="28"/>
    <x v="25"/>
    <x v="3"/>
    <s v="Notebook"/>
    <n v="15"/>
    <n v="14983"/>
    <n v="0.15"/>
    <n v="191033.25"/>
    <n v="20273"/>
    <x v="3"/>
    <x v="3"/>
    <x v="1"/>
  </r>
  <r>
    <s v="ORD00909"/>
    <s v="2024-10-13"/>
    <x v="6"/>
    <x v="2"/>
    <x v="2"/>
    <s v="Shoes"/>
    <n v="8"/>
    <n v="3780"/>
    <n v="0.1"/>
    <n v="27216"/>
    <n v="5812.3"/>
    <x v="3"/>
    <x v="0"/>
    <x v="0"/>
  </r>
  <r>
    <s v="ORD00910"/>
    <s v="2023-08-25"/>
    <x v="33"/>
    <x v="25"/>
    <x v="3"/>
    <s v="Notebook"/>
    <n v="5"/>
    <n v="58990"/>
    <n v="0.2"/>
    <n v="235960"/>
    <n v="51715.07"/>
    <x v="0"/>
    <x v="8"/>
    <x v="1"/>
  </r>
  <r>
    <s v="ORD00911"/>
    <s v="2023-03-27"/>
    <x v="27"/>
    <x v="13"/>
    <x v="2"/>
    <s v="Jacket"/>
    <n v="14"/>
    <n v="5475"/>
    <n v="0.05"/>
    <n v="72817.5"/>
    <n v="8172.58"/>
    <x v="2"/>
    <x v="7"/>
    <x v="1"/>
  </r>
  <r>
    <s v="ORD00912"/>
    <s v="2023-02-17"/>
    <x v="29"/>
    <x v="1"/>
    <x v="1"/>
    <s v="Mobile"/>
    <n v="8"/>
    <n v="58498"/>
    <n v="0"/>
    <n v="467984"/>
    <n v="117328.84"/>
    <x v="2"/>
    <x v="11"/>
    <x v="1"/>
  </r>
  <r>
    <s v="ORD00913"/>
    <s v="2024-10-14"/>
    <x v="3"/>
    <x v="1"/>
    <x v="1"/>
    <s v="Mobile"/>
    <n v="6"/>
    <n v="55557"/>
    <n v="0.05"/>
    <n v="316674.90000000002"/>
    <n v="73136.25"/>
    <x v="1"/>
    <x v="0"/>
    <x v="0"/>
  </r>
  <r>
    <s v="ORD00914"/>
    <s v="2023-12-01"/>
    <x v="24"/>
    <x v="13"/>
    <x v="2"/>
    <s v="Jacket"/>
    <n v="15"/>
    <n v="23556"/>
    <n v="0.15"/>
    <n v="300339"/>
    <n v="41755"/>
    <x v="0"/>
    <x v="9"/>
    <x v="1"/>
  </r>
  <r>
    <s v="ORD00915"/>
    <s v="2024-05-03"/>
    <x v="45"/>
    <x v="8"/>
    <x v="2"/>
    <s v="Sweater"/>
    <n v="14"/>
    <n v="8593"/>
    <n v="0"/>
    <n v="120302"/>
    <n v="30912.2"/>
    <x v="1"/>
    <x v="6"/>
    <x v="0"/>
  </r>
  <r>
    <s v="ORD00916"/>
    <s v="2023-06-19"/>
    <x v="10"/>
    <x v="24"/>
    <x v="2"/>
    <s v="T-Shirt"/>
    <n v="6"/>
    <n v="40549"/>
    <n v="0.1"/>
    <n v="218964.6"/>
    <n v="52196.14"/>
    <x v="0"/>
    <x v="5"/>
    <x v="1"/>
  </r>
  <r>
    <s v="ORD00917"/>
    <s v="2023-12-27"/>
    <x v="25"/>
    <x v="24"/>
    <x v="2"/>
    <s v="T-Shirt"/>
    <n v="15"/>
    <n v="26502"/>
    <n v="0.1"/>
    <n v="357777"/>
    <n v="88145.46"/>
    <x v="3"/>
    <x v="9"/>
    <x v="1"/>
  </r>
  <r>
    <s v="ORD00918"/>
    <s v="2024-11-09"/>
    <x v="37"/>
    <x v="19"/>
    <x v="1"/>
    <s v="Smartwatch"/>
    <n v="9"/>
    <n v="34383"/>
    <n v="0.2"/>
    <n v="247557.6"/>
    <n v="58490.54"/>
    <x v="1"/>
    <x v="4"/>
    <x v="0"/>
  </r>
  <r>
    <s v="ORD00919"/>
    <s v="2023-04-04"/>
    <x v="27"/>
    <x v="21"/>
    <x v="1"/>
    <s v="Laptop"/>
    <n v="7"/>
    <n v="15498"/>
    <n v="0.2"/>
    <n v="86788.800000000003"/>
    <n v="13324.16"/>
    <x v="3"/>
    <x v="2"/>
    <x v="1"/>
  </r>
  <r>
    <s v="ORD00920"/>
    <s v="2023-08-13"/>
    <x v="36"/>
    <x v="10"/>
    <x v="3"/>
    <s v="Marker"/>
    <n v="11"/>
    <n v="16641"/>
    <n v="0.15"/>
    <n v="155593.35"/>
    <n v="42728.08"/>
    <x v="2"/>
    <x v="8"/>
    <x v="1"/>
  </r>
  <r>
    <s v="ORD00921"/>
    <s v="2023-06-14"/>
    <x v="41"/>
    <x v="10"/>
    <x v="3"/>
    <s v="Marker"/>
    <n v="8"/>
    <n v="39533"/>
    <n v="0.1"/>
    <n v="284637.59999999998"/>
    <n v="40956.33"/>
    <x v="2"/>
    <x v="5"/>
    <x v="1"/>
  </r>
  <r>
    <s v="ORD00922"/>
    <s v="2023-11-17"/>
    <x v="18"/>
    <x v="4"/>
    <x v="0"/>
    <s v="Stool"/>
    <n v="10"/>
    <n v="32287"/>
    <n v="0.05"/>
    <n v="306726.5"/>
    <n v="63081.09"/>
    <x v="3"/>
    <x v="4"/>
    <x v="1"/>
  </r>
  <r>
    <s v="ORD00923"/>
    <s v="2023-08-14"/>
    <x v="33"/>
    <x v="10"/>
    <x v="3"/>
    <s v="Marker"/>
    <n v="5"/>
    <n v="35183"/>
    <n v="0.05"/>
    <n v="167119.25"/>
    <n v="37788.43"/>
    <x v="3"/>
    <x v="8"/>
    <x v="1"/>
  </r>
  <r>
    <s v="ORD00924"/>
    <s v="2023-01-05"/>
    <x v="0"/>
    <x v="15"/>
    <x v="0"/>
    <s v="Sofa"/>
    <n v="13"/>
    <n v="13990"/>
    <n v="0.2"/>
    <n v="145496"/>
    <n v="40809.269999999997"/>
    <x v="2"/>
    <x v="3"/>
    <x v="1"/>
  </r>
  <r>
    <s v="ORD00925"/>
    <s v="2024-06-02"/>
    <x v="13"/>
    <x v="14"/>
    <x v="2"/>
    <s v="Dress"/>
    <n v="9"/>
    <n v="31203"/>
    <n v="0.05"/>
    <n v="266785.65000000002"/>
    <n v="39109.35"/>
    <x v="0"/>
    <x v="5"/>
    <x v="0"/>
  </r>
  <r>
    <s v="ORD00926"/>
    <s v="2023-08-31"/>
    <x v="39"/>
    <x v="24"/>
    <x v="2"/>
    <s v="T-Shirt"/>
    <n v="1"/>
    <n v="51306"/>
    <n v="0.1"/>
    <n v="46175.4"/>
    <n v="10710.34"/>
    <x v="3"/>
    <x v="8"/>
    <x v="1"/>
  </r>
  <r>
    <s v="ORD00927"/>
    <s v="2024-06-28"/>
    <x v="25"/>
    <x v="16"/>
    <x v="3"/>
    <s v="Pen"/>
    <n v="3"/>
    <n v="6575"/>
    <n v="0.1"/>
    <n v="17752.5"/>
    <n v="2826.75"/>
    <x v="2"/>
    <x v="5"/>
    <x v="0"/>
  </r>
  <r>
    <s v="ORD00928"/>
    <s v="2023-01-02"/>
    <x v="1"/>
    <x v="6"/>
    <x v="2"/>
    <s v="Jeans"/>
    <n v="14"/>
    <n v="34835"/>
    <n v="0.05"/>
    <n v="463305.5"/>
    <n v="70718.37"/>
    <x v="3"/>
    <x v="3"/>
    <x v="1"/>
  </r>
  <r>
    <s v="ORD00929"/>
    <s v="2023-05-09"/>
    <x v="4"/>
    <x v="14"/>
    <x v="2"/>
    <s v="Dress"/>
    <n v="3"/>
    <n v="58382"/>
    <n v="0.05"/>
    <n v="166388.70000000001"/>
    <n v="21690.15"/>
    <x v="2"/>
    <x v="6"/>
    <x v="1"/>
  </r>
  <r>
    <s v="ORD00930"/>
    <s v="2023-11-27"/>
    <x v="11"/>
    <x v="22"/>
    <x v="1"/>
    <s v="Camera"/>
    <n v="3"/>
    <n v="12874"/>
    <n v="0"/>
    <n v="38622"/>
    <n v="3121.15"/>
    <x v="3"/>
    <x v="4"/>
    <x v="1"/>
  </r>
  <r>
    <s v="ORD00931"/>
    <s v="2024-06-26"/>
    <x v="22"/>
    <x v="13"/>
    <x v="2"/>
    <s v="Jacket"/>
    <n v="13"/>
    <n v="16317"/>
    <n v="0.1"/>
    <n v="190908.9"/>
    <n v="46541.69"/>
    <x v="1"/>
    <x v="5"/>
    <x v="0"/>
  </r>
  <r>
    <s v="ORD00932"/>
    <s v="2023-07-15"/>
    <x v="28"/>
    <x v="19"/>
    <x v="1"/>
    <s v="Smartwatch"/>
    <n v="7"/>
    <n v="39458"/>
    <n v="0.15"/>
    <n v="234775.1"/>
    <n v="33154.660000000003"/>
    <x v="3"/>
    <x v="1"/>
    <x v="1"/>
  </r>
  <r>
    <s v="ORD00933"/>
    <s v="2023-02-19"/>
    <x v="23"/>
    <x v="19"/>
    <x v="1"/>
    <s v="Smartwatch"/>
    <n v="12"/>
    <n v="38130"/>
    <n v="0.2"/>
    <n v="366048"/>
    <n v="65908.72"/>
    <x v="3"/>
    <x v="11"/>
    <x v="1"/>
  </r>
  <r>
    <s v="ORD00934"/>
    <s v="2023-08-30"/>
    <x v="10"/>
    <x v="26"/>
    <x v="3"/>
    <s v="Paper Ream"/>
    <n v="4"/>
    <n v="39933"/>
    <n v="0.15"/>
    <n v="135772.20000000001"/>
    <n v="12035.1"/>
    <x v="2"/>
    <x v="8"/>
    <x v="1"/>
  </r>
  <r>
    <s v="ORD00935"/>
    <s v="2023-05-05"/>
    <x v="29"/>
    <x v="8"/>
    <x v="2"/>
    <s v="Sweater"/>
    <n v="13"/>
    <n v="23670"/>
    <n v="0"/>
    <n v="307710"/>
    <n v="35867.449999999997"/>
    <x v="0"/>
    <x v="6"/>
    <x v="1"/>
  </r>
  <r>
    <s v="ORD00936"/>
    <s v="2024-11-22"/>
    <x v="26"/>
    <x v="21"/>
    <x v="1"/>
    <s v="Laptop"/>
    <n v="6"/>
    <n v="8975"/>
    <n v="0.05"/>
    <n v="51157.5"/>
    <n v="4613.3599999999997"/>
    <x v="3"/>
    <x v="4"/>
    <x v="0"/>
  </r>
  <r>
    <s v="ORD00937"/>
    <s v="2023-03-23"/>
    <x v="31"/>
    <x v="6"/>
    <x v="2"/>
    <s v="Jeans"/>
    <n v="14"/>
    <n v="38576"/>
    <n v="0.1"/>
    <n v="486057.6"/>
    <n v="88024.95"/>
    <x v="1"/>
    <x v="7"/>
    <x v="1"/>
  </r>
  <r>
    <s v="ORD00938"/>
    <s v="2023-05-30"/>
    <x v="41"/>
    <x v="23"/>
    <x v="0"/>
    <s v="Desk"/>
    <n v="15"/>
    <n v="16858"/>
    <n v="0.1"/>
    <n v="227583"/>
    <n v="63502.81"/>
    <x v="0"/>
    <x v="6"/>
    <x v="1"/>
  </r>
  <r>
    <s v="ORD00939"/>
    <s v="2024-11-11"/>
    <x v="45"/>
    <x v="15"/>
    <x v="0"/>
    <s v="Sofa"/>
    <n v="5"/>
    <n v="10991"/>
    <n v="0"/>
    <n v="54955"/>
    <n v="4632.3599999999997"/>
    <x v="3"/>
    <x v="4"/>
    <x v="0"/>
  </r>
  <r>
    <s v="ORD00940"/>
    <s v="2023-10-04"/>
    <x v="40"/>
    <x v="14"/>
    <x v="2"/>
    <s v="Dress"/>
    <n v="1"/>
    <n v="8433"/>
    <n v="0.2"/>
    <n v="6746.4"/>
    <n v="1572.9"/>
    <x v="3"/>
    <x v="0"/>
    <x v="1"/>
  </r>
  <r>
    <s v="ORD00941"/>
    <s v="2023-03-28"/>
    <x v="45"/>
    <x v="18"/>
    <x v="0"/>
    <s v="Table"/>
    <n v="11"/>
    <n v="54700"/>
    <n v="0.15"/>
    <n v="511445"/>
    <n v="132772.6"/>
    <x v="3"/>
    <x v="7"/>
    <x v="1"/>
  </r>
  <r>
    <s v="ORD00942"/>
    <s v="2024-05-31"/>
    <x v="20"/>
    <x v="8"/>
    <x v="2"/>
    <s v="Sweater"/>
    <n v="2"/>
    <n v="39700"/>
    <n v="0.2"/>
    <n v="63520"/>
    <n v="13453.31"/>
    <x v="1"/>
    <x v="6"/>
    <x v="0"/>
  </r>
  <r>
    <s v="ORD00943"/>
    <s v="2024-06-26"/>
    <x v="27"/>
    <x v="20"/>
    <x v="1"/>
    <s v="Tablet"/>
    <n v="8"/>
    <n v="45178"/>
    <n v="0.2"/>
    <n v="289139.20000000001"/>
    <n v="75939.210000000006"/>
    <x v="3"/>
    <x v="5"/>
    <x v="0"/>
  </r>
  <r>
    <s v="ORD00944"/>
    <s v="2023-05-20"/>
    <x v="7"/>
    <x v="24"/>
    <x v="2"/>
    <s v="T-Shirt"/>
    <n v="15"/>
    <n v="9479"/>
    <n v="0.1"/>
    <n v="127966.5"/>
    <n v="13989.99"/>
    <x v="3"/>
    <x v="6"/>
    <x v="1"/>
  </r>
  <r>
    <s v="ORD00945"/>
    <s v="2023-12-11"/>
    <x v="35"/>
    <x v="22"/>
    <x v="1"/>
    <s v="Camera"/>
    <n v="15"/>
    <n v="17075"/>
    <n v="0.1"/>
    <n v="230512.5"/>
    <n v="44088.61"/>
    <x v="3"/>
    <x v="9"/>
    <x v="1"/>
  </r>
  <r>
    <s v="ORD00946"/>
    <s v="2023-01-31"/>
    <x v="49"/>
    <x v="13"/>
    <x v="2"/>
    <s v="Jacket"/>
    <n v="3"/>
    <n v="10283"/>
    <n v="0.05"/>
    <n v="29306.55"/>
    <n v="3623.45"/>
    <x v="3"/>
    <x v="3"/>
    <x v="1"/>
  </r>
  <r>
    <s v="ORD00947"/>
    <s v="2024-11-08"/>
    <x v="11"/>
    <x v="12"/>
    <x v="1"/>
    <s v="Headphones"/>
    <n v="10"/>
    <n v="21141"/>
    <n v="0.05"/>
    <n v="200839.5"/>
    <n v="32982.93"/>
    <x v="3"/>
    <x v="4"/>
    <x v="0"/>
  </r>
  <r>
    <s v="ORD00948"/>
    <s v="2024-04-11"/>
    <x v="43"/>
    <x v="16"/>
    <x v="3"/>
    <s v="Pen"/>
    <n v="9"/>
    <n v="45291"/>
    <n v="0"/>
    <n v="407619"/>
    <n v="116593.98"/>
    <x v="2"/>
    <x v="2"/>
    <x v="0"/>
  </r>
  <r>
    <s v="ORD00949"/>
    <s v="2024-03-06"/>
    <x v="12"/>
    <x v="19"/>
    <x v="1"/>
    <s v="Smartwatch"/>
    <n v="6"/>
    <n v="27503"/>
    <n v="0"/>
    <n v="165018"/>
    <n v="14825.33"/>
    <x v="3"/>
    <x v="7"/>
    <x v="0"/>
  </r>
  <r>
    <s v="ORD00950"/>
    <s v="2024-09-19"/>
    <x v="10"/>
    <x v="13"/>
    <x v="2"/>
    <s v="Jacket"/>
    <n v="7"/>
    <n v="58596"/>
    <n v="0.05"/>
    <n v="389663.4"/>
    <n v="64418.52"/>
    <x v="0"/>
    <x v="10"/>
    <x v="0"/>
  </r>
  <r>
    <s v="ORD00951"/>
    <s v="2023-11-19"/>
    <x v="28"/>
    <x v="21"/>
    <x v="1"/>
    <s v="Laptop"/>
    <n v="9"/>
    <n v="47684"/>
    <n v="0"/>
    <n v="429156"/>
    <n v="48453.46"/>
    <x v="3"/>
    <x v="4"/>
    <x v="1"/>
  </r>
  <r>
    <s v="ORD00952"/>
    <s v="2024-08-25"/>
    <x v="23"/>
    <x v="27"/>
    <x v="3"/>
    <s v="File"/>
    <n v="7"/>
    <n v="55488"/>
    <n v="0.15"/>
    <n v="330153.59999999998"/>
    <n v="91775.75"/>
    <x v="2"/>
    <x v="8"/>
    <x v="0"/>
  </r>
  <r>
    <s v="ORD00953"/>
    <s v="2024-02-05"/>
    <x v="49"/>
    <x v="11"/>
    <x v="3"/>
    <s v="Printer"/>
    <n v="13"/>
    <n v="32942"/>
    <n v="0.05"/>
    <n v="406833.7"/>
    <n v="83477.53"/>
    <x v="1"/>
    <x v="11"/>
    <x v="0"/>
  </r>
  <r>
    <s v="ORD00954"/>
    <s v="2024-04-29"/>
    <x v="5"/>
    <x v="15"/>
    <x v="0"/>
    <s v="Sofa"/>
    <n v="10"/>
    <n v="29573"/>
    <n v="0.15"/>
    <n v="251370.5"/>
    <n v="24754.11"/>
    <x v="3"/>
    <x v="2"/>
    <x v="0"/>
  </r>
  <r>
    <s v="ORD00955"/>
    <s v="2024-05-04"/>
    <x v="4"/>
    <x v="2"/>
    <x v="2"/>
    <s v="Shoes"/>
    <n v="9"/>
    <n v="51099"/>
    <n v="0"/>
    <n v="459891"/>
    <n v="117992.3"/>
    <x v="3"/>
    <x v="6"/>
    <x v="0"/>
  </r>
  <r>
    <s v="ORD00956"/>
    <s v="2024-08-28"/>
    <x v="22"/>
    <x v="3"/>
    <x v="3"/>
    <s v="Stapler"/>
    <n v="11"/>
    <n v="38549"/>
    <n v="0.15"/>
    <n v="360433.15"/>
    <n v="106617.97"/>
    <x v="0"/>
    <x v="8"/>
    <x v="0"/>
  </r>
  <r>
    <s v="ORD00957"/>
    <s v="2023-08-03"/>
    <x v="43"/>
    <x v="12"/>
    <x v="1"/>
    <s v="Headphones"/>
    <n v="5"/>
    <n v="3530"/>
    <n v="0.15"/>
    <n v="15002.5"/>
    <n v="1383.39"/>
    <x v="0"/>
    <x v="8"/>
    <x v="1"/>
  </r>
  <r>
    <s v="ORD00958"/>
    <s v="2023-09-02"/>
    <x v="40"/>
    <x v="22"/>
    <x v="1"/>
    <s v="Camera"/>
    <n v="4"/>
    <n v="39715"/>
    <n v="0.2"/>
    <n v="127088"/>
    <n v="13551.38"/>
    <x v="3"/>
    <x v="10"/>
    <x v="1"/>
  </r>
  <r>
    <s v="ORD00959"/>
    <s v="2023-06-12"/>
    <x v="46"/>
    <x v="16"/>
    <x v="3"/>
    <s v="Pen"/>
    <n v="12"/>
    <n v="43982"/>
    <n v="0.1"/>
    <n v="475005.6"/>
    <n v="133681.78"/>
    <x v="1"/>
    <x v="5"/>
    <x v="1"/>
  </r>
  <r>
    <s v="ORD00960"/>
    <s v="2023-09-17"/>
    <x v="40"/>
    <x v="27"/>
    <x v="3"/>
    <s v="File"/>
    <n v="5"/>
    <n v="59770"/>
    <n v="0.1"/>
    <n v="268965"/>
    <n v="25427.7"/>
    <x v="1"/>
    <x v="10"/>
    <x v="1"/>
  </r>
  <r>
    <s v="ORD00961"/>
    <s v="2024-10-01"/>
    <x v="44"/>
    <x v="3"/>
    <x v="3"/>
    <s v="Stapler"/>
    <n v="10"/>
    <n v="37574"/>
    <n v="0.2"/>
    <n v="300592"/>
    <n v="88186.31"/>
    <x v="0"/>
    <x v="0"/>
    <x v="0"/>
  </r>
  <r>
    <s v="ORD00962"/>
    <s v="2023-10-16"/>
    <x v="14"/>
    <x v="18"/>
    <x v="0"/>
    <s v="Table"/>
    <n v="10"/>
    <n v="21900"/>
    <n v="0.1"/>
    <n v="197100"/>
    <n v="42959.99"/>
    <x v="1"/>
    <x v="0"/>
    <x v="1"/>
  </r>
  <r>
    <s v="ORD00963"/>
    <s v="2024-05-19"/>
    <x v="11"/>
    <x v="5"/>
    <x v="0"/>
    <s v="Cupboard"/>
    <n v="2"/>
    <n v="34812"/>
    <n v="0.2"/>
    <n v="55699.199999999997"/>
    <n v="7867.33"/>
    <x v="1"/>
    <x v="6"/>
    <x v="0"/>
  </r>
  <r>
    <s v="ORD00964"/>
    <s v="2023-03-18"/>
    <x v="48"/>
    <x v="2"/>
    <x v="2"/>
    <s v="Shoes"/>
    <n v="14"/>
    <n v="3010"/>
    <n v="0.15"/>
    <n v="35819"/>
    <n v="4156.12"/>
    <x v="1"/>
    <x v="7"/>
    <x v="1"/>
  </r>
  <r>
    <s v="ORD00965"/>
    <s v="2023-07-19"/>
    <x v="2"/>
    <x v="8"/>
    <x v="2"/>
    <s v="Sweater"/>
    <n v="3"/>
    <n v="54161"/>
    <n v="0.1"/>
    <n v="146234.70000000001"/>
    <n v="26000.84"/>
    <x v="2"/>
    <x v="1"/>
    <x v="1"/>
  </r>
  <r>
    <s v="ORD00966"/>
    <s v="2023-05-28"/>
    <x v="6"/>
    <x v="10"/>
    <x v="3"/>
    <s v="Marker"/>
    <n v="13"/>
    <n v="14164"/>
    <n v="0.15"/>
    <n v="156512.20000000001"/>
    <n v="35207.269999999997"/>
    <x v="3"/>
    <x v="6"/>
    <x v="1"/>
  </r>
  <r>
    <s v="ORD00967"/>
    <s v="2023-12-14"/>
    <x v="8"/>
    <x v="26"/>
    <x v="3"/>
    <s v="Paper Ream"/>
    <n v="4"/>
    <n v="55171"/>
    <n v="0"/>
    <n v="220684"/>
    <n v="38894.769999999997"/>
    <x v="2"/>
    <x v="9"/>
    <x v="1"/>
  </r>
  <r>
    <s v="ORD00968"/>
    <s v="2024-01-08"/>
    <x v="2"/>
    <x v="5"/>
    <x v="0"/>
    <s v="Cupboard"/>
    <n v="2"/>
    <n v="56369"/>
    <n v="0.2"/>
    <n v="90190.399999999994"/>
    <n v="7932.85"/>
    <x v="1"/>
    <x v="3"/>
    <x v="0"/>
  </r>
  <r>
    <s v="ORD00969"/>
    <s v="2023-03-21"/>
    <x v="0"/>
    <x v="21"/>
    <x v="1"/>
    <s v="Laptop"/>
    <n v="5"/>
    <n v="7650"/>
    <n v="0.1"/>
    <n v="34425"/>
    <n v="5470.55"/>
    <x v="1"/>
    <x v="7"/>
    <x v="1"/>
  </r>
  <r>
    <s v="ORD00970"/>
    <s v="2023-01-21"/>
    <x v="3"/>
    <x v="2"/>
    <x v="2"/>
    <s v="Shoes"/>
    <n v="6"/>
    <n v="47676"/>
    <n v="0.15"/>
    <n v="243147.6"/>
    <n v="54205.07"/>
    <x v="1"/>
    <x v="3"/>
    <x v="1"/>
  </r>
  <r>
    <s v="ORD00971"/>
    <s v="2024-01-06"/>
    <x v="42"/>
    <x v="13"/>
    <x v="2"/>
    <s v="Jacket"/>
    <n v="15"/>
    <n v="21294"/>
    <n v="0.2"/>
    <n v="255528"/>
    <n v="60995.59"/>
    <x v="2"/>
    <x v="3"/>
    <x v="0"/>
  </r>
  <r>
    <s v="ORD00972"/>
    <s v="2023-05-14"/>
    <x v="35"/>
    <x v="17"/>
    <x v="1"/>
    <s v="Power Bank"/>
    <n v="7"/>
    <n v="16535"/>
    <n v="0.1"/>
    <n v="104170.5"/>
    <n v="20034.29"/>
    <x v="2"/>
    <x v="6"/>
    <x v="1"/>
  </r>
  <r>
    <s v="ORD00973"/>
    <s v="2023-04-30"/>
    <x v="21"/>
    <x v="17"/>
    <x v="1"/>
    <s v="Power Bank"/>
    <n v="11"/>
    <n v="22368"/>
    <n v="0.2"/>
    <n v="196838.39999999999"/>
    <n v="19782.13"/>
    <x v="1"/>
    <x v="2"/>
    <x v="1"/>
  </r>
  <r>
    <s v="ORD00974"/>
    <s v="2023-10-31"/>
    <x v="29"/>
    <x v="26"/>
    <x v="3"/>
    <s v="Paper Ream"/>
    <n v="12"/>
    <n v="32738"/>
    <n v="0"/>
    <n v="392856"/>
    <n v="67726.740000000005"/>
    <x v="0"/>
    <x v="0"/>
    <x v="1"/>
  </r>
  <r>
    <s v="ORD00975"/>
    <s v="2024-07-05"/>
    <x v="25"/>
    <x v="8"/>
    <x v="2"/>
    <s v="Sweater"/>
    <n v="6"/>
    <n v="17018"/>
    <n v="0.15"/>
    <n v="86791.8"/>
    <n v="23685.68"/>
    <x v="0"/>
    <x v="1"/>
    <x v="0"/>
  </r>
  <r>
    <s v="ORD00976"/>
    <s v="2024-07-26"/>
    <x v="31"/>
    <x v="7"/>
    <x v="0"/>
    <s v="Bed"/>
    <n v="5"/>
    <n v="55140"/>
    <n v="0"/>
    <n v="275700"/>
    <n v="28591.32"/>
    <x v="1"/>
    <x v="1"/>
    <x v="0"/>
  </r>
  <r>
    <s v="ORD00977"/>
    <s v="2024-08-28"/>
    <x v="0"/>
    <x v="8"/>
    <x v="2"/>
    <s v="Sweater"/>
    <n v="4"/>
    <n v="21855"/>
    <n v="0.1"/>
    <n v="78678"/>
    <n v="18080.52"/>
    <x v="0"/>
    <x v="8"/>
    <x v="0"/>
  </r>
  <r>
    <s v="ORD00978"/>
    <s v="2023-09-25"/>
    <x v="35"/>
    <x v="27"/>
    <x v="3"/>
    <s v="File"/>
    <n v="2"/>
    <n v="23375"/>
    <n v="0"/>
    <n v="46750"/>
    <n v="7696.54"/>
    <x v="2"/>
    <x v="10"/>
    <x v="1"/>
  </r>
  <r>
    <s v="ORD00979"/>
    <s v="2023-07-02"/>
    <x v="30"/>
    <x v="15"/>
    <x v="0"/>
    <s v="Sofa"/>
    <n v="11"/>
    <n v="15323"/>
    <n v="0"/>
    <n v="168553"/>
    <n v="36156.800000000003"/>
    <x v="1"/>
    <x v="1"/>
    <x v="1"/>
  </r>
  <r>
    <s v="ORD00980"/>
    <s v="2024-05-15"/>
    <x v="43"/>
    <x v="23"/>
    <x v="0"/>
    <s v="Desk"/>
    <n v="15"/>
    <n v="23852"/>
    <n v="0.05"/>
    <n v="339891"/>
    <n v="29299.16"/>
    <x v="1"/>
    <x v="6"/>
    <x v="0"/>
  </r>
  <r>
    <s v="ORD00981"/>
    <s v="2024-05-07"/>
    <x v="29"/>
    <x v="13"/>
    <x v="2"/>
    <s v="Jacket"/>
    <n v="2"/>
    <n v="45773"/>
    <n v="0.2"/>
    <n v="73236.800000000003"/>
    <n v="7323.3"/>
    <x v="0"/>
    <x v="6"/>
    <x v="0"/>
  </r>
  <r>
    <s v="ORD00982"/>
    <s v="2023-04-14"/>
    <x v="19"/>
    <x v="20"/>
    <x v="1"/>
    <s v="Tablet"/>
    <n v="5"/>
    <n v="2507"/>
    <n v="0.2"/>
    <n v="10028"/>
    <n v="2800.86"/>
    <x v="0"/>
    <x v="2"/>
    <x v="1"/>
  </r>
  <r>
    <s v="ORD00983"/>
    <s v="2024-05-09"/>
    <x v="33"/>
    <x v="26"/>
    <x v="3"/>
    <s v="Paper Ream"/>
    <n v="1"/>
    <n v="6280"/>
    <n v="0.15"/>
    <n v="5338"/>
    <n v="1070.56"/>
    <x v="1"/>
    <x v="6"/>
    <x v="0"/>
  </r>
  <r>
    <s v="ORD00984"/>
    <s v="2023-03-03"/>
    <x v="27"/>
    <x v="18"/>
    <x v="0"/>
    <s v="Table"/>
    <n v="5"/>
    <n v="21540"/>
    <n v="0.15"/>
    <n v="91545"/>
    <n v="21747.24"/>
    <x v="2"/>
    <x v="7"/>
    <x v="1"/>
  </r>
  <r>
    <s v="ORD00985"/>
    <s v="2024-09-04"/>
    <x v="45"/>
    <x v="8"/>
    <x v="2"/>
    <s v="Sweater"/>
    <n v="10"/>
    <n v="1757"/>
    <n v="0"/>
    <n v="17570"/>
    <n v="4328.51"/>
    <x v="1"/>
    <x v="10"/>
    <x v="0"/>
  </r>
  <r>
    <s v="ORD00986"/>
    <s v="2023-12-30"/>
    <x v="26"/>
    <x v="25"/>
    <x v="3"/>
    <s v="Notebook"/>
    <n v="4"/>
    <n v="40559"/>
    <n v="0.05"/>
    <n v="154124.20000000001"/>
    <n v="28345.07"/>
    <x v="0"/>
    <x v="9"/>
    <x v="1"/>
  </r>
  <r>
    <s v="ORD00987"/>
    <s v="2024-05-14"/>
    <x v="31"/>
    <x v="13"/>
    <x v="2"/>
    <s v="Jacket"/>
    <n v="15"/>
    <n v="21100"/>
    <n v="0.05"/>
    <n v="300675"/>
    <n v="63840.42"/>
    <x v="2"/>
    <x v="6"/>
    <x v="0"/>
  </r>
  <r>
    <s v="ORD00988"/>
    <s v="2024-02-05"/>
    <x v="14"/>
    <x v="19"/>
    <x v="1"/>
    <s v="Smartwatch"/>
    <n v="14"/>
    <n v="50916"/>
    <n v="0.2"/>
    <n v="570259.19999999995"/>
    <n v="163612.82999999999"/>
    <x v="0"/>
    <x v="11"/>
    <x v="0"/>
  </r>
  <r>
    <s v="ORD00989"/>
    <s v="2023-01-26"/>
    <x v="42"/>
    <x v="15"/>
    <x v="0"/>
    <s v="Sofa"/>
    <n v="13"/>
    <n v="48406"/>
    <n v="0.05"/>
    <n v="597814.1"/>
    <n v="89608.77"/>
    <x v="3"/>
    <x v="3"/>
    <x v="1"/>
  </r>
  <r>
    <s v="ORD00990"/>
    <s v="2023-02-09"/>
    <x v="27"/>
    <x v="12"/>
    <x v="1"/>
    <s v="Headphones"/>
    <n v="4"/>
    <n v="46119"/>
    <n v="0.15"/>
    <n v="156804.6"/>
    <n v="45161.2"/>
    <x v="1"/>
    <x v="11"/>
    <x v="1"/>
  </r>
  <r>
    <s v="ORD00991"/>
    <s v="2023-07-24"/>
    <x v="39"/>
    <x v="14"/>
    <x v="2"/>
    <s v="Dress"/>
    <n v="5"/>
    <n v="38539"/>
    <n v="0.15"/>
    <n v="163790.75"/>
    <n v="14066.4"/>
    <x v="1"/>
    <x v="1"/>
    <x v="1"/>
  </r>
  <r>
    <s v="ORD00992"/>
    <s v="2023-03-09"/>
    <x v="46"/>
    <x v="0"/>
    <x v="0"/>
    <s v="Chair"/>
    <n v="3"/>
    <n v="45601"/>
    <n v="0.15"/>
    <n v="116282.55"/>
    <n v="18398.490000000002"/>
    <x v="2"/>
    <x v="7"/>
    <x v="1"/>
  </r>
  <r>
    <s v="ORD00993"/>
    <s v="2023-08-08"/>
    <x v="43"/>
    <x v="3"/>
    <x v="3"/>
    <s v="Stapler"/>
    <n v="10"/>
    <n v="44169"/>
    <n v="0.1"/>
    <n v="397521"/>
    <n v="77929.66"/>
    <x v="0"/>
    <x v="8"/>
    <x v="1"/>
  </r>
  <r>
    <s v="ORD00994"/>
    <s v="2024-03-08"/>
    <x v="48"/>
    <x v="17"/>
    <x v="1"/>
    <s v="Power Bank"/>
    <n v="3"/>
    <n v="21174"/>
    <n v="0.2"/>
    <n v="50817.599999999999"/>
    <n v="8950.2099999999991"/>
    <x v="2"/>
    <x v="7"/>
    <x v="0"/>
  </r>
  <r>
    <s v="ORD00995"/>
    <s v="2023-01-10"/>
    <x v="12"/>
    <x v="18"/>
    <x v="0"/>
    <s v="Table"/>
    <n v="11"/>
    <n v="20942"/>
    <n v="0.05"/>
    <n v="218843.9"/>
    <n v="24727.73"/>
    <x v="2"/>
    <x v="3"/>
    <x v="1"/>
  </r>
  <r>
    <s v="ORD00996"/>
    <s v="2024-01-25"/>
    <x v="37"/>
    <x v="5"/>
    <x v="0"/>
    <s v="Cupboard"/>
    <n v="5"/>
    <n v="46782"/>
    <n v="0.2"/>
    <n v="187128"/>
    <n v="36057.96"/>
    <x v="1"/>
    <x v="3"/>
    <x v="0"/>
  </r>
  <r>
    <s v="ORD00997"/>
    <s v="2024-10-11"/>
    <x v="41"/>
    <x v="20"/>
    <x v="1"/>
    <s v="Tablet"/>
    <n v="9"/>
    <n v="50865"/>
    <n v="0.05"/>
    <n v="434895.75"/>
    <n v="114445.92"/>
    <x v="3"/>
    <x v="0"/>
    <x v="0"/>
  </r>
  <r>
    <s v="ORD00998"/>
    <s v="2024-05-31"/>
    <x v="46"/>
    <x v="18"/>
    <x v="0"/>
    <s v="Table"/>
    <n v="8"/>
    <n v="29183"/>
    <n v="0.15"/>
    <n v="198444.4"/>
    <n v="42816.33"/>
    <x v="0"/>
    <x v="6"/>
    <x v="0"/>
  </r>
  <r>
    <s v="ORD00999"/>
    <s v="2023-04-18"/>
    <x v="24"/>
    <x v="22"/>
    <x v="1"/>
    <s v="Camera"/>
    <n v="10"/>
    <n v="42208"/>
    <n v="0.05"/>
    <n v="400976"/>
    <n v="84657.93"/>
    <x v="3"/>
    <x v="2"/>
    <x v="1"/>
  </r>
  <r>
    <s v="ORD01000"/>
    <s v="2023-03-14"/>
    <x v="33"/>
    <x v="9"/>
    <x v="1"/>
    <s v="Keyboard"/>
    <n v="10"/>
    <n v="9017"/>
    <n v="0"/>
    <n v="90170"/>
    <n v="15951.05"/>
    <x v="3"/>
    <x v="7"/>
    <x v="1"/>
  </r>
  <r>
    <s v="ORD01001"/>
    <s v="2024-09-06"/>
    <x v="29"/>
    <x v="19"/>
    <x v="1"/>
    <s v="Smartwatch"/>
    <n v="5"/>
    <n v="31615"/>
    <n v="0.1"/>
    <n v="142267.5"/>
    <n v="12323.6"/>
    <x v="2"/>
    <x v="10"/>
    <x v="0"/>
  </r>
  <r>
    <s v="ORD01002"/>
    <s v="2024-11-27"/>
    <x v="15"/>
    <x v="3"/>
    <x v="3"/>
    <s v="Stapler"/>
    <n v="4"/>
    <n v="7156"/>
    <n v="0.2"/>
    <n v="22899.200000000001"/>
    <n v="5445.98"/>
    <x v="3"/>
    <x v="4"/>
    <x v="0"/>
  </r>
  <r>
    <s v="ORD01003"/>
    <s v="2023-01-22"/>
    <x v="19"/>
    <x v="13"/>
    <x v="2"/>
    <s v="Jacket"/>
    <n v="8"/>
    <n v="49998"/>
    <n v="0.2"/>
    <n v="319987.20000000001"/>
    <n v="49311.3"/>
    <x v="3"/>
    <x v="3"/>
    <x v="1"/>
  </r>
  <r>
    <s v="ORD01004"/>
    <s v="2023-04-05"/>
    <x v="20"/>
    <x v="22"/>
    <x v="1"/>
    <s v="Camera"/>
    <n v="13"/>
    <n v="5623"/>
    <n v="0"/>
    <n v="73099"/>
    <n v="19872.61"/>
    <x v="2"/>
    <x v="2"/>
    <x v="1"/>
  </r>
  <r>
    <s v="ORD01005"/>
    <s v="2023-11-09"/>
    <x v="46"/>
    <x v="0"/>
    <x v="0"/>
    <s v="Chair"/>
    <n v="11"/>
    <n v="56652"/>
    <n v="0.2"/>
    <n v="498537.6"/>
    <n v="71149.5"/>
    <x v="2"/>
    <x v="4"/>
    <x v="1"/>
  </r>
  <r>
    <s v="ORD01006"/>
    <s v="2023-03-11"/>
    <x v="36"/>
    <x v="25"/>
    <x v="3"/>
    <s v="Notebook"/>
    <n v="13"/>
    <n v="23521"/>
    <n v="0.2"/>
    <n v="244618.4"/>
    <n v="38025.01"/>
    <x v="1"/>
    <x v="7"/>
    <x v="1"/>
  </r>
  <r>
    <s v="ORD01007"/>
    <s v="2024-02-06"/>
    <x v="17"/>
    <x v="21"/>
    <x v="1"/>
    <s v="Laptop"/>
    <n v="14"/>
    <n v="1235"/>
    <n v="0.2"/>
    <n v="13832"/>
    <n v="1414.17"/>
    <x v="0"/>
    <x v="11"/>
    <x v="0"/>
  </r>
  <r>
    <s v="ORD01008"/>
    <s v="2024-11-15"/>
    <x v="13"/>
    <x v="17"/>
    <x v="1"/>
    <s v="Power Bank"/>
    <n v="9"/>
    <n v="38704"/>
    <n v="0.2"/>
    <n v="278668.79999999999"/>
    <n v="52254.25"/>
    <x v="1"/>
    <x v="4"/>
    <x v="0"/>
  </r>
  <r>
    <s v="ORD01009"/>
    <s v="2023-01-30"/>
    <x v="30"/>
    <x v="11"/>
    <x v="3"/>
    <s v="Printer"/>
    <n v="1"/>
    <n v="32329"/>
    <n v="0"/>
    <n v="32329"/>
    <n v="6865.91"/>
    <x v="0"/>
    <x v="3"/>
    <x v="1"/>
  </r>
  <r>
    <s v="ORD01010"/>
    <s v="2023-02-24"/>
    <x v="21"/>
    <x v="25"/>
    <x v="3"/>
    <s v="Notebook"/>
    <n v="4"/>
    <n v="23120"/>
    <n v="0"/>
    <n v="92480"/>
    <n v="22023.96"/>
    <x v="1"/>
    <x v="11"/>
    <x v="1"/>
  </r>
  <r>
    <s v="ORD01011"/>
    <s v="2024-01-25"/>
    <x v="37"/>
    <x v="16"/>
    <x v="3"/>
    <s v="Pen"/>
    <n v="7"/>
    <n v="38165"/>
    <n v="0.2"/>
    <n v="213724"/>
    <n v="23894.51"/>
    <x v="0"/>
    <x v="3"/>
    <x v="0"/>
  </r>
  <r>
    <s v="ORD01012"/>
    <s v="2023-10-12"/>
    <x v="43"/>
    <x v="2"/>
    <x v="2"/>
    <s v="Shoes"/>
    <n v="11"/>
    <n v="14006"/>
    <n v="0.15"/>
    <n v="130956.1"/>
    <n v="23569.25"/>
    <x v="2"/>
    <x v="0"/>
    <x v="1"/>
  </r>
  <r>
    <s v="ORD01013"/>
    <s v="2023-02-22"/>
    <x v="22"/>
    <x v="10"/>
    <x v="3"/>
    <s v="Marker"/>
    <n v="13"/>
    <n v="16273"/>
    <n v="0.1"/>
    <n v="190394.1"/>
    <n v="30079.4"/>
    <x v="2"/>
    <x v="11"/>
    <x v="1"/>
  </r>
  <r>
    <s v="ORD01014"/>
    <s v="2024-02-20"/>
    <x v="31"/>
    <x v="16"/>
    <x v="3"/>
    <s v="Pen"/>
    <n v="10"/>
    <n v="46694"/>
    <n v="0.15"/>
    <n v="396899"/>
    <n v="96873.11"/>
    <x v="2"/>
    <x v="11"/>
    <x v="0"/>
  </r>
  <r>
    <s v="ORD01015"/>
    <s v="2024-04-07"/>
    <x v="27"/>
    <x v="15"/>
    <x v="0"/>
    <s v="Sofa"/>
    <n v="8"/>
    <n v="16869"/>
    <n v="0.1"/>
    <n v="121456.8"/>
    <n v="24013.98"/>
    <x v="3"/>
    <x v="2"/>
    <x v="0"/>
  </r>
  <r>
    <s v="ORD01016"/>
    <s v="2023-11-22"/>
    <x v="39"/>
    <x v="23"/>
    <x v="0"/>
    <s v="Desk"/>
    <n v="2"/>
    <n v="20981"/>
    <n v="0"/>
    <n v="41962"/>
    <n v="10184.73"/>
    <x v="1"/>
    <x v="4"/>
    <x v="1"/>
  </r>
  <r>
    <s v="ORD01017"/>
    <s v="2024-07-09"/>
    <x v="29"/>
    <x v="17"/>
    <x v="1"/>
    <s v="Power Bank"/>
    <n v="1"/>
    <n v="831"/>
    <n v="0.1"/>
    <n v="747.9"/>
    <n v="99.73"/>
    <x v="2"/>
    <x v="1"/>
    <x v="0"/>
  </r>
  <r>
    <s v="ORD01018"/>
    <s v="2023-03-27"/>
    <x v="27"/>
    <x v="11"/>
    <x v="3"/>
    <s v="Printer"/>
    <n v="1"/>
    <n v="54679"/>
    <n v="0"/>
    <n v="54679"/>
    <n v="7743.59"/>
    <x v="3"/>
    <x v="7"/>
    <x v="1"/>
  </r>
  <r>
    <s v="ORD01019"/>
    <s v="2023-01-20"/>
    <x v="42"/>
    <x v="25"/>
    <x v="3"/>
    <s v="Notebook"/>
    <n v="4"/>
    <n v="51227"/>
    <n v="0.15"/>
    <n v="174171.8"/>
    <n v="38079.050000000003"/>
    <x v="2"/>
    <x v="3"/>
    <x v="1"/>
  </r>
  <r>
    <s v="ORD01020"/>
    <s v="2024-09-19"/>
    <x v="0"/>
    <x v="3"/>
    <x v="3"/>
    <s v="Stapler"/>
    <n v="8"/>
    <n v="10205"/>
    <n v="0.1"/>
    <n v="73476"/>
    <n v="8018.47"/>
    <x v="1"/>
    <x v="10"/>
    <x v="0"/>
  </r>
  <r>
    <s v="ORD01021"/>
    <s v="2023-12-28"/>
    <x v="18"/>
    <x v="10"/>
    <x v="3"/>
    <s v="Marker"/>
    <n v="6"/>
    <n v="47652"/>
    <n v="0"/>
    <n v="285912"/>
    <n v="68413.14"/>
    <x v="0"/>
    <x v="9"/>
    <x v="1"/>
  </r>
  <r>
    <s v="ORD01022"/>
    <s v="2024-09-16"/>
    <x v="32"/>
    <x v="27"/>
    <x v="3"/>
    <s v="File"/>
    <n v="3"/>
    <n v="4566"/>
    <n v="0.1"/>
    <n v="12328.2"/>
    <n v="2614.77"/>
    <x v="1"/>
    <x v="10"/>
    <x v="0"/>
  </r>
  <r>
    <s v="ORD01023"/>
    <s v="2024-10-10"/>
    <x v="26"/>
    <x v="8"/>
    <x v="2"/>
    <s v="Sweater"/>
    <n v="11"/>
    <n v="45299"/>
    <n v="0.1"/>
    <n v="448460.1"/>
    <n v="59025.03"/>
    <x v="1"/>
    <x v="0"/>
    <x v="0"/>
  </r>
  <r>
    <s v="ORD01024"/>
    <s v="2024-02-13"/>
    <x v="6"/>
    <x v="0"/>
    <x v="0"/>
    <s v="Chair"/>
    <n v="3"/>
    <n v="881"/>
    <n v="0"/>
    <n v="2643"/>
    <n v="358.39"/>
    <x v="1"/>
    <x v="11"/>
    <x v="0"/>
  </r>
  <r>
    <s v="ORD01025"/>
    <s v="2024-09-16"/>
    <x v="30"/>
    <x v="17"/>
    <x v="1"/>
    <s v="Power Bank"/>
    <n v="11"/>
    <n v="24037"/>
    <n v="0.1"/>
    <n v="237966.3"/>
    <n v="67741.240000000005"/>
    <x v="0"/>
    <x v="10"/>
    <x v="0"/>
  </r>
  <r>
    <s v="ORD01026"/>
    <s v="2024-08-31"/>
    <x v="23"/>
    <x v="15"/>
    <x v="0"/>
    <s v="Sofa"/>
    <n v="9"/>
    <n v="33789"/>
    <n v="0.05"/>
    <n v="288895.95"/>
    <n v="35908.78"/>
    <x v="0"/>
    <x v="8"/>
    <x v="0"/>
  </r>
  <r>
    <s v="ORD01027"/>
    <s v="2024-09-05"/>
    <x v="11"/>
    <x v="5"/>
    <x v="0"/>
    <s v="Cupboard"/>
    <n v="11"/>
    <n v="30594"/>
    <n v="0.15"/>
    <n v="286053.90000000002"/>
    <n v="51333.78"/>
    <x v="3"/>
    <x v="10"/>
    <x v="0"/>
  </r>
  <r>
    <s v="ORD01028"/>
    <s v="2023-06-03"/>
    <x v="30"/>
    <x v="13"/>
    <x v="2"/>
    <s v="Jacket"/>
    <n v="15"/>
    <n v="52030"/>
    <n v="0"/>
    <n v="780450"/>
    <n v="150470.53"/>
    <x v="0"/>
    <x v="5"/>
    <x v="1"/>
  </r>
  <r>
    <s v="ORD01029"/>
    <s v="2024-08-05"/>
    <x v="17"/>
    <x v="25"/>
    <x v="3"/>
    <s v="Notebook"/>
    <n v="10"/>
    <n v="28681"/>
    <n v="0.2"/>
    <n v="229448"/>
    <n v="25995.360000000001"/>
    <x v="0"/>
    <x v="8"/>
    <x v="0"/>
  </r>
  <r>
    <s v="ORD01030"/>
    <s v="2024-03-14"/>
    <x v="43"/>
    <x v="25"/>
    <x v="3"/>
    <s v="Notebook"/>
    <n v="2"/>
    <n v="44677"/>
    <n v="0.05"/>
    <n v="84886.3"/>
    <n v="8620.61"/>
    <x v="0"/>
    <x v="7"/>
    <x v="0"/>
  </r>
  <r>
    <s v="ORD01031"/>
    <s v="2024-09-04"/>
    <x v="31"/>
    <x v="23"/>
    <x v="0"/>
    <s v="Desk"/>
    <n v="7"/>
    <n v="37765"/>
    <n v="0"/>
    <n v="264355"/>
    <n v="36695.82"/>
    <x v="2"/>
    <x v="10"/>
    <x v="0"/>
  </r>
  <r>
    <s v="ORD01032"/>
    <s v="2024-10-01"/>
    <x v="18"/>
    <x v="4"/>
    <x v="0"/>
    <s v="Stool"/>
    <n v="10"/>
    <n v="53579"/>
    <n v="0.1"/>
    <n v="482211"/>
    <n v="95366.55"/>
    <x v="0"/>
    <x v="0"/>
    <x v="0"/>
  </r>
  <r>
    <s v="ORD01033"/>
    <s v="2023-01-10"/>
    <x v="31"/>
    <x v="20"/>
    <x v="1"/>
    <s v="Tablet"/>
    <n v="7"/>
    <n v="34627"/>
    <n v="0.2"/>
    <n v="193911.2"/>
    <n v="53422.57"/>
    <x v="2"/>
    <x v="3"/>
    <x v="1"/>
  </r>
  <r>
    <s v="ORD01034"/>
    <s v="2023-09-29"/>
    <x v="26"/>
    <x v="18"/>
    <x v="0"/>
    <s v="Table"/>
    <n v="4"/>
    <n v="20251"/>
    <n v="0.15"/>
    <n v="68853.399999999994"/>
    <n v="7177.5"/>
    <x v="2"/>
    <x v="10"/>
    <x v="1"/>
  </r>
  <r>
    <s v="ORD01035"/>
    <s v="2023-09-03"/>
    <x v="40"/>
    <x v="1"/>
    <x v="1"/>
    <s v="Mobile"/>
    <n v="8"/>
    <n v="50804"/>
    <n v="0.1"/>
    <n v="365788.8"/>
    <n v="29397.48"/>
    <x v="1"/>
    <x v="10"/>
    <x v="1"/>
  </r>
  <r>
    <s v="ORD01036"/>
    <s v="2024-02-01"/>
    <x v="14"/>
    <x v="6"/>
    <x v="2"/>
    <s v="Jeans"/>
    <n v="11"/>
    <n v="33741"/>
    <n v="0.1"/>
    <n v="334035.90000000002"/>
    <n v="29256.35"/>
    <x v="3"/>
    <x v="11"/>
    <x v="0"/>
  </r>
  <r>
    <s v="ORD01037"/>
    <s v="2024-01-20"/>
    <x v="11"/>
    <x v="2"/>
    <x v="2"/>
    <s v="Shoes"/>
    <n v="7"/>
    <n v="54288"/>
    <n v="0.15"/>
    <n v="323013.59999999998"/>
    <n v="77995.649999999994"/>
    <x v="2"/>
    <x v="3"/>
    <x v="0"/>
  </r>
  <r>
    <s v="ORD01038"/>
    <s v="2023-08-18"/>
    <x v="12"/>
    <x v="0"/>
    <x v="0"/>
    <s v="Chair"/>
    <n v="11"/>
    <n v="29929"/>
    <n v="0.05"/>
    <n v="312758.05"/>
    <n v="51869.65"/>
    <x v="0"/>
    <x v="8"/>
    <x v="1"/>
  </r>
  <r>
    <s v="ORD01039"/>
    <s v="2023-07-30"/>
    <x v="15"/>
    <x v="7"/>
    <x v="0"/>
    <s v="Bed"/>
    <n v="11"/>
    <n v="52577"/>
    <n v="0.2"/>
    <n v="462677.6"/>
    <n v="37250.339999999997"/>
    <x v="3"/>
    <x v="1"/>
    <x v="1"/>
  </r>
  <r>
    <s v="ORD01040"/>
    <s v="2023-12-21"/>
    <x v="28"/>
    <x v="10"/>
    <x v="3"/>
    <s v="Marker"/>
    <n v="8"/>
    <n v="49064"/>
    <n v="0.15"/>
    <n v="333635.20000000001"/>
    <n v="84519.32"/>
    <x v="2"/>
    <x v="9"/>
    <x v="1"/>
  </r>
  <r>
    <s v="ORD01041"/>
    <s v="2024-09-01"/>
    <x v="47"/>
    <x v="23"/>
    <x v="0"/>
    <s v="Desk"/>
    <n v="15"/>
    <n v="44211"/>
    <n v="0.15"/>
    <n v="563690.25"/>
    <n v="117650.39"/>
    <x v="0"/>
    <x v="10"/>
    <x v="0"/>
  </r>
  <r>
    <s v="ORD01042"/>
    <s v="2023-05-02"/>
    <x v="23"/>
    <x v="27"/>
    <x v="3"/>
    <s v="File"/>
    <n v="7"/>
    <n v="19096"/>
    <n v="0.2"/>
    <n v="106937.60000000001"/>
    <n v="25020.17"/>
    <x v="1"/>
    <x v="6"/>
    <x v="1"/>
  </r>
  <r>
    <s v="ORD01043"/>
    <s v="2023-05-18"/>
    <x v="18"/>
    <x v="5"/>
    <x v="0"/>
    <s v="Cupboard"/>
    <n v="2"/>
    <n v="4251"/>
    <n v="0.15"/>
    <n v="7226.7"/>
    <n v="635.74"/>
    <x v="3"/>
    <x v="6"/>
    <x v="1"/>
  </r>
  <r>
    <s v="ORD01044"/>
    <s v="2023-12-29"/>
    <x v="35"/>
    <x v="7"/>
    <x v="0"/>
    <s v="Bed"/>
    <n v="3"/>
    <n v="7591"/>
    <n v="0.15"/>
    <n v="19357.05"/>
    <n v="1940.88"/>
    <x v="3"/>
    <x v="9"/>
    <x v="1"/>
  </r>
  <r>
    <s v="ORD01045"/>
    <s v="2024-10-14"/>
    <x v="26"/>
    <x v="24"/>
    <x v="2"/>
    <s v="T-Shirt"/>
    <n v="2"/>
    <n v="25566"/>
    <n v="0.1"/>
    <n v="46018.8"/>
    <n v="6484.8"/>
    <x v="2"/>
    <x v="0"/>
    <x v="0"/>
  </r>
  <r>
    <s v="ORD01046"/>
    <s v="2024-05-26"/>
    <x v="18"/>
    <x v="14"/>
    <x v="2"/>
    <s v="Dress"/>
    <n v="11"/>
    <n v="32564"/>
    <n v="0.15"/>
    <n v="304473.40000000002"/>
    <n v="29866.04"/>
    <x v="3"/>
    <x v="6"/>
    <x v="0"/>
  </r>
  <r>
    <s v="ORD01047"/>
    <s v="2023-01-27"/>
    <x v="45"/>
    <x v="17"/>
    <x v="1"/>
    <s v="Power Bank"/>
    <n v="10"/>
    <n v="26284"/>
    <n v="0"/>
    <n v="262840"/>
    <n v="53842.21"/>
    <x v="2"/>
    <x v="3"/>
    <x v="1"/>
  </r>
  <r>
    <s v="ORD01048"/>
    <s v="2023-04-11"/>
    <x v="30"/>
    <x v="27"/>
    <x v="3"/>
    <s v="File"/>
    <n v="1"/>
    <n v="5031"/>
    <n v="0.1"/>
    <n v="4527.8999999999996"/>
    <n v="623.55999999999995"/>
    <x v="2"/>
    <x v="2"/>
    <x v="1"/>
  </r>
  <r>
    <s v="ORD01049"/>
    <s v="2024-07-15"/>
    <x v="1"/>
    <x v="5"/>
    <x v="0"/>
    <s v="Cupboard"/>
    <n v="3"/>
    <n v="17054"/>
    <n v="0.05"/>
    <n v="48603.9"/>
    <n v="7934.71"/>
    <x v="0"/>
    <x v="1"/>
    <x v="0"/>
  </r>
  <r>
    <s v="ORD01050"/>
    <s v="2023-07-11"/>
    <x v="38"/>
    <x v="13"/>
    <x v="2"/>
    <s v="Jacket"/>
    <n v="2"/>
    <n v="4299"/>
    <n v="0.15"/>
    <n v="7308.3"/>
    <n v="1387.16"/>
    <x v="0"/>
    <x v="1"/>
    <x v="1"/>
  </r>
  <r>
    <s v="ORD01051"/>
    <s v="2024-08-27"/>
    <x v="23"/>
    <x v="8"/>
    <x v="2"/>
    <s v="Sweater"/>
    <n v="12"/>
    <n v="56164"/>
    <n v="0.1"/>
    <n v="606571.19999999995"/>
    <n v="95040.58"/>
    <x v="3"/>
    <x v="8"/>
    <x v="0"/>
  </r>
  <r>
    <s v="ORD01052"/>
    <s v="2023-09-07"/>
    <x v="49"/>
    <x v="0"/>
    <x v="0"/>
    <s v="Chair"/>
    <n v="14"/>
    <n v="52270"/>
    <n v="0.15"/>
    <n v="622013"/>
    <n v="166334.97"/>
    <x v="0"/>
    <x v="10"/>
    <x v="1"/>
  </r>
  <r>
    <s v="ORD01053"/>
    <s v="2023-01-05"/>
    <x v="30"/>
    <x v="16"/>
    <x v="3"/>
    <s v="Pen"/>
    <n v="3"/>
    <n v="43711"/>
    <n v="0.05"/>
    <n v="124576.35"/>
    <n v="23025.99"/>
    <x v="3"/>
    <x v="3"/>
    <x v="1"/>
  </r>
  <r>
    <s v="ORD01054"/>
    <s v="2023-02-24"/>
    <x v="13"/>
    <x v="2"/>
    <x v="2"/>
    <s v="Shoes"/>
    <n v="14"/>
    <n v="12228"/>
    <n v="0.05"/>
    <n v="162632.4"/>
    <n v="24119.84"/>
    <x v="2"/>
    <x v="11"/>
    <x v="1"/>
  </r>
  <r>
    <s v="ORD01055"/>
    <s v="2023-02-07"/>
    <x v="4"/>
    <x v="26"/>
    <x v="3"/>
    <s v="Paper Ream"/>
    <n v="9"/>
    <n v="22964"/>
    <n v="0.2"/>
    <n v="165340.79999999999"/>
    <n v="31801.41"/>
    <x v="1"/>
    <x v="11"/>
    <x v="1"/>
  </r>
  <r>
    <s v="ORD01056"/>
    <s v="2023-09-17"/>
    <x v="17"/>
    <x v="20"/>
    <x v="1"/>
    <s v="Tablet"/>
    <n v="7"/>
    <n v="8262"/>
    <n v="0.2"/>
    <n v="46267.199999999997"/>
    <n v="9366.58"/>
    <x v="1"/>
    <x v="10"/>
    <x v="1"/>
  </r>
  <r>
    <s v="ORD01057"/>
    <s v="2024-06-10"/>
    <x v="16"/>
    <x v="16"/>
    <x v="3"/>
    <s v="Pen"/>
    <n v="11"/>
    <n v="12816"/>
    <n v="0.05"/>
    <n v="133927.20000000001"/>
    <n v="32413.599999999999"/>
    <x v="1"/>
    <x v="5"/>
    <x v="0"/>
  </r>
  <r>
    <s v="ORD01058"/>
    <s v="2024-09-02"/>
    <x v="33"/>
    <x v="12"/>
    <x v="1"/>
    <s v="Headphones"/>
    <n v="4"/>
    <n v="5131"/>
    <n v="0.1"/>
    <n v="18471.599999999999"/>
    <n v="4325.79"/>
    <x v="0"/>
    <x v="10"/>
    <x v="0"/>
  </r>
  <r>
    <s v="ORD01059"/>
    <s v="2023-08-13"/>
    <x v="22"/>
    <x v="0"/>
    <x v="0"/>
    <s v="Chair"/>
    <n v="4"/>
    <n v="16174"/>
    <n v="0.15"/>
    <n v="54991.6"/>
    <n v="5130.1000000000004"/>
    <x v="1"/>
    <x v="8"/>
    <x v="1"/>
  </r>
  <r>
    <s v="ORD01060"/>
    <s v="2023-11-01"/>
    <x v="11"/>
    <x v="27"/>
    <x v="3"/>
    <s v="File"/>
    <n v="8"/>
    <n v="7175"/>
    <n v="0.05"/>
    <n v="54530"/>
    <n v="14929.66"/>
    <x v="2"/>
    <x v="4"/>
    <x v="1"/>
  </r>
  <r>
    <s v="ORD01061"/>
    <s v="2024-06-04"/>
    <x v="23"/>
    <x v="8"/>
    <x v="2"/>
    <s v="Sweater"/>
    <n v="14"/>
    <n v="30715"/>
    <n v="0.2"/>
    <n v="344008"/>
    <n v="62990.42"/>
    <x v="1"/>
    <x v="5"/>
    <x v="0"/>
  </r>
  <r>
    <s v="ORD01062"/>
    <s v="2023-06-18"/>
    <x v="27"/>
    <x v="0"/>
    <x v="0"/>
    <s v="Chair"/>
    <n v="12"/>
    <n v="43369"/>
    <n v="0.2"/>
    <n v="416342.4"/>
    <n v="114833.60000000001"/>
    <x v="0"/>
    <x v="5"/>
    <x v="1"/>
  </r>
  <r>
    <s v="ORD01063"/>
    <s v="2023-01-11"/>
    <x v="28"/>
    <x v="21"/>
    <x v="1"/>
    <s v="Laptop"/>
    <n v="7"/>
    <n v="31400"/>
    <n v="0.15"/>
    <n v="186830"/>
    <n v="42658.58"/>
    <x v="3"/>
    <x v="3"/>
    <x v="1"/>
  </r>
  <r>
    <s v="ORD01064"/>
    <s v="2023-10-02"/>
    <x v="19"/>
    <x v="2"/>
    <x v="2"/>
    <s v="Shoes"/>
    <n v="6"/>
    <n v="29964"/>
    <n v="0.05"/>
    <n v="170794.8"/>
    <n v="41501.17"/>
    <x v="0"/>
    <x v="0"/>
    <x v="1"/>
  </r>
  <r>
    <s v="ORD01065"/>
    <s v="2024-10-18"/>
    <x v="3"/>
    <x v="25"/>
    <x v="3"/>
    <s v="Notebook"/>
    <n v="3"/>
    <n v="33587"/>
    <n v="0.05"/>
    <n v="95722.95"/>
    <n v="9860.75"/>
    <x v="3"/>
    <x v="0"/>
    <x v="0"/>
  </r>
  <r>
    <s v="ORD01066"/>
    <s v="2024-04-21"/>
    <x v="14"/>
    <x v="1"/>
    <x v="1"/>
    <s v="Mobile"/>
    <n v="14"/>
    <n v="30059"/>
    <n v="0.15"/>
    <n v="357702.1"/>
    <n v="100290.98"/>
    <x v="2"/>
    <x v="2"/>
    <x v="0"/>
  </r>
  <r>
    <s v="ORD01067"/>
    <s v="2024-04-05"/>
    <x v="44"/>
    <x v="26"/>
    <x v="3"/>
    <s v="Paper Ream"/>
    <n v="15"/>
    <n v="16885"/>
    <n v="0"/>
    <n v="253275"/>
    <n v="36193.25"/>
    <x v="0"/>
    <x v="2"/>
    <x v="0"/>
  </r>
  <r>
    <s v="ORD01068"/>
    <s v="2024-05-03"/>
    <x v="18"/>
    <x v="25"/>
    <x v="3"/>
    <s v="Notebook"/>
    <n v="8"/>
    <n v="15354"/>
    <n v="0.1"/>
    <n v="110548.8"/>
    <n v="14980.81"/>
    <x v="0"/>
    <x v="6"/>
    <x v="0"/>
  </r>
  <r>
    <s v="ORD01069"/>
    <s v="2023-07-16"/>
    <x v="2"/>
    <x v="17"/>
    <x v="1"/>
    <s v="Power Bank"/>
    <n v="12"/>
    <n v="10690"/>
    <n v="0.2"/>
    <n v="102624"/>
    <n v="14054.05"/>
    <x v="2"/>
    <x v="1"/>
    <x v="1"/>
  </r>
  <r>
    <s v="ORD01070"/>
    <s v="2023-04-18"/>
    <x v="44"/>
    <x v="12"/>
    <x v="1"/>
    <s v="Headphones"/>
    <n v="3"/>
    <n v="10770"/>
    <n v="0.05"/>
    <n v="30694.5"/>
    <n v="2882.02"/>
    <x v="0"/>
    <x v="2"/>
    <x v="1"/>
  </r>
  <r>
    <s v="ORD01071"/>
    <s v="2024-01-10"/>
    <x v="42"/>
    <x v="8"/>
    <x v="2"/>
    <s v="Sweater"/>
    <n v="6"/>
    <n v="25658"/>
    <n v="0"/>
    <n v="153948"/>
    <n v="17770.8"/>
    <x v="3"/>
    <x v="3"/>
    <x v="0"/>
  </r>
  <r>
    <s v="ORD01072"/>
    <s v="2024-08-27"/>
    <x v="29"/>
    <x v="25"/>
    <x v="3"/>
    <s v="Notebook"/>
    <n v="9"/>
    <n v="10488"/>
    <n v="0.1"/>
    <n v="84952.8"/>
    <n v="6970.74"/>
    <x v="2"/>
    <x v="8"/>
    <x v="0"/>
  </r>
  <r>
    <s v="ORD01073"/>
    <s v="2023-07-27"/>
    <x v="32"/>
    <x v="16"/>
    <x v="3"/>
    <s v="Pen"/>
    <n v="9"/>
    <n v="57326"/>
    <n v="0.15"/>
    <n v="438543.9"/>
    <n v="49882.62"/>
    <x v="1"/>
    <x v="1"/>
    <x v="1"/>
  </r>
  <r>
    <s v="ORD01074"/>
    <s v="2024-07-04"/>
    <x v="14"/>
    <x v="11"/>
    <x v="3"/>
    <s v="Printer"/>
    <n v="6"/>
    <n v="16631"/>
    <n v="0"/>
    <n v="99786"/>
    <n v="15080.26"/>
    <x v="2"/>
    <x v="1"/>
    <x v="0"/>
  </r>
  <r>
    <s v="ORD01075"/>
    <s v="2024-11-26"/>
    <x v="37"/>
    <x v="7"/>
    <x v="0"/>
    <s v="Bed"/>
    <n v="3"/>
    <n v="52321"/>
    <n v="0.15"/>
    <n v="133418.54999999999"/>
    <n v="17055.02"/>
    <x v="1"/>
    <x v="4"/>
    <x v="0"/>
  </r>
  <r>
    <s v="ORD01076"/>
    <s v="2023-01-07"/>
    <x v="14"/>
    <x v="27"/>
    <x v="3"/>
    <s v="File"/>
    <n v="4"/>
    <n v="1207"/>
    <n v="0.05"/>
    <n v="4586.6000000000004"/>
    <n v="664.13"/>
    <x v="3"/>
    <x v="3"/>
    <x v="1"/>
  </r>
  <r>
    <s v="ORD01077"/>
    <s v="2023-07-16"/>
    <x v="45"/>
    <x v="1"/>
    <x v="1"/>
    <s v="Mobile"/>
    <n v="8"/>
    <n v="15696"/>
    <n v="0.1"/>
    <n v="113011.2"/>
    <n v="14399.15"/>
    <x v="3"/>
    <x v="1"/>
    <x v="1"/>
  </r>
  <r>
    <s v="ORD01078"/>
    <s v="2023-07-30"/>
    <x v="33"/>
    <x v="16"/>
    <x v="3"/>
    <s v="Pen"/>
    <n v="9"/>
    <n v="56474"/>
    <n v="0"/>
    <n v="508266"/>
    <n v="103188.02"/>
    <x v="2"/>
    <x v="1"/>
    <x v="1"/>
  </r>
  <r>
    <s v="ORD01079"/>
    <s v="2023-04-06"/>
    <x v="2"/>
    <x v="6"/>
    <x v="2"/>
    <s v="Jeans"/>
    <n v="6"/>
    <n v="34141"/>
    <n v="0.1"/>
    <n v="184361.4"/>
    <n v="53232.71"/>
    <x v="2"/>
    <x v="2"/>
    <x v="1"/>
  </r>
  <r>
    <s v="ORD01080"/>
    <s v="2024-03-30"/>
    <x v="26"/>
    <x v="16"/>
    <x v="3"/>
    <s v="Pen"/>
    <n v="13"/>
    <n v="15175"/>
    <n v="0.05"/>
    <n v="187411.25"/>
    <n v="19545.05"/>
    <x v="3"/>
    <x v="7"/>
    <x v="0"/>
  </r>
  <r>
    <s v="ORD01081"/>
    <s v="2024-04-29"/>
    <x v="3"/>
    <x v="15"/>
    <x v="0"/>
    <s v="Sofa"/>
    <n v="12"/>
    <n v="15036"/>
    <n v="0.2"/>
    <n v="144345.60000000001"/>
    <n v="13337.71"/>
    <x v="3"/>
    <x v="2"/>
    <x v="0"/>
  </r>
  <r>
    <s v="ORD01082"/>
    <s v="2024-06-28"/>
    <x v="38"/>
    <x v="24"/>
    <x v="2"/>
    <s v="T-Shirt"/>
    <n v="5"/>
    <n v="46333"/>
    <n v="0"/>
    <n v="231665"/>
    <n v="32921.56"/>
    <x v="3"/>
    <x v="5"/>
    <x v="0"/>
  </r>
  <r>
    <s v="ORD01083"/>
    <s v="2023-12-30"/>
    <x v="13"/>
    <x v="26"/>
    <x v="3"/>
    <s v="Paper Ream"/>
    <n v="11"/>
    <n v="21924"/>
    <n v="0.1"/>
    <n v="217047.6"/>
    <n v="44109.04"/>
    <x v="0"/>
    <x v="9"/>
    <x v="1"/>
  </r>
  <r>
    <s v="ORD01084"/>
    <s v="2024-07-25"/>
    <x v="37"/>
    <x v="13"/>
    <x v="2"/>
    <s v="Jacket"/>
    <n v="11"/>
    <n v="4990"/>
    <n v="0"/>
    <n v="54890"/>
    <n v="7555.17"/>
    <x v="2"/>
    <x v="1"/>
    <x v="0"/>
  </r>
  <r>
    <s v="ORD01085"/>
    <s v="2024-06-09"/>
    <x v="37"/>
    <x v="8"/>
    <x v="2"/>
    <s v="Sweater"/>
    <n v="10"/>
    <n v="53312"/>
    <n v="0.15"/>
    <n v="453152"/>
    <n v="76308.81"/>
    <x v="1"/>
    <x v="5"/>
    <x v="0"/>
  </r>
  <r>
    <s v="ORD01086"/>
    <s v="2023-03-07"/>
    <x v="21"/>
    <x v="15"/>
    <x v="0"/>
    <s v="Sofa"/>
    <n v="7"/>
    <n v="39880"/>
    <n v="0.05"/>
    <n v="265202"/>
    <n v="77782.55"/>
    <x v="1"/>
    <x v="7"/>
    <x v="1"/>
  </r>
  <r>
    <s v="ORD01087"/>
    <s v="2023-03-14"/>
    <x v="46"/>
    <x v="13"/>
    <x v="2"/>
    <s v="Jacket"/>
    <n v="5"/>
    <n v="41454"/>
    <n v="0.05"/>
    <n v="196906.5"/>
    <n v="29047.25"/>
    <x v="1"/>
    <x v="7"/>
    <x v="1"/>
  </r>
  <r>
    <s v="ORD01088"/>
    <s v="2023-09-23"/>
    <x v="0"/>
    <x v="27"/>
    <x v="3"/>
    <s v="File"/>
    <n v="9"/>
    <n v="50524"/>
    <n v="0"/>
    <n v="454716"/>
    <n v="83325.77"/>
    <x v="2"/>
    <x v="10"/>
    <x v="1"/>
  </r>
  <r>
    <s v="ORD01089"/>
    <s v="2023-12-08"/>
    <x v="2"/>
    <x v="14"/>
    <x v="2"/>
    <s v="Dress"/>
    <n v="1"/>
    <n v="51852"/>
    <n v="0.2"/>
    <n v="41481.599999999999"/>
    <n v="4707.53"/>
    <x v="0"/>
    <x v="9"/>
    <x v="1"/>
  </r>
  <r>
    <s v="ORD01090"/>
    <s v="2023-09-08"/>
    <x v="8"/>
    <x v="2"/>
    <x v="2"/>
    <s v="Shoes"/>
    <n v="9"/>
    <n v="7670"/>
    <n v="0.1"/>
    <n v="62127"/>
    <n v="6859.23"/>
    <x v="2"/>
    <x v="10"/>
    <x v="1"/>
  </r>
  <r>
    <s v="ORD01091"/>
    <s v="2024-02-29"/>
    <x v="26"/>
    <x v="14"/>
    <x v="2"/>
    <s v="Dress"/>
    <n v="6"/>
    <n v="23947"/>
    <n v="0.05"/>
    <n v="136497.9"/>
    <n v="19898.25"/>
    <x v="3"/>
    <x v="11"/>
    <x v="0"/>
  </r>
  <r>
    <s v="ORD01092"/>
    <s v="2023-11-16"/>
    <x v="46"/>
    <x v="24"/>
    <x v="2"/>
    <s v="T-Shirt"/>
    <n v="8"/>
    <n v="9042"/>
    <n v="0.2"/>
    <n v="57868.800000000003"/>
    <n v="5625.13"/>
    <x v="1"/>
    <x v="4"/>
    <x v="1"/>
  </r>
  <r>
    <s v="ORD01093"/>
    <s v="2024-04-23"/>
    <x v="32"/>
    <x v="15"/>
    <x v="0"/>
    <s v="Sofa"/>
    <n v="3"/>
    <n v="44429"/>
    <n v="0.05"/>
    <n v="126622.65"/>
    <n v="19477.27"/>
    <x v="2"/>
    <x v="2"/>
    <x v="0"/>
  </r>
  <r>
    <s v="ORD01094"/>
    <s v="2024-07-04"/>
    <x v="2"/>
    <x v="15"/>
    <x v="0"/>
    <s v="Sofa"/>
    <n v="4"/>
    <n v="16483"/>
    <n v="0"/>
    <n v="65932"/>
    <n v="10336.34"/>
    <x v="3"/>
    <x v="1"/>
    <x v="0"/>
  </r>
  <r>
    <s v="ORD01095"/>
    <s v="2024-04-28"/>
    <x v="46"/>
    <x v="19"/>
    <x v="1"/>
    <s v="Smartwatch"/>
    <n v="13"/>
    <n v="23976"/>
    <n v="0.1"/>
    <n v="280519.2"/>
    <n v="23025.59"/>
    <x v="1"/>
    <x v="2"/>
    <x v="0"/>
  </r>
  <r>
    <s v="ORD01096"/>
    <s v="2023-03-07"/>
    <x v="26"/>
    <x v="16"/>
    <x v="3"/>
    <s v="Pen"/>
    <n v="2"/>
    <n v="2599"/>
    <n v="0.15"/>
    <n v="4418.3"/>
    <n v="968.2"/>
    <x v="1"/>
    <x v="7"/>
    <x v="1"/>
  </r>
  <r>
    <s v="ORD01097"/>
    <s v="2024-01-02"/>
    <x v="46"/>
    <x v="3"/>
    <x v="3"/>
    <s v="Stapler"/>
    <n v="14"/>
    <n v="10744"/>
    <n v="0.15"/>
    <n v="127853.6"/>
    <n v="18917.22"/>
    <x v="2"/>
    <x v="3"/>
    <x v="0"/>
  </r>
  <r>
    <s v="ORD01098"/>
    <s v="2023-03-24"/>
    <x v="49"/>
    <x v="12"/>
    <x v="1"/>
    <s v="Headphones"/>
    <n v="15"/>
    <n v="10395"/>
    <n v="0"/>
    <n v="155925"/>
    <n v="40537.75"/>
    <x v="2"/>
    <x v="7"/>
    <x v="1"/>
  </r>
  <r>
    <s v="ORD01099"/>
    <s v="2023-10-29"/>
    <x v="7"/>
    <x v="11"/>
    <x v="3"/>
    <s v="Printer"/>
    <n v="13"/>
    <n v="28128"/>
    <n v="0.15"/>
    <n v="310814.40000000002"/>
    <n v="51510.6"/>
    <x v="1"/>
    <x v="0"/>
    <x v="1"/>
  </r>
  <r>
    <s v="ORD01100"/>
    <s v="2024-07-22"/>
    <x v="47"/>
    <x v="14"/>
    <x v="2"/>
    <s v="Dress"/>
    <n v="9"/>
    <n v="24508"/>
    <n v="0.15"/>
    <n v="187486.2"/>
    <n v="51945.08"/>
    <x v="1"/>
    <x v="1"/>
    <x v="0"/>
  </r>
  <r>
    <s v="ORD01101"/>
    <s v="2023-12-06"/>
    <x v="25"/>
    <x v="0"/>
    <x v="0"/>
    <s v="Chair"/>
    <n v="8"/>
    <n v="1175"/>
    <n v="0.1"/>
    <n v="8460"/>
    <n v="1594.84"/>
    <x v="1"/>
    <x v="9"/>
    <x v="1"/>
  </r>
  <r>
    <s v="ORD01102"/>
    <s v="2024-01-26"/>
    <x v="21"/>
    <x v="4"/>
    <x v="0"/>
    <s v="Stool"/>
    <n v="7"/>
    <n v="32826"/>
    <n v="0.15"/>
    <n v="195314.7"/>
    <n v="43516.93"/>
    <x v="0"/>
    <x v="3"/>
    <x v="0"/>
  </r>
  <r>
    <s v="ORD01103"/>
    <s v="2024-08-19"/>
    <x v="10"/>
    <x v="19"/>
    <x v="1"/>
    <s v="Smartwatch"/>
    <n v="4"/>
    <n v="26022"/>
    <n v="0.05"/>
    <n v="98883.6"/>
    <n v="16787.71"/>
    <x v="1"/>
    <x v="8"/>
    <x v="0"/>
  </r>
  <r>
    <s v="ORD01104"/>
    <s v="2024-05-29"/>
    <x v="29"/>
    <x v="20"/>
    <x v="1"/>
    <s v="Tablet"/>
    <n v="3"/>
    <n v="39416"/>
    <n v="0.2"/>
    <n v="94598.399999999994"/>
    <n v="9173.8700000000008"/>
    <x v="1"/>
    <x v="6"/>
    <x v="0"/>
  </r>
  <r>
    <s v="ORD01105"/>
    <s v="2023-07-12"/>
    <x v="27"/>
    <x v="16"/>
    <x v="3"/>
    <s v="Pen"/>
    <n v="6"/>
    <n v="57168"/>
    <n v="0.2"/>
    <n v="274406.40000000002"/>
    <n v="33300.11"/>
    <x v="1"/>
    <x v="1"/>
    <x v="1"/>
  </r>
  <r>
    <s v="ORD01106"/>
    <s v="2023-06-22"/>
    <x v="39"/>
    <x v="2"/>
    <x v="2"/>
    <s v="Shoes"/>
    <n v="11"/>
    <n v="44218"/>
    <n v="0.2"/>
    <n v="389118.4"/>
    <n v="89912.98"/>
    <x v="2"/>
    <x v="5"/>
    <x v="1"/>
  </r>
  <r>
    <s v="ORD01107"/>
    <s v="2024-02-15"/>
    <x v="21"/>
    <x v="13"/>
    <x v="2"/>
    <s v="Jacket"/>
    <n v="12"/>
    <n v="33189"/>
    <n v="0"/>
    <n v="398268"/>
    <n v="75511.64"/>
    <x v="3"/>
    <x v="11"/>
    <x v="0"/>
  </r>
  <r>
    <s v="ORD01108"/>
    <s v="2024-08-10"/>
    <x v="29"/>
    <x v="10"/>
    <x v="3"/>
    <s v="Marker"/>
    <n v="10"/>
    <n v="33857"/>
    <n v="0.15"/>
    <n v="287784.5"/>
    <n v="42205.53"/>
    <x v="1"/>
    <x v="8"/>
    <x v="0"/>
  </r>
  <r>
    <s v="ORD01109"/>
    <s v="2024-07-03"/>
    <x v="46"/>
    <x v="22"/>
    <x v="1"/>
    <s v="Camera"/>
    <n v="12"/>
    <n v="24794"/>
    <n v="0.05"/>
    <n v="282651.59999999998"/>
    <n v="26612.58"/>
    <x v="3"/>
    <x v="1"/>
    <x v="0"/>
  </r>
  <r>
    <s v="ORD01110"/>
    <s v="2023-05-07"/>
    <x v="38"/>
    <x v="6"/>
    <x v="2"/>
    <s v="Jeans"/>
    <n v="1"/>
    <n v="52744"/>
    <n v="0.05"/>
    <n v="50106.8"/>
    <n v="9522.18"/>
    <x v="3"/>
    <x v="6"/>
    <x v="1"/>
  </r>
  <r>
    <s v="ORD01111"/>
    <s v="2024-03-21"/>
    <x v="6"/>
    <x v="18"/>
    <x v="0"/>
    <s v="Table"/>
    <n v="12"/>
    <n v="51587"/>
    <n v="0.05"/>
    <n v="588091.80000000005"/>
    <n v="48906.96"/>
    <x v="0"/>
    <x v="7"/>
    <x v="0"/>
  </r>
  <r>
    <s v="ORD01112"/>
    <s v="2023-05-17"/>
    <x v="2"/>
    <x v="5"/>
    <x v="0"/>
    <s v="Cupboard"/>
    <n v="8"/>
    <n v="41891"/>
    <n v="0.05"/>
    <n v="318371.59999999998"/>
    <n v="55155.01"/>
    <x v="0"/>
    <x v="6"/>
    <x v="1"/>
  </r>
  <r>
    <s v="ORD01113"/>
    <s v="2023-06-19"/>
    <x v="3"/>
    <x v="16"/>
    <x v="3"/>
    <s v="Pen"/>
    <n v="1"/>
    <n v="52551"/>
    <n v="0.15"/>
    <n v="44668.35"/>
    <n v="5203.13"/>
    <x v="1"/>
    <x v="5"/>
    <x v="1"/>
  </r>
  <r>
    <s v="ORD01114"/>
    <s v="2023-05-16"/>
    <x v="0"/>
    <x v="12"/>
    <x v="1"/>
    <s v="Headphones"/>
    <n v="6"/>
    <n v="47717"/>
    <n v="0.1"/>
    <n v="257671.8"/>
    <n v="59697.27"/>
    <x v="0"/>
    <x v="6"/>
    <x v="1"/>
  </r>
  <r>
    <s v="ORD01115"/>
    <s v="2023-11-23"/>
    <x v="46"/>
    <x v="10"/>
    <x v="3"/>
    <s v="Marker"/>
    <n v="3"/>
    <n v="39094"/>
    <n v="0.15"/>
    <n v="99689.7"/>
    <n v="15205.53"/>
    <x v="0"/>
    <x v="4"/>
    <x v="1"/>
  </r>
  <r>
    <s v="ORD01116"/>
    <s v="2024-01-17"/>
    <x v="35"/>
    <x v="25"/>
    <x v="3"/>
    <s v="Notebook"/>
    <n v="15"/>
    <n v="5890"/>
    <n v="0.15"/>
    <n v="75097.5"/>
    <n v="11294.35"/>
    <x v="3"/>
    <x v="3"/>
    <x v="0"/>
  </r>
  <r>
    <s v="ORD01117"/>
    <s v="2024-07-18"/>
    <x v="3"/>
    <x v="22"/>
    <x v="1"/>
    <s v="Camera"/>
    <n v="6"/>
    <n v="20384"/>
    <n v="0"/>
    <n v="122304"/>
    <n v="33943.019999999997"/>
    <x v="1"/>
    <x v="1"/>
    <x v="0"/>
  </r>
  <r>
    <s v="ORD01118"/>
    <s v="2024-06-18"/>
    <x v="22"/>
    <x v="13"/>
    <x v="2"/>
    <s v="Jacket"/>
    <n v="3"/>
    <n v="7881"/>
    <n v="0.2"/>
    <n v="18914.400000000001"/>
    <n v="4169.51"/>
    <x v="2"/>
    <x v="5"/>
    <x v="0"/>
  </r>
  <r>
    <s v="ORD01119"/>
    <s v="2023-06-11"/>
    <x v="8"/>
    <x v="4"/>
    <x v="0"/>
    <s v="Stool"/>
    <n v="2"/>
    <n v="46962"/>
    <n v="0.2"/>
    <n v="75139.199999999997"/>
    <n v="10943.25"/>
    <x v="3"/>
    <x v="5"/>
    <x v="1"/>
  </r>
  <r>
    <s v="ORD01120"/>
    <s v="2023-05-30"/>
    <x v="24"/>
    <x v="21"/>
    <x v="1"/>
    <s v="Laptop"/>
    <n v="14"/>
    <n v="7081"/>
    <n v="0.05"/>
    <n v="94177.3"/>
    <n v="24004.53"/>
    <x v="2"/>
    <x v="6"/>
    <x v="1"/>
  </r>
  <r>
    <s v="ORD01121"/>
    <s v="2023-01-26"/>
    <x v="30"/>
    <x v="3"/>
    <x v="3"/>
    <s v="Stapler"/>
    <n v="15"/>
    <n v="43134"/>
    <n v="0.1"/>
    <n v="582309"/>
    <n v="108747.73"/>
    <x v="2"/>
    <x v="3"/>
    <x v="1"/>
  </r>
  <r>
    <s v="ORD01122"/>
    <s v="2023-05-29"/>
    <x v="15"/>
    <x v="21"/>
    <x v="1"/>
    <s v="Laptop"/>
    <n v="15"/>
    <n v="16883"/>
    <n v="0.2"/>
    <n v="202596"/>
    <n v="39426.089999999997"/>
    <x v="0"/>
    <x v="6"/>
    <x v="1"/>
  </r>
  <r>
    <s v="ORD01123"/>
    <s v="2023-08-08"/>
    <x v="17"/>
    <x v="10"/>
    <x v="3"/>
    <s v="Marker"/>
    <n v="14"/>
    <n v="21239"/>
    <n v="0.15"/>
    <n v="252744.1"/>
    <n v="60931.93"/>
    <x v="0"/>
    <x v="8"/>
    <x v="1"/>
  </r>
  <r>
    <s v="ORD01124"/>
    <s v="2024-09-14"/>
    <x v="17"/>
    <x v="14"/>
    <x v="2"/>
    <s v="Dress"/>
    <n v="2"/>
    <n v="34485"/>
    <n v="0.15"/>
    <n v="58624.5"/>
    <n v="11923.28"/>
    <x v="0"/>
    <x v="10"/>
    <x v="0"/>
  </r>
  <r>
    <s v="ORD01125"/>
    <s v="2024-08-14"/>
    <x v="10"/>
    <x v="3"/>
    <x v="3"/>
    <s v="Stapler"/>
    <n v="15"/>
    <n v="4110"/>
    <n v="0.2"/>
    <n v="49320"/>
    <n v="6627.02"/>
    <x v="3"/>
    <x v="8"/>
    <x v="0"/>
  </r>
  <r>
    <s v="ORD01126"/>
    <s v="2023-06-29"/>
    <x v="18"/>
    <x v="3"/>
    <x v="3"/>
    <s v="Stapler"/>
    <n v="10"/>
    <n v="12232"/>
    <n v="0"/>
    <n v="122320"/>
    <n v="29359.78"/>
    <x v="3"/>
    <x v="5"/>
    <x v="1"/>
  </r>
  <r>
    <s v="ORD01127"/>
    <s v="2023-02-19"/>
    <x v="14"/>
    <x v="17"/>
    <x v="1"/>
    <s v="Power Bank"/>
    <n v="14"/>
    <n v="43744"/>
    <n v="0.05"/>
    <n v="581795.19999999995"/>
    <n v="90273.79"/>
    <x v="1"/>
    <x v="11"/>
    <x v="1"/>
  </r>
  <r>
    <s v="ORD01128"/>
    <s v="2023-03-15"/>
    <x v="20"/>
    <x v="26"/>
    <x v="3"/>
    <s v="Paper Ream"/>
    <n v="7"/>
    <n v="37668"/>
    <n v="0.2"/>
    <n v="210940.79999999999"/>
    <n v="44451.16"/>
    <x v="0"/>
    <x v="7"/>
    <x v="1"/>
  </r>
  <r>
    <s v="ORD01129"/>
    <s v="2024-09-25"/>
    <x v="21"/>
    <x v="21"/>
    <x v="1"/>
    <s v="Laptop"/>
    <n v="5"/>
    <n v="40650"/>
    <n v="0.15"/>
    <n v="172762.5"/>
    <n v="16832.02"/>
    <x v="3"/>
    <x v="10"/>
    <x v="0"/>
  </r>
  <r>
    <s v="ORD01130"/>
    <s v="2023-06-26"/>
    <x v="37"/>
    <x v="18"/>
    <x v="0"/>
    <s v="Table"/>
    <n v="7"/>
    <n v="2030"/>
    <n v="0"/>
    <n v="14210"/>
    <n v="1788.24"/>
    <x v="1"/>
    <x v="5"/>
    <x v="1"/>
  </r>
  <r>
    <s v="ORD01131"/>
    <s v="2023-01-13"/>
    <x v="40"/>
    <x v="14"/>
    <x v="2"/>
    <s v="Dress"/>
    <n v="8"/>
    <n v="42647"/>
    <n v="0"/>
    <n v="341176"/>
    <n v="98983.59"/>
    <x v="0"/>
    <x v="3"/>
    <x v="1"/>
  </r>
  <r>
    <s v="ORD01132"/>
    <s v="2023-04-29"/>
    <x v="3"/>
    <x v="10"/>
    <x v="3"/>
    <s v="Marker"/>
    <n v="9"/>
    <n v="22971"/>
    <n v="0.15"/>
    <n v="175728.15"/>
    <n v="38493.58"/>
    <x v="0"/>
    <x v="2"/>
    <x v="1"/>
  </r>
  <r>
    <s v="ORD01133"/>
    <s v="2024-07-15"/>
    <x v="5"/>
    <x v="3"/>
    <x v="3"/>
    <s v="Stapler"/>
    <n v="3"/>
    <n v="57810"/>
    <n v="0.2"/>
    <n v="138744"/>
    <n v="26542.62"/>
    <x v="1"/>
    <x v="1"/>
    <x v="0"/>
  </r>
  <r>
    <s v="ORD01134"/>
    <s v="2024-11-02"/>
    <x v="26"/>
    <x v="26"/>
    <x v="3"/>
    <s v="Paper Ream"/>
    <n v="12"/>
    <n v="6131"/>
    <n v="0.1"/>
    <n v="66214.8"/>
    <n v="9639.5400000000009"/>
    <x v="2"/>
    <x v="4"/>
    <x v="0"/>
  </r>
  <r>
    <s v="ORD01135"/>
    <s v="2024-03-13"/>
    <x v="47"/>
    <x v="26"/>
    <x v="3"/>
    <s v="Paper Ream"/>
    <n v="15"/>
    <n v="51778"/>
    <n v="0.15"/>
    <n v="660169.5"/>
    <n v="171444.11"/>
    <x v="3"/>
    <x v="7"/>
    <x v="0"/>
  </r>
  <r>
    <s v="ORD01136"/>
    <s v="2024-01-19"/>
    <x v="20"/>
    <x v="10"/>
    <x v="3"/>
    <s v="Marker"/>
    <n v="14"/>
    <n v="44084"/>
    <n v="0.15"/>
    <n v="524599.6"/>
    <n v="60009.64"/>
    <x v="0"/>
    <x v="3"/>
    <x v="0"/>
  </r>
  <r>
    <s v="ORD01137"/>
    <s v="2023-10-01"/>
    <x v="24"/>
    <x v="25"/>
    <x v="3"/>
    <s v="Notebook"/>
    <n v="15"/>
    <n v="58606"/>
    <n v="0.1"/>
    <n v="791181"/>
    <n v="173501.45"/>
    <x v="2"/>
    <x v="0"/>
    <x v="1"/>
  </r>
  <r>
    <s v="ORD01138"/>
    <s v="2024-02-06"/>
    <x v="45"/>
    <x v="24"/>
    <x v="2"/>
    <s v="T-Shirt"/>
    <n v="5"/>
    <n v="787"/>
    <n v="0.05"/>
    <n v="3738.25"/>
    <n v="821.58"/>
    <x v="0"/>
    <x v="11"/>
    <x v="0"/>
  </r>
  <r>
    <s v="ORD01139"/>
    <s v="2024-09-14"/>
    <x v="15"/>
    <x v="16"/>
    <x v="3"/>
    <s v="Pen"/>
    <n v="2"/>
    <n v="8833"/>
    <n v="0.2"/>
    <n v="14132.8"/>
    <n v="3990.86"/>
    <x v="0"/>
    <x v="10"/>
    <x v="0"/>
  </r>
  <r>
    <s v="ORD01140"/>
    <s v="2023-01-19"/>
    <x v="28"/>
    <x v="13"/>
    <x v="2"/>
    <s v="Jacket"/>
    <n v="3"/>
    <n v="11796"/>
    <n v="0.05"/>
    <n v="33618.6"/>
    <n v="3870.29"/>
    <x v="3"/>
    <x v="3"/>
    <x v="1"/>
  </r>
  <r>
    <s v="ORD01141"/>
    <s v="2023-11-08"/>
    <x v="33"/>
    <x v="1"/>
    <x v="1"/>
    <s v="Mobile"/>
    <n v="7"/>
    <n v="34328"/>
    <n v="0.15"/>
    <n v="204251.6"/>
    <n v="20018.68"/>
    <x v="3"/>
    <x v="4"/>
    <x v="1"/>
  </r>
  <r>
    <s v="ORD01142"/>
    <s v="2024-08-25"/>
    <x v="28"/>
    <x v="7"/>
    <x v="0"/>
    <s v="Bed"/>
    <n v="6"/>
    <n v="11964"/>
    <n v="0.2"/>
    <n v="57427.199999999997"/>
    <n v="14778.81"/>
    <x v="0"/>
    <x v="8"/>
    <x v="0"/>
  </r>
  <r>
    <s v="ORD01143"/>
    <s v="2024-06-23"/>
    <x v="6"/>
    <x v="22"/>
    <x v="1"/>
    <s v="Camera"/>
    <n v="4"/>
    <n v="20915"/>
    <n v="0"/>
    <n v="83660"/>
    <n v="12579.99"/>
    <x v="3"/>
    <x v="5"/>
    <x v="0"/>
  </r>
  <r>
    <s v="ORD01144"/>
    <s v="2024-11-02"/>
    <x v="49"/>
    <x v="13"/>
    <x v="2"/>
    <s v="Jacket"/>
    <n v="15"/>
    <n v="31721"/>
    <n v="0.2"/>
    <n v="380652"/>
    <n v="82625.740000000005"/>
    <x v="1"/>
    <x v="4"/>
    <x v="0"/>
  </r>
  <r>
    <s v="ORD01145"/>
    <s v="2023-09-22"/>
    <x v="37"/>
    <x v="13"/>
    <x v="2"/>
    <s v="Jacket"/>
    <n v="7"/>
    <n v="3768"/>
    <n v="0.2"/>
    <n v="21100.799999999999"/>
    <n v="5196.87"/>
    <x v="1"/>
    <x v="10"/>
    <x v="1"/>
  </r>
  <r>
    <s v="ORD01146"/>
    <s v="2023-04-17"/>
    <x v="38"/>
    <x v="13"/>
    <x v="2"/>
    <s v="Jacket"/>
    <n v="8"/>
    <n v="33065"/>
    <n v="0.15"/>
    <n v="224842"/>
    <n v="30710.400000000001"/>
    <x v="2"/>
    <x v="2"/>
    <x v="1"/>
  </r>
  <r>
    <s v="ORD01147"/>
    <s v="2023-06-19"/>
    <x v="48"/>
    <x v="16"/>
    <x v="3"/>
    <s v="Pen"/>
    <n v="2"/>
    <n v="6014"/>
    <n v="0.2"/>
    <n v="9622.4"/>
    <n v="1932.24"/>
    <x v="1"/>
    <x v="5"/>
    <x v="1"/>
  </r>
  <r>
    <s v="ORD01148"/>
    <s v="2024-10-03"/>
    <x v="17"/>
    <x v="1"/>
    <x v="1"/>
    <s v="Mobile"/>
    <n v="10"/>
    <n v="29770"/>
    <n v="0.15"/>
    <n v="253045"/>
    <n v="32895.1"/>
    <x v="2"/>
    <x v="0"/>
    <x v="0"/>
  </r>
  <r>
    <s v="ORD01149"/>
    <s v="2023-09-16"/>
    <x v="9"/>
    <x v="15"/>
    <x v="0"/>
    <s v="Sofa"/>
    <n v="2"/>
    <n v="32022"/>
    <n v="0.1"/>
    <n v="57639.6"/>
    <n v="13712.13"/>
    <x v="3"/>
    <x v="10"/>
    <x v="1"/>
  </r>
  <r>
    <s v="ORD01150"/>
    <s v="2024-10-09"/>
    <x v="37"/>
    <x v="5"/>
    <x v="0"/>
    <s v="Cupboard"/>
    <n v="14"/>
    <n v="21469"/>
    <n v="0.2"/>
    <n v="240452.8"/>
    <n v="39754.74"/>
    <x v="1"/>
    <x v="0"/>
    <x v="0"/>
  </r>
  <r>
    <s v="ORD01151"/>
    <s v="2023-08-07"/>
    <x v="6"/>
    <x v="22"/>
    <x v="1"/>
    <s v="Camera"/>
    <n v="7"/>
    <n v="52410"/>
    <n v="0.05"/>
    <n v="348526.5"/>
    <n v="78522.42"/>
    <x v="0"/>
    <x v="8"/>
    <x v="1"/>
  </r>
  <r>
    <s v="ORD01152"/>
    <s v="2023-08-14"/>
    <x v="12"/>
    <x v="23"/>
    <x v="0"/>
    <s v="Desk"/>
    <n v="3"/>
    <n v="50642"/>
    <n v="0.05"/>
    <n v="144329.70000000001"/>
    <n v="16777.12"/>
    <x v="2"/>
    <x v="8"/>
    <x v="1"/>
  </r>
  <r>
    <s v="ORD01153"/>
    <s v="2024-11-19"/>
    <x v="12"/>
    <x v="13"/>
    <x v="2"/>
    <s v="Jacket"/>
    <n v="9"/>
    <n v="8388"/>
    <n v="0.1"/>
    <n v="67942.8"/>
    <n v="7329.9"/>
    <x v="1"/>
    <x v="4"/>
    <x v="0"/>
  </r>
  <r>
    <s v="ORD01154"/>
    <s v="2024-07-05"/>
    <x v="1"/>
    <x v="12"/>
    <x v="1"/>
    <s v="Headphones"/>
    <n v="9"/>
    <n v="7893"/>
    <n v="0.15"/>
    <n v="60381.45"/>
    <n v="5864.65"/>
    <x v="3"/>
    <x v="1"/>
    <x v="0"/>
  </r>
  <r>
    <s v="ORD01155"/>
    <s v="2023-06-20"/>
    <x v="0"/>
    <x v="13"/>
    <x v="2"/>
    <s v="Jacket"/>
    <n v="15"/>
    <n v="46305"/>
    <n v="0.1"/>
    <n v="625117.5"/>
    <n v="113363.81"/>
    <x v="2"/>
    <x v="5"/>
    <x v="1"/>
  </r>
  <r>
    <s v="ORD01156"/>
    <s v="2023-12-04"/>
    <x v="4"/>
    <x v="20"/>
    <x v="1"/>
    <s v="Tablet"/>
    <n v="12"/>
    <n v="17374"/>
    <n v="0.2"/>
    <n v="166790.39999999999"/>
    <n v="18953.439999999999"/>
    <x v="0"/>
    <x v="9"/>
    <x v="1"/>
  </r>
  <r>
    <s v="ORD01157"/>
    <s v="2023-07-07"/>
    <x v="16"/>
    <x v="3"/>
    <x v="3"/>
    <s v="Stapler"/>
    <n v="9"/>
    <n v="49800"/>
    <n v="0.1"/>
    <n v="403380"/>
    <n v="98231.13"/>
    <x v="2"/>
    <x v="1"/>
    <x v="1"/>
  </r>
  <r>
    <s v="ORD01158"/>
    <s v="2024-01-27"/>
    <x v="46"/>
    <x v="26"/>
    <x v="3"/>
    <s v="Paper Ream"/>
    <n v="14"/>
    <n v="8098"/>
    <n v="0.05"/>
    <n v="107703.4"/>
    <n v="25431.53"/>
    <x v="2"/>
    <x v="3"/>
    <x v="0"/>
  </r>
  <r>
    <s v="ORD01159"/>
    <s v="2023-02-14"/>
    <x v="22"/>
    <x v="27"/>
    <x v="3"/>
    <s v="File"/>
    <n v="3"/>
    <n v="9836"/>
    <n v="0.15"/>
    <n v="25081.8"/>
    <n v="4822.09"/>
    <x v="0"/>
    <x v="11"/>
    <x v="1"/>
  </r>
  <r>
    <s v="ORD01160"/>
    <s v="2023-12-16"/>
    <x v="39"/>
    <x v="1"/>
    <x v="1"/>
    <s v="Mobile"/>
    <n v="6"/>
    <n v="1097"/>
    <n v="0.2"/>
    <n v="5265.6"/>
    <n v="1554"/>
    <x v="0"/>
    <x v="9"/>
    <x v="1"/>
  </r>
  <r>
    <s v="ORD01161"/>
    <s v="2024-03-01"/>
    <x v="25"/>
    <x v="17"/>
    <x v="1"/>
    <s v="Power Bank"/>
    <n v="13"/>
    <n v="10288"/>
    <n v="0.05"/>
    <n v="127056.8"/>
    <n v="22326.2"/>
    <x v="3"/>
    <x v="7"/>
    <x v="0"/>
  </r>
  <r>
    <s v="ORD01162"/>
    <s v="2024-10-12"/>
    <x v="22"/>
    <x v="12"/>
    <x v="1"/>
    <s v="Headphones"/>
    <n v="13"/>
    <n v="1917"/>
    <n v="0.2"/>
    <n v="19936.8"/>
    <n v="2698.68"/>
    <x v="0"/>
    <x v="0"/>
    <x v="0"/>
  </r>
  <r>
    <s v="ORD01163"/>
    <s v="2024-05-29"/>
    <x v="12"/>
    <x v="4"/>
    <x v="0"/>
    <s v="Stool"/>
    <n v="4"/>
    <n v="18703"/>
    <n v="0.1"/>
    <n v="67330.8"/>
    <n v="14509.49"/>
    <x v="2"/>
    <x v="6"/>
    <x v="0"/>
  </r>
  <r>
    <s v="ORD01164"/>
    <s v="2024-08-27"/>
    <x v="18"/>
    <x v="11"/>
    <x v="3"/>
    <s v="Printer"/>
    <n v="10"/>
    <n v="52450"/>
    <n v="0.1"/>
    <n v="472050"/>
    <n v="80684.33"/>
    <x v="1"/>
    <x v="8"/>
    <x v="0"/>
  </r>
  <r>
    <s v="ORD01165"/>
    <s v="2024-03-31"/>
    <x v="13"/>
    <x v="7"/>
    <x v="0"/>
    <s v="Bed"/>
    <n v="3"/>
    <n v="28287"/>
    <n v="0"/>
    <n v="84861"/>
    <n v="22913.08"/>
    <x v="3"/>
    <x v="7"/>
    <x v="0"/>
  </r>
  <r>
    <s v="ORD01166"/>
    <s v="2024-04-14"/>
    <x v="45"/>
    <x v="26"/>
    <x v="3"/>
    <s v="Paper Ream"/>
    <n v="8"/>
    <n v="36706"/>
    <n v="0"/>
    <n v="293648"/>
    <n v="86179.63"/>
    <x v="3"/>
    <x v="2"/>
    <x v="0"/>
  </r>
  <r>
    <s v="ORD01167"/>
    <s v="2023-09-05"/>
    <x v="3"/>
    <x v="10"/>
    <x v="3"/>
    <s v="Marker"/>
    <n v="13"/>
    <n v="49748"/>
    <n v="0"/>
    <n v="646724"/>
    <n v="73917.89"/>
    <x v="3"/>
    <x v="10"/>
    <x v="1"/>
  </r>
  <r>
    <s v="ORD01168"/>
    <s v="2023-11-07"/>
    <x v="36"/>
    <x v="5"/>
    <x v="0"/>
    <s v="Cupboard"/>
    <n v="4"/>
    <n v="49877"/>
    <n v="0"/>
    <n v="199508"/>
    <n v="38621.599999999999"/>
    <x v="0"/>
    <x v="4"/>
    <x v="1"/>
  </r>
  <r>
    <s v="ORD01169"/>
    <s v="2024-11-04"/>
    <x v="31"/>
    <x v="18"/>
    <x v="0"/>
    <s v="Table"/>
    <n v="2"/>
    <n v="36044"/>
    <n v="0.05"/>
    <n v="68483.600000000006"/>
    <n v="13234.15"/>
    <x v="0"/>
    <x v="4"/>
    <x v="0"/>
  </r>
  <r>
    <s v="ORD01170"/>
    <s v="2023-02-20"/>
    <x v="22"/>
    <x v="23"/>
    <x v="0"/>
    <s v="Desk"/>
    <n v="6"/>
    <n v="9035"/>
    <n v="0.2"/>
    <n v="43368"/>
    <n v="11237.65"/>
    <x v="2"/>
    <x v="11"/>
    <x v="1"/>
  </r>
  <r>
    <s v="ORD01171"/>
    <s v="2024-07-08"/>
    <x v="1"/>
    <x v="22"/>
    <x v="1"/>
    <s v="Camera"/>
    <n v="6"/>
    <n v="4405"/>
    <n v="0"/>
    <n v="26430"/>
    <n v="5044.8999999999996"/>
    <x v="3"/>
    <x v="1"/>
    <x v="0"/>
  </r>
  <r>
    <s v="ORD01172"/>
    <s v="2023-01-14"/>
    <x v="22"/>
    <x v="16"/>
    <x v="3"/>
    <s v="Pen"/>
    <n v="9"/>
    <n v="42703"/>
    <n v="0.1"/>
    <n v="345894.3"/>
    <n v="44290.1"/>
    <x v="0"/>
    <x v="3"/>
    <x v="1"/>
  </r>
  <r>
    <s v="ORD01173"/>
    <s v="2024-08-08"/>
    <x v="2"/>
    <x v="17"/>
    <x v="1"/>
    <s v="Power Bank"/>
    <n v="5"/>
    <n v="49555"/>
    <n v="0.15"/>
    <n v="210608.75"/>
    <n v="29036.16"/>
    <x v="0"/>
    <x v="8"/>
    <x v="0"/>
  </r>
  <r>
    <s v="ORD01174"/>
    <s v="2023-10-24"/>
    <x v="1"/>
    <x v="23"/>
    <x v="0"/>
    <s v="Desk"/>
    <n v="10"/>
    <n v="36510"/>
    <n v="0.2"/>
    <n v="292080"/>
    <n v="29781.599999999999"/>
    <x v="0"/>
    <x v="0"/>
    <x v="1"/>
  </r>
  <r>
    <s v="ORD01175"/>
    <s v="2024-01-31"/>
    <x v="32"/>
    <x v="13"/>
    <x v="2"/>
    <s v="Jacket"/>
    <n v="6"/>
    <n v="43898"/>
    <n v="0"/>
    <n v="263388"/>
    <n v="62910.74"/>
    <x v="1"/>
    <x v="3"/>
    <x v="0"/>
  </r>
  <r>
    <s v="ORD01176"/>
    <s v="2023-03-01"/>
    <x v="13"/>
    <x v="26"/>
    <x v="3"/>
    <s v="Paper Ream"/>
    <n v="4"/>
    <n v="39058"/>
    <n v="0.15"/>
    <n v="132797.20000000001"/>
    <n v="36101.550000000003"/>
    <x v="0"/>
    <x v="7"/>
    <x v="1"/>
  </r>
  <r>
    <s v="ORD01177"/>
    <s v="2024-10-02"/>
    <x v="3"/>
    <x v="4"/>
    <x v="0"/>
    <s v="Stool"/>
    <n v="12"/>
    <n v="33096"/>
    <n v="0"/>
    <n v="397152"/>
    <n v="89920.61"/>
    <x v="0"/>
    <x v="0"/>
    <x v="0"/>
  </r>
  <r>
    <s v="ORD01178"/>
    <s v="2024-04-04"/>
    <x v="1"/>
    <x v="2"/>
    <x v="2"/>
    <s v="Shoes"/>
    <n v="15"/>
    <n v="42526"/>
    <n v="0"/>
    <n v="637890"/>
    <n v="67241.929999999993"/>
    <x v="3"/>
    <x v="2"/>
    <x v="0"/>
  </r>
  <r>
    <s v="ORD01179"/>
    <s v="2024-10-23"/>
    <x v="36"/>
    <x v="7"/>
    <x v="0"/>
    <s v="Bed"/>
    <n v="14"/>
    <n v="32720"/>
    <n v="0.05"/>
    <n v="435176"/>
    <n v="90860.83"/>
    <x v="0"/>
    <x v="0"/>
    <x v="0"/>
  </r>
  <r>
    <s v="ORD01180"/>
    <s v="2024-08-19"/>
    <x v="13"/>
    <x v="6"/>
    <x v="2"/>
    <s v="Jeans"/>
    <n v="9"/>
    <n v="36783"/>
    <n v="0.2"/>
    <n v="264837.59999999998"/>
    <n v="37103.5"/>
    <x v="3"/>
    <x v="8"/>
    <x v="0"/>
  </r>
  <r>
    <s v="ORD01181"/>
    <s v="2023-06-17"/>
    <x v="38"/>
    <x v="22"/>
    <x v="1"/>
    <s v="Camera"/>
    <n v="8"/>
    <n v="47805"/>
    <n v="0.2"/>
    <n v="305952"/>
    <n v="64262.74"/>
    <x v="3"/>
    <x v="5"/>
    <x v="1"/>
  </r>
  <r>
    <s v="ORD01182"/>
    <s v="2024-11-17"/>
    <x v="19"/>
    <x v="14"/>
    <x v="2"/>
    <s v="Dress"/>
    <n v="9"/>
    <n v="6066"/>
    <n v="0"/>
    <n v="54594"/>
    <n v="10153.84"/>
    <x v="0"/>
    <x v="4"/>
    <x v="0"/>
  </r>
  <r>
    <s v="ORD01183"/>
    <s v="2023-10-17"/>
    <x v="9"/>
    <x v="13"/>
    <x v="2"/>
    <s v="Jacket"/>
    <n v="13"/>
    <n v="23832"/>
    <n v="0.1"/>
    <n v="278834.40000000002"/>
    <n v="34388.75"/>
    <x v="0"/>
    <x v="0"/>
    <x v="1"/>
  </r>
  <r>
    <s v="ORD01184"/>
    <s v="2023-07-17"/>
    <x v="11"/>
    <x v="0"/>
    <x v="0"/>
    <s v="Chair"/>
    <n v="13"/>
    <n v="38673"/>
    <n v="0.2"/>
    <n v="402199.2"/>
    <n v="39944.449999999997"/>
    <x v="1"/>
    <x v="1"/>
    <x v="1"/>
  </r>
  <r>
    <s v="ORD01185"/>
    <s v="2024-02-08"/>
    <x v="43"/>
    <x v="21"/>
    <x v="1"/>
    <s v="Laptop"/>
    <n v="4"/>
    <n v="37519"/>
    <n v="0.1"/>
    <n v="135068.4"/>
    <n v="21328.48"/>
    <x v="0"/>
    <x v="11"/>
    <x v="0"/>
  </r>
  <r>
    <s v="ORD01186"/>
    <s v="2023-04-05"/>
    <x v="30"/>
    <x v="11"/>
    <x v="3"/>
    <s v="Printer"/>
    <n v="8"/>
    <n v="46531"/>
    <n v="0.15"/>
    <n v="316410.8"/>
    <n v="72889.100000000006"/>
    <x v="2"/>
    <x v="2"/>
    <x v="1"/>
  </r>
  <r>
    <s v="ORD01187"/>
    <s v="2023-12-24"/>
    <x v="8"/>
    <x v="2"/>
    <x v="2"/>
    <s v="Shoes"/>
    <n v="6"/>
    <n v="766"/>
    <n v="0.1"/>
    <n v="4136.3999999999996"/>
    <n v="998.59"/>
    <x v="0"/>
    <x v="9"/>
    <x v="1"/>
  </r>
  <r>
    <s v="ORD01188"/>
    <s v="2024-05-10"/>
    <x v="31"/>
    <x v="7"/>
    <x v="0"/>
    <s v="Bed"/>
    <n v="6"/>
    <n v="38430"/>
    <n v="0.05"/>
    <n v="219051"/>
    <n v="44631.35"/>
    <x v="1"/>
    <x v="6"/>
    <x v="0"/>
  </r>
  <r>
    <s v="ORD01189"/>
    <s v="2023-07-20"/>
    <x v="48"/>
    <x v="17"/>
    <x v="1"/>
    <s v="Power Bank"/>
    <n v="14"/>
    <n v="28737"/>
    <n v="0.15"/>
    <n v="341970.3"/>
    <n v="86934.94"/>
    <x v="0"/>
    <x v="1"/>
    <x v="1"/>
  </r>
  <r>
    <s v="ORD01190"/>
    <s v="2024-10-24"/>
    <x v="21"/>
    <x v="24"/>
    <x v="2"/>
    <s v="T-Shirt"/>
    <n v="9"/>
    <n v="23532"/>
    <n v="0.05"/>
    <n v="201198.6"/>
    <n v="45919.07"/>
    <x v="0"/>
    <x v="0"/>
    <x v="0"/>
  </r>
  <r>
    <s v="ORD01191"/>
    <s v="2024-03-06"/>
    <x v="29"/>
    <x v="11"/>
    <x v="3"/>
    <s v="Printer"/>
    <n v="15"/>
    <n v="21525"/>
    <n v="0"/>
    <n v="322875"/>
    <n v="47764.23"/>
    <x v="0"/>
    <x v="7"/>
    <x v="0"/>
  </r>
  <r>
    <s v="ORD01192"/>
    <s v="2023-07-18"/>
    <x v="38"/>
    <x v="2"/>
    <x v="2"/>
    <s v="Shoes"/>
    <n v="2"/>
    <n v="12177"/>
    <n v="0.05"/>
    <n v="23136.3"/>
    <n v="6686.05"/>
    <x v="0"/>
    <x v="1"/>
    <x v="1"/>
  </r>
  <r>
    <s v="ORD01193"/>
    <s v="2024-11-27"/>
    <x v="30"/>
    <x v="0"/>
    <x v="0"/>
    <s v="Chair"/>
    <n v="8"/>
    <n v="58907"/>
    <n v="0.15"/>
    <n v="400567.6"/>
    <n v="99574.99"/>
    <x v="0"/>
    <x v="4"/>
    <x v="0"/>
  </r>
  <r>
    <s v="ORD01194"/>
    <s v="2023-05-02"/>
    <x v="29"/>
    <x v="5"/>
    <x v="0"/>
    <s v="Cupboard"/>
    <n v="3"/>
    <n v="50389"/>
    <n v="0.2"/>
    <n v="120933.6"/>
    <n v="26722.74"/>
    <x v="2"/>
    <x v="6"/>
    <x v="1"/>
  </r>
  <r>
    <s v="ORD01195"/>
    <s v="2023-09-08"/>
    <x v="18"/>
    <x v="1"/>
    <x v="1"/>
    <s v="Mobile"/>
    <n v="7"/>
    <n v="46083"/>
    <n v="0.15"/>
    <n v="274193.84999999998"/>
    <n v="22754.76"/>
    <x v="1"/>
    <x v="10"/>
    <x v="1"/>
  </r>
  <r>
    <s v="ORD01196"/>
    <s v="2023-09-03"/>
    <x v="23"/>
    <x v="8"/>
    <x v="2"/>
    <s v="Sweater"/>
    <n v="10"/>
    <n v="12059"/>
    <n v="0.05"/>
    <n v="114560.5"/>
    <n v="19882.71"/>
    <x v="0"/>
    <x v="10"/>
    <x v="1"/>
  </r>
  <r>
    <s v="ORD01197"/>
    <s v="2024-08-30"/>
    <x v="11"/>
    <x v="20"/>
    <x v="1"/>
    <s v="Tablet"/>
    <n v="10"/>
    <n v="57318"/>
    <n v="0.05"/>
    <n v="544521"/>
    <n v="111753.58"/>
    <x v="1"/>
    <x v="8"/>
    <x v="0"/>
  </r>
  <r>
    <s v="ORD01198"/>
    <s v="2024-11-07"/>
    <x v="10"/>
    <x v="25"/>
    <x v="3"/>
    <s v="Notebook"/>
    <n v="7"/>
    <n v="5019"/>
    <n v="0.1"/>
    <n v="31619.7"/>
    <n v="8249.4500000000007"/>
    <x v="3"/>
    <x v="4"/>
    <x v="0"/>
  </r>
  <r>
    <s v="ORD01199"/>
    <s v="2023-06-27"/>
    <x v="44"/>
    <x v="2"/>
    <x v="2"/>
    <s v="Shoes"/>
    <n v="10"/>
    <n v="6388"/>
    <n v="0.05"/>
    <n v="60686"/>
    <n v="13877.93"/>
    <x v="2"/>
    <x v="5"/>
    <x v="1"/>
  </r>
  <r>
    <s v="ORD01200"/>
    <s v="2024-11-17"/>
    <x v="0"/>
    <x v="9"/>
    <x v="1"/>
    <s v="Keyboard"/>
    <n v="10"/>
    <n v="49834"/>
    <n v="0.1"/>
    <n v="448506"/>
    <n v="64137.88"/>
    <x v="3"/>
    <x v="4"/>
    <x v="0"/>
  </r>
  <r>
    <s v="ORD01201"/>
    <s v="2024-02-19"/>
    <x v="23"/>
    <x v="22"/>
    <x v="1"/>
    <s v="Camera"/>
    <n v="14"/>
    <n v="35823"/>
    <n v="0.1"/>
    <n v="451369.8"/>
    <n v="51174.75"/>
    <x v="3"/>
    <x v="11"/>
    <x v="0"/>
  </r>
  <r>
    <s v="ORD01202"/>
    <s v="2023-03-03"/>
    <x v="3"/>
    <x v="18"/>
    <x v="0"/>
    <s v="Table"/>
    <n v="4"/>
    <n v="55289"/>
    <n v="0.15"/>
    <n v="187982.6"/>
    <n v="35449.19"/>
    <x v="1"/>
    <x v="7"/>
    <x v="1"/>
  </r>
  <r>
    <s v="ORD01203"/>
    <s v="2024-03-08"/>
    <x v="16"/>
    <x v="0"/>
    <x v="0"/>
    <s v="Chair"/>
    <n v="2"/>
    <n v="14606"/>
    <n v="0.05"/>
    <n v="27751.4"/>
    <n v="3943.51"/>
    <x v="3"/>
    <x v="7"/>
    <x v="0"/>
  </r>
  <r>
    <s v="ORD01204"/>
    <s v="2024-02-25"/>
    <x v="1"/>
    <x v="12"/>
    <x v="1"/>
    <s v="Headphones"/>
    <n v="1"/>
    <n v="6008"/>
    <n v="0.2"/>
    <n v="4806.3999999999996"/>
    <n v="662.04"/>
    <x v="2"/>
    <x v="11"/>
    <x v="0"/>
  </r>
  <r>
    <s v="ORD01205"/>
    <s v="2024-06-20"/>
    <x v="10"/>
    <x v="1"/>
    <x v="1"/>
    <s v="Mobile"/>
    <n v="14"/>
    <n v="5393"/>
    <n v="0.2"/>
    <n v="60401.599999999999"/>
    <n v="10225.530000000001"/>
    <x v="1"/>
    <x v="5"/>
    <x v="0"/>
  </r>
  <r>
    <s v="ORD01206"/>
    <s v="2024-06-27"/>
    <x v="30"/>
    <x v="22"/>
    <x v="1"/>
    <s v="Camera"/>
    <n v="3"/>
    <n v="48878"/>
    <n v="0.1"/>
    <n v="131970.6"/>
    <n v="21552.68"/>
    <x v="1"/>
    <x v="5"/>
    <x v="0"/>
  </r>
  <r>
    <s v="ORD01207"/>
    <s v="2024-10-07"/>
    <x v="41"/>
    <x v="10"/>
    <x v="3"/>
    <s v="Marker"/>
    <n v="11"/>
    <n v="59334"/>
    <n v="0.05"/>
    <n v="620040.30000000005"/>
    <n v="100567.46"/>
    <x v="0"/>
    <x v="0"/>
    <x v="0"/>
  </r>
  <r>
    <s v="ORD01208"/>
    <s v="2024-03-09"/>
    <x v="45"/>
    <x v="0"/>
    <x v="0"/>
    <s v="Chair"/>
    <n v="14"/>
    <n v="52903"/>
    <n v="0.15"/>
    <n v="629545.69999999995"/>
    <n v="153407.35"/>
    <x v="0"/>
    <x v="7"/>
    <x v="0"/>
  </r>
  <r>
    <s v="ORD01209"/>
    <s v="2024-11-18"/>
    <x v="23"/>
    <x v="27"/>
    <x v="3"/>
    <s v="File"/>
    <n v="11"/>
    <n v="11539"/>
    <n v="0.05"/>
    <n v="120582.55"/>
    <n v="22294.65"/>
    <x v="3"/>
    <x v="4"/>
    <x v="0"/>
  </r>
  <r>
    <s v="ORD01210"/>
    <s v="2024-02-05"/>
    <x v="45"/>
    <x v="26"/>
    <x v="3"/>
    <s v="Paper Ream"/>
    <n v="8"/>
    <n v="53032"/>
    <n v="0.15"/>
    <n v="360617.6"/>
    <n v="62316.11"/>
    <x v="0"/>
    <x v="11"/>
    <x v="0"/>
  </r>
  <r>
    <s v="ORD01211"/>
    <s v="2023-12-12"/>
    <x v="46"/>
    <x v="24"/>
    <x v="2"/>
    <s v="T-Shirt"/>
    <n v="12"/>
    <n v="11706"/>
    <n v="0"/>
    <n v="140472"/>
    <n v="40489.699999999997"/>
    <x v="0"/>
    <x v="9"/>
    <x v="1"/>
  </r>
  <r>
    <s v="ORD01212"/>
    <s v="2024-04-20"/>
    <x v="10"/>
    <x v="20"/>
    <x v="1"/>
    <s v="Tablet"/>
    <n v="3"/>
    <n v="47871"/>
    <n v="0.2"/>
    <n v="114890.4"/>
    <n v="25066.9"/>
    <x v="2"/>
    <x v="2"/>
    <x v="0"/>
  </r>
  <r>
    <s v="ORD01213"/>
    <s v="2024-08-12"/>
    <x v="16"/>
    <x v="6"/>
    <x v="2"/>
    <s v="Jeans"/>
    <n v="6"/>
    <n v="42293"/>
    <n v="0.05"/>
    <n v="241070.1"/>
    <n v="56047.28"/>
    <x v="2"/>
    <x v="8"/>
    <x v="0"/>
  </r>
  <r>
    <s v="ORD01214"/>
    <s v="2023-01-25"/>
    <x v="22"/>
    <x v="14"/>
    <x v="2"/>
    <s v="Dress"/>
    <n v="13"/>
    <n v="15551"/>
    <n v="0"/>
    <n v="202163"/>
    <n v="18135.13"/>
    <x v="0"/>
    <x v="3"/>
    <x v="1"/>
  </r>
  <r>
    <s v="ORD01215"/>
    <s v="2023-10-05"/>
    <x v="20"/>
    <x v="6"/>
    <x v="2"/>
    <s v="Jeans"/>
    <n v="10"/>
    <n v="55334"/>
    <n v="0.1"/>
    <n v="498006"/>
    <n v="137216.78"/>
    <x v="3"/>
    <x v="0"/>
    <x v="1"/>
  </r>
  <r>
    <s v="ORD01216"/>
    <s v="2024-02-20"/>
    <x v="29"/>
    <x v="22"/>
    <x v="1"/>
    <s v="Camera"/>
    <n v="12"/>
    <n v="58057"/>
    <n v="0.1"/>
    <n v="627015.6"/>
    <n v="144674.39000000001"/>
    <x v="1"/>
    <x v="11"/>
    <x v="0"/>
  </r>
  <r>
    <s v="ORD01217"/>
    <s v="2024-07-27"/>
    <x v="28"/>
    <x v="0"/>
    <x v="0"/>
    <s v="Chair"/>
    <n v="14"/>
    <n v="13670"/>
    <n v="0.2"/>
    <n v="153104"/>
    <n v="34039.129999999997"/>
    <x v="0"/>
    <x v="1"/>
    <x v="0"/>
  </r>
  <r>
    <s v="ORD01218"/>
    <s v="2024-03-21"/>
    <x v="2"/>
    <x v="0"/>
    <x v="0"/>
    <s v="Chair"/>
    <n v="9"/>
    <n v="28206"/>
    <n v="0.2"/>
    <n v="203083.2"/>
    <n v="44345.54"/>
    <x v="2"/>
    <x v="7"/>
    <x v="0"/>
  </r>
  <r>
    <s v="ORD01219"/>
    <s v="2024-06-28"/>
    <x v="23"/>
    <x v="20"/>
    <x v="1"/>
    <s v="Tablet"/>
    <n v="11"/>
    <n v="12478"/>
    <n v="0.2"/>
    <n v="109806.39999999999"/>
    <n v="18048.099999999999"/>
    <x v="3"/>
    <x v="5"/>
    <x v="0"/>
  </r>
  <r>
    <s v="ORD01220"/>
    <s v="2024-01-29"/>
    <x v="1"/>
    <x v="22"/>
    <x v="1"/>
    <s v="Camera"/>
    <n v="10"/>
    <n v="7898"/>
    <n v="0"/>
    <n v="78980"/>
    <n v="15944.1"/>
    <x v="1"/>
    <x v="3"/>
    <x v="0"/>
  </r>
  <r>
    <s v="ORD01221"/>
    <s v="2023-10-18"/>
    <x v="11"/>
    <x v="11"/>
    <x v="3"/>
    <s v="Printer"/>
    <n v="4"/>
    <n v="9285"/>
    <n v="0.1"/>
    <n v="33426"/>
    <n v="5750.5"/>
    <x v="2"/>
    <x v="0"/>
    <x v="1"/>
  </r>
  <r>
    <s v="ORD01222"/>
    <s v="2024-07-08"/>
    <x v="30"/>
    <x v="14"/>
    <x v="2"/>
    <s v="Dress"/>
    <n v="5"/>
    <n v="50559"/>
    <n v="0.15"/>
    <n v="214875.75"/>
    <n v="25451.18"/>
    <x v="0"/>
    <x v="1"/>
    <x v="0"/>
  </r>
  <r>
    <s v="ORD01223"/>
    <s v="2023-02-18"/>
    <x v="17"/>
    <x v="6"/>
    <x v="2"/>
    <s v="Jeans"/>
    <n v="6"/>
    <n v="52927"/>
    <n v="0.05"/>
    <n v="301683.90000000002"/>
    <n v="65460.88"/>
    <x v="2"/>
    <x v="11"/>
    <x v="1"/>
  </r>
  <r>
    <s v="ORD01224"/>
    <s v="2024-07-07"/>
    <x v="26"/>
    <x v="24"/>
    <x v="2"/>
    <s v="T-Shirt"/>
    <n v="8"/>
    <n v="36820"/>
    <n v="0.15"/>
    <n v="250376"/>
    <n v="57000.33"/>
    <x v="3"/>
    <x v="1"/>
    <x v="0"/>
  </r>
  <r>
    <s v="ORD01225"/>
    <s v="2024-09-28"/>
    <x v="13"/>
    <x v="4"/>
    <x v="0"/>
    <s v="Stool"/>
    <n v="13"/>
    <n v="32442"/>
    <n v="0.05"/>
    <n v="400658.7"/>
    <n v="102828.63"/>
    <x v="1"/>
    <x v="10"/>
    <x v="0"/>
  </r>
  <r>
    <s v="ORD01226"/>
    <s v="2023-10-18"/>
    <x v="13"/>
    <x v="6"/>
    <x v="2"/>
    <s v="Jeans"/>
    <n v="13"/>
    <n v="12951"/>
    <n v="0.15"/>
    <n v="143108.54999999999"/>
    <n v="12119.7"/>
    <x v="0"/>
    <x v="0"/>
    <x v="1"/>
  </r>
  <r>
    <s v="ORD01227"/>
    <s v="2024-04-05"/>
    <x v="44"/>
    <x v="0"/>
    <x v="0"/>
    <s v="Chair"/>
    <n v="11"/>
    <n v="29143"/>
    <n v="0"/>
    <n v="320573"/>
    <n v="74391.350000000006"/>
    <x v="1"/>
    <x v="2"/>
    <x v="0"/>
  </r>
  <r>
    <s v="ORD01228"/>
    <s v="2023-03-08"/>
    <x v="30"/>
    <x v="4"/>
    <x v="0"/>
    <s v="Stool"/>
    <n v="6"/>
    <n v="11861"/>
    <n v="0"/>
    <n v="71166"/>
    <n v="7288.4"/>
    <x v="3"/>
    <x v="7"/>
    <x v="1"/>
  </r>
  <r>
    <s v="ORD01229"/>
    <s v="2023-11-28"/>
    <x v="24"/>
    <x v="5"/>
    <x v="0"/>
    <s v="Cupboard"/>
    <n v="12"/>
    <n v="6838"/>
    <n v="0.2"/>
    <n v="65644.800000000003"/>
    <n v="5361.34"/>
    <x v="3"/>
    <x v="4"/>
    <x v="1"/>
  </r>
  <r>
    <s v="ORD01230"/>
    <s v="2024-01-03"/>
    <x v="7"/>
    <x v="8"/>
    <x v="2"/>
    <s v="Sweater"/>
    <n v="1"/>
    <n v="11705"/>
    <n v="0.1"/>
    <n v="10534.5"/>
    <n v="1916.23"/>
    <x v="0"/>
    <x v="3"/>
    <x v="0"/>
  </r>
  <r>
    <s v="ORD01231"/>
    <s v="2024-06-05"/>
    <x v="0"/>
    <x v="24"/>
    <x v="2"/>
    <s v="T-Shirt"/>
    <n v="3"/>
    <n v="54839"/>
    <n v="0.05"/>
    <n v="156291.15"/>
    <n v="23490.5"/>
    <x v="3"/>
    <x v="5"/>
    <x v="0"/>
  </r>
  <r>
    <s v="ORD01232"/>
    <s v="2023-03-02"/>
    <x v="42"/>
    <x v="22"/>
    <x v="1"/>
    <s v="Camera"/>
    <n v="2"/>
    <n v="52651"/>
    <n v="0.15"/>
    <n v="89506.7"/>
    <n v="9135.48"/>
    <x v="2"/>
    <x v="7"/>
    <x v="1"/>
  </r>
  <r>
    <s v="ORD01233"/>
    <s v="2023-09-13"/>
    <x v="34"/>
    <x v="20"/>
    <x v="1"/>
    <s v="Tablet"/>
    <n v="9"/>
    <n v="43142"/>
    <n v="0.15"/>
    <n v="330036.3"/>
    <n v="38564.61"/>
    <x v="1"/>
    <x v="10"/>
    <x v="1"/>
  </r>
  <r>
    <s v="ORD01234"/>
    <s v="2023-07-23"/>
    <x v="38"/>
    <x v="9"/>
    <x v="1"/>
    <s v="Keyboard"/>
    <n v="2"/>
    <n v="49047"/>
    <n v="0"/>
    <n v="98094"/>
    <n v="27482.39"/>
    <x v="1"/>
    <x v="1"/>
    <x v="1"/>
  </r>
  <r>
    <s v="ORD01235"/>
    <s v="2023-11-01"/>
    <x v="5"/>
    <x v="6"/>
    <x v="2"/>
    <s v="Jeans"/>
    <n v="4"/>
    <n v="19683"/>
    <n v="0.2"/>
    <n v="62985.599999999999"/>
    <n v="15969.15"/>
    <x v="1"/>
    <x v="4"/>
    <x v="1"/>
  </r>
  <r>
    <s v="ORD01236"/>
    <s v="2023-04-21"/>
    <x v="46"/>
    <x v="14"/>
    <x v="2"/>
    <s v="Dress"/>
    <n v="14"/>
    <n v="59105"/>
    <n v="0"/>
    <n v="827470"/>
    <n v="142567.74"/>
    <x v="0"/>
    <x v="2"/>
    <x v="1"/>
  </r>
  <r>
    <s v="ORD01237"/>
    <s v="2023-10-11"/>
    <x v="25"/>
    <x v="9"/>
    <x v="1"/>
    <s v="Keyboard"/>
    <n v="9"/>
    <n v="54223"/>
    <n v="0.05"/>
    <n v="463606.65"/>
    <n v="110762.91"/>
    <x v="2"/>
    <x v="0"/>
    <x v="1"/>
  </r>
  <r>
    <s v="ORD01238"/>
    <s v="2023-08-12"/>
    <x v="17"/>
    <x v="1"/>
    <x v="1"/>
    <s v="Mobile"/>
    <n v="14"/>
    <n v="31656"/>
    <n v="0.05"/>
    <n v="421024.8"/>
    <n v="121051.34"/>
    <x v="0"/>
    <x v="8"/>
    <x v="1"/>
  </r>
  <r>
    <s v="ORD01239"/>
    <s v="2024-08-26"/>
    <x v="12"/>
    <x v="23"/>
    <x v="0"/>
    <s v="Desk"/>
    <n v="14"/>
    <n v="45090"/>
    <n v="0"/>
    <n v="631260"/>
    <n v="176864.68"/>
    <x v="3"/>
    <x v="8"/>
    <x v="0"/>
  </r>
  <r>
    <s v="ORD01240"/>
    <s v="2023-07-06"/>
    <x v="44"/>
    <x v="7"/>
    <x v="0"/>
    <s v="Bed"/>
    <n v="4"/>
    <n v="18456"/>
    <n v="0.2"/>
    <n v="59059.199999999997"/>
    <n v="9323.8700000000008"/>
    <x v="3"/>
    <x v="1"/>
    <x v="1"/>
  </r>
  <r>
    <s v="ORD01241"/>
    <s v="2023-05-04"/>
    <x v="22"/>
    <x v="9"/>
    <x v="1"/>
    <s v="Keyboard"/>
    <n v="4"/>
    <n v="46521"/>
    <n v="0.2"/>
    <n v="148867.20000000001"/>
    <n v="44098.63"/>
    <x v="2"/>
    <x v="6"/>
    <x v="1"/>
  </r>
  <r>
    <s v="ORD01242"/>
    <s v="2024-02-18"/>
    <x v="31"/>
    <x v="7"/>
    <x v="0"/>
    <s v="Bed"/>
    <n v="12"/>
    <n v="26016"/>
    <n v="0.05"/>
    <n v="296582.40000000002"/>
    <n v="38626.32"/>
    <x v="1"/>
    <x v="11"/>
    <x v="0"/>
  </r>
  <r>
    <s v="ORD01243"/>
    <s v="2023-04-18"/>
    <x v="6"/>
    <x v="8"/>
    <x v="2"/>
    <s v="Sweater"/>
    <n v="15"/>
    <n v="51260"/>
    <n v="0.05"/>
    <n v="730455"/>
    <n v="198909.62"/>
    <x v="2"/>
    <x v="2"/>
    <x v="1"/>
  </r>
  <r>
    <s v="ORD01244"/>
    <s v="2024-05-26"/>
    <x v="35"/>
    <x v="11"/>
    <x v="3"/>
    <s v="Printer"/>
    <n v="6"/>
    <n v="23473"/>
    <n v="0.05"/>
    <n v="133796.1"/>
    <n v="25952.83"/>
    <x v="3"/>
    <x v="6"/>
    <x v="0"/>
  </r>
  <r>
    <s v="ORD01245"/>
    <s v="2023-10-15"/>
    <x v="16"/>
    <x v="15"/>
    <x v="0"/>
    <s v="Sofa"/>
    <n v="4"/>
    <n v="7977"/>
    <n v="0.15"/>
    <n v="27121.8"/>
    <n v="3025.44"/>
    <x v="2"/>
    <x v="0"/>
    <x v="1"/>
  </r>
  <r>
    <s v="ORD01246"/>
    <s v="2023-10-07"/>
    <x v="30"/>
    <x v="19"/>
    <x v="1"/>
    <s v="Smartwatch"/>
    <n v="5"/>
    <n v="17044"/>
    <n v="0.05"/>
    <n v="80959"/>
    <n v="16511.599999999999"/>
    <x v="3"/>
    <x v="0"/>
    <x v="1"/>
  </r>
  <r>
    <s v="ORD01247"/>
    <s v="2024-01-21"/>
    <x v="9"/>
    <x v="18"/>
    <x v="0"/>
    <s v="Table"/>
    <n v="3"/>
    <n v="34922"/>
    <n v="0.2"/>
    <n v="83812.800000000003"/>
    <n v="22262.68"/>
    <x v="1"/>
    <x v="3"/>
    <x v="0"/>
  </r>
  <r>
    <s v="ORD01248"/>
    <s v="2024-10-23"/>
    <x v="6"/>
    <x v="25"/>
    <x v="3"/>
    <s v="Notebook"/>
    <n v="10"/>
    <n v="677"/>
    <n v="0.2"/>
    <n v="5416"/>
    <n v="1568.98"/>
    <x v="1"/>
    <x v="0"/>
    <x v="0"/>
  </r>
  <r>
    <s v="ORD01249"/>
    <s v="2023-08-23"/>
    <x v="0"/>
    <x v="27"/>
    <x v="3"/>
    <s v="File"/>
    <n v="4"/>
    <n v="59701"/>
    <n v="0.05"/>
    <n v="226863.8"/>
    <n v="43505.71"/>
    <x v="3"/>
    <x v="8"/>
    <x v="1"/>
  </r>
  <r>
    <s v="ORD01250"/>
    <s v="2024-11-08"/>
    <x v="42"/>
    <x v="13"/>
    <x v="2"/>
    <s v="Jacket"/>
    <n v="1"/>
    <n v="51266"/>
    <n v="0.15"/>
    <n v="43576.1"/>
    <n v="7507.02"/>
    <x v="0"/>
    <x v="4"/>
    <x v="0"/>
  </r>
  <r>
    <s v="ORD01251"/>
    <s v="2024-07-16"/>
    <x v="19"/>
    <x v="23"/>
    <x v="0"/>
    <s v="Desk"/>
    <n v="14"/>
    <n v="28319"/>
    <n v="0.05"/>
    <n v="376642.7"/>
    <n v="68189.600000000006"/>
    <x v="3"/>
    <x v="1"/>
    <x v="0"/>
  </r>
  <r>
    <s v="ORD01252"/>
    <s v="2024-10-10"/>
    <x v="29"/>
    <x v="9"/>
    <x v="1"/>
    <s v="Keyboard"/>
    <n v="8"/>
    <n v="22513"/>
    <n v="0.1"/>
    <n v="162093.6"/>
    <n v="19925.55"/>
    <x v="1"/>
    <x v="0"/>
    <x v="0"/>
  </r>
  <r>
    <s v="ORD01253"/>
    <s v="2023-12-25"/>
    <x v="8"/>
    <x v="26"/>
    <x v="3"/>
    <s v="Paper Ream"/>
    <n v="9"/>
    <n v="8679"/>
    <n v="0"/>
    <n v="78111"/>
    <n v="21583.39"/>
    <x v="2"/>
    <x v="9"/>
    <x v="1"/>
  </r>
  <r>
    <s v="ORD01254"/>
    <s v="2024-05-04"/>
    <x v="42"/>
    <x v="13"/>
    <x v="2"/>
    <s v="Jacket"/>
    <n v="13"/>
    <n v="25667"/>
    <n v="0.1"/>
    <n v="300303.90000000002"/>
    <n v="59680.93"/>
    <x v="3"/>
    <x v="6"/>
    <x v="0"/>
  </r>
  <r>
    <s v="ORD01255"/>
    <s v="2023-02-28"/>
    <x v="31"/>
    <x v="13"/>
    <x v="2"/>
    <s v="Jacket"/>
    <n v="11"/>
    <n v="46591"/>
    <n v="0.15"/>
    <n v="435625.85"/>
    <n v="121138.16"/>
    <x v="3"/>
    <x v="11"/>
    <x v="1"/>
  </r>
  <r>
    <s v="ORD01256"/>
    <s v="2023-07-07"/>
    <x v="47"/>
    <x v="12"/>
    <x v="1"/>
    <s v="Headphones"/>
    <n v="2"/>
    <n v="43734"/>
    <n v="0.15"/>
    <n v="74347.8"/>
    <n v="6746.65"/>
    <x v="1"/>
    <x v="1"/>
    <x v="1"/>
  </r>
  <r>
    <s v="ORD01257"/>
    <s v="2023-07-24"/>
    <x v="10"/>
    <x v="6"/>
    <x v="2"/>
    <s v="Jeans"/>
    <n v="11"/>
    <n v="5554"/>
    <n v="0.15"/>
    <n v="51929.9"/>
    <n v="11538.72"/>
    <x v="1"/>
    <x v="1"/>
    <x v="1"/>
  </r>
  <r>
    <s v="ORD01258"/>
    <s v="2023-07-14"/>
    <x v="10"/>
    <x v="4"/>
    <x v="0"/>
    <s v="Stool"/>
    <n v="2"/>
    <n v="58118"/>
    <n v="0.15"/>
    <n v="98800.6"/>
    <n v="21878.25"/>
    <x v="1"/>
    <x v="1"/>
    <x v="1"/>
  </r>
  <r>
    <s v="ORD01259"/>
    <s v="2023-09-21"/>
    <x v="48"/>
    <x v="17"/>
    <x v="1"/>
    <s v="Power Bank"/>
    <n v="13"/>
    <n v="24973"/>
    <n v="0.05"/>
    <n v="308416.55"/>
    <n v="71976.36"/>
    <x v="0"/>
    <x v="10"/>
    <x v="1"/>
  </r>
  <r>
    <s v="ORD01260"/>
    <s v="2024-02-10"/>
    <x v="2"/>
    <x v="10"/>
    <x v="3"/>
    <s v="Marker"/>
    <n v="6"/>
    <n v="28779"/>
    <n v="0.2"/>
    <n v="138139.20000000001"/>
    <n v="20967.04"/>
    <x v="1"/>
    <x v="11"/>
    <x v="0"/>
  </r>
  <r>
    <s v="ORD01261"/>
    <s v="2023-08-23"/>
    <x v="45"/>
    <x v="9"/>
    <x v="1"/>
    <s v="Keyboard"/>
    <n v="8"/>
    <n v="10869"/>
    <n v="0"/>
    <n v="86952"/>
    <n v="13410.72"/>
    <x v="2"/>
    <x v="8"/>
    <x v="1"/>
  </r>
  <r>
    <s v="ORD01262"/>
    <s v="2023-12-05"/>
    <x v="29"/>
    <x v="6"/>
    <x v="2"/>
    <s v="Jeans"/>
    <n v="8"/>
    <n v="24844"/>
    <n v="0.1"/>
    <n v="178876.79999999999"/>
    <n v="23661.200000000001"/>
    <x v="2"/>
    <x v="9"/>
    <x v="1"/>
  </r>
  <r>
    <s v="ORD01263"/>
    <s v="2023-12-18"/>
    <x v="47"/>
    <x v="12"/>
    <x v="1"/>
    <s v="Headphones"/>
    <n v="10"/>
    <n v="15658"/>
    <n v="0.15"/>
    <n v="133093"/>
    <n v="21611.34"/>
    <x v="0"/>
    <x v="9"/>
    <x v="1"/>
  </r>
  <r>
    <s v="ORD01264"/>
    <s v="2024-05-20"/>
    <x v="0"/>
    <x v="10"/>
    <x v="3"/>
    <s v="Marker"/>
    <n v="5"/>
    <n v="36184"/>
    <n v="0.05"/>
    <n v="171874"/>
    <n v="44678.63"/>
    <x v="1"/>
    <x v="6"/>
    <x v="0"/>
  </r>
  <r>
    <s v="ORD01265"/>
    <s v="2024-03-15"/>
    <x v="3"/>
    <x v="26"/>
    <x v="3"/>
    <s v="Paper Ream"/>
    <n v="4"/>
    <n v="32683"/>
    <n v="0.1"/>
    <n v="117658.8"/>
    <n v="17153.650000000001"/>
    <x v="1"/>
    <x v="7"/>
    <x v="0"/>
  </r>
  <r>
    <s v="ORD01266"/>
    <s v="2024-06-19"/>
    <x v="32"/>
    <x v="18"/>
    <x v="0"/>
    <s v="Table"/>
    <n v="8"/>
    <n v="3708"/>
    <n v="0.2"/>
    <n v="23731.200000000001"/>
    <n v="5318.64"/>
    <x v="0"/>
    <x v="5"/>
    <x v="0"/>
  </r>
  <r>
    <s v="ORD01267"/>
    <s v="2023-06-24"/>
    <x v="13"/>
    <x v="3"/>
    <x v="3"/>
    <s v="Stapler"/>
    <n v="7"/>
    <n v="9699"/>
    <n v="0.05"/>
    <n v="64498.35"/>
    <n v="9811.7800000000007"/>
    <x v="2"/>
    <x v="5"/>
    <x v="1"/>
  </r>
  <r>
    <s v="ORD01268"/>
    <s v="2023-01-18"/>
    <x v="45"/>
    <x v="0"/>
    <x v="0"/>
    <s v="Chair"/>
    <n v="8"/>
    <n v="22240"/>
    <n v="0"/>
    <n v="177920"/>
    <n v="50742.69"/>
    <x v="3"/>
    <x v="3"/>
    <x v="1"/>
  </r>
  <r>
    <s v="ORD01269"/>
    <s v="2024-11-20"/>
    <x v="10"/>
    <x v="21"/>
    <x v="1"/>
    <s v="Laptop"/>
    <n v="1"/>
    <n v="44527"/>
    <n v="0.2"/>
    <n v="35621.599999999999"/>
    <n v="5225.38"/>
    <x v="1"/>
    <x v="4"/>
    <x v="0"/>
  </r>
  <r>
    <s v="ORD01270"/>
    <s v="2023-09-28"/>
    <x v="22"/>
    <x v="19"/>
    <x v="1"/>
    <s v="Smartwatch"/>
    <n v="9"/>
    <n v="15780"/>
    <n v="0.05"/>
    <n v="134919"/>
    <n v="27126.28"/>
    <x v="2"/>
    <x v="10"/>
    <x v="1"/>
  </r>
  <r>
    <s v="ORD01271"/>
    <s v="2023-10-05"/>
    <x v="40"/>
    <x v="5"/>
    <x v="0"/>
    <s v="Cupboard"/>
    <n v="14"/>
    <n v="10683"/>
    <n v="0.15"/>
    <n v="127127.7"/>
    <n v="12924.15"/>
    <x v="0"/>
    <x v="0"/>
    <x v="1"/>
  </r>
  <r>
    <s v="ORD01272"/>
    <s v="2024-09-05"/>
    <x v="36"/>
    <x v="12"/>
    <x v="1"/>
    <s v="Headphones"/>
    <n v="6"/>
    <n v="53704"/>
    <n v="0"/>
    <n v="322224"/>
    <n v="83482.91"/>
    <x v="0"/>
    <x v="10"/>
    <x v="0"/>
  </r>
  <r>
    <s v="ORD01273"/>
    <s v="2023-03-11"/>
    <x v="32"/>
    <x v="5"/>
    <x v="0"/>
    <s v="Cupboard"/>
    <n v="6"/>
    <n v="41041"/>
    <n v="0"/>
    <n v="246246"/>
    <n v="63041.57"/>
    <x v="3"/>
    <x v="7"/>
    <x v="1"/>
  </r>
  <r>
    <s v="ORD01274"/>
    <s v="2024-04-21"/>
    <x v="41"/>
    <x v="18"/>
    <x v="0"/>
    <s v="Table"/>
    <n v="2"/>
    <n v="43333"/>
    <n v="0.15"/>
    <n v="73666.100000000006"/>
    <n v="14700.52"/>
    <x v="1"/>
    <x v="2"/>
    <x v="0"/>
  </r>
  <r>
    <s v="ORD01275"/>
    <s v="2023-11-09"/>
    <x v="2"/>
    <x v="26"/>
    <x v="3"/>
    <s v="Paper Ream"/>
    <n v="11"/>
    <n v="11847"/>
    <n v="0.1"/>
    <n v="117285.3"/>
    <n v="20974.34"/>
    <x v="2"/>
    <x v="4"/>
    <x v="1"/>
  </r>
  <r>
    <s v="ORD01276"/>
    <s v="2023-11-06"/>
    <x v="9"/>
    <x v="21"/>
    <x v="1"/>
    <s v="Laptop"/>
    <n v="4"/>
    <n v="33713"/>
    <n v="0.2"/>
    <n v="107881.60000000001"/>
    <n v="20397.599999999999"/>
    <x v="0"/>
    <x v="4"/>
    <x v="1"/>
  </r>
  <r>
    <s v="ORD01277"/>
    <s v="2024-05-12"/>
    <x v="42"/>
    <x v="11"/>
    <x v="3"/>
    <s v="Printer"/>
    <n v="10"/>
    <n v="5613"/>
    <n v="0.15"/>
    <n v="47710.5"/>
    <n v="12978.03"/>
    <x v="1"/>
    <x v="6"/>
    <x v="0"/>
  </r>
  <r>
    <s v="ORD01278"/>
    <s v="2023-04-12"/>
    <x v="27"/>
    <x v="21"/>
    <x v="1"/>
    <s v="Laptop"/>
    <n v="9"/>
    <n v="7365"/>
    <n v="0.2"/>
    <n v="53028"/>
    <n v="13463.21"/>
    <x v="3"/>
    <x v="2"/>
    <x v="1"/>
  </r>
  <r>
    <s v="ORD01279"/>
    <s v="2023-01-24"/>
    <x v="32"/>
    <x v="9"/>
    <x v="1"/>
    <s v="Keyboard"/>
    <n v="15"/>
    <n v="27805"/>
    <n v="0"/>
    <n v="417075"/>
    <n v="52271.72"/>
    <x v="0"/>
    <x v="3"/>
    <x v="1"/>
  </r>
  <r>
    <s v="ORD01280"/>
    <s v="2024-11-20"/>
    <x v="38"/>
    <x v="8"/>
    <x v="2"/>
    <s v="Sweater"/>
    <n v="14"/>
    <n v="54994"/>
    <n v="0.05"/>
    <n v="731420.2"/>
    <n v="76403.100000000006"/>
    <x v="3"/>
    <x v="4"/>
    <x v="0"/>
  </r>
  <r>
    <s v="ORD01281"/>
    <s v="2024-02-18"/>
    <x v="35"/>
    <x v="1"/>
    <x v="1"/>
    <s v="Mobile"/>
    <n v="13"/>
    <n v="31008"/>
    <n v="0.1"/>
    <n v="362793.6"/>
    <n v="79580.78"/>
    <x v="3"/>
    <x v="11"/>
    <x v="0"/>
  </r>
  <r>
    <s v="ORD01282"/>
    <s v="2024-02-22"/>
    <x v="27"/>
    <x v="14"/>
    <x v="2"/>
    <s v="Dress"/>
    <n v="10"/>
    <n v="32466"/>
    <n v="0"/>
    <n v="324660"/>
    <n v="45087.47"/>
    <x v="2"/>
    <x v="11"/>
    <x v="0"/>
  </r>
  <r>
    <s v="ORD01283"/>
    <s v="2024-02-18"/>
    <x v="13"/>
    <x v="12"/>
    <x v="1"/>
    <s v="Headphones"/>
    <n v="9"/>
    <n v="38024"/>
    <n v="0.15"/>
    <n v="290883.59999999998"/>
    <n v="54667.42"/>
    <x v="0"/>
    <x v="11"/>
    <x v="0"/>
  </r>
  <r>
    <s v="ORD01284"/>
    <s v="2023-12-13"/>
    <x v="30"/>
    <x v="2"/>
    <x v="2"/>
    <s v="Shoes"/>
    <n v="8"/>
    <n v="31478"/>
    <n v="0.1"/>
    <n v="226641.6"/>
    <n v="63555.66"/>
    <x v="0"/>
    <x v="9"/>
    <x v="1"/>
  </r>
  <r>
    <s v="ORD01285"/>
    <s v="2024-06-28"/>
    <x v="45"/>
    <x v="27"/>
    <x v="3"/>
    <s v="File"/>
    <n v="5"/>
    <n v="19392"/>
    <n v="0.15"/>
    <n v="82416"/>
    <n v="12113.4"/>
    <x v="1"/>
    <x v="5"/>
    <x v="0"/>
  </r>
  <r>
    <s v="ORD01286"/>
    <s v="2023-10-11"/>
    <x v="6"/>
    <x v="1"/>
    <x v="1"/>
    <s v="Mobile"/>
    <n v="7"/>
    <n v="37218"/>
    <n v="0"/>
    <n v="260526"/>
    <n v="30233.94"/>
    <x v="2"/>
    <x v="0"/>
    <x v="1"/>
  </r>
  <r>
    <s v="ORD01287"/>
    <s v="2024-10-24"/>
    <x v="24"/>
    <x v="4"/>
    <x v="0"/>
    <s v="Stool"/>
    <n v="13"/>
    <n v="28086"/>
    <n v="0.05"/>
    <n v="346862.1"/>
    <n v="65213.64"/>
    <x v="3"/>
    <x v="0"/>
    <x v="0"/>
  </r>
  <r>
    <s v="ORD01288"/>
    <s v="2023-07-20"/>
    <x v="25"/>
    <x v="23"/>
    <x v="0"/>
    <s v="Desk"/>
    <n v="3"/>
    <n v="13039"/>
    <n v="0.2"/>
    <n v="31293.599999999999"/>
    <n v="7453.83"/>
    <x v="1"/>
    <x v="1"/>
    <x v="1"/>
  </r>
  <r>
    <s v="ORD01289"/>
    <s v="2024-11-13"/>
    <x v="42"/>
    <x v="1"/>
    <x v="1"/>
    <s v="Mobile"/>
    <n v="5"/>
    <n v="30909"/>
    <n v="0.15"/>
    <n v="131363.25"/>
    <n v="24092.15"/>
    <x v="1"/>
    <x v="4"/>
    <x v="0"/>
  </r>
  <r>
    <s v="ORD01290"/>
    <s v="2024-03-06"/>
    <x v="36"/>
    <x v="19"/>
    <x v="1"/>
    <s v="Smartwatch"/>
    <n v="2"/>
    <n v="9110"/>
    <n v="0.05"/>
    <n v="17309"/>
    <n v="2975.13"/>
    <x v="2"/>
    <x v="7"/>
    <x v="0"/>
  </r>
  <r>
    <s v="ORD01291"/>
    <s v="2023-09-17"/>
    <x v="22"/>
    <x v="3"/>
    <x v="3"/>
    <s v="Stapler"/>
    <n v="3"/>
    <n v="5116"/>
    <n v="0.2"/>
    <n v="12278.4"/>
    <n v="2678.69"/>
    <x v="3"/>
    <x v="10"/>
    <x v="1"/>
  </r>
  <r>
    <s v="ORD01292"/>
    <s v="2024-04-09"/>
    <x v="37"/>
    <x v="8"/>
    <x v="2"/>
    <s v="Sweater"/>
    <n v="11"/>
    <n v="11747"/>
    <n v="0.1"/>
    <n v="116295.3"/>
    <n v="26112.6"/>
    <x v="0"/>
    <x v="2"/>
    <x v="0"/>
  </r>
  <r>
    <s v="ORD01293"/>
    <s v="2024-07-07"/>
    <x v="4"/>
    <x v="15"/>
    <x v="0"/>
    <s v="Sofa"/>
    <n v="13"/>
    <n v="6516"/>
    <n v="0"/>
    <n v="84708"/>
    <n v="18874.34"/>
    <x v="3"/>
    <x v="1"/>
    <x v="0"/>
  </r>
  <r>
    <s v="ORD01294"/>
    <s v="2024-08-08"/>
    <x v="3"/>
    <x v="13"/>
    <x v="2"/>
    <s v="Jacket"/>
    <n v="9"/>
    <n v="19344"/>
    <n v="0.2"/>
    <n v="139276.79999999999"/>
    <n v="19916.259999999998"/>
    <x v="0"/>
    <x v="8"/>
    <x v="0"/>
  </r>
  <r>
    <s v="ORD01295"/>
    <s v="2024-05-02"/>
    <x v="18"/>
    <x v="21"/>
    <x v="1"/>
    <s v="Laptop"/>
    <n v="9"/>
    <n v="1901"/>
    <n v="0.1"/>
    <n v="15398.1"/>
    <n v="2457.7399999999998"/>
    <x v="1"/>
    <x v="6"/>
    <x v="0"/>
  </r>
  <r>
    <s v="ORD01296"/>
    <s v="2023-04-13"/>
    <x v="14"/>
    <x v="23"/>
    <x v="0"/>
    <s v="Desk"/>
    <n v="9"/>
    <n v="12844"/>
    <n v="0.05"/>
    <n v="109816.2"/>
    <n v="15066.43"/>
    <x v="3"/>
    <x v="2"/>
    <x v="1"/>
  </r>
  <r>
    <s v="ORD01297"/>
    <s v="2023-12-12"/>
    <x v="16"/>
    <x v="21"/>
    <x v="1"/>
    <s v="Laptop"/>
    <n v="13"/>
    <n v="38129"/>
    <n v="0.2"/>
    <n v="396541.6"/>
    <n v="90697.04"/>
    <x v="1"/>
    <x v="9"/>
    <x v="1"/>
  </r>
  <r>
    <s v="ORD01298"/>
    <s v="2023-01-13"/>
    <x v="16"/>
    <x v="20"/>
    <x v="1"/>
    <s v="Tablet"/>
    <n v="5"/>
    <n v="57366"/>
    <n v="0.15"/>
    <n v="243805.5"/>
    <n v="25262.880000000001"/>
    <x v="2"/>
    <x v="3"/>
    <x v="1"/>
  </r>
  <r>
    <s v="ORD01299"/>
    <s v="2024-04-21"/>
    <x v="17"/>
    <x v="16"/>
    <x v="3"/>
    <s v="Pen"/>
    <n v="9"/>
    <n v="46013"/>
    <n v="0.15"/>
    <n v="351999.45"/>
    <n v="71806.880000000005"/>
    <x v="3"/>
    <x v="2"/>
    <x v="0"/>
  </r>
  <r>
    <s v="ORD01300"/>
    <s v="2024-08-20"/>
    <x v="39"/>
    <x v="24"/>
    <x v="2"/>
    <s v="T-Shirt"/>
    <n v="15"/>
    <n v="33645"/>
    <n v="0.15"/>
    <n v="428973.75"/>
    <n v="80443.399999999994"/>
    <x v="0"/>
    <x v="8"/>
    <x v="0"/>
  </r>
  <r>
    <s v="ORD01301"/>
    <s v="2023-09-07"/>
    <x v="39"/>
    <x v="2"/>
    <x v="2"/>
    <s v="Shoes"/>
    <n v="11"/>
    <n v="45190"/>
    <n v="0.15"/>
    <n v="422526.5"/>
    <n v="43292.43"/>
    <x v="3"/>
    <x v="10"/>
    <x v="1"/>
  </r>
  <r>
    <s v="ORD01302"/>
    <s v="2023-12-22"/>
    <x v="13"/>
    <x v="11"/>
    <x v="3"/>
    <s v="Printer"/>
    <n v="15"/>
    <n v="40248"/>
    <n v="0.05"/>
    <n v="573534"/>
    <n v="153895.07"/>
    <x v="2"/>
    <x v="9"/>
    <x v="1"/>
  </r>
  <r>
    <s v="ORD01303"/>
    <s v="2023-04-17"/>
    <x v="10"/>
    <x v="6"/>
    <x v="2"/>
    <s v="Jeans"/>
    <n v="13"/>
    <n v="44978"/>
    <n v="0.1"/>
    <n v="526242.6"/>
    <n v="76498.149999999994"/>
    <x v="2"/>
    <x v="2"/>
    <x v="1"/>
  </r>
  <r>
    <s v="ORD01304"/>
    <s v="2024-10-03"/>
    <x v="30"/>
    <x v="10"/>
    <x v="3"/>
    <s v="Marker"/>
    <n v="8"/>
    <n v="10350"/>
    <n v="0"/>
    <n v="82800"/>
    <n v="17779.580000000002"/>
    <x v="2"/>
    <x v="0"/>
    <x v="0"/>
  </r>
  <r>
    <s v="ORD01305"/>
    <s v="2024-07-16"/>
    <x v="2"/>
    <x v="1"/>
    <x v="1"/>
    <s v="Mobile"/>
    <n v="12"/>
    <n v="2746"/>
    <n v="0.2"/>
    <n v="26361.599999999999"/>
    <n v="2589.86"/>
    <x v="3"/>
    <x v="1"/>
    <x v="0"/>
  </r>
  <r>
    <s v="ORD01306"/>
    <s v="2023-11-26"/>
    <x v="11"/>
    <x v="27"/>
    <x v="3"/>
    <s v="File"/>
    <n v="13"/>
    <n v="20398"/>
    <n v="0"/>
    <n v="265174"/>
    <n v="36141.699999999997"/>
    <x v="2"/>
    <x v="4"/>
    <x v="1"/>
  </r>
  <r>
    <s v="ORD01307"/>
    <s v="2023-07-09"/>
    <x v="45"/>
    <x v="20"/>
    <x v="1"/>
    <s v="Tablet"/>
    <n v="13"/>
    <n v="10136"/>
    <n v="0"/>
    <n v="131768"/>
    <n v="28872.93"/>
    <x v="2"/>
    <x v="1"/>
    <x v="1"/>
  </r>
  <r>
    <s v="ORD01308"/>
    <s v="2024-10-19"/>
    <x v="36"/>
    <x v="10"/>
    <x v="3"/>
    <s v="Marker"/>
    <n v="7"/>
    <n v="51657"/>
    <n v="0.15"/>
    <n v="307359.15000000002"/>
    <n v="26101.17"/>
    <x v="2"/>
    <x v="0"/>
    <x v="0"/>
  </r>
  <r>
    <s v="ORD01309"/>
    <s v="2024-09-27"/>
    <x v="18"/>
    <x v="8"/>
    <x v="2"/>
    <s v="Sweater"/>
    <n v="5"/>
    <n v="52196"/>
    <n v="0.15"/>
    <n v="221833"/>
    <n v="53911.57"/>
    <x v="2"/>
    <x v="10"/>
    <x v="0"/>
  </r>
  <r>
    <s v="ORD01310"/>
    <s v="2024-04-17"/>
    <x v="31"/>
    <x v="10"/>
    <x v="3"/>
    <s v="Marker"/>
    <n v="5"/>
    <n v="39649"/>
    <n v="0.15"/>
    <n v="168508.25"/>
    <n v="21064.31"/>
    <x v="3"/>
    <x v="2"/>
    <x v="0"/>
  </r>
  <r>
    <s v="ORD01311"/>
    <s v="2023-05-25"/>
    <x v="44"/>
    <x v="0"/>
    <x v="0"/>
    <s v="Chair"/>
    <n v="14"/>
    <n v="20308"/>
    <n v="0.2"/>
    <n v="227449.60000000001"/>
    <n v="40927.839999999997"/>
    <x v="0"/>
    <x v="6"/>
    <x v="1"/>
  </r>
  <r>
    <s v="ORD01312"/>
    <s v="2023-04-25"/>
    <x v="3"/>
    <x v="21"/>
    <x v="1"/>
    <s v="Laptop"/>
    <n v="7"/>
    <n v="36004"/>
    <n v="0.2"/>
    <n v="201622.39999999999"/>
    <n v="48075.03"/>
    <x v="1"/>
    <x v="2"/>
    <x v="1"/>
  </r>
  <r>
    <s v="ORD01313"/>
    <s v="2023-07-18"/>
    <x v="34"/>
    <x v="5"/>
    <x v="0"/>
    <s v="Cupboard"/>
    <n v="9"/>
    <n v="48276"/>
    <n v="0"/>
    <n v="434484"/>
    <n v="72820.210000000006"/>
    <x v="2"/>
    <x v="1"/>
    <x v="1"/>
  </r>
  <r>
    <s v="ORD01314"/>
    <s v="2023-05-20"/>
    <x v="5"/>
    <x v="24"/>
    <x v="2"/>
    <s v="T-Shirt"/>
    <n v="9"/>
    <n v="2408"/>
    <n v="0.15"/>
    <n v="18421.2"/>
    <n v="5079.3"/>
    <x v="1"/>
    <x v="6"/>
    <x v="1"/>
  </r>
  <r>
    <s v="ORD01315"/>
    <s v="2024-06-13"/>
    <x v="1"/>
    <x v="9"/>
    <x v="1"/>
    <s v="Keyboard"/>
    <n v="13"/>
    <n v="28211"/>
    <n v="0.15"/>
    <n v="311731.55"/>
    <n v="52468.88"/>
    <x v="1"/>
    <x v="5"/>
    <x v="0"/>
  </r>
  <r>
    <s v="ORD01316"/>
    <s v="2023-06-18"/>
    <x v="11"/>
    <x v="17"/>
    <x v="1"/>
    <s v="Power Bank"/>
    <n v="10"/>
    <n v="11871"/>
    <n v="0.05"/>
    <n v="112774.5"/>
    <n v="23292.51"/>
    <x v="2"/>
    <x v="5"/>
    <x v="1"/>
  </r>
  <r>
    <s v="ORD01317"/>
    <s v="2023-05-15"/>
    <x v="23"/>
    <x v="13"/>
    <x v="2"/>
    <s v="Jacket"/>
    <n v="14"/>
    <n v="26941"/>
    <n v="0.2"/>
    <n v="301739.2"/>
    <n v="36388.71"/>
    <x v="3"/>
    <x v="6"/>
    <x v="1"/>
  </r>
  <r>
    <s v="ORD01318"/>
    <s v="2024-04-17"/>
    <x v="15"/>
    <x v="24"/>
    <x v="2"/>
    <s v="T-Shirt"/>
    <n v="13"/>
    <n v="47003"/>
    <n v="0.1"/>
    <n v="549935.1"/>
    <n v="67939.850000000006"/>
    <x v="0"/>
    <x v="2"/>
    <x v="0"/>
  </r>
  <r>
    <s v="ORD01319"/>
    <s v="2024-07-20"/>
    <x v="49"/>
    <x v="21"/>
    <x v="1"/>
    <s v="Laptop"/>
    <n v="9"/>
    <n v="13631"/>
    <n v="0.2"/>
    <n v="98143.2"/>
    <n v="11881.94"/>
    <x v="3"/>
    <x v="1"/>
    <x v="0"/>
  </r>
  <r>
    <s v="ORD01320"/>
    <s v="2023-04-10"/>
    <x v="38"/>
    <x v="8"/>
    <x v="2"/>
    <s v="Sweater"/>
    <n v="12"/>
    <n v="51849"/>
    <n v="0.05"/>
    <n v="591078.6"/>
    <n v="51675.86"/>
    <x v="1"/>
    <x v="2"/>
    <x v="1"/>
  </r>
  <r>
    <s v="ORD01321"/>
    <s v="2024-03-31"/>
    <x v="18"/>
    <x v="25"/>
    <x v="3"/>
    <s v="Notebook"/>
    <n v="3"/>
    <n v="9710"/>
    <n v="0"/>
    <n v="29130"/>
    <n v="6622.6"/>
    <x v="1"/>
    <x v="7"/>
    <x v="0"/>
  </r>
  <r>
    <s v="ORD01322"/>
    <s v="2024-09-26"/>
    <x v="43"/>
    <x v="7"/>
    <x v="0"/>
    <s v="Bed"/>
    <n v="6"/>
    <n v="38653"/>
    <n v="0.05"/>
    <n v="220322.1"/>
    <n v="55274.21"/>
    <x v="2"/>
    <x v="10"/>
    <x v="0"/>
  </r>
  <r>
    <s v="ORD01323"/>
    <s v="2024-05-28"/>
    <x v="26"/>
    <x v="24"/>
    <x v="2"/>
    <s v="T-Shirt"/>
    <n v="6"/>
    <n v="43481"/>
    <n v="0"/>
    <n v="260886"/>
    <n v="30962.43"/>
    <x v="3"/>
    <x v="6"/>
    <x v="0"/>
  </r>
  <r>
    <s v="ORD01324"/>
    <s v="2024-02-19"/>
    <x v="49"/>
    <x v="27"/>
    <x v="3"/>
    <s v="File"/>
    <n v="9"/>
    <n v="56771"/>
    <n v="0"/>
    <n v="510939"/>
    <n v="87328.52"/>
    <x v="2"/>
    <x v="11"/>
    <x v="0"/>
  </r>
  <r>
    <s v="ORD01325"/>
    <s v="2024-07-11"/>
    <x v="32"/>
    <x v="12"/>
    <x v="1"/>
    <s v="Headphones"/>
    <n v="7"/>
    <n v="21408"/>
    <n v="0"/>
    <n v="149856"/>
    <n v="19404.169999999998"/>
    <x v="1"/>
    <x v="1"/>
    <x v="0"/>
  </r>
  <r>
    <s v="ORD01326"/>
    <s v="2023-01-04"/>
    <x v="43"/>
    <x v="20"/>
    <x v="1"/>
    <s v="Tablet"/>
    <n v="6"/>
    <n v="28692"/>
    <n v="0.15"/>
    <n v="146329.20000000001"/>
    <n v="16221.92"/>
    <x v="3"/>
    <x v="3"/>
    <x v="1"/>
  </r>
  <r>
    <s v="ORD01327"/>
    <s v="2023-07-29"/>
    <x v="29"/>
    <x v="24"/>
    <x v="2"/>
    <s v="T-Shirt"/>
    <n v="8"/>
    <n v="5796"/>
    <n v="0.2"/>
    <n v="37094.400000000001"/>
    <n v="5053.71"/>
    <x v="0"/>
    <x v="1"/>
    <x v="1"/>
  </r>
  <r>
    <s v="ORD01328"/>
    <s v="2024-07-09"/>
    <x v="12"/>
    <x v="3"/>
    <x v="3"/>
    <s v="Stapler"/>
    <n v="5"/>
    <n v="53830"/>
    <n v="0"/>
    <n v="269150"/>
    <n v="48152.87"/>
    <x v="3"/>
    <x v="1"/>
    <x v="0"/>
  </r>
  <r>
    <s v="ORD01329"/>
    <s v="2024-02-07"/>
    <x v="44"/>
    <x v="20"/>
    <x v="1"/>
    <s v="Tablet"/>
    <n v="3"/>
    <n v="6486"/>
    <n v="0.05"/>
    <n v="18485.099999999999"/>
    <n v="2367.83"/>
    <x v="2"/>
    <x v="11"/>
    <x v="0"/>
  </r>
  <r>
    <s v="ORD01330"/>
    <s v="2024-05-28"/>
    <x v="21"/>
    <x v="6"/>
    <x v="2"/>
    <s v="Jeans"/>
    <n v="4"/>
    <n v="6906"/>
    <n v="0.15"/>
    <n v="23480.400000000001"/>
    <n v="5783"/>
    <x v="0"/>
    <x v="6"/>
    <x v="0"/>
  </r>
  <r>
    <s v="ORD01331"/>
    <s v="2024-11-26"/>
    <x v="29"/>
    <x v="19"/>
    <x v="1"/>
    <s v="Smartwatch"/>
    <n v="3"/>
    <n v="39685"/>
    <n v="0.15"/>
    <n v="101196.75"/>
    <n v="13229.89"/>
    <x v="2"/>
    <x v="4"/>
    <x v="0"/>
  </r>
  <r>
    <s v="ORD01332"/>
    <s v="2024-04-14"/>
    <x v="17"/>
    <x v="4"/>
    <x v="0"/>
    <s v="Stool"/>
    <n v="10"/>
    <n v="27740"/>
    <n v="0.05"/>
    <n v="263530"/>
    <n v="46518.41"/>
    <x v="1"/>
    <x v="2"/>
    <x v="0"/>
  </r>
  <r>
    <s v="ORD01333"/>
    <s v="2023-07-03"/>
    <x v="39"/>
    <x v="16"/>
    <x v="3"/>
    <s v="Pen"/>
    <n v="2"/>
    <n v="25353"/>
    <n v="0.05"/>
    <n v="48170.7"/>
    <n v="10823.69"/>
    <x v="3"/>
    <x v="1"/>
    <x v="1"/>
  </r>
  <r>
    <s v="ORD01334"/>
    <s v="2023-12-05"/>
    <x v="23"/>
    <x v="27"/>
    <x v="3"/>
    <s v="File"/>
    <n v="2"/>
    <n v="25231"/>
    <n v="0.2"/>
    <n v="40369.599999999999"/>
    <n v="9722.56"/>
    <x v="2"/>
    <x v="9"/>
    <x v="1"/>
  </r>
  <r>
    <s v="ORD01335"/>
    <s v="2024-11-21"/>
    <x v="38"/>
    <x v="19"/>
    <x v="1"/>
    <s v="Smartwatch"/>
    <n v="11"/>
    <n v="24484"/>
    <n v="0.1"/>
    <n v="242391.6"/>
    <n v="55324.77"/>
    <x v="0"/>
    <x v="4"/>
    <x v="0"/>
  </r>
  <r>
    <s v="ORD01336"/>
    <s v="2023-07-09"/>
    <x v="31"/>
    <x v="20"/>
    <x v="1"/>
    <s v="Tablet"/>
    <n v="8"/>
    <n v="49833"/>
    <n v="0.15"/>
    <n v="338864.4"/>
    <n v="44368.25"/>
    <x v="0"/>
    <x v="1"/>
    <x v="1"/>
  </r>
  <r>
    <s v="ORD01337"/>
    <s v="2023-08-15"/>
    <x v="22"/>
    <x v="19"/>
    <x v="1"/>
    <s v="Smartwatch"/>
    <n v="9"/>
    <n v="7334"/>
    <n v="0.15"/>
    <n v="56105.1"/>
    <n v="12427.68"/>
    <x v="0"/>
    <x v="8"/>
    <x v="1"/>
  </r>
  <r>
    <s v="ORD01338"/>
    <s v="2024-05-22"/>
    <x v="31"/>
    <x v="8"/>
    <x v="2"/>
    <s v="Sweater"/>
    <n v="14"/>
    <n v="35744"/>
    <n v="0"/>
    <n v="500416"/>
    <n v="135344.29"/>
    <x v="2"/>
    <x v="6"/>
    <x v="0"/>
  </r>
  <r>
    <s v="ORD01339"/>
    <s v="2023-10-24"/>
    <x v="13"/>
    <x v="13"/>
    <x v="2"/>
    <s v="Jacket"/>
    <n v="1"/>
    <n v="3817"/>
    <n v="0.15"/>
    <n v="3244.45"/>
    <n v="494.99"/>
    <x v="2"/>
    <x v="0"/>
    <x v="1"/>
  </r>
  <r>
    <s v="ORD01340"/>
    <s v="2024-01-04"/>
    <x v="32"/>
    <x v="5"/>
    <x v="0"/>
    <s v="Cupboard"/>
    <n v="5"/>
    <n v="48386"/>
    <n v="0.15"/>
    <n v="205640.5"/>
    <n v="54922.38"/>
    <x v="2"/>
    <x v="3"/>
    <x v="0"/>
  </r>
  <r>
    <s v="ORD01341"/>
    <s v="2023-06-17"/>
    <x v="27"/>
    <x v="2"/>
    <x v="2"/>
    <s v="Shoes"/>
    <n v="14"/>
    <n v="20716"/>
    <n v="0.05"/>
    <n v="275522.8"/>
    <n v="60547.32"/>
    <x v="2"/>
    <x v="5"/>
    <x v="1"/>
  </r>
  <r>
    <s v="ORD01342"/>
    <s v="2023-09-02"/>
    <x v="33"/>
    <x v="23"/>
    <x v="0"/>
    <s v="Desk"/>
    <n v="14"/>
    <n v="36240"/>
    <n v="0.05"/>
    <n v="481992"/>
    <n v="120055.75"/>
    <x v="1"/>
    <x v="10"/>
    <x v="1"/>
  </r>
  <r>
    <s v="ORD01343"/>
    <s v="2024-01-28"/>
    <x v="12"/>
    <x v="11"/>
    <x v="3"/>
    <s v="Printer"/>
    <n v="15"/>
    <n v="43657"/>
    <n v="0.2"/>
    <n v="523884"/>
    <n v="135036.31"/>
    <x v="2"/>
    <x v="3"/>
    <x v="0"/>
  </r>
  <r>
    <s v="ORD01344"/>
    <s v="2024-10-13"/>
    <x v="9"/>
    <x v="20"/>
    <x v="1"/>
    <s v="Tablet"/>
    <n v="9"/>
    <n v="32761"/>
    <n v="0.2"/>
    <n v="235879.2"/>
    <n v="32348.87"/>
    <x v="3"/>
    <x v="0"/>
    <x v="0"/>
  </r>
  <r>
    <s v="ORD01345"/>
    <s v="2024-06-02"/>
    <x v="38"/>
    <x v="20"/>
    <x v="1"/>
    <s v="Tablet"/>
    <n v="13"/>
    <n v="26597"/>
    <n v="0"/>
    <n v="345761"/>
    <n v="59522.26"/>
    <x v="1"/>
    <x v="5"/>
    <x v="0"/>
  </r>
  <r>
    <s v="ORD01346"/>
    <s v="2024-09-12"/>
    <x v="48"/>
    <x v="25"/>
    <x v="3"/>
    <s v="Notebook"/>
    <n v="5"/>
    <n v="2996"/>
    <n v="0.15"/>
    <n v="12733"/>
    <n v="1396.98"/>
    <x v="1"/>
    <x v="10"/>
    <x v="0"/>
  </r>
  <r>
    <s v="ORD01347"/>
    <s v="2024-09-30"/>
    <x v="24"/>
    <x v="3"/>
    <x v="3"/>
    <s v="Stapler"/>
    <n v="11"/>
    <n v="10118"/>
    <n v="0.05"/>
    <n v="105733.1"/>
    <n v="25211.85"/>
    <x v="0"/>
    <x v="10"/>
    <x v="0"/>
  </r>
  <r>
    <s v="ORD01348"/>
    <s v="2023-10-02"/>
    <x v="2"/>
    <x v="2"/>
    <x v="2"/>
    <s v="Shoes"/>
    <n v="7"/>
    <n v="42858"/>
    <n v="0"/>
    <n v="300006"/>
    <n v="47183.91"/>
    <x v="2"/>
    <x v="0"/>
    <x v="1"/>
  </r>
  <r>
    <s v="ORD01349"/>
    <s v="2024-07-15"/>
    <x v="39"/>
    <x v="6"/>
    <x v="2"/>
    <s v="Jeans"/>
    <n v="2"/>
    <n v="59230"/>
    <n v="0.15"/>
    <n v="100691"/>
    <n v="21223.52"/>
    <x v="2"/>
    <x v="1"/>
    <x v="0"/>
  </r>
  <r>
    <s v="ORD01350"/>
    <s v="2024-04-02"/>
    <x v="41"/>
    <x v="4"/>
    <x v="0"/>
    <s v="Stool"/>
    <n v="11"/>
    <n v="37593"/>
    <n v="0.05"/>
    <n v="392846.85"/>
    <n v="90297.03"/>
    <x v="2"/>
    <x v="2"/>
    <x v="0"/>
  </r>
  <r>
    <s v="ORD01351"/>
    <s v="2024-05-13"/>
    <x v="38"/>
    <x v="19"/>
    <x v="1"/>
    <s v="Smartwatch"/>
    <n v="8"/>
    <n v="24732"/>
    <n v="0.05"/>
    <n v="187963.2"/>
    <n v="19680.259999999998"/>
    <x v="0"/>
    <x v="6"/>
    <x v="0"/>
  </r>
  <r>
    <s v="ORD01352"/>
    <s v="2024-03-17"/>
    <x v="44"/>
    <x v="26"/>
    <x v="3"/>
    <s v="Paper Ream"/>
    <n v="10"/>
    <n v="38974"/>
    <n v="0"/>
    <n v="389740"/>
    <n v="37740.9"/>
    <x v="1"/>
    <x v="7"/>
    <x v="0"/>
  </r>
  <r>
    <s v="ORD01353"/>
    <s v="2024-05-12"/>
    <x v="26"/>
    <x v="5"/>
    <x v="0"/>
    <s v="Cupboard"/>
    <n v="12"/>
    <n v="4121"/>
    <n v="0.2"/>
    <n v="39561.599999999999"/>
    <n v="5092.1099999999997"/>
    <x v="3"/>
    <x v="6"/>
    <x v="0"/>
  </r>
  <r>
    <s v="ORD01354"/>
    <s v="2023-12-25"/>
    <x v="27"/>
    <x v="8"/>
    <x v="2"/>
    <s v="Sweater"/>
    <n v="4"/>
    <n v="58904"/>
    <n v="0.2"/>
    <n v="188492.79999999999"/>
    <n v="17414.13"/>
    <x v="3"/>
    <x v="9"/>
    <x v="1"/>
  </r>
  <r>
    <s v="ORD01355"/>
    <s v="2024-07-21"/>
    <x v="10"/>
    <x v="25"/>
    <x v="3"/>
    <s v="Notebook"/>
    <n v="9"/>
    <n v="51211"/>
    <n v="0"/>
    <n v="460899"/>
    <n v="71988.350000000006"/>
    <x v="2"/>
    <x v="1"/>
    <x v="0"/>
  </r>
  <r>
    <s v="ORD01356"/>
    <s v="2024-07-20"/>
    <x v="30"/>
    <x v="11"/>
    <x v="3"/>
    <s v="Printer"/>
    <n v="15"/>
    <n v="29226"/>
    <n v="0.05"/>
    <n v="416470.5"/>
    <n v="47298.19"/>
    <x v="2"/>
    <x v="1"/>
    <x v="0"/>
  </r>
  <r>
    <s v="ORD01357"/>
    <s v="2023-01-26"/>
    <x v="47"/>
    <x v="25"/>
    <x v="3"/>
    <s v="Notebook"/>
    <n v="2"/>
    <n v="1108"/>
    <n v="0.2"/>
    <n v="1772.8"/>
    <n v="488.64"/>
    <x v="0"/>
    <x v="3"/>
    <x v="1"/>
  </r>
  <r>
    <s v="ORD01358"/>
    <s v="2024-04-29"/>
    <x v="23"/>
    <x v="5"/>
    <x v="0"/>
    <s v="Cupboard"/>
    <n v="6"/>
    <n v="32776"/>
    <n v="0"/>
    <n v="196656"/>
    <n v="17424.66"/>
    <x v="0"/>
    <x v="2"/>
    <x v="0"/>
  </r>
  <r>
    <s v="ORD01359"/>
    <s v="2023-11-24"/>
    <x v="39"/>
    <x v="19"/>
    <x v="1"/>
    <s v="Smartwatch"/>
    <n v="2"/>
    <n v="3367"/>
    <n v="0.2"/>
    <n v="5387.2"/>
    <n v="1602.47"/>
    <x v="0"/>
    <x v="4"/>
    <x v="1"/>
  </r>
  <r>
    <s v="ORD01360"/>
    <s v="2024-10-03"/>
    <x v="6"/>
    <x v="7"/>
    <x v="0"/>
    <s v="Bed"/>
    <n v="6"/>
    <n v="57373"/>
    <n v="0"/>
    <n v="344238"/>
    <n v="92539.58"/>
    <x v="3"/>
    <x v="0"/>
    <x v="0"/>
  </r>
  <r>
    <s v="ORD01361"/>
    <s v="2023-11-10"/>
    <x v="31"/>
    <x v="5"/>
    <x v="0"/>
    <s v="Cupboard"/>
    <n v="5"/>
    <n v="54242"/>
    <n v="0"/>
    <n v="271210"/>
    <n v="49466.22"/>
    <x v="2"/>
    <x v="4"/>
    <x v="1"/>
  </r>
  <r>
    <s v="ORD01362"/>
    <s v="2023-09-16"/>
    <x v="43"/>
    <x v="1"/>
    <x v="1"/>
    <s v="Mobile"/>
    <n v="2"/>
    <n v="20228"/>
    <n v="0"/>
    <n v="40456"/>
    <n v="7493.71"/>
    <x v="1"/>
    <x v="10"/>
    <x v="1"/>
  </r>
  <r>
    <s v="ORD01363"/>
    <s v="2024-07-25"/>
    <x v="16"/>
    <x v="16"/>
    <x v="3"/>
    <s v="Pen"/>
    <n v="2"/>
    <n v="1630"/>
    <n v="0.05"/>
    <n v="3097"/>
    <n v="778.87"/>
    <x v="1"/>
    <x v="1"/>
    <x v="0"/>
  </r>
  <r>
    <s v="ORD01364"/>
    <s v="2024-05-13"/>
    <x v="33"/>
    <x v="5"/>
    <x v="0"/>
    <s v="Cupboard"/>
    <n v="10"/>
    <n v="56360"/>
    <n v="0"/>
    <n v="563600"/>
    <n v="163169.14000000001"/>
    <x v="1"/>
    <x v="6"/>
    <x v="0"/>
  </r>
  <r>
    <s v="ORD01365"/>
    <s v="2024-09-03"/>
    <x v="45"/>
    <x v="5"/>
    <x v="0"/>
    <s v="Cupboard"/>
    <n v="2"/>
    <n v="12999"/>
    <n v="0.2"/>
    <n v="20798.400000000001"/>
    <n v="5202.57"/>
    <x v="0"/>
    <x v="10"/>
    <x v="0"/>
  </r>
  <r>
    <s v="ORD01366"/>
    <s v="2023-10-22"/>
    <x v="3"/>
    <x v="12"/>
    <x v="1"/>
    <s v="Headphones"/>
    <n v="1"/>
    <n v="59298"/>
    <n v="0.1"/>
    <n v="53368.2"/>
    <n v="10237.02"/>
    <x v="0"/>
    <x v="0"/>
    <x v="1"/>
  </r>
  <r>
    <s v="ORD01367"/>
    <s v="2024-04-16"/>
    <x v="11"/>
    <x v="13"/>
    <x v="2"/>
    <s v="Jacket"/>
    <n v="7"/>
    <n v="22710"/>
    <n v="0.05"/>
    <n v="151021.5"/>
    <n v="36364.47"/>
    <x v="0"/>
    <x v="2"/>
    <x v="0"/>
  </r>
  <r>
    <s v="ORD01368"/>
    <s v="2023-08-19"/>
    <x v="27"/>
    <x v="2"/>
    <x v="2"/>
    <s v="Shoes"/>
    <n v="3"/>
    <n v="32334"/>
    <n v="0.2"/>
    <n v="77601.600000000006"/>
    <n v="22305.439999999999"/>
    <x v="0"/>
    <x v="8"/>
    <x v="1"/>
  </r>
  <r>
    <s v="ORD01369"/>
    <s v="2023-03-13"/>
    <x v="47"/>
    <x v="10"/>
    <x v="3"/>
    <s v="Marker"/>
    <n v="12"/>
    <n v="28833"/>
    <n v="0.1"/>
    <n v="311396.40000000002"/>
    <n v="27861.25"/>
    <x v="3"/>
    <x v="7"/>
    <x v="1"/>
  </r>
  <r>
    <s v="ORD01370"/>
    <s v="2023-06-13"/>
    <x v="15"/>
    <x v="17"/>
    <x v="1"/>
    <s v="Power Bank"/>
    <n v="4"/>
    <n v="32512"/>
    <n v="0.15"/>
    <n v="110540.8"/>
    <n v="32250.69"/>
    <x v="2"/>
    <x v="5"/>
    <x v="1"/>
  </r>
  <r>
    <s v="ORD01371"/>
    <s v="2024-04-23"/>
    <x v="48"/>
    <x v="12"/>
    <x v="1"/>
    <s v="Headphones"/>
    <n v="4"/>
    <n v="533"/>
    <n v="0.15"/>
    <n v="1812.2"/>
    <n v="217.01"/>
    <x v="2"/>
    <x v="2"/>
    <x v="0"/>
  </r>
  <r>
    <s v="ORD01372"/>
    <s v="2024-06-06"/>
    <x v="46"/>
    <x v="21"/>
    <x v="1"/>
    <s v="Laptop"/>
    <n v="4"/>
    <n v="38356"/>
    <n v="0.15"/>
    <n v="130410.4"/>
    <n v="20077.169999999998"/>
    <x v="3"/>
    <x v="5"/>
    <x v="0"/>
  </r>
  <r>
    <s v="ORD01373"/>
    <s v="2024-06-26"/>
    <x v="15"/>
    <x v="18"/>
    <x v="0"/>
    <s v="Table"/>
    <n v="6"/>
    <n v="37323"/>
    <n v="0"/>
    <n v="223938"/>
    <n v="22179.23"/>
    <x v="2"/>
    <x v="5"/>
    <x v="0"/>
  </r>
  <r>
    <s v="ORD01374"/>
    <s v="2024-08-22"/>
    <x v="12"/>
    <x v="27"/>
    <x v="3"/>
    <s v="File"/>
    <n v="7"/>
    <n v="52892"/>
    <n v="0.2"/>
    <n v="296195.20000000001"/>
    <n v="35750.629999999997"/>
    <x v="3"/>
    <x v="8"/>
    <x v="0"/>
  </r>
  <r>
    <s v="ORD01375"/>
    <s v="2023-08-12"/>
    <x v="14"/>
    <x v="24"/>
    <x v="2"/>
    <s v="T-Shirt"/>
    <n v="4"/>
    <n v="28832"/>
    <n v="0.15"/>
    <n v="98028.800000000003"/>
    <n v="13097.41"/>
    <x v="3"/>
    <x v="8"/>
    <x v="1"/>
  </r>
  <r>
    <s v="ORD01376"/>
    <s v="2023-09-08"/>
    <x v="28"/>
    <x v="12"/>
    <x v="1"/>
    <s v="Headphones"/>
    <n v="12"/>
    <n v="27502"/>
    <n v="0.15"/>
    <n v="280520.40000000002"/>
    <n v="77776.990000000005"/>
    <x v="0"/>
    <x v="10"/>
    <x v="1"/>
  </r>
  <r>
    <s v="ORD01377"/>
    <s v="2024-02-11"/>
    <x v="36"/>
    <x v="13"/>
    <x v="2"/>
    <s v="Jacket"/>
    <n v="9"/>
    <n v="12165"/>
    <n v="0.2"/>
    <n v="87588"/>
    <n v="22409.32"/>
    <x v="3"/>
    <x v="11"/>
    <x v="0"/>
  </r>
  <r>
    <s v="ORD01378"/>
    <s v="2023-05-07"/>
    <x v="3"/>
    <x v="0"/>
    <x v="0"/>
    <s v="Chair"/>
    <n v="9"/>
    <n v="54563"/>
    <n v="0"/>
    <n v="491067"/>
    <n v="52367.08"/>
    <x v="2"/>
    <x v="6"/>
    <x v="1"/>
  </r>
  <r>
    <s v="ORD01379"/>
    <s v="2024-11-01"/>
    <x v="8"/>
    <x v="27"/>
    <x v="3"/>
    <s v="File"/>
    <n v="11"/>
    <n v="10075"/>
    <n v="0.2"/>
    <n v="88660"/>
    <n v="16168.29"/>
    <x v="2"/>
    <x v="4"/>
    <x v="0"/>
  </r>
  <r>
    <s v="ORD01380"/>
    <s v="2024-05-09"/>
    <x v="39"/>
    <x v="25"/>
    <x v="3"/>
    <s v="Notebook"/>
    <n v="8"/>
    <n v="29721"/>
    <n v="0.2"/>
    <n v="190214.39999999999"/>
    <n v="41489.17"/>
    <x v="1"/>
    <x v="6"/>
    <x v="0"/>
  </r>
  <r>
    <s v="ORD01381"/>
    <s v="2023-05-14"/>
    <x v="29"/>
    <x v="18"/>
    <x v="0"/>
    <s v="Table"/>
    <n v="14"/>
    <n v="15226"/>
    <n v="0.2"/>
    <n v="170531.20000000001"/>
    <n v="40470.800000000003"/>
    <x v="3"/>
    <x v="6"/>
    <x v="1"/>
  </r>
  <r>
    <s v="ORD01382"/>
    <s v="2024-07-10"/>
    <x v="13"/>
    <x v="9"/>
    <x v="1"/>
    <s v="Keyboard"/>
    <n v="10"/>
    <n v="20562"/>
    <n v="0.15"/>
    <n v="174777"/>
    <n v="22926.38"/>
    <x v="2"/>
    <x v="1"/>
    <x v="0"/>
  </r>
  <r>
    <s v="ORD01383"/>
    <s v="2023-05-12"/>
    <x v="39"/>
    <x v="25"/>
    <x v="3"/>
    <s v="Notebook"/>
    <n v="10"/>
    <n v="1280"/>
    <n v="0.2"/>
    <n v="10240"/>
    <n v="1524.3"/>
    <x v="3"/>
    <x v="6"/>
    <x v="1"/>
  </r>
  <r>
    <s v="ORD01384"/>
    <s v="2024-11-23"/>
    <x v="16"/>
    <x v="13"/>
    <x v="2"/>
    <s v="Jacket"/>
    <n v="9"/>
    <n v="19318"/>
    <n v="0"/>
    <n v="173862"/>
    <n v="27935.77"/>
    <x v="2"/>
    <x v="4"/>
    <x v="0"/>
  </r>
  <r>
    <s v="ORD01385"/>
    <s v="2024-05-02"/>
    <x v="2"/>
    <x v="1"/>
    <x v="1"/>
    <s v="Mobile"/>
    <n v="11"/>
    <n v="36988"/>
    <n v="0.1"/>
    <n v="366181.2"/>
    <n v="32191.75"/>
    <x v="0"/>
    <x v="6"/>
    <x v="0"/>
  </r>
  <r>
    <s v="ORD01386"/>
    <s v="2024-02-03"/>
    <x v="4"/>
    <x v="17"/>
    <x v="1"/>
    <s v="Power Bank"/>
    <n v="2"/>
    <n v="42311"/>
    <n v="0.05"/>
    <n v="80390.899999999994"/>
    <n v="22439.14"/>
    <x v="3"/>
    <x v="11"/>
    <x v="0"/>
  </r>
  <r>
    <s v="ORD01387"/>
    <s v="2023-06-10"/>
    <x v="3"/>
    <x v="23"/>
    <x v="0"/>
    <s v="Desk"/>
    <n v="7"/>
    <n v="12542"/>
    <n v="0.2"/>
    <n v="70235.199999999997"/>
    <n v="9219.1200000000008"/>
    <x v="1"/>
    <x v="5"/>
    <x v="1"/>
  </r>
  <r>
    <s v="ORD01388"/>
    <s v="2024-05-18"/>
    <x v="46"/>
    <x v="16"/>
    <x v="3"/>
    <s v="Pen"/>
    <n v="1"/>
    <n v="4868"/>
    <n v="0.2"/>
    <n v="3894.4"/>
    <n v="1038.73"/>
    <x v="2"/>
    <x v="6"/>
    <x v="0"/>
  </r>
  <r>
    <s v="ORD01389"/>
    <s v="2024-01-31"/>
    <x v="42"/>
    <x v="1"/>
    <x v="1"/>
    <s v="Mobile"/>
    <n v="9"/>
    <n v="27994"/>
    <n v="0"/>
    <n v="251946"/>
    <n v="71878.649999999994"/>
    <x v="1"/>
    <x v="3"/>
    <x v="0"/>
  </r>
  <r>
    <s v="ORD01390"/>
    <s v="2023-09-06"/>
    <x v="12"/>
    <x v="9"/>
    <x v="1"/>
    <s v="Keyboard"/>
    <n v="15"/>
    <n v="45661"/>
    <n v="0.15"/>
    <n v="582177.75"/>
    <n v="79173.22"/>
    <x v="3"/>
    <x v="10"/>
    <x v="1"/>
  </r>
  <r>
    <s v="ORD01391"/>
    <s v="2023-10-22"/>
    <x v="8"/>
    <x v="24"/>
    <x v="2"/>
    <s v="T-Shirt"/>
    <n v="8"/>
    <n v="50621"/>
    <n v="0.2"/>
    <n v="323974.40000000002"/>
    <n v="44387"/>
    <x v="1"/>
    <x v="0"/>
    <x v="1"/>
  </r>
  <r>
    <s v="ORD01392"/>
    <s v="2024-01-15"/>
    <x v="5"/>
    <x v="7"/>
    <x v="0"/>
    <s v="Bed"/>
    <n v="14"/>
    <n v="51332"/>
    <n v="0.05"/>
    <n v="682715.6"/>
    <n v="105804.62"/>
    <x v="0"/>
    <x v="3"/>
    <x v="0"/>
  </r>
  <r>
    <s v="ORD01393"/>
    <s v="2024-10-05"/>
    <x v="22"/>
    <x v="18"/>
    <x v="0"/>
    <s v="Table"/>
    <n v="7"/>
    <n v="5093"/>
    <n v="0"/>
    <n v="35651"/>
    <n v="7898.46"/>
    <x v="2"/>
    <x v="0"/>
    <x v="0"/>
  </r>
  <r>
    <s v="ORD01394"/>
    <s v="2024-04-08"/>
    <x v="7"/>
    <x v="19"/>
    <x v="1"/>
    <s v="Smartwatch"/>
    <n v="7"/>
    <n v="56768"/>
    <n v="0"/>
    <n v="397376"/>
    <n v="55464.63"/>
    <x v="2"/>
    <x v="2"/>
    <x v="0"/>
  </r>
  <r>
    <s v="ORD01395"/>
    <s v="2024-03-04"/>
    <x v="46"/>
    <x v="26"/>
    <x v="3"/>
    <s v="Paper Ream"/>
    <n v="2"/>
    <n v="19624"/>
    <n v="0"/>
    <n v="39248"/>
    <n v="8043.36"/>
    <x v="2"/>
    <x v="7"/>
    <x v="0"/>
  </r>
  <r>
    <s v="ORD01396"/>
    <s v="2024-11-06"/>
    <x v="38"/>
    <x v="11"/>
    <x v="3"/>
    <s v="Printer"/>
    <n v="7"/>
    <n v="38633"/>
    <n v="0.05"/>
    <n v="256909.45"/>
    <n v="34849.86"/>
    <x v="1"/>
    <x v="4"/>
    <x v="0"/>
  </r>
  <r>
    <s v="ORD01397"/>
    <s v="2024-09-13"/>
    <x v="12"/>
    <x v="13"/>
    <x v="2"/>
    <s v="Jacket"/>
    <n v="3"/>
    <n v="34200"/>
    <n v="0.1"/>
    <n v="92340"/>
    <n v="9952.23"/>
    <x v="0"/>
    <x v="10"/>
    <x v="0"/>
  </r>
  <r>
    <s v="ORD01398"/>
    <s v="2023-12-02"/>
    <x v="41"/>
    <x v="2"/>
    <x v="2"/>
    <s v="Shoes"/>
    <n v="12"/>
    <n v="56296"/>
    <n v="0.2"/>
    <n v="540441.59999999998"/>
    <n v="58698.5"/>
    <x v="1"/>
    <x v="9"/>
    <x v="1"/>
  </r>
  <r>
    <s v="ORD01399"/>
    <s v="2023-06-28"/>
    <x v="2"/>
    <x v="14"/>
    <x v="2"/>
    <s v="Dress"/>
    <n v="14"/>
    <n v="41956"/>
    <n v="0.05"/>
    <n v="558014.80000000005"/>
    <n v="144279.21"/>
    <x v="0"/>
    <x v="5"/>
    <x v="1"/>
  </r>
  <r>
    <s v="ORD01400"/>
    <s v="2024-05-31"/>
    <x v="10"/>
    <x v="9"/>
    <x v="1"/>
    <s v="Keyboard"/>
    <n v="6"/>
    <n v="10519"/>
    <n v="0.05"/>
    <n v="59958.3"/>
    <n v="12194.99"/>
    <x v="0"/>
    <x v="6"/>
    <x v="0"/>
  </r>
  <r>
    <s v="ORD01401"/>
    <s v="2024-05-17"/>
    <x v="40"/>
    <x v="23"/>
    <x v="0"/>
    <s v="Desk"/>
    <n v="10"/>
    <n v="41312"/>
    <n v="0.15"/>
    <n v="351152"/>
    <n v="63606.81"/>
    <x v="3"/>
    <x v="6"/>
    <x v="0"/>
  </r>
  <r>
    <s v="ORD01402"/>
    <s v="2024-01-22"/>
    <x v="15"/>
    <x v="21"/>
    <x v="1"/>
    <s v="Laptop"/>
    <n v="9"/>
    <n v="16529"/>
    <n v="0.1"/>
    <n v="133884.9"/>
    <n v="24614.82"/>
    <x v="2"/>
    <x v="3"/>
    <x v="0"/>
  </r>
  <r>
    <s v="ORD01403"/>
    <s v="2023-05-24"/>
    <x v="24"/>
    <x v="10"/>
    <x v="3"/>
    <s v="Marker"/>
    <n v="15"/>
    <n v="37233"/>
    <n v="0.2"/>
    <n v="446796"/>
    <n v="112130.03"/>
    <x v="1"/>
    <x v="6"/>
    <x v="1"/>
  </r>
  <r>
    <s v="ORD01404"/>
    <s v="2024-08-04"/>
    <x v="29"/>
    <x v="19"/>
    <x v="1"/>
    <s v="Smartwatch"/>
    <n v="6"/>
    <n v="52273"/>
    <n v="0.1"/>
    <n v="282274.2"/>
    <n v="60473.88"/>
    <x v="2"/>
    <x v="8"/>
    <x v="0"/>
  </r>
  <r>
    <s v="ORD01405"/>
    <s v="2023-09-04"/>
    <x v="7"/>
    <x v="6"/>
    <x v="2"/>
    <s v="Jeans"/>
    <n v="6"/>
    <n v="36249"/>
    <n v="0.1"/>
    <n v="195744.6"/>
    <n v="25924.29"/>
    <x v="3"/>
    <x v="10"/>
    <x v="1"/>
  </r>
  <r>
    <s v="ORD01406"/>
    <s v="2024-03-05"/>
    <x v="44"/>
    <x v="20"/>
    <x v="1"/>
    <s v="Tablet"/>
    <n v="12"/>
    <n v="14451"/>
    <n v="0.1"/>
    <n v="156070.79999999999"/>
    <n v="24324.15"/>
    <x v="2"/>
    <x v="7"/>
    <x v="0"/>
  </r>
  <r>
    <s v="ORD01407"/>
    <s v="2024-10-19"/>
    <x v="19"/>
    <x v="0"/>
    <x v="0"/>
    <s v="Chair"/>
    <n v="11"/>
    <n v="28154"/>
    <n v="0.1"/>
    <n v="278724.59999999998"/>
    <n v="31154.94"/>
    <x v="0"/>
    <x v="0"/>
    <x v="0"/>
  </r>
  <r>
    <s v="ORD01408"/>
    <s v="2024-08-20"/>
    <x v="28"/>
    <x v="4"/>
    <x v="0"/>
    <s v="Stool"/>
    <n v="13"/>
    <n v="55440"/>
    <n v="0.05"/>
    <n v="684684"/>
    <n v="204902.65"/>
    <x v="3"/>
    <x v="8"/>
    <x v="0"/>
  </r>
  <r>
    <s v="ORD01409"/>
    <s v="2023-01-31"/>
    <x v="30"/>
    <x v="8"/>
    <x v="2"/>
    <s v="Sweater"/>
    <n v="8"/>
    <n v="24813"/>
    <n v="0.1"/>
    <n v="178653.6"/>
    <n v="38030.870000000003"/>
    <x v="1"/>
    <x v="3"/>
    <x v="1"/>
  </r>
  <r>
    <s v="ORD01410"/>
    <s v="2024-09-30"/>
    <x v="35"/>
    <x v="3"/>
    <x v="3"/>
    <s v="Stapler"/>
    <n v="11"/>
    <n v="22403"/>
    <n v="0.15"/>
    <n v="209468.05"/>
    <n v="57156.36"/>
    <x v="1"/>
    <x v="10"/>
    <x v="0"/>
  </r>
  <r>
    <s v="ORD01411"/>
    <s v="2023-12-01"/>
    <x v="2"/>
    <x v="16"/>
    <x v="3"/>
    <s v="Pen"/>
    <n v="10"/>
    <n v="55612"/>
    <n v="0.1"/>
    <n v="500508"/>
    <n v="124449.81"/>
    <x v="2"/>
    <x v="9"/>
    <x v="1"/>
  </r>
  <r>
    <s v="ORD01412"/>
    <s v="2023-10-14"/>
    <x v="9"/>
    <x v="5"/>
    <x v="0"/>
    <s v="Cupboard"/>
    <n v="10"/>
    <n v="949"/>
    <n v="0.1"/>
    <n v="8541"/>
    <n v="1216.29"/>
    <x v="0"/>
    <x v="0"/>
    <x v="1"/>
  </r>
  <r>
    <s v="ORD01413"/>
    <s v="2023-04-13"/>
    <x v="26"/>
    <x v="22"/>
    <x v="1"/>
    <s v="Camera"/>
    <n v="13"/>
    <n v="28814"/>
    <n v="0"/>
    <n v="374582"/>
    <n v="72162.740000000005"/>
    <x v="0"/>
    <x v="2"/>
    <x v="1"/>
  </r>
  <r>
    <s v="ORD01414"/>
    <s v="2023-10-11"/>
    <x v="28"/>
    <x v="12"/>
    <x v="1"/>
    <s v="Headphones"/>
    <n v="11"/>
    <n v="23326"/>
    <n v="0.15"/>
    <n v="218098.1"/>
    <n v="30617.54"/>
    <x v="2"/>
    <x v="0"/>
    <x v="1"/>
  </r>
  <r>
    <s v="ORD01415"/>
    <s v="2024-05-31"/>
    <x v="6"/>
    <x v="21"/>
    <x v="1"/>
    <s v="Laptop"/>
    <n v="2"/>
    <n v="8840"/>
    <n v="0.05"/>
    <n v="16796"/>
    <n v="1928.22"/>
    <x v="0"/>
    <x v="6"/>
    <x v="0"/>
  </r>
  <r>
    <s v="ORD01416"/>
    <s v="2024-02-17"/>
    <x v="31"/>
    <x v="3"/>
    <x v="3"/>
    <s v="Stapler"/>
    <n v="8"/>
    <n v="38895"/>
    <n v="0.15"/>
    <n v="264486"/>
    <n v="43859.62"/>
    <x v="3"/>
    <x v="11"/>
    <x v="0"/>
  </r>
  <r>
    <s v="ORD01417"/>
    <s v="2024-06-22"/>
    <x v="25"/>
    <x v="12"/>
    <x v="1"/>
    <s v="Headphones"/>
    <n v="1"/>
    <n v="34610"/>
    <n v="0.05"/>
    <n v="32879.5"/>
    <n v="8026.97"/>
    <x v="2"/>
    <x v="5"/>
    <x v="0"/>
  </r>
  <r>
    <s v="ORD01418"/>
    <s v="2023-03-20"/>
    <x v="49"/>
    <x v="6"/>
    <x v="2"/>
    <s v="Jeans"/>
    <n v="2"/>
    <n v="2600"/>
    <n v="0.15"/>
    <n v="4420"/>
    <n v="519.92999999999995"/>
    <x v="1"/>
    <x v="7"/>
    <x v="1"/>
  </r>
  <r>
    <s v="ORD01419"/>
    <s v="2024-05-28"/>
    <x v="41"/>
    <x v="8"/>
    <x v="2"/>
    <s v="Sweater"/>
    <n v="4"/>
    <n v="25159"/>
    <n v="0.05"/>
    <n v="95604.2"/>
    <n v="16978.22"/>
    <x v="1"/>
    <x v="6"/>
    <x v="0"/>
  </r>
  <r>
    <s v="ORD01420"/>
    <s v="2024-11-30"/>
    <x v="47"/>
    <x v="2"/>
    <x v="2"/>
    <s v="Shoes"/>
    <n v="13"/>
    <n v="1303"/>
    <n v="0.15"/>
    <n v="14398.15"/>
    <n v="1551.81"/>
    <x v="3"/>
    <x v="4"/>
    <x v="0"/>
  </r>
  <r>
    <s v="ORD01421"/>
    <s v="2023-02-19"/>
    <x v="46"/>
    <x v="18"/>
    <x v="0"/>
    <s v="Table"/>
    <n v="8"/>
    <n v="8652"/>
    <n v="0.15"/>
    <n v="58833.599999999999"/>
    <n v="5661.83"/>
    <x v="3"/>
    <x v="11"/>
    <x v="1"/>
  </r>
  <r>
    <s v="ORD01422"/>
    <s v="2023-04-16"/>
    <x v="47"/>
    <x v="17"/>
    <x v="1"/>
    <s v="Power Bank"/>
    <n v="13"/>
    <n v="46138"/>
    <n v="0.15"/>
    <n v="509824.9"/>
    <n v="50001.43"/>
    <x v="1"/>
    <x v="2"/>
    <x v="1"/>
  </r>
  <r>
    <s v="ORD01423"/>
    <s v="2023-07-30"/>
    <x v="44"/>
    <x v="23"/>
    <x v="0"/>
    <s v="Desk"/>
    <n v="7"/>
    <n v="15476"/>
    <n v="0.1"/>
    <n v="97498.8"/>
    <n v="16604.849999999999"/>
    <x v="2"/>
    <x v="1"/>
    <x v="1"/>
  </r>
  <r>
    <s v="ORD01424"/>
    <s v="2023-09-14"/>
    <x v="16"/>
    <x v="27"/>
    <x v="3"/>
    <s v="File"/>
    <n v="3"/>
    <n v="43632"/>
    <n v="0.05"/>
    <n v="124351.2"/>
    <n v="24507.89"/>
    <x v="3"/>
    <x v="10"/>
    <x v="1"/>
  </r>
  <r>
    <s v="ORD01425"/>
    <s v="2024-11-03"/>
    <x v="11"/>
    <x v="10"/>
    <x v="3"/>
    <s v="Marker"/>
    <n v="10"/>
    <n v="38775"/>
    <n v="0"/>
    <n v="387750"/>
    <n v="96399.89"/>
    <x v="1"/>
    <x v="4"/>
    <x v="0"/>
  </r>
  <r>
    <s v="ORD01426"/>
    <s v="2023-04-29"/>
    <x v="12"/>
    <x v="14"/>
    <x v="2"/>
    <s v="Dress"/>
    <n v="1"/>
    <n v="675"/>
    <n v="0.15"/>
    <n v="573.75"/>
    <n v="47.92"/>
    <x v="1"/>
    <x v="2"/>
    <x v="1"/>
  </r>
  <r>
    <s v="ORD01427"/>
    <s v="2023-04-17"/>
    <x v="22"/>
    <x v="18"/>
    <x v="0"/>
    <s v="Table"/>
    <n v="9"/>
    <n v="24303"/>
    <n v="0.1"/>
    <n v="196854.3"/>
    <n v="25848.080000000002"/>
    <x v="2"/>
    <x v="2"/>
    <x v="1"/>
  </r>
  <r>
    <s v="ORD01428"/>
    <s v="2024-10-13"/>
    <x v="3"/>
    <x v="12"/>
    <x v="1"/>
    <s v="Headphones"/>
    <n v="7"/>
    <n v="36488"/>
    <n v="0.15"/>
    <n v="217103.6"/>
    <n v="49276.54"/>
    <x v="1"/>
    <x v="0"/>
    <x v="0"/>
  </r>
  <r>
    <s v="ORD01429"/>
    <s v="2023-11-26"/>
    <x v="12"/>
    <x v="0"/>
    <x v="0"/>
    <s v="Chair"/>
    <n v="11"/>
    <n v="8182"/>
    <n v="0.1"/>
    <n v="81001.8"/>
    <n v="11072.23"/>
    <x v="2"/>
    <x v="4"/>
    <x v="1"/>
  </r>
  <r>
    <s v="ORD01430"/>
    <s v="2024-01-23"/>
    <x v="41"/>
    <x v="22"/>
    <x v="1"/>
    <s v="Camera"/>
    <n v="15"/>
    <n v="18069"/>
    <n v="0.15"/>
    <n v="230379.75"/>
    <n v="26175.49"/>
    <x v="1"/>
    <x v="3"/>
    <x v="0"/>
  </r>
  <r>
    <s v="ORD01431"/>
    <s v="2024-04-08"/>
    <x v="21"/>
    <x v="22"/>
    <x v="1"/>
    <s v="Camera"/>
    <n v="1"/>
    <n v="26388"/>
    <n v="0.05"/>
    <n v="25068.6"/>
    <n v="5448"/>
    <x v="3"/>
    <x v="2"/>
    <x v="0"/>
  </r>
  <r>
    <s v="ORD01432"/>
    <s v="2023-05-31"/>
    <x v="49"/>
    <x v="2"/>
    <x v="2"/>
    <s v="Shoes"/>
    <n v="9"/>
    <n v="48842"/>
    <n v="0"/>
    <n v="439578"/>
    <n v="47358.58"/>
    <x v="0"/>
    <x v="6"/>
    <x v="1"/>
  </r>
  <r>
    <s v="ORD01433"/>
    <s v="2024-04-20"/>
    <x v="45"/>
    <x v="11"/>
    <x v="3"/>
    <s v="Printer"/>
    <n v="5"/>
    <n v="6290"/>
    <n v="0.2"/>
    <n v="25160"/>
    <n v="5786.96"/>
    <x v="2"/>
    <x v="2"/>
    <x v="0"/>
  </r>
  <r>
    <s v="ORD01434"/>
    <s v="2024-03-04"/>
    <x v="23"/>
    <x v="16"/>
    <x v="3"/>
    <s v="Pen"/>
    <n v="13"/>
    <n v="28133"/>
    <n v="0"/>
    <n v="365729"/>
    <n v="80494.02"/>
    <x v="1"/>
    <x v="7"/>
    <x v="0"/>
  </r>
  <r>
    <s v="ORD01435"/>
    <s v="2024-08-18"/>
    <x v="20"/>
    <x v="4"/>
    <x v="0"/>
    <s v="Stool"/>
    <n v="5"/>
    <n v="58442"/>
    <n v="0.1"/>
    <n v="262989"/>
    <n v="56639.11"/>
    <x v="3"/>
    <x v="8"/>
    <x v="0"/>
  </r>
  <r>
    <s v="ORD01436"/>
    <s v="2024-11-05"/>
    <x v="29"/>
    <x v="2"/>
    <x v="2"/>
    <s v="Shoes"/>
    <n v="15"/>
    <n v="2253"/>
    <n v="0.15"/>
    <n v="28725.75"/>
    <n v="4910.59"/>
    <x v="3"/>
    <x v="4"/>
    <x v="0"/>
  </r>
  <r>
    <s v="ORD01437"/>
    <s v="2024-06-08"/>
    <x v="43"/>
    <x v="12"/>
    <x v="1"/>
    <s v="Headphones"/>
    <n v="7"/>
    <n v="42535"/>
    <n v="0"/>
    <n v="297745"/>
    <n v="24515.78"/>
    <x v="0"/>
    <x v="5"/>
    <x v="0"/>
  </r>
  <r>
    <s v="ORD01438"/>
    <s v="2023-05-27"/>
    <x v="35"/>
    <x v="10"/>
    <x v="3"/>
    <s v="Marker"/>
    <n v="9"/>
    <n v="12295"/>
    <n v="0.1"/>
    <n v="99589.5"/>
    <n v="23303.26"/>
    <x v="0"/>
    <x v="6"/>
    <x v="1"/>
  </r>
  <r>
    <s v="ORD01439"/>
    <s v="2024-10-22"/>
    <x v="4"/>
    <x v="18"/>
    <x v="0"/>
    <s v="Table"/>
    <n v="10"/>
    <n v="32401"/>
    <n v="0.05"/>
    <n v="307809.5"/>
    <n v="45471.98"/>
    <x v="2"/>
    <x v="0"/>
    <x v="0"/>
  </r>
  <r>
    <s v="ORD01440"/>
    <s v="2024-02-04"/>
    <x v="44"/>
    <x v="1"/>
    <x v="1"/>
    <s v="Mobile"/>
    <n v="13"/>
    <n v="16204"/>
    <n v="0.15"/>
    <n v="179054.2"/>
    <n v="16493.52"/>
    <x v="2"/>
    <x v="11"/>
    <x v="0"/>
  </r>
  <r>
    <s v="ORD01441"/>
    <s v="2023-09-04"/>
    <x v="12"/>
    <x v="12"/>
    <x v="1"/>
    <s v="Headphones"/>
    <n v="11"/>
    <n v="20777"/>
    <n v="0"/>
    <n v="228547"/>
    <n v="28747.11"/>
    <x v="1"/>
    <x v="10"/>
    <x v="1"/>
  </r>
  <r>
    <s v="ORD01442"/>
    <s v="2024-09-13"/>
    <x v="20"/>
    <x v="22"/>
    <x v="1"/>
    <s v="Camera"/>
    <n v="13"/>
    <n v="12102"/>
    <n v="0.15"/>
    <n v="133727.1"/>
    <n v="20630.68"/>
    <x v="0"/>
    <x v="10"/>
    <x v="0"/>
  </r>
  <r>
    <s v="ORD01443"/>
    <s v="2024-08-12"/>
    <x v="1"/>
    <x v="26"/>
    <x v="3"/>
    <s v="Paper Ream"/>
    <n v="12"/>
    <n v="58322"/>
    <n v="0"/>
    <n v="699864"/>
    <n v="135778.69"/>
    <x v="1"/>
    <x v="8"/>
    <x v="0"/>
  </r>
  <r>
    <s v="ORD01444"/>
    <s v="2023-12-04"/>
    <x v="2"/>
    <x v="10"/>
    <x v="3"/>
    <s v="Marker"/>
    <n v="2"/>
    <n v="42198"/>
    <n v="0.1"/>
    <n v="75956.399999999994"/>
    <n v="10557.2"/>
    <x v="3"/>
    <x v="9"/>
    <x v="1"/>
  </r>
  <r>
    <s v="ORD01445"/>
    <s v="2023-09-11"/>
    <x v="31"/>
    <x v="27"/>
    <x v="3"/>
    <s v="File"/>
    <n v="2"/>
    <n v="38046"/>
    <n v="0.05"/>
    <n v="72287.399999999994"/>
    <n v="20645.28"/>
    <x v="0"/>
    <x v="10"/>
    <x v="1"/>
  </r>
  <r>
    <s v="ORD01446"/>
    <s v="2023-04-11"/>
    <x v="8"/>
    <x v="22"/>
    <x v="1"/>
    <s v="Camera"/>
    <n v="5"/>
    <n v="11049"/>
    <n v="0.15"/>
    <n v="46958.25"/>
    <n v="4964.47"/>
    <x v="1"/>
    <x v="2"/>
    <x v="1"/>
  </r>
  <r>
    <s v="ORD01447"/>
    <s v="2023-12-22"/>
    <x v="33"/>
    <x v="17"/>
    <x v="1"/>
    <s v="Power Bank"/>
    <n v="9"/>
    <n v="56117"/>
    <n v="0.05"/>
    <n v="479800.35"/>
    <n v="137035.9"/>
    <x v="0"/>
    <x v="9"/>
    <x v="1"/>
  </r>
  <r>
    <s v="ORD01448"/>
    <s v="2024-03-31"/>
    <x v="45"/>
    <x v="12"/>
    <x v="1"/>
    <s v="Headphones"/>
    <n v="3"/>
    <n v="43091"/>
    <n v="0.1"/>
    <n v="116345.7"/>
    <n v="12188.18"/>
    <x v="0"/>
    <x v="7"/>
    <x v="0"/>
  </r>
  <r>
    <s v="ORD01449"/>
    <s v="2024-03-11"/>
    <x v="22"/>
    <x v="17"/>
    <x v="1"/>
    <s v="Power Bank"/>
    <n v="7"/>
    <n v="38217"/>
    <n v="0.05"/>
    <n v="254143.05"/>
    <n v="60503.21"/>
    <x v="1"/>
    <x v="7"/>
    <x v="0"/>
  </r>
  <r>
    <s v="ORD01450"/>
    <s v="2024-08-13"/>
    <x v="28"/>
    <x v="1"/>
    <x v="1"/>
    <s v="Mobile"/>
    <n v="1"/>
    <n v="29602"/>
    <n v="0"/>
    <n v="29602"/>
    <n v="2374.5100000000002"/>
    <x v="2"/>
    <x v="8"/>
    <x v="0"/>
  </r>
  <r>
    <s v="ORD01451"/>
    <s v="2024-07-13"/>
    <x v="48"/>
    <x v="2"/>
    <x v="2"/>
    <s v="Shoes"/>
    <n v="14"/>
    <n v="7036"/>
    <n v="0.15"/>
    <n v="83728.399999999994"/>
    <n v="9093"/>
    <x v="1"/>
    <x v="1"/>
    <x v="0"/>
  </r>
  <r>
    <s v="ORD01452"/>
    <s v="2024-02-23"/>
    <x v="48"/>
    <x v="24"/>
    <x v="2"/>
    <s v="T-Shirt"/>
    <n v="9"/>
    <n v="41258"/>
    <n v="0.05"/>
    <n v="352755.9"/>
    <n v="62190.64"/>
    <x v="3"/>
    <x v="11"/>
    <x v="0"/>
  </r>
  <r>
    <s v="ORD01453"/>
    <s v="2023-11-14"/>
    <x v="47"/>
    <x v="26"/>
    <x v="3"/>
    <s v="Paper Ream"/>
    <n v="14"/>
    <n v="39808"/>
    <n v="0.15"/>
    <n v="473715.20000000001"/>
    <n v="68982.710000000006"/>
    <x v="2"/>
    <x v="4"/>
    <x v="1"/>
  </r>
  <r>
    <s v="ORD01454"/>
    <s v="2024-07-08"/>
    <x v="8"/>
    <x v="26"/>
    <x v="3"/>
    <s v="Paper Ream"/>
    <n v="8"/>
    <n v="44958"/>
    <n v="0.15"/>
    <n v="305714.40000000002"/>
    <n v="35814.22"/>
    <x v="3"/>
    <x v="1"/>
    <x v="0"/>
  </r>
  <r>
    <s v="ORD01455"/>
    <s v="2024-11-06"/>
    <x v="23"/>
    <x v="0"/>
    <x v="0"/>
    <s v="Chair"/>
    <n v="5"/>
    <n v="10470"/>
    <n v="0.2"/>
    <n v="41880"/>
    <n v="12363.86"/>
    <x v="1"/>
    <x v="4"/>
    <x v="0"/>
  </r>
  <r>
    <s v="ORD01456"/>
    <s v="2023-08-22"/>
    <x v="43"/>
    <x v="2"/>
    <x v="2"/>
    <s v="Shoes"/>
    <n v="2"/>
    <n v="40017"/>
    <n v="0.15"/>
    <n v="68028.899999999994"/>
    <n v="11163.66"/>
    <x v="1"/>
    <x v="8"/>
    <x v="1"/>
  </r>
  <r>
    <s v="ORD01457"/>
    <s v="2024-09-10"/>
    <x v="40"/>
    <x v="5"/>
    <x v="0"/>
    <s v="Cupboard"/>
    <n v="3"/>
    <n v="36365"/>
    <n v="0.05"/>
    <n v="103640.25"/>
    <n v="20091.39"/>
    <x v="1"/>
    <x v="10"/>
    <x v="0"/>
  </r>
  <r>
    <s v="ORD01458"/>
    <s v="2023-07-31"/>
    <x v="35"/>
    <x v="24"/>
    <x v="2"/>
    <s v="T-Shirt"/>
    <n v="12"/>
    <n v="11320"/>
    <n v="0.05"/>
    <n v="129048"/>
    <n v="16332.64"/>
    <x v="3"/>
    <x v="1"/>
    <x v="1"/>
  </r>
  <r>
    <s v="ORD01459"/>
    <s v="2023-04-16"/>
    <x v="12"/>
    <x v="6"/>
    <x v="2"/>
    <s v="Jeans"/>
    <n v="13"/>
    <n v="25315"/>
    <n v="0.05"/>
    <n v="312640.25"/>
    <n v="48195.65"/>
    <x v="3"/>
    <x v="2"/>
    <x v="1"/>
  </r>
  <r>
    <s v="ORD01460"/>
    <s v="2024-04-01"/>
    <x v="42"/>
    <x v="0"/>
    <x v="0"/>
    <s v="Chair"/>
    <n v="1"/>
    <n v="59570"/>
    <n v="0.1"/>
    <n v="53613"/>
    <n v="12972.77"/>
    <x v="0"/>
    <x v="2"/>
    <x v="0"/>
  </r>
  <r>
    <s v="ORD01461"/>
    <s v="2023-11-01"/>
    <x v="0"/>
    <x v="25"/>
    <x v="3"/>
    <s v="Notebook"/>
    <n v="13"/>
    <n v="24284"/>
    <n v="0.15"/>
    <n v="268338.2"/>
    <n v="62643.26"/>
    <x v="1"/>
    <x v="4"/>
    <x v="1"/>
  </r>
  <r>
    <s v="ORD01462"/>
    <s v="2024-09-11"/>
    <x v="7"/>
    <x v="9"/>
    <x v="1"/>
    <s v="Keyboard"/>
    <n v="6"/>
    <n v="23556"/>
    <n v="0.1"/>
    <n v="127202.4"/>
    <n v="15004.99"/>
    <x v="1"/>
    <x v="10"/>
    <x v="0"/>
  </r>
  <r>
    <s v="ORD01463"/>
    <s v="2024-05-09"/>
    <x v="16"/>
    <x v="2"/>
    <x v="2"/>
    <s v="Shoes"/>
    <n v="9"/>
    <n v="11703"/>
    <n v="0.2"/>
    <n v="84261.6"/>
    <n v="14391.08"/>
    <x v="0"/>
    <x v="6"/>
    <x v="0"/>
  </r>
  <r>
    <s v="ORD01464"/>
    <s v="2024-08-25"/>
    <x v="39"/>
    <x v="7"/>
    <x v="0"/>
    <s v="Bed"/>
    <n v="9"/>
    <n v="46704"/>
    <n v="0.15"/>
    <n v="357285.6"/>
    <n v="64884.83"/>
    <x v="3"/>
    <x v="8"/>
    <x v="0"/>
  </r>
  <r>
    <s v="ORD01465"/>
    <s v="2023-09-06"/>
    <x v="14"/>
    <x v="11"/>
    <x v="3"/>
    <s v="Printer"/>
    <n v="11"/>
    <n v="26761"/>
    <n v="0.2"/>
    <n v="235496.8"/>
    <n v="28511.18"/>
    <x v="0"/>
    <x v="10"/>
    <x v="1"/>
  </r>
  <r>
    <s v="ORD01466"/>
    <s v="2024-01-13"/>
    <x v="5"/>
    <x v="21"/>
    <x v="1"/>
    <s v="Laptop"/>
    <n v="1"/>
    <n v="42818"/>
    <n v="0"/>
    <n v="42818"/>
    <n v="8717.43"/>
    <x v="1"/>
    <x v="3"/>
    <x v="0"/>
  </r>
  <r>
    <s v="ORD01467"/>
    <s v="2023-01-16"/>
    <x v="15"/>
    <x v="22"/>
    <x v="1"/>
    <s v="Camera"/>
    <n v="1"/>
    <n v="54042"/>
    <n v="0.15"/>
    <n v="45935.7"/>
    <n v="9808.7199999999993"/>
    <x v="1"/>
    <x v="3"/>
    <x v="1"/>
  </r>
  <r>
    <s v="ORD01468"/>
    <s v="2024-09-17"/>
    <x v="24"/>
    <x v="12"/>
    <x v="1"/>
    <s v="Headphones"/>
    <n v="12"/>
    <n v="50378"/>
    <n v="0.15"/>
    <n v="513855.6"/>
    <n v="108560.84"/>
    <x v="1"/>
    <x v="10"/>
    <x v="0"/>
  </r>
  <r>
    <s v="ORD01469"/>
    <s v="2024-03-23"/>
    <x v="45"/>
    <x v="8"/>
    <x v="2"/>
    <s v="Sweater"/>
    <n v="4"/>
    <n v="29423"/>
    <n v="0.2"/>
    <n v="94153.600000000006"/>
    <n v="24322.639999999999"/>
    <x v="3"/>
    <x v="7"/>
    <x v="0"/>
  </r>
  <r>
    <s v="ORD01470"/>
    <s v="2023-05-13"/>
    <x v="0"/>
    <x v="12"/>
    <x v="1"/>
    <s v="Headphones"/>
    <n v="13"/>
    <n v="23590"/>
    <n v="0.15"/>
    <n v="260669.5"/>
    <n v="45813.42"/>
    <x v="2"/>
    <x v="6"/>
    <x v="1"/>
  </r>
  <r>
    <s v="ORD01471"/>
    <s v="2023-07-07"/>
    <x v="44"/>
    <x v="19"/>
    <x v="1"/>
    <s v="Smartwatch"/>
    <n v="10"/>
    <n v="7898"/>
    <n v="0.2"/>
    <n v="63184"/>
    <n v="17918.419999999998"/>
    <x v="0"/>
    <x v="1"/>
    <x v="1"/>
  </r>
  <r>
    <s v="ORD01472"/>
    <s v="2023-05-07"/>
    <x v="34"/>
    <x v="2"/>
    <x v="2"/>
    <s v="Shoes"/>
    <n v="5"/>
    <n v="28733"/>
    <n v="0.1"/>
    <n v="129298.5"/>
    <n v="24358.07"/>
    <x v="2"/>
    <x v="6"/>
    <x v="1"/>
  </r>
  <r>
    <s v="ORD01473"/>
    <s v="2024-10-26"/>
    <x v="11"/>
    <x v="23"/>
    <x v="0"/>
    <s v="Desk"/>
    <n v="6"/>
    <n v="43368"/>
    <n v="0.15"/>
    <n v="221176.8"/>
    <n v="37975.360000000001"/>
    <x v="1"/>
    <x v="0"/>
    <x v="0"/>
  </r>
  <r>
    <s v="ORD01474"/>
    <s v="2023-08-27"/>
    <x v="11"/>
    <x v="3"/>
    <x v="3"/>
    <s v="Stapler"/>
    <n v="4"/>
    <n v="58469"/>
    <n v="0.05"/>
    <n v="222182.2"/>
    <n v="30296.69"/>
    <x v="3"/>
    <x v="8"/>
    <x v="1"/>
  </r>
  <r>
    <s v="ORD01475"/>
    <s v="2023-02-23"/>
    <x v="42"/>
    <x v="18"/>
    <x v="0"/>
    <s v="Table"/>
    <n v="14"/>
    <n v="37250"/>
    <n v="0.05"/>
    <n v="495425"/>
    <n v="110834.38"/>
    <x v="2"/>
    <x v="11"/>
    <x v="1"/>
  </r>
  <r>
    <s v="ORD01476"/>
    <s v="2024-11-21"/>
    <x v="32"/>
    <x v="4"/>
    <x v="0"/>
    <s v="Stool"/>
    <n v="8"/>
    <n v="48142"/>
    <n v="0.05"/>
    <n v="365879.2"/>
    <n v="90460.21"/>
    <x v="3"/>
    <x v="4"/>
    <x v="0"/>
  </r>
  <r>
    <s v="ORD01477"/>
    <s v="2024-05-17"/>
    <x v="35"/>
    <x v="15"/>
    <x v="0"/>
    <s v="Sofa"/>
    <n v="4"/>
    <n v="59266"/>
    <n v="0.15"/>
    <n v="201504.4"/>
    <n v="47361.2"/>
    <x v="3"/>
    <x v="6"/>
    <x v="0"/>
  </r>
  <r>
    <s v="ORD01478"/>
    <s v="2023-04-30"/>
    <x v="22"/>
    <x v="11"/>
    <x v="3"/>
    <s v="Printer"/>
    <n v="10"/>
    <n v="55748"/>
    <n v="0.15"/>
    <n v="473858"/>
    <n v="107205.12"/>
    <x v="1"/>
    <x v="2"/>
    <x v="1"/>
  </r>
  <r>
    <s v="ORD01479"/>
    <s v="2023-04-11"/>
    <x v="8"/>
    <x v="0"/>
    <x v="0"/>
    <s v="Chair"/>
    <n v="14"/>
    <n v="50041"/>
    <n v="0"/>
    <n v="700574"/>
    <n v="179197.49"/>
    <x v="3"/>
    <x v="2"/>
    <x v="1"/>
  </r>
  <r>
    <s v="ORD01480"/>
    <s v="2023-11-01"/>
    <x v="42"/>
    <x v="7"/>
    <x v="0"/>
    <s v="Bed"/>
    <n v="8"/>
    <n v="54617"/>
    <n v="0.1"/>
    <n v="393242.4"/>
    <n v="105575.05"/>
    <x v="1"/>
    <x v="4"/>
    <x v="1"/>
  </r>
  <r>
    <s v="ORD01481"/>
    <s v="2024-08-31"/>
    <x v="2"/>
    <x v="16"/>
    <x v="3"/>
    <s v="Pen"/>
    <n v="6"/>
    <n v="47585"/>
    <n v="0"/>
    <n v="285510"/>
    <n v="72270.27"/>
    <x v="1"/>
    <x v="8"/>
    <x v="0"/>
  </r>
  <r>
    <s v="ORD01482"/>
    <s v="2024-06-14"/>
    <x v="36"/>
    <x v="12"/>
    <x v="1"/>
    <s v="Headphones"/>
    <n v="8"/>
    <n v="58534"/>
    <n v="0.15"/>
    <n v="398031.2"/>
    <n v="110882.68"/>
    <x v="3"/>
    <x v="5"/>
    <x v="0"/>
  </r>
  <r>
    <s v="ORD01483"/>
    <s v="2023-07-29"/>
    <x v="27"/>
    <x v="19"/>
    <x v="1"/>
    <s v="Smartwatch"/>
    <n v="5"/>
    <n v="59204"/>
    <n v="0.05"/>
    <n v="281219"/>
    <n v="34628.04"/>
    <x v="3"/>
    <x v="1"/>
    <x v="1"/>
  </r>
  <r>
    <s v="ORD01484"/>
    <s v="2024-03-17"/>
    <x v="8"/>
    <x v="13"/>
    <x v="2"/>
    <s v="Jacket"/>
    <n v="8"/>
    <n v="42337"/>
    <n v="0.15"/>
    <n v="287891.59999999998"/>
    <n v="52741.42"/>
    <x v="2"/>
    <x v="7"/>
    <x v="0"/>
  </r>
  <r>
    <s v="ORD01485"/>
    <s v="2023-06-10"/>
    <x v="14"/>
    <x v="9"/>
    <x v="1"/>
    <s v="Keyboard"/>
    <n v="10"/>
    <n v="12177"/>
    <n v="0.05"/>
    <n v="115681.5"/>
    <n v="18266.14"/>
    <x v="1"/>
    <x v="5"/>
    <x v="1"/>
  </r>
  <r>
    <s v="ORD01486"/>
    <s v="2024-01-24"/>
    <x v="44"/>
    <x v="16"/>
    <x v="3"/>
    <s v="Pen"/>
    <n v="11"/>
    <n v="14870"/>
    <n v="0.1"/>
    <n v="147213"/>
    <n v="35066.089999999997"/>
    <x v="1"/>
    <x v="3"/>
    <x v="0"/>
  </r>
  <r>
    <s v="ORD01487"/>
    <s v="2023-01-30"/>
    <x v="32"/>
    <x v="25"/>
    <x v="3"/>
    <s v="Notebook"/>
    <n v="15"/>
    <n v="52036"/>
    <n v="0.1"/>
    <n v="702486"/>
    <n v="110721.27"/>
    <x v="0"/>
    <x v="3"/>
    <x v="1"/>
  </r>
  <r>
    <s v="ORD01488"/>
    <s v="2023-03-01"/>
    <x v="8"/>
    <x v="4"/>
    <x v="0"/>
    <s v="Stool"/>
    <n v="1"/>
    <n v="25054"/>
    <n v="0"/>
    <n v="25054"/>
    <n v="2963.28"/>
    <x v="1"/>
    <x v="7"/>
    <x v="1"/>
  </r>
  <r>
    <s v="ORD01489"/>
    <s v="2024-11-14"/>
    <x v="7"/>
    <x v="25"/>
    <x v="3"/>
    <s v="Notebook"/>
    <n v="11"/>
    <n v="38541"/>
    <n v="0.1"/>
    <n v="381555.9"/>
    <n v="100458.07"/>
    <x v="0"/>
    <x v="4"/>
    <x v="0"/>
  </r>
  <r>
    <s v="ORD01490"/>
    <s v="2024-11-09"/>
    <x v="34"/>
    <x v="24"/>
    <x v="2"/>
    <s v="T-Shirt"/>
    <n v="15"/>
    <n v="55088"/>
    <n v="0"/>
    <n v="826320"/>
    <n v="224728.2"/>
    <x v="1"/>
    <x v="4"/>
    <x v="0"/>
  </r>
  <r>
    <s v="ORD01491"/>
    <s v="2023-09-08"/>
    <x v="48"/>
    <x v="6"/>
    <x v="2"/>
    <s v="Jeans"/>
    <n v="5"/>
    <n v="24602"/>
    <n v="0"/>
    <n v="123010"/>
    <n v="20472.099999999999"/>
    <x v="1"/>
    <x v="10"/>
    <x v="1"/>
  </r>
  <r>
    <s v="ORD01492"/>
    <s v="2024-08-09"/>
    <x v="20"/>
    <x v="14"/>
    <x v="2"/>
    <s v="Dress"/>
    <n v="7"/>
    <n v="28096"/>
    <n v="0.05"/>
    <n v="186838.39999999999"/>
    <n v="53193.93"/>
    <x v="3"/>
    <x v="8"/>
    <x v="0"/>
  </r>
  <r>
    <s v="ORD01493"/>
    <s v="2024-11-25"/>
    <x v="27"/>
    <x v="27"/>
    <x v="3"/>
    <s v="File"/>
    <n v="15"/>
    <n v="12668"/>
    <n v="0.05"/>
    <n v="180519"/>
    <n v="46507.92"/>
    <x v="0"/>
    <x v="4"/>
    <x v="0"/>
  </r>
  <r>
    <s v="ORD01494"/>
    <s v="2023-11-03"/>
    <x v="8"/>
    <x v="24"/>
    <x v="2"/>
    <s v="T-Shirt"/>
    <n v="7"/>
    <n v="37364"/>
    <n v="0"/>
    <n v="261548"/>
    <n v="55114.720000000001"/>
    <x v="2"/>
    <x v="4"/>
    <x v="1"/>
  </r>
  <r>
    <s v="ORD01495"/>
    <s v="2024-02-28"/>
    <x v="39"/>
    <x v="10"/>
    <x v="3"/>
    <s v="Marker"/>
    <n v="15"/>
    <n v="56376"/>
    <n v="0"/>
    <n v="845640"/>
    <n v="130397.14"/>
    <x v="1"/>
    <x v="11"/>
    <x v="0"/>
  </r>
  <r>
    <s v="ORD01496"/>
    <s v="2023-11-23"/>
    <x v="26"/>
    <x v="6"/>
    <x v="2"/>
    <s v="Jeans"/>
    <n v="15"/>
    <n v="43384"/>
    <n v="0.15"/>
    <n v="553146"/>
    <n v="51901.61"/>
    <x v="0"/>
    <x v="4"/>
    <x v="1"/>
  </r>
  <r>
    <s v="ORD01497"/>
    <s v="2023-11-17"/>
    <x v="48"/>
    <x v="20"/>
    <x v="1"/>
    <s v="Tablet"/>
    <n v="15"/>
    <n v="12849"/>
    <n v="0.05"/>
    <n v="183098.25"/>
    <n v="53128.22"/>
    <x v="3"/>
    <x v="4"/>
    <x v="1"/>
  </r>
  <r>
    <s v="ORD01498"/>
    <s v="2024-07-06"/>
    <x v="29"/>
    <x v="2"/>
    <x v="2"/>
    <s v="Shoes"/>
    <n v="8"/>
    <n v="25199"/>
    <n v="0.1"/>
    <n v="181432.8"/>
    <n v="29298.71"/>
    <x v="1"/>
    <x v="1"/>
    <x v="0"/>
  </r>
  <r>
    <s v="ORD01499"/>
    <s v="2024-04-07"/>
    <x v="0"/>
    <x v="7"/>
    <x v="0"/>
    <s v="Bed"/>
    <n v="10"/>
    <n v="1359"/>
    <n v="0.2"/>
    <n v="10872"/>
    <n v="2369.39"/>
    <x v="3"/>
    <x v="2"/>
    <x v="0"/>
  </r>
  <r>
    <s v="ORD01500"/>
    <s v="2023-05-17"/>
    <x v="38"/>
    <x v="15"/>
    <x v="0"/>
    <s v="Sofa"/>
    <n v="8"/>
    <n v="3014"/>
    <n v="0.15"/>
    <n v="20495.2"/>
    <n v="4339.12"/>
    <x v="0"/>
    <x v="6"/>
    <x v="1"/>
  </r>
  <r>
    <s v="ORD01501"/>
    <s v="2023-04-06"/>
    <x v="49"/>
    <x v="25"/>
    <x v="3"/>
    <s v="Notebook"/>
    <n v="7"/>
    <n v="59558"/>
    <n v="0.15"/>
    <n v="354370.1"/>
    <n v="105389.18"/>
    <x v="1"/>
    <x v="2"/>
    <x v="1"/>
  </r>
  <r>
    <s v="ORD01502"/>
    <s v="2023-11-18"/>
    <x v="29"/>
    <x v="15"/>
    <x v="0"/>
    <s v="Sofa"/>
    <n v="1"/>
    <n v="25636"/>
    <n v="0.2"/>
    <n v="20508.8"/>
    <n v="5070.53"/>
    <x v="2"/>
    <x v="4"/>
    <x v="1"/>
  </r>
  <r>
    <s v="ORD01503"/>
    <s v="2024-10-27"/>
    <x v="13"/>
    <x v="21"/>
    <x v="1"/>
    <s v="Laptop"/>
    <n v="15"/>
    <n v="36969"/>
    <n v="0"/>
    <n v="554535"/>
    <n v="71908.89"/>
    <x v="2"/>
    <x v="0"/>
    <x v="0"/>
  </r>
  <r>
    <s v="ORD01504"/>
    <s v="2023-06-28"/>
    <x v="28"/>
    <x v="0"/>
    <x v="0"/>
    <s v="Chair"/>
    <n v="4"/>
    <n v="55544"/>
    <n v="0.2"/>
    <n v="177740.79999999999"/>
    <n v="40962.9"/>
    <x v="2"/>
    <x v="5"/>
    <x v="1"/>
  </r>
  <r>
    <s v="ORD01505"/>
    <s v="2023-12-11"/>
    <x v="38"/>
    <x v="0"/>
    <x v="0"/>
    <s v="Chair"/>
    <n v="15"/>
    <n v="55186"/>
    <n v="0.2"/>
    <n v="662232"/>
    <n v="146247.32999999999"/>
    <x v="3"/>
    <x v="9"/>
    <x v="1"/>
  </r>
  <r>
    <s v="ORD01506"/>
    <s v="2023-02-20"/>
    <x v="34"/>
    <x v="27"/>
    <x v="3"/>
    <s v="File"/>
    <n v="4"/>
    <n v="1565"/>
    <n v="0.05"/>
    <n v="5947"/>
    <n v="812.46"/>
    <x v="2"/>
    <x v="11"/>
    <x v="1"/>
  </r>
  <r>
    <s v="ORD01507"/>
    <s v="2023-07-10"/>
    <x v="32"/>
    <x v="27"/>
    <x v="3"/>
    <s v="File"/>
    <n v="11"/>
    <n v="10583"/>
    <n v="0.15"/>
    <n v="98951.05"/>
    <n v="25289.43"/>
    <x v="1"/>
    <x v="1"/>
    <x v="1"/>
  </r>
  <r>
    <s v="ORD01508"/>
    <s v="2023-03-18"/>
    <x v="6"/>
    <x v="8"/>
    <x v="2"/>
    <s v="Sweater"/>
    <n v="3"/>
    <n v="55039"/>
    <n v="0.05"/>
    <n v="156861.15"/>
    <n v="43824.65"/>
    <x v="3"/>
    <x v="7"/>
    <x v="1"/>
  </r>
  <r>
    <s v="ORD01509"/>
    <s v="2023-07-30"/>
    <x v="12"/>
    <x v="14"/>
    <x v="2"/>
    <s v="Dress"/>
    <n v="3"/>
    <n v="48406"/>
    <n v="0.05"/>
    <n v="137957.1"/>
    <n v="38098.29"/>
    <x v="0"/>
    <x v="1"/>
    <x v="1"/>
  </r>
  <r>
    <s v="ORD01510"/>
    <s v="2024-10-10"/>
    <x v="12"/>
    <x v="24"/>
    <x v="2"/>
    <s v="T-Shirt"/>
    <n v="15"/>
    <n v="33126"/>
    <n v="0.1"/>
    <n v="447201"/>
    <n v="96086.69"/>
    <x v="1"/>
    <x v="0"/>
    <x v="0"/>
  </r>
  <r>
    <s v="ORD01511"/>
    <s v="2024-03-17"/>
    <x v="6"/>
    <x v="22"/>
    <x v="1"/>
    <s v="Camera"/>
    <n v="14"/>
    <n v="37843"/>
    <n v="0.15"/>
    <n v="450331.7"/>
    <n v="112395.19"/>
    <x v="1"/>
    <x v="7"/>
    <x v="0"/>
  </r>
  <r>
    <s v="ORD01512"/>
    <s v="2023-10-18"/>
    <x v="44"/>
    <x v="27"/>
    <x v="3"/>
    <s v="File"/>
    <n v="8"/>
    <n v="45177"/>
    <n v="0"/>
    <n v="361416"/>
    <n v="46598.94"/>
    <x v="1"/>
    <x v="0"/>
    <x v="1"/>
  </r>
  <r>
    <s v="ORD01513"/>
    <s v="2023-07-03"/>
    <x v="38"/>
    <x v="15"/>
    <x v="0"/>
    <s v="Sofa"/>
    <n v="15"/>
    <n v="13502"/>
    <n v="0.2"/>
    <n v="162024"/>
    <n v="40287.410000000003"/>
    <x v="2"/>
    <x v="1"/>
    <x v="1"/>
  </r>
  <r>
    <s v="ORD01514"/>
    <s v="2023-11-12"/>
    <x v="42"/>
    <x v="16"/>
    <x v="3"/>
    <s v="Pen"/>
    <n v="13"/>
    <n v="11563"/>
    <n v="0.2"/>
    <n v="120255.2"/>
    <n v="24723.1"/>
    <x v="0"/>
    <x v="4"/>
    <x v="1"/>
  </r>
  <r>
    <s v="ORD01515"/>
    <s v="2023-10-10"/>
    <x v="27"/>
    <x v="4"/>
    <x v="0"/>
    <s v="Stool"/>
    <n v="5"/>
    <n v="54395"/>
    <n v="0"/>
    <n v="271975"/>
    <n v="80156.34"/>
    <x v="2"/>
    <x v="0"/>
    <x v="1"/>
  </r>
  <r>
    <s v="ORD01516"/>
    <s v="2024-02-16"/>
    <x v="8"/>
    <x v="13"/>
    <x v="2"/>
    <s v="Jacket"/>
    <n v="11"/>
    <n v="8476"/>
    <n v="0.1"/>
    <n v="83912.4"/>
    <n v="9502.35"/>
    <x v="3"/>
    <x v="11"/>
    <x v="0"/>
  </r>
  <r>
    <s v="ORD01517"/>
    <s v="2023-05-08"/>
    <x v="42"/>
    <x v="25"/>
    <x v="3"/>
    <s v="Notebook"/>
    <n v="8"/>
    <n v="22243"/>
    <n v="0.15"/>
    <n v="151252.4"/>
    <n v="21942.44"/>
    <x v="3"/>
    <x v="6"/>
    <x v="1"/>
  </r>
  <r>
    <s v="ORD01518"/>
    <s v="2023-05-18"/>
    <x v="18"/>
    <x v="25"/>
    <x v="3"/>
    <s v="Notebook"/>
    <n v="3"/>
    <n v="55816"/>
    <n v="0.05"/>
    <n v="159075.6"/>
    <n v="46732.24"/>
    <x v="2"/>
    <x v="6"/>
    <x v="1"/>
  </r>
  <r>
    <s v="ORD01519"/>
    <s v="2024-04-19"/>
    <x v="23"/>
    <x v="24"/>
    <x v="2"/>
    <s v="T-Shirt"/>
    <n v="8"/>
    <n v="49352"/>
    <n v="0.1"/>
    <n v="355334.40000000002"/>
    <n v="69593.009999999995"/>
    <x v="0"/>
    <x v="2"/>
    <x v="0"/>
  </r>
  <r>
    <s v="ORD01520"/>
    <s v="2024-04-22"/>
    <x v="32"/>
    <x v="17"/>
    <x v="1"/>
    <s v="Power Bank"/>
    <n v="7"/>
    <n v="52129"/>
    <n v="0"/>
    <n v="364903"/>
    <n v="93071.46"/>
    <x v="0"/>
    <x v="2"/>
    <x v="0"/>
  </r>
  <r>
    <s v="ORD01521"/>
    <s v="2023-10-17"/>
    <x v="40"/>
    <x v="4"/>
    <x v="0"/>
    <s v="Stool"/>
    <n v="1"/>
    <n v="6755"/>
    <n v="0"/>
    <n v="6755"/>
    <n v="2019.42"/>
    <x v="1"/>
    <x v="0"/>
    <x v="1"/>
  </r>
  <r>
    <s v="ORD01522"/>
    <s v="2023-02-01"/>
    <x v="42"/>
    <x v="21"/>
    <x v="1"/>
    <s v="Laptop"/>
    <n v="4"/>
    <n v="11347"/>
    <n v="0.2"/>
    <n v="36310.400000000001"/>
    <n v="8700.91"/>
    <x v="1"/>
    <x v="11"/>
    <x v="1"/>
  </r>
  <r>
    <s v="ORD01523"/>
    <s v="2024-02-06"/>
    <x v="8"/>
    <x v="19"/>
    <x v="1"/>
    <s v="Smartwatch"/>
    <n v="6"/>
    <n v="51411"/>
    <n v="0.15"/>
    <n v="262196.09999999998"/>
    <n v="26084.1"/>
    <x v="2"/>
    <x v="11"/>
    <x v="0"/>
  </r>
  <r>
    <s v="ORD01524"/>
    <s v="2024-06-13"/>
    <x v="21"/>
    <x v="9"/>
    <x v="1"/>
    <s v="Keyboard"/>
    <n v="2"/>
    <n v="39082"/>
    <n v="0"/>
    <n v="78164"/>
    <n v="16335.64"/>
    <x v="1"/>
    <x v="5"/>
    <x v="0"/>
  </r>
  <r>
    <s v="ORD01525"/>
    <s v="2023-09-23"/>
    <x v="7"/>
    <x v="9"/>
    <x v="1"/>
    <s v="Keyboard"/>
    <n v="12"/>
    <n v="29591"/>
    <n v="0.05"/>
    <n v="337337.4"/>
    <n v="41107.300000000003"/>
    <x v="3"/>
    <x v="10"/>
    <x v="1"/>
  </r>
  <r>
    <s v="ORD01526"/>
    <s v="2024-05-08"/>
    <x v="42"/>
    <x v="15"/>
    <x v="0"/>
    <s v="Sofa"/>
    <n v="5"/>
    <n v="10822"/>
    <n v="0.15"/>
    <n v="45993.5"/>
    <n v="8038.13"/>
    <x v="0"/>
    <x v="6"/>
    <x v="0"/>
  </r>
  <r>
    <s v="ORD01527"/>
    <s v="2023-02-18"/>
    <x v="23"/>
    <x v="7"/>
    <x v="0"/>
    <s v="Bed"/>
    <n v="2"/>
    <n v="39953"/>
    <n v="0.1"/>
    <n v="71915.399999999994"/>
    <n v="16365.92"/>
    <x v="0"/>
    <x v="11"/>
    <x v="1"/>
  </r>
  <r>
    <s v="ORD01528"/>
    <s v="2024-08-10"/>
    <x v="2"/>
    <x v="5"/>
    <x v="0"/>
    <s v="Cupboard"/>
    <n v="1"/>
    <n v="29609"/>
    <n v="0.05"/>
    <n v="28128.55"/>
    <n v="4535.54"/>
    <x v="1"/>
    <x v="8"/>
    <x v="0"/>
  </r>
  <r>
    <s v="ORD01529"/>
    <s v="2024-05-03"/>
    <x v="17"/>
    <x v="2"/>
    <x v="2"/>
    <s v="Shoes"/>
    <n v="7"/>
    <n v="51284"/>
    <n v="0.05"/>
    <n v="341038.6"/>
    <n v="37894.14"/>
    <x v="3"/>
    <x v="6"/>
    <x v="0"/>
  </r>
  <r>
    <s v="ORD01530"/>
    <s v="2024-07-28"/>
    <x v="23"/>
    <x v="2"/>
    <x v="2"/>
    <s v="Shoes"/>
    <n v="3"/>
    <n v="22923"/>
    <n v="0"/>
    <n v="68769"/>
    <n v="6145.59"/>
    <x v="3"/>
    <x v="1"/>
    <x v="0"/>
  </r>
  <r>
    <s v="ORD01531"/>
    <s v="2023-11-29"/>
    <x v="33"/>
    <x v="19"/>
    <x v="1"/>
    <s v="Smartwatch"/>
    <n v="9"/>
    <n v="33085"/>
    <n v="0.2"/>
    <n v="238212"/>
    <n v="48782.64"/>
    <x v="2"/>
    <x v="4"/>
    <x v="1"/>
  </r>
  <r>
    <s v="ORD01532"/>
    <s v="2024-11-23"/>
    <x v="48"/>
    <x v="18"/>
    <x v="0"/>
    <s v="Table"/>
    <n v="4"/>
    <n v="9773"/>
    <n v="0"/>
    <n v="39092"/>
    <n v="3715.03"/>
    <x v="3"/>
    <x v="4"/>
    <x v="0"/>
  </r>
  <r>
    <s v="ORD01533"/>
    <s v="2024-08-07"/>
    <x v="27"/>
    <x v="26"/>
    <x v="3"/>
    <s v="Paper Ream"/>
    <n v="7"/>
    <n v="59143"/>
    <n v="0.05"/>
    <n v="393300.95"/>
    <n v="67020.289999999994"/>
    <x v="0"/>
    <x v="8"/>
    <x v="0"/>
  </r>
  <r>
    <s v="ORD01534"/>
    <s v="2023-06-13"/>
    <x v="8"/>
    <x v="7"/>
    <x v="0"/>
    <s v="Bed"/>
    <n v="12"/>
    <n v="53784"/>
    <n v="0.05"/>
    <n v="613137.6"/>
    <n v="103071.14"/>
    <x v="3"/>
    <x v="5"/>
    <x v="1"/>
  </r>
  <r>
    <s v="ORD01535"/>
    <s v="2024-11-08"/>
    <x v="14"/>
    <x v="2"/>
    <x v="2"/>
    <s v="Shoes"/>
    <n v="10"/>
    <n v="32291"/>
    <n v="0.15"/>
    <n v="274473.5"/>
    <n v="70711.960000000006"/>
    <x v="3"/>
    <x v="4"/>
    <x v="0"/>
  </r>
  <r>
    <s v="ORD01536"/>
    <s v="2024-09-15"/>
    <x v="38"/>
    <x v="25"/>
    <x v="3"/>
    <s v="Notebook"/>
    <n v="1"/>
    <n v="7486"/>
    <n v="0"/>
    <n v="7486"/>
    <n v="1979.67"/>
    <x v="3"/>
    <x v="10"/>
    <x v="0"/>
  </r>
  <r>
    <s v="ORD01537"/>
    <s v="2023-07-03"/>
    <x v="36"/>
    <x v="23"/>
    <x v="0"/>
    <s v="Desk"/>
    <n v="5"/>
    <n v="47953"/>
    <n v="0.15"/>
    <n v="203800.25"/>
    <n v="54177.120000000003"/>
    <x v="1"/>
    <x v="1"/>
    <x v="1"/>
  </r>
  <r>
    <s v="ORD01538"/>
    <s v="2023-05-25"/>
    <x v="43"/>
    <x v="4"/>
    <x v="0"/>
    <s v="Stool"/>
    <n v="11"/>
    <n v="36545"/>
    <n v="0.15"/>
    <n v="341695.75"/>
    <n v="85672.1"/>
    <x v="3"/>
    <x v="6"/>
    <x v="1"/>
  </r>
  <r>
    <s v="ORD01539"/>
    <s v="2023-03-24"/>
    <x v="49"/>
    <x v="17"/>
    <x v="1"/>
    <s v="Power Bank"/>
    <n v="10"/>
    <n v="4234"/>
    <n v="0.05"/>
    <n v="40223"/>
    <n v="3355.63"/>
    <x v="0"/>
    <x v="7"/>
    <x v="1"/>
  </r>
  <r>
    <s v="ORD01540"/>
    <s v="2024-04-30"/>
    <x v="20"/>
    <x v="21"/>
    <x v="1"/>
    <s v="Laptop"/>
    <n v="1"/>
    <n v="5843"/>
    <n v="0.2"/>
    <n v="4674.3999999999996"/>
    <n v="522.28"/>
    <x v="1"/>
    <x v="2"/>
    <x v="0"/>
  </r>
  <r>
    <s v="ORD01541"/>
    <s v="2023-03-05"/>
    <x v="17"/>
    <x v="17"/>
    <x v="1"/>
    <s v="Power Bank"/>
    <n v="9"/>
    <n v="51611"/>
    <n v="0.05"/>
    <n v="441274.05"/>
    <n v="121935.45"/>
    <x v="0"/>
    <x v="7"/>
    <x v="1"/>
  </r>
  <r>
    <s v="ORD01542"/>
    <s v="2024-10-08"/>
    <x v="48"/>
    <x v="2"/>
    <x v="2"/>
    <s v="Shoes"/>
    <n v="10"/>
    <n v="32851"/>
    <n v="0.1"/>
    <n v="295659"/>
    <n v="43621.87"/>
    <x v="1"/>
    <x v="0"/>
    <x v="0"/>
  </r>
  <r>
    <s v="ORD01543"/>
    <s v="2024-01-01"/>
    <x v="10"/>
    <x v="18"/>
    <x v="0"/>
    <s v="Table"/>
    <n v="7"/>
    <n v="2163"/>
    <n v="0.1"/>
    <n v="13626.9"/>
    <n v="2062.9299999999998"/>
    <x v="1"/>
    <x v="3"/>
    <x v="0"/>
  </r>
  <r>
    <s v="ORD01544"/>
    <s v="2023-06-30"/>
    <x v="19"/>
    <x v="26"/>
    <x v="3"/>
    <s v="Paper Ream"/>
    <n v="1"/>
    <n v="35211"/>
    <n v="0.05"/>
    <n v="33450.449999999997"/>
    <n v="9680.3799999999992"/>
    <x v="1"/>
    <x v="5"/>
    <x v="1"/>
  </r>
  <r>
    <s v="ORD01545"/>
    <s v="2024-08-01"/>
    <x v="45"/>
    <x v="25"/>
    <x v="3"/>
    <s v="Notebook"/>
    <n v="12"/>
    <n v="28014"/>
    <n v="0.1"/>
    <n v="302551.2"/>
    <n v="82877.5"/>
    <x v="3"/>
    <x v="8"/>
    <x v="0"/>
  </r>
  <r>
    <s v="ORD01546"/>
    <s v="2023-04-24"/>
    <x v="27"/>
    <x v="18"/>
    <x v="0"/>
    <s v="Table"/>
    <n v="13"/>
    <n v="22405"/>
    <n v="0"/>
    <n v="291265"/>
    <n v="32283.03"/>
    <x v="0"/>
    <x v="2"/>
    <x v="1"/>
  </r>
  <r>
    <s v="ORD01547"/>
    <s v="2024-04-11"/>
    <x v="35"/>
    <x v="6"/>
    <x v="2"/>
    <s v="Jeans"/>
    <n v="8"/>
    <n v="23856"/>
    <n v="0.15"/>
    <n v="162220.79999999999"/>
    <n v="40586.720000000001"/>
    <x v="2"/>
    <x v="2"/>
    <x v="0"/>
  </r>
  <r>
    <s v="ORD01548"/>
    <s v="2023-08-20"/>
    <x v="42"/>
    <x v="17"/>
    <x v="1"/>
    <s v="Power Bank"/>
    <n v="2"/>
    <n v="10287"/>
    <n v="0.1"/>
    <n v="18516.599999999999"/>
    <n v="3610.97"/>
    <x v="3"/>
    <x v="8"/>
    <x v="1"/>
  </r>
  <r>
    <s v="ORD01549"/>
    <s v="2024-10-18"/>
    <x v="22"/>
    <x v="21"/>
    <x v="1"/>
    <s v="Laptop"/>
    <n v="13"/>
    <n v="50960"/>
    <n v="0.2"/>
    <n v="529984"/>
    <n v="57129.23"/>
    <x v="2"/>
    <x v="0"/>
    <x v="0"/>
  </r>
  <r>
    <s v="ORD01550"/>
    <s v="2023-09-24"/>
    <x v="26"/>
    <x v="2"/>
    <x v="2"/>
    <s v="Shoes"/>
    <n v="15"/>
    <n v="12752"/>
    <n v="0.05"/>
    <n v="181716"/>
    <n v="35956.58"/>
    <x v="1"/>
    <x v="10"/>
    <x v="1"/>
  </r>
  <r>
    <s v="ORD01551"/>
    <s v="2023-08-26"/>
    <x v="34"/>
    <x v="2"/>
    <x v="2"/>
    <s v="Shoes"/>
    <n v="1"/>
    <n v="24843"/>
    <n v="0.2"/>
    <n v="19874.400000000001"/>
    <n v="4351.5"/>
    <x v="2"/>
    <x v="8"/>
    <x v="1"/>
  </r>
  <r>
    <s v="ORD01552"/>
    <s v="2024-01-14"/>
    <x v="14"/>
    <x v="1"/>
    <x v="1"/>
    <s v="Mobile"/>
    <n v="8"/>
    <n v="14067"/>
    <n v="0.15"/>
    <n v="95655.6"/>
    <n v="11641.29"/>
    <x v="2"/>
    <x v="3"/>
    <x v="0"/>
  </r>
  <r>
    <s v="ORD01553"/>
    <s v="2023-11-12"/>
    <x v="35"/>
    <x v="22"/>
    <x v="1"/>
    <s v="Camera"/>
    <n v="1"/>
    <n v="31583"/>
    <n v="0.05"/>
    <n v="30003.85"/>
    <n v="8588.41"/>
    <x v="2"/>
    <x v="4"/>
    <x v="1"/>
  </r>
  <r>
    <s v="ORD01554"/>
    <s v="2023-08-11"/>
    <x v="48"/>
    <x v="19"/>
    <x v="1"/>
    <s v="Smartwatch"/>
    <n v="13"/>
    <n v="28632"/>
    <n v="0.05"/>
    <n v="353605.2"/>
    <n v="54989.45"/>
    <x v="1"/>
    <x v="8"/>
    <x v="1"/>
  </r>
  <r>
    <s v="ORD01555"/>
    <s v="2024-01-16"/>
    <x v="47"/>
    <x v="17"/>
    <x v="1"/>
    <s v="Power Bank"/>
    <n v="14"/>
    <n v="57351"/>
    <n v="0.2"/>
    <n v="642331.19999999995"/>
    <n v="98640.34"/>
    <x v="3"/>
    <x v="3"/>
    <x v="0"/>
  </r>
  <r>
    <s v="ORD01556"/>
    <s v="2023-07-30"/>
    <x v="22"/>
    <x v="23"/>
    <x v="0"/>
    <s v="Desk"/>
    <n v="1"/>
    <n v="35210"/>
    <n v="0.2"/>
    <n v="28168"/>
    <n v="3276.63"/>
    <x v="0"/>
    <x v="1"/>
    <x v="1"/>
  </r>
  <r>
    <s v="ORD01557"/>
    <s v="2024-10-23"/>
    <x v="25"/>
    <x v="18"/>
    <x v="0"/>
    <s v="Table"/>
    <n v="9"/>
    <n v="6366"/>
    <n v="0.05"/>
    <n v="54429.3"/>
    <n v="6629.58"/>
    <x v="0"/>
    <x v="0"/>
    <x v="0"/>
  </r>
  <r>
    <s v="ORD01558"/>
    <s v="2024-10-03"/>
    <x v="12"/>
    <x v="6"/>
    <x v="2"/>
    <s v="Jeans"/>
    <n v="7"/>
    <n v="48629"/>
    <n v="0.05"/>
    <n v="323382.84999999998"/>
    <n v="73404.47"/>
    <x v="0"/>
    <x v="0"/>
    <x v="0"/>
  </r>
  <r>
    <s v="ORD01559"/>
    <s v="2023-09-15"/>
    <x v="47"/>
    <x v="21"/>
    <x v="1"/>
    <s v="Laptop"/>
    <n v="11"/>
    <n v="56908"/>
    <n v="0.05"/>
    <n v="594688.6"/>
    <n v="62647.72"/>
    <x v="0"/>
    <x v="10"/>
    <x v="1"/>
  </r>
  <r>
    <s v="ORD01560"/>
    <s v="2024-05-04"/>
    <x v="10"/>
    <x v="23"/>
    <x v="0"/>
    <s v="Desk"/>
    <n v="11"/>
    <n v="35352"/>
    <n v="0.1"/>
    <n v="349984.8"/>
    <n v="42070.93"/>
    <x v="2"/>
    <x v="6"/>
    <x v="0"/>
  </r>
  <r>
    <s v="ORD01561"/>
    <s v="2023-05-08"/>
    <x v="21"/>
    <x v="21"/>
    <x v="1"/>
    <s v="Laptop"/>
    <n v="13"/>
    <n v="8232"/>
    <n v="0.15"/>
    <n v="90963.6"/>
    <n v="17275"/>
    <x v="2"/>
    <x v="6"/>
    <x v="1"/>
  </r>
  <r>
    <s v="ORD01562"/>
    <s v="2023-07-08"/>
    <x v="0"/>
    <x v="6"/>
    <x v="2"/>
    <s v="Jeans"/>
    <n v="7"/>
    <n v="55354"/>
    <n v="0.15"/>
    <n v="329356.3"/>
    <n v="36283.879999999997"/>
    <x v="0"/>
    <x v="1"/>
    <x v="1"/>
  </r>
  <r>
    <s v="ORD01563"/>
    <s v="2024-05-29"/>
    <x v="8"/>
    <x v="20"/>
    <x v="1"/>
    <s v="Tablet"/>
    <n v="14"/>
    <n v="14382"/>
    <n v="0.05"/>
    <n v="191280.6"/>
    <n v="52997.599999999999"/>
    <x v="1"/>
    <x v="6"/>
    <x v="0"/>
  </r>
  <r>
    <s v="ORD01564"/>
    <s v="2024-06-23"/>
    <x v="22"/>
    <x v="12"/>
    <x v="1"/>
    <s v="Headphones"/>
    <n v="11"/>
    <n v="39217"/>
    <n v="0.15"/>
    <n v="366678.95"/>
    <n v="85103.4"/>
    <x v="1"/>
    <x v="5"/>
    <x v="0"/>
  </r>
  <r>
    <s v="ORD01565"/>
    <s v="2023-01-11"/>
    <x v="2"/>
    <x v="27"/>
    <x v="3"/>
    <s v="File"/>
    <n v="9"/>
    <n v="37457"/>
    <n v="0.05"/>
    <n v="320257.34999999998"/>
    <n v="81556.800000000003"/>
    <x v="1"/>
    <x v="3"/>
    <x v="1"/>
  </r>
  <r>
    <s v="ORD01566"/>
    <s v="2023-08-27"/>
    <x v="44"/>
    <x v="11"/>
    <x v="3"/>
    <s v="Printer"/>
    <n v="13"/>
    <n v="26906"/>
    <n v="0.05"/>
    <n v="332289.09999999998"/>
    <n v="64324.81"/>
    <x v="2"/>
    <x v="8"/>
    <x v="1"/>
  </r>
  <r>
    <s v="ORD01567"/>
    <s v="2024-07-23"/>
    <x v="16"/>
    <x v="19"/>
    <x v="1"/>
    <s v="Smartwatch"/>
    <n v="15"/>
    <n v="19002"/>
    <n v="0.15"/>
    <n v="242275.5"/>
    <n v="35796.11"/>
    <x v="1"/>
    <x v="1"/>
    <x v="0"/>
  </r>
  <r>
    <s v="ORD01568"/>
    <s v="2023-01-08"/>
    <x v="11"/>
    <x v="2"/>
    <x v="2"/>
    <s v="Shoes"/>
    <n v="4"/>
    <n v="5376"/>
    <n v="0.2"/>
    <n v="17203.2"/>
    <n v="1617.11"/>
    <x v="3"/>
    <x v="3"/>
    <x v="1"/>
  </r>
  <r>
    <s v="ORD01569"/>
    <s v="2024-11-09"/>
    <x v="3"/>
    <x v="5"/>
    <x v="0"/>
    <s v="Cupboard"/>
    <n v="2"/>
    <n v="1000"/>
    <n v="0"/>
    <n v="2000"/>
    <n v="283.54000000000002"/>
    <x v="2"/>
    <x v="4"/>
    <x v="0"/>
  </r>
  <r>
    <s v="ORD01570"/>
    <s v="2023-11-10"/>
    <x v="2"/>
    <x v="15"/>
    <x v="0"/>
    <s v="Sofa"/>
    <n v="8"/>
    <n v="30239"/>
    <n v="0.15"/>
    <n v="205625.2"/>
    <n v="49146.19"/>
    <x v="3"/>
    <x v="4"/>
    <x v="1"/>
  </r>
  <r>
    <s v="ORD01571"/>
    <s v="2023-05-23"/>
    <x v="4"/>
    <x v="20"/>
    <x v="1"/>
    <s v="Tablet"/>
    <n v="12"/>
    <n v="2123"/>
    <n v="0.05"/>
    <n v="24202.2"/>
    <n v="5039.9399999999996"/>
    <x v="2"/>
    <x v="6"/>
    <x v="1"/>
  </r>
  <r>
    <s v="ORD01572"/>
    <s v="2023-03-10"/>
    <x v="34"/>
    <x v="27"/>
    <x v="3"/>
    <s v="File"/>
    <n v="7"/>
    <n v="56094"/>
    <n v="0.05"/>
    <n v="373025.1"/>
    <n v="39937.160000000003"/>
    <x v="2"/>
    <x v="7"/>
    <x v="1"/>
  </r>
  <r>
    <s v="ORD01573"/>
    <s v="2023-07-09"/>
    <x v="5"/>
    <x v="25"/>
    <x v="3"/>
    <s v="Notebook"/>
    <n v="13"/>
    <n v="9478"/>
    <n v="0.1"/>
    <n v="110892.6"/>
    <n v="16196.76"/>
    <x v="2"/>
    <x v="1"/>
    <x v="1"/>
  </r>
  <r>
    <s v="ORD01574"/>
    <s v="2024-08-20"/>
    <x v="20"/>
    <x v="11"/>
    <x v="3"/>
    <s v="Printer"/>
    <n v="10"/>
    <n v="53805"/>
    <n v="0.15"/>
    <n v="457342.5"/>
    <n v="117803.31"/>
    <x v="3"/>
    <x v="8"/>
    <x v="0"/>
  </r>
  <r>
    <s v="ORD01575"/>
    <s v="2023-08-26"/>
    <x v="15"/>
    <x v="8"/>
    <x v="2"/>
    <s v="Sweater"/>
    <n v="5"/>
    <n v="19353"/>
    <n v="0.05"/>
    <n v="91926.75"/>
    <n v="14726.33"/>
    <x v="0"/>
    <x v="8"/>
    <x v="1"/>
  </r>
  <r>
    <s v="ORD01576"/>
    <s v="2023-08-14"/>
    <x v="44"/>
    <x v="13"/>
    <x v="2"/>
    <s v="Jacket"/>
    <n v="1"/>
    <n v="12422"/>
    <n v="0.15"/>
    <n v="10558.7"/>
    <n v="880.43"/>
    <x v="1"/>
    <x v="8"/>
    <x v="1"/>
  </r>
  <r>
    <s v="ORD01577"/>
    <s v="2023-10-13"/>
    <x v="21"/>
    <x v="2"/>
    <x v="2"/>
    <s v="Shoes"/>
    <n v="10"/>
    <n v="55579"/>
    <n v="0.2"/>
    <n v="444632"/>
    <n v="66609.23"/>
    <x v="3"/>
    <x v="0"/>
    <x v="1"/>
  </r>
  <r>
    <s v="ORD01578"/>
    <s v="2023-04-03"/>
    <x v="27"/>
    <x v="0"/>
    <x v="0"/>
    <s v="Chair"/>
    <n v="6"/>
    <n v="18449"/>
    <n v="0.15"/>
    <n v="94089.9"/>
    <n v="27403.7"/>
    <x v="3"/>
    <x v="2"/>
    <x v="1"/>
  </r>
  <r>
    <s v="ORD01579"/>
    <s v="2024-05-22"/>
    <x v="22"/>
    <x v="8"/>
    <x v="2"/>
    <s v="Sweater"/>
    <n v="9"/>
    <n v="28221"/>
    <n v="0.05"/>
    <n v="241289.55"/>
    <n v="42347.26"/>
    <x v="2"/>
    <x v="6"/>
    <x v="0"/>
  </r>
  <r>
    <s v="ORD01580"/>
    <s v="2024-09-15"/>
    <x v="21"/>
    <x v="26"/>
    <x v="3"/>
    <s v="Paper Ream"/>
    <n v="6"/>
    <n v="23569"/>
    <n v="0.2"/>
    <n v="113131.2"/>
    <n v="21330.93"/>
    <x v="3"/>
    <x v="10"/>
    <x v="0"/>
  </r>
  <r>
    <s v="ORD01581"/>
    <s v="2023-06-24"/>
    <x v="22"/>
    <x v="7"/>
    <x v="0"/>
    <s v="Bed"/>
    <n v="12"/>
    <n v="39531"/>
    <n v="0.15"/>
    <n v="403216.2"/>
    <n v="89656.82"/>
    <x v="3"/>
    <x v="5"/>
    <x v="1"/>
  </r>
  <r>
    <s v="ORD01582"/>
    <s v="2023-04-14"/>
    <x v="11"/>
    <x v="8"/>
    <x v="2"/>
    <s v="Sweater"/>
    <n v="14"/>
    <n v="49766"/>
    <n v="0.1"/>
    <n v="627051.6"/>
    <n v="138597.03"/>
    <x v="2"/>
    <x v="2"/>
    <x v="1"/>
  </r>
  <r>
    <s v="ORD01583"/>
    <s v="2023-10-17"/>
    <x v="3"/>
    <x v="0"/>
    <x v="0"/>
    <s v="Chair"/>
    <n v="7"/>
    <n v="50451"/>
    <n v="0"/>
    <n v="353157"/>
    <n v="29227.55"/>
    <x v="3"/>
    <x v="0"/>
    <x v="1"/>
  </r>
  <r>
    <s v="ORD01584"/>
    <s v="2023-07-16"/>
    <x v="38"/>
    <x v="13"/>
    <x v="2"/>
    <s v="Jacket"/>
    <n v="4"/>
    <n v="52711"/>
    <n v="0.05"/>
    <n v="200301.8"/>
    <n v="23586.22"/>
    <x v="3"/>
    <x v="1"/>
    <x v="1"/>
  </r>
  <r>
    <s v="ORD01585"/>
    <s v="2024-07-19"/>
    <x v="22"/>
    <x v="1"/>
    <x v="1"/>
    <s v="Mobile"/>
    <n v="9"/>
    <n v="21218"/>
    <n v="0.2"/>
    <n v="152769.60000000001"/>
    <n v="19701.439999999999"/>
    <x v="2"/>
    <x v="1"/>
    <x v="0"/>
  </r>
  <r>
    <s v="ORD01586"/>
    <s v="2024-10-10"/>
    <x v="44"/>
    <x v="25"/>
    <x v="3"/>
    <s v="Notebook"/>
    <n v="1"/>
    <n v="26349"/>
    <n v="0.1"/>
    <n v="23714.1"/>
    <n v="6569.09"/>
    <x v="0"/>
    <x v="0"/>
    <x v="0"/>
  </r>
  <r>
    <s v="ORD01587"/>
    <s v="2023-02-21"/>
    <x v="36"/>
    <x v="19"/>
    <x v="1"/>
    <s v="Smartwatch"/>
    <n v="5"/>
    <n v="21124"/>
    <n v="0.05"/>
    <n v="100339"/>
    <n v="16679.45"/>
    <x v="3"/>
    <x v="11"/>
    <x v="1"/>
  </r>
  <r>
    <s v="ORD01588"/>
    <s v="2024-11-09"/>
    <x v="1"/>
    <x v="11"/>
    <x v="3"/>
    <s v="Printer"/>
    <n v="12"/>
    <n v="44808"/>
    <n v="0.1"/>
    <n v="483926.4"/>
    <n v="65401.11"/>
    <x v="0"/>
    <x v="4"/>
    <x v="0"/>
  </r>
  <r>
    <s v="ORD01589"/>
    <s v="2024-10-24"/>
    <x v="49"/>
    <x v="3"/>
    <x v="3"/>
    <s v="Stapler"/>
    <n v="12"/>
    <n v="13837"/>
    <n v="0.05"/>
    <n v="157741.79999999999"/>
    <n v="45252.11"/>
    <x v="0"/>
    <x v="0"/>
    <x v="0"/>
  </r>
  <r>
    <s v="ORD01590"/>
    <s v="2024-08-19"/>
    <x v="9"/>
    <x v="20"/>
    <x v="1"/>
    <s v="Tablet"/>
    <n v="5"/>
    <n v="19264"/>
    <n v="0.2"/>
    <n v="77056"/>
    <n v="14231.65"/>
    <x v="3"/>
    <x v="8"/>
    <x v="0"/>
  </r>
  <r>
    <s v="ORD01591"/>
    <s v="2023-03-27"/>
    <x v="15"/>
    <x v="1"/>
    <x v="1"/>
    <s v="Mobile"/>
    <n v="5"/>
    <n v="47616"/>
    <n v="0"/>
    <n v="238080"/>
    <n v="25576.18"/>
    <x v="1"/>
    <x v="7"/>
    <x v="1"/>
  </r>
  <r>
    <s v="ORD01592"/>
    <s v="2023-02-06"/>
    <x v="26"/>
    <x v="18"/>
    <x v="0"/>
    <s v="Table"/>
    <n v="4"/>
    <n v="31721"/>
    <n v="0.1"/>
    <n v="114195.6"/>
    <n v="12692.78"/>
    <x v="2"/>
    <x v="11"/>
    <x v="1"/>
  </r>
  <r>
    <s v="ORD01593"/>
    <s v="2023-12-15"/>
    <x v="18"/>
    <x v="20"/>
    <x v="1"/>
    <s v="Tablet"/>
    <n v="14"/>
    <n v="26555"/>
    <n v="0.1"/>
    <n v="334593"/>
    <n v="62247.87"/>
    <x v="3"/>
    <x v="9"/>
    <x v="1"/>
  </r>
  <r>
    <s v="ORD01594"/>
    <s v="2023-09-22"/>
    <x v="49"/>
    <x v="21"/>
    <x v="1"/>
    <s v="Laptop"/>
    <n v="14"/>
    <n v="19467"/>
    <n v="0.05"/>
    <n v="258911.1"/>
    <n v="66494.509999999995"/>
    <x v="0"/>
    <x v="10"/>
    <x v="1"/>
  </r>
  <r>
    <s v="ORD01595"/>
    <s v="2024-05-03"/>
    <x v="14"/>
    <x v="13"/>
    <x v="2"/>
    <s v="Jacket"/>
    <n v="14"/>
    <n v="39364"/>
    <n v="0"/>
    <n v="551096"/>
    <n v="153701.85"/>
    <x v="1"/>
    <x v="6"/>
    <x v="0"/>
  </r>
  <r>
    <s v="ORD01596"/>
    <s v="2023-02-28"/>
    <x v="35"/>
    <x v="6"/>
    <x v="2"/>
    <s v="Jeans"/>
    <n v="10"/>
    <n v="45681"/>
    <n v="0.2"/>
    <n v="365448"/>
    <n v="99910.14"/>
    <x v="1"/>
    <x v="11"/>
    <x v="1"/>
  </r>
  <r>
    <s v="ORD01597"/>
    <s v="2023-09-25"/>
    <x v="2"/>
    <x v="10"/>
    <x v="3"/>
    <s v="Marker"/>
    <n v="5"/>
    <n v="36099"/>
    <n v="0.15"/>
    <n v="153420.75"/>
    <n v="21842.42"/>
    <x v="2"/>
    <x v="10"/>
    <x v="1"/>
  </r>
  <r>
    <s v="ORD01598"/>
    <s v="2023-03-12"/>
    <x v="49"/>
    <x v="17"/>
    <x v="1"/>
    <s v="Power Bank"/>
    <n v="14"/>
    <n v="51893"/>
    <n v="0"/>
    <n v="726502"/>
    <n v="64867.23"/>
    <x v="2"/>
    <x v="7"/>
    <x v="1"/>
  </r>
  <r>
    <s v="ORD01599"/>
    <s v="2023-03-16"/>
    <x v="23"/>
    <x v="10"/>
    <x v="3"/>
    <s v="Marker"/>
    <n v="13"/>
    <n v="23830"/>
    <n v="0.2"/>
    <n v="247832"/>
    <n v="51389.51"/>
    <x v="2"/>
    <x v="7"/>
    <x v="1"/>
  </r>
  <r>
    <s v="ORD01600"/>
    <s v="2024-11-07"/>
    <x v="23"/>
    <x v="15"/>
    <x v="0"/>
    <s v="Sofa"/>
    <n v="7"/>
    <n v="43488"/>
    <n v="0.1"/>
    <n v="273974.40000000002"/>
    <n v="30595.49"/>
    <x v="1"/>
    <x v="4"/>
    <x v="0"/>
  </r>
  <r>
    <s v="ORD01601"/>
    <s v="2024-08-22"/>
    <x v="6"/>
    <x v="24"/>
    <x v="2"/>
    <s v="T-Shirt"/>
    <n v="13"/>
    <n v="22183"/>
    <n v="0.1"/>
    <n v="259541.1"/>
    <n v="73997.740000000005"/>
    <x v="3"/>
    <x v="8"/>
    <x v="0"/>
  </r>
  <r>
    <s v="ORD01602"/>
    <s v="2024-05-01"/>
    <x v="18"/>
    <x v="22"/>
    <x v="1"/>
    <s v="Camera"/>
    <n v="1"/>
    <n v="53090"/>
    <n v="0.15"/>
    <n v="45126.5"/>
    <n v="6870.12"/>
    <x v="2"/>
    <x v="6"/>
    <x v="0"/>
  </r>
  <r>
    <s v="ORD01603"/>
    <s v="2024-02-08"/>
    <x v="45"/>
    <x v="22"/>
    <x v="1"/>
    <s v="Camera"/>
    <n v="7"/>
    <n v="11334"/>
    <n v="0.15"/>
    <n v="67437.3"/>
    <n v="12441.85"/>
    <x v="3"/>
    <x v="11"/>
    <x v="0"/>
  </r>
  <r>
    <s v="ORD01604"/>
    <s v="2023-09-19"/>
    <x v="23"/>
    <x v="20"/>
    <x v="1"/>
    <s v="Tablet"/>
    <n v="11"/>
    <n v="27812"/>
    <n v="0"/>
    <n v="305932"/>
    <n v="64953.49"/>
    <x v="1"/>
    <x v="10"/>
    <x v="1"/>
  </r>
  <r>
    <s v="ORD01605"/>
    <s v="2023-03-26"/>
    <x v="12"/>
    <x v="16"/>
    <x v="3"/>
    <s v="Pen"/>
    <n v="11"/>
    <n v="36059"/>
    <n v="0.2"/>
    <n v="317319.2"/>
    <n v="79999.59"/>
    <x v="3"/>
    <x v="7"/>
    <x v="1"/>
  </r>
  <r>
    <s v="ORD01606"/>
    <s v="2024-07-22"/>
    <x v="28"/>
    <x v="9"/>
    <x v="1"/>
    <s v="Keyboard"/>
    <n v="11"/>
    <n v="58552"/>
    <n v="0.2"/>
    <n v="515257.59999999998"/>
    <n v="107509.52"/>
    <x v="0"/>
    <x v="1"/>
    <x v="0"/>
  </r>
  <r>
    <s v="ORD01607"/>
    <s v="2023-10-27"/>
    <x v="15"/>
    <x v="14"/>
    <x v="2"/>
    <s v="Dress"/>
    <n v="15"/>
    <n v="47433"/>
    <n v="0.05"/>
    <n v="675920.25"/>
    <n v="124388.75"/>
    <x v="0"/>
    <x v="0"/>
    <x v="1"/>
  </r>
  <r>
    <s v="ORD01608"/>
    <s v="2023-04-24"/>
    <x v="11"/>
    <x v="16"/>
    <x v="3"/>
    <s v="Pen"/>
    <n v="2"/>
    <n v="46498"/>
    <n v="0.1"/>
    <n v="83696.399999999994"/>
    <n v="9039.93"/>
    <x v="3"/>
    <x v="2"/>
    <x v="1"/>
  </r>
  <r>
    <s v="ORD01609"/>
    <s v="2024-05-18"/>
    <x v="12"/>
    <x v="18"/>
    <x v="0"/>
    <s v="Table"/>
    <n v="15"/>
    <n v="5204"/>
    <n v="0.1"/>
    <n v="70254"/>
    <n v="5689.69"/>
    <x v="0"/>
    <x v="6"/>
    <x v="0"/>
  </r>
  <r>
    <s v="ORD01610"/>
    <s v="2024-09-05"/>
    <x v="6"/>
    <x v="22"/>
    <x v="1"/>
    <s v="Camera"/>
    <n v="15"/>
    <n v="8031"/>
    <n v="0"/>
    <n v="120465"/>
    <n v="23816.639999999999"/>
    <x v="3"/>
    <x v="10"/>
    <x v="0"/>
  </r>
  <r>
    <s v="ORD01611"/>
    <s v="2024-01-13"/>
    <x v="32"/>
    <x v="20"/>
    <x v="1"/>
    <s v="Tablet"/>
    <n v="2"/>
    <n v="40972"/>
    <n v="0.2"/>
    <n v="65555.199999999997"/>
    <n v="8946.0499999999993"/>
    <x v="1"/>
    <x v="3"/>
    <x v="0"/>
  </r>
  <r>
    <s v="ORD01612"/>
    <s v="2024-06-01"/>
    <x v="32"/>
    <x v="26"/>
    <x v="3"/>
    <s v="Paper Ream"/>
    <n v="13"/>
    <n v="26427"/>
    <n v="0.05"/>
    <n v="326373.45"/>
    <n v="66347.44"/>
    <x v="3"/>
    <x v="5"/>
    <x v="0"/>
  </r>
  <r>
    <s v="ORD01613"/>
    <s v="2023-09-07"/>
    <x v="25"/>
    <x v="13"/>
    <x v="2"/>
    <s v="Jacket"/>
    <n v="14"/>
    <n v="45742"/>
    <n v="0.1"/>
    <n v="576349.19999999995"/>
    <n v="52023.05"/>
    <x v="1"/>
    <x v="10"/>
    <x v="1"/>
  </r>
  <r>
    <s v="ORD01614"/>
    <s v="2023-08-07"/>
    <x v="9"/>
    <x v="6"/>
    <x v="2"/>
    <s v="Jeans"/>
    <n v="9"/>
    <n v="19037"/>
    <n v="0.1"/>
    <n v="154199.70000000001"/>
    <n v="16856.16"/>
    <x v="3"/>
    <x v="8"/>
    <x v="1"/>
  </r>
  <r>
    <s v="ORD01615"/>
    <s v="2023-05-27"/>
    <x v="1"/>
    <x v="20"/>
    <x v="1"/>
    <s v="Tablet"/>
    <n v="1"/>
    <n v="26121"/>
    <n v="0"/>
    <n v="26121"/>
    <n v="2215.9299999999998"/>
    <x v="2"/>
    <x v="6"/>
    <x v="1"/>
  </r>
  <r>
    <s v="ORD01616"/>
    <s v="2023-10-25"/>
    <x v="26"/>
    <x v="23"/>
    <x v="0"/>
    <s v="Desk"/>
    <n v="1"/>
    <n v="12698"/>
    <n v="0.05"/>
    <n v="12063.1"/>
    <n v="1092.25"/>
    <x v="0"/>
    <x v="0"/>
    <x v="1"/>
  </r>
  <r>
    <s v="ORD01617"/>
    <s v="2024-07-05"/>
    <x v="3"/>
    <x v="9"/>
    <x v="1"/>
    <s v="Keyboard"/>
    <n v="3"/>
    <n v="7435"/>
    <n v="0.1"/>
    <n v="20074.5"/>
    <n v="4233.3"/>
    <x v="2"/>
    <x v="1"/>
    <x v="0"/>
  </r>
  <r>
    <s v="ORD01618"/>
    <s v="2024-09-19"/>
    <x v="4"/>
    <x v="18"/>
    <x v="0"/>
    <s v="Table"/>
    <n v="12"/>
    <n v="30815"/>
    <n v="0.2"/>
    <n v="295824"/>
    <n v="73350.960000000006"/>
    <x v="1"/>
    <x v="10"/>
    <x v="0"/>
  </r>
  <r>
    <s v="ORD01619"/>
    <s v="2024-08-20"/>
    <x v="1"/>
    <x v="12"/>
    <x v="1"/>
    <s v="Headphones"/>
    <n v="3"/>
    <n v="18043"/>
    <n v="0"/>
    <n v="54129"/>
    <n v="4572.16"/>
    <x v="3"/>
    <x v="8"/>
    <x v="0"/>
  </r>
  <r>
    <s v="ORD01620"/>
    <s v="2024-09-13"/>
    <x v="17"/>
    <x v="17"/>
    <x v="1"/>
    <s v="Power Bank"/>
    <n v="4"/>
    <n v="12084"/>
    <n v="0.1"/>
    <n v="43502.400000000001"/>
    <n v="9236.9"/>
    <x v="0"/>
    <x v="10"/>
    <x v="0"/>
  </r>
  <r>
    <s v="ORD01621"/>
    <s v="2023-07-09"/>
    <x v="21"/>
    <x v="15"/>
    <x v="0"/>
    <s v="Sofa"/>
    <n v="2"/>
    <n v="33610"/>
    <n v="0"/>
    <n v="67220"/>
    <n v="12532.4"/>
    <x v="0"/>
    <x v="1"/>
    <x v="1"/>
  </r>
  <r>
    <s v="ORD01622"/>
    <s v="2024-08-17"/>
    <x v="0"/>
    <x v="5"/>
    <x v="0"/>
    <s v="Cupboard"/>
    <n v="14"/>
    <n v="41037"/>
    <n v="0.15"/>
    <n v="488340.3"/>
    <n v="79276.11"/>
    <x v="3"/>
    <x v="8"/>
    <x v="0"/>
  </r>
  <r>
    <s v="ORD01623"/>
    <s v="2023-04-18"/>
    <x v="45"/>
    <x v="10"/>
    <x v="3"/>
    <s v="Marker"/>
    <n v="8"/>
    <n v="24312"/>
    <n v="0.15"/>
    <n v="165321.60000000001"/>
    <n v="39239.29"/>
    <x v="3"/>
    <x v="2"/>
    <x v="1"/>
  </r>
  <r>
    <s v="ORD01624"/>
    <s v="2024-09-08"/>
    <x v="42"/>
    <x v="11"/>
    <x v="3"/>
    <s v="Printer"/>
    <n v="7"/>
    <n v="20575"/>
    <n v="0.1"/>
    <n v="129622.5"/>
    <n v="36606.35"/>
    <x v="0"/>
    <x v="10"/>
    <x v="0"/>
  </r>
  <r>
    <s v="ORD01625"/>
    <s v="2023-10-27"/>
    <x v="15"/>
    <x v="19"/>
    <x v="1"/>
    <s v="Smartwatch"/>
    <n v="9"/>
    <n v="40267"/>
    <n v="0.2"/>
    <n v="289922.40000000002"/>
    <n v="39899.49"/>
    <x v="1"/>
    <x v="0"/>
    <x v="1"/>
  </r>
  <r>
    <s v="ORD01626"/>
    <s v="2023-03-14"/>
    <x v="45"/>
    <x v="4"/>
    <x v="0"/>
    <s v="Stool"/>
    <n v="3"/>
    <n v="37854"/>
    <n v="0.15"/>
    <n v="96527.7"/>
    <n v="9009.85"/>
    <x v="2"/>
    <x v="7"/>
    <x v="1"/>
  </r>
  <r>
    <s v="ORD01627"/>
    <s v="2023-09-09"/>
    <x v="41"/>
    <x v="8"/>
    <x v="2"/>
    <s v="Sweater"/>
    <n v="13"/>
    <n v="30026"/>
    <n v="0.1"/>
    <n v="351304.2"/>
    <n v="57502.22"/>
    <x v="1"/>
    <x v="10"/>
    <x v="1"/>
  </r>
  <r>
    <s v="ORD01628"/>
    <s v="2023-11-04"/>
    <x v="41"/>
    <x v="26"/>
    <x v="3"/>
    <s v="Paper Ream"/>
    <n v="2"/>
    <n v="56942"/>
    <n v="0.2"/>
    <n v="91107.199999999997"/>
    <n v="15501.23"/>
    <x v="0"/>
    <x v="4"/>
    <x v="1"/>
  </r>
  <r>
    <s v="ORD01629"/>
    <s v="2023-01-27"/>
    <x v="39"/>
    <x v="17"/>
    <x v="1"/>
    <s v="Power Bank"/>
    <n v="12"/>
    <n v="15832"/>
    <n v="0"/>
    <n v="189984"/>
    <n v="18566.080000000002"/>
    <x v="0"/>
    <x v="3"/>
    <x v="1"/>
  </r>
  <r>
    <s v="ORD01630"/>
    <s v="2023-05-22"/>
    <x v="6"/>
    <x v="17"/>
    <x v="1"/>
    <s v="Power Bank"/>
    <n v="13"/>
    <n v="54479"/>
    <n v="0.15"/>
    <n v="601992.94999999995"/>
    <n v="126170.93"/>
    <x v="0"/>
    <x v="6"/>
    <x v="1"/>
  </r>
  <r>
    <s v="ORD01631"/>
    <s v="2023-06-17"/>
    <x v="37"/>
    <x v="23"/>
    <x v="0"/>
    <s v="Desk"/>
    <n v="8"/>
    <n v="6075"/>
    <n v="0"/>
    <n v="48600"/>
    <n v="5353.67"/>
    <x v="0"/>
    <x v="5"/>
    <x v="1"/>
  </r>
  <r>
    <s v="ORD01632"/>
    <s v="2023-05-20"/>
    <x v="14"/>
    <x v="2"/>
    <x v="2"/>
    <s v="Shoes"/>
    <n v="12"/>
    <n v="8902"/>
    <n v="0.15"/>
    <n v="90800.4"/>
    <n v="20256.080000000002"/>
    <x v="3"/>
    <x v="6"/>
    <x v="1"/>
  </r>
  <r>
    <s v="ORD01633"/>
    <s v="2024-01-20"/>
    <x v="2"/>
    <x v="10"/>
    <x v="3"/>
    <s v="Marker"/>
    <n v="15"/>
    <n v="38591"/>
    <n v="0.15"/>
    <n v="492035.25"/>
    <n v="111116.06"/>
    <x v="1"/>
    <x v="3"/>
    <x v="0"/>
  </r>
  <r>
    <s v="ORD01634"/>
    <s v="2023-03-03"/>
    <x v="26"/>
    <x v="22"/>
    <x v="1"/>
    <s v="Camera"/>
    <n v="4"/>
    <n v="11856"/>
    <n v="0.05"/>
    <n v="45052.800000000003"/>
    <n v="5518.86"/>
    <x v="3"/>
    <x v="7"/>
    <x v="1"/>
  </r>
  <r>
    <s v="ORD01635"/>
    <s v="2024-04-24"/>
    <x v="12"/>
    <x v="8"/>
    <x v="2"/>
    <s v="Sweater"/>
    <n v="5"/>
    <n v="15608"/>
    <n v="0.2"/>
    <n v="62432"/>
    <n v="5445.55"/>
    <x v="1"/>
    <x v="2"/>
    <x v="0"/>
  </r>
  <r>
    <s v="ORD01636"/>
    <s v="2023-04-28"/>
    <x v="31"/>
    <x v="20"/>
    <x v="1"/>
    <s v="Tablet"/>
    <n v="4"/>
    <n v="57294"/>
    <n v="0"/>
    <n v="229176"/>
    <n v="23842.42"/>
    <x v="2"/>
    <x v="2"/>
    <x v="1"/>
  </r>
  <r>
    <s v="ORD01637"/>
    <s v="2023-03-15"/>
    <x v="48"/>
    <x v="7"/>
    <x v="0"/>
    <s v="Bed"/>
    <n v="2"/>
    <n v="49516"/>
    <n v="0.2"/>
    <n v="79225.600000000006"/>
    <n v="16284.47"/>
    <x v="2"/>
    <x v="7"/>
    <x v="1"/>
  </r>
  <r>
    <s v="ORD01638"/>
    <s v="2023-02-11"/>
    <x v="8"/>
    <x v="7"/>
    <x v="0"/>
    <s v="Bed"/>
    <n v="15"/>
    <n v="12320"/>
    <n v="0.05"/>
    <n v="175560"/>
    <n v="42179.12"/>
    <x v="0"/>
    <x v="11"/>
    <x v="1"/>
  </r>
  <r>
    <s v="ORD01639"/>
    <s v="2024-02-06"/>
    <x v="27"/>
    <x v="14"/>
    <x v="2"/>
    <s v="Dress"/>
    <n v="11"/>
    <n v="31195"/>
    <n v="0.05"/>
    <n v="325987.75"/>
    <n v="89001.99"/>
    <x v="2"/>
    <x v="11"/>
    <x v="0"/>
  </r>
  <r>
    <s v="ORD01640"/>
    <s v="2024-05-28"/>
    <x v="17"/>
    <x v="17"/>
    <x v="1"/>
    <s v="Power Bank"/>
    <n v="10"/>
    <n v="58921"/>
    <n v="0.15"/>
    <n v="500828.5"/>
    <n v="90878.42"/>
    <x v="1"/>
    <x v="6"/>
    <x v="0"/>
  </r>
  <r>
    <s v="ORD01641"/>
    <s v="2023-10-19"/>
    <x v="29"/>
    <x v="6"/>
    <x v="2"/>
    <s v="Jeans"/>
    <n v="7"/>
    <n v="18168"/>
    <n v="0.05"/>
    <n v="120817.2"/>
    <n v="36154.54"/>
    <x v="2"/>
    <x v="0"/>
    <x v="1"/>
  </r>
  <r>
    <s v="ORD01642"/>
    <s v="2024-06-22"/>
    <x v="39"/>
    <x v="14"/>
    <x v="2"/>
    <s v="Dress"/>
    <n v="6"/>
    <n v="32060"/>
    <n v="0"/>
    <n v="192360"/>
    <n v="39660.199999999997"/>
    <x v="1"/>
    <x v="5"/>
    <x v="0"/>
  </r>
  <r>
    <s v="ORD01643"/>
    <s v="2024-06-26"/>
    <x v="48"/>
    <x v="12"/>
    <x v="1"/>
    <s v="Headphones"/>
    <n v="13"/>
    <n v="35065"/>
    <n v="0.1"/>
    <n v="410260.5"/>
    <n v="38472.03"/>
    <x v="0"/>
    <x v="5"/>
    <x v="0"/>
  </r>
  <r>
    <s v="ORD01644"/>
    <s v="2023-05-01"/>
    <x v="3"/>
    <x v="12"/>
    <x v="1"/>
    <s v="Headphones"/>
    <n v="3"/>
    <n v="31821"/>
    <n v="0.2"/>
    <n v="76370.399999999994"/>
    <n v="22287.66"/>
    <x v="1"/>
    <x v="6"/>
    <x v="1"/>
  </r>
  <r>
    <s v="ORD01645"/>
    <s v="2023-04-08"/>
    <x v="45"/>
    <x v="27"/>
    <x v="3"/>
    <s v="File"/>
    <n v="8"/>
    <n v="1445"/>
    <n v="0.05"/>
    <n v="10982"/>
    <n v="1059.4100000000001"/>
    <x v="0"/>
    <x v="2"/>
    <x v="1"/>
  </r>
  <r>
    <s v="ORD01646"/>
    <s v="2023-06-04"/>
    <x v="3"/>
    <x v="19"/>
    <x v="1"/>
    <s v="Smartwatch"/>
    <n v="13"/>
    <n v="44499"/>
    <n v="0.2"/>
    <n v="462789.6"/>
    <n v="103868.01"/>
    <x v="3"/>
    <x v="5"/>
    <x v="1"/>
  </r>
  <r>
    <s v="ORD01647"/>
    <s v="2024-08-12"/>
    <x v="24"/>
    <x v="16"/>
    <x v="3"/>
    <s v="Pen"/>
    <n v="6"/>
    <n v="25079"/>
    <n v="0.1"/>
    <n v="135426.6"/>
    <n v="38481.599999999999"/>
    <x v="2"/>
    <x v="8"/>
    <x v="0"/>
  </r>
  <r>
    <s v="ORD01648"/>
    <s v="2024-05-30"/>
    <x v="43"/>
    <x v="25"/>
    <x v="3"/>
    <s v="Notebook"/>
    <n v="14"/>
    <n v="2181"/>
    <n v="0"/>
    <n v="30534"/>
    <n v="5189.26"/>
    <x v="3"/>
    <x v="6"/>
    <x v="0"/>
  </r>
  <r>
    <s v="ORD01649"/>
    <s v="2023-08-01"/>
    <x v="1"/>
    <x v="2"/>
    <x v="2"/>
    <s v="Shoes"/>
    <n v="6"/>
    <n v="3286"/>
    <n v="0.2"/>
    <n v="15772.8"/>
    <n v="3074.59"/>
    <x v="1"/>
    <x v="8"/>
    <x v="1"/>
  </r>
  <r>
    <s v="ORD01650"/>
    <s v="2024-03-20"/>
    <x v="17"/>
    <x v="15"/>
    <x v="0"/>
    <s v="Sofa"/>
    <n v="1"/>
    <n v="28055"/>
    <n v="0.2"/>
    <n v="22444"/>
    <n v="4875.42"/>
    <x v="1"/>
    <x v="7"/>
    <x v="0"/>
  </r>
  <r>
    <s v="ORD01651"/>
    <s v="2024-07-18"/>
    <x v="38"/>
    <x v="20"/>
    <x v="1"/>
    <s v="Tablet"/>
    <n v="13"/>
    <n v="56789"/>
    <n v="0"/>
    <n v="738257"/>
    <n v="108591.62"/>
    <x v="2"/>
    <x v="1"/>
    <x v="0"/>
  </r>
  <r>
    <s v="ORD01652"/>
    <s v="2023-10-06"/>
    <x v="26"/>
    <x v="15"/>
    <x v="0"/>
    <s v="Sofa"/>
    <n v="12"/>
    <n v="54138"/>
    <n v="0.2"/>
    <n v="519724.79999999999"/>
    <n v="71151.649999999994"/>
    <x v="0"/>
    <x v="0"/>
    <x v="1"/>
  </r>
  <r>
    <s v="ORD01653"/>
    <s v="2023-07-13"/>
    <x v="7"/>
    <x v="0"/>
    <x v="0"/>
    <s v="Chair"/>
    <n v="8"/>
    <n v="51204"/>
    <n v="0.05"/>
    <n v="389150.4"/>
    <n v="73571.070000000007"/>
    <x v="2"/>
    <x v="1"/>
    <x v="1"/>
  </r>
  <r>
    <s v="ORD01654"/>
    <s v="2023-03-13"/>
    <x v="8"/>
    <x v="4"/>
    <x v="0"/>
    <s v="Stool"/>
    <n v="1"/>
    <n v="52505"/>
    <n v="0.15"/>
    <n v="44629.25"/>
    <n v="9027.0499999999993"/>
    <x v="2"/>
    <x v="7"/>
    <x v="1"/>
  </r>
  <r>
    <s v="ORD01655"/>
    <s v="2023-09-07"/>
    <x v="15"/>
    <x v="7"/>
    <x v="0"/>
    <s v="Bed"/>
    <n v="8"/>
    <n v="33195"/>
    <n v="0.15"/>
    <n v="225726"/>
    <n v="46199.31"/>
    <x v="2"/>
    <x v="10"/>
    <x v="1"/>
  </r>
  <r>
    <s v="ORD01656"/>
    <s v="2023-04-20"/>
    <x v="35"/>
    <x v="1"/>
    <x v="1"/>
    <s v="Mobile"/>
    <n v="14"/>
    <n v="3862"/>
    <n v="0.15"/>
    <n v="45957.8"/>
    <n v="8897.89"/>
    <x v="0"/>
    <x v="2"/>
    <x v="1"/>
  </r>
  <r>
    <s v="ORD01657"/>
    <s v="2023-02-15"/>
    <x v="17"/>
    <x v="11"/>
    <x v="3"/>
    <s v="Printer"/>
    <n v="9"/>
    <n v="44976"/>
    <n v="0.15"/>
    <n v="344066.4"/>
    <n v="29175.85"/>
    <x v="3"/>
    <x v="11"/>
    <x v="1"/>
  </r>
  <r>
    <s v="ORD01658"/>
    <s v="2023-11-11"/>
    <x v="3"/>
    <x v="6"/>
    <x v="2"/>
    <s v="Jeans"/>
    <n v="15"/>
    <n v="26358"/>
    <n v="0"/>
    <n v="395370"/>
    <n v="102259.28"/>
    <x v="3"/>
    <x v="4"/>
    <x v="1"/>
  </r>
  <r>
    <s v="ORD01659"/>
    <s v="2024-06-05"/>
    <x v="45"/>
    <x v="5"/>
    <x v="0"/>
    <s v="Cupboard"/>
    <n v="5"/>
    <n v="48298"/>
    <n v="0.1"/>
    <n v="217341"/>
    <n v="50270.07"/>
    <x v="2"/>
    <x v="5"/>
    <x v="0"/>
  </r>
  <r>
    <s v="ORD01660"/>
    <s v="2023-09-27"/>
    <x v="1"/>
    <x v="11"/>
    <x v="3"/>
    <s v="Printer"/>
    <n v="10"/>
    <n v="4090"/>
    <n v="0.05"/>
    <n v="38855"/>
    <n v="7300.35"/>
    <x v="3"/>
    <x v="10"/>
    <x v="1"/>
  </r>
  <r>
    <s v="ORD01661"/>
    <s v="2023-09-24"/>
    <x v="13"/>
    <x v="7"/>
    <x v="0"/>
    <s v="Bed"/>
    <n v="2"/>
    <n v="50891"/>
    <n v="0.1"/>
    <n v="91603.8"/>
    <n v="7627.19"/>
    <x v="1"/>
    <x v="10"/>
    <x v="1"/>
  </r>
  <r>
    <s v="ORD01662"/>
    <s v="2023-08-28"/>
    <x v="8"/>
    <x v="25"/>
    <x v="3"/>
    <s v="Notebook"/>
    <n v="10"/>
    <n v="1865"/>
    <n v="0"/>
    <n v="18650"/>
    <n v="3110.31"/>
    <x v="1"/>
    <x v="8"/>
    <x v="1"/>
  </r>
  <r>
    <s v="ORD01663"/>
    <s v="2024-02-29"/>
    <x v="10"/>
    <x v="10"/>
    <x v="3"/>
    <s v="Marker"/>
    <n v="15"/>
    <n v="6078"/>
    <n v="0.15"/>
    <n v="77494.5"/>
    <n v="7586.99"/>
    <x v="1"/>
    <x v="11"/>
    <x v="0"/>
  </r>
  <r>
    <s v="ORD01664"/>
    <s v="2023-05-08"/>
    <x v="28"/>
    <x v="8"/>
    <x v="2"/>
    <s v="Sweater"/>
    <n v="4"/>
    <n v="4123"/>
    <n v="0"/>
    <n v="16492"/>
    <n v="1862.49"/>
    <x v="1"/>
    <x v="6"/>
    <x v="1"/>
  </r>
  <r>
    <s v="ORD01665"/>
    <s v="2023-08-21"/>
    <x v="18"/>
    <x v="23"/>
    <x v="0"/>
    <s v="Desk"/>
    <n v="13"/>
    <n v="11073"/>
    <n v="0.15"/>
    <n v="122356.65"/>
    <n v="29769.42"/>
    <x v="0"/>
    <x v="8"/>
    <x v="1"/>
  </r>
  <r>
    <s v="ORD01666"/>
    <s v="2024-08-05"/>
    <x v="11"/>
    <x v="20"/>
    <x v="1"/>
    <s v="Tablet"/>
    <n v="11"/>
    <n v="34580"/>
    <n v="0"/>
    <n v="380380"/>
    <n v="46302.33"/>
    <x v="2"/>
    <x v="8"/>
    <x v="0"/>
  </r>
  <r>
    <s v="ORD01667"/>
    <s v="2024-05-16"/>
    <x v="16"/>
    <x v="7"/>
    <x v="0"/>
    <s v="Bed"/>
    <n v="5"/>
    <n v="8774"/>
    <n v="0"/>
    <n v="43870"/>
    <n v="8937.84"/>
    <x v="3"/>
    <x v="6"/>
    <x v="0"/>
  </r>
  <r>
    <s v="ORD01668"/>
    <s v="2023-05-05"/>
    <x v="39"/>
    <x v="15"/>
    <x v="0"/>
    <s v="Sofa"/>
    <n v="10"/>
    <n v="57561"/>
    <n v="0.2"/>
    <n v="460488"/>
    <n v="77941.64"/>
    <x v="2"/>
    <x v="6"/>
    <x v="1"/>
  </r>
  <r>
    <s v="ORD01669"/>
    <s v="2024-06-15"/>
    <x v="18"/>
    <x v="27"/>
    <x v="3"/>
    <s v="File"/>
    <n v="2"/>
    <n v="32895"/>
    <n v="0.1"/>
    <n v="59211"/>
    <n v="11640.26"/>
    <x v="2"/>
    <x v="5"/>
    <x v="0"/>
  </r>
  <r>
    <s v="ORD01670"/>
    <s v="2023-12-30"/>
    <x v="19"/>
    <x v="12"/>
    <x v="1"/>
    <s v="Headphones"/>
    <n v="11"/>
    <n v="25685"/>
    <n v="0.05"/>
    <n v="268408.25"/>
    <n v="29259.22"/>
    <x v="3"/>
    <x v="9"/>
    <x v="1"/>
  </r>
  <r>
    <s v="ORD01671"/>
    <s v="2024-08-28"/>
    <x v="33"/>
    <x v="14"/>
    <x v="2"/>
    <s v="Dress"/>
    <n v="13"/>
    <n v="24298"/>
    <n v="0.2"/>
    <n v="252699.2"/>
    <n v="75793.960000000006"/>
    <x v="0"/>
    <x v="8"/>
    <x v="0"/>
  </r>
  <r>
    <s v="ORD01672"/>
    <s v="2024-04-25"/>
    <x v="48"/>
    <x v="25"/>
    <x v="3"/>
    <s v="Notebook"/>
    <n v="4"/>
    <n v="22973"/>
    <n v="0.1"/>
    <n v="82702.8"/>
    <n v="12575.01"/>
    <x v="1"/>
    <x v="2"/>
    <x v="0"/>
  </r>
  <r>
    <s v="ORD01673"/>
    <s v="2023-09-18"/>
    <x v="36"/>
    <x v="6"/>
    <x v="2"/>
    <s v="Jeans"/>
    <n v="10"/>
    <n v="37732"/>
    <n v="0.15"/>
    <n v="320722"/>
    <n v="74466.100000000006"/>
    <x v="0"/>
    <x v="10"/>
    <x v="1"/>
  </r>
  <r>
    <s v="ORD01674"/>
    <s v="2023-10-26"/>
    <x v="19"/>
    <x v="9"/>
    <x v="1"/>
    <s v="Keyboard"/>
    <n v="3"/>
    <n v="15136"/>
    <n v="0.05"/>
    <n v="43137.599999999999"/>
    <n v="5071.87"/>
    <x v="0"/>
    <x v="0"/>
    <x v="1"/>
  </r>
  <r>
    <s v="ORD01675"/>
    <s v="2023-08-18"/>
    <x v="26"/>
    <x v="26"/>
    <x v="3"/>
    <s v="Paper Ream"/>
    <n v="5"/>
    <n v="3228"/>
    <n v="0"/>
    <n v="16140"/>
    <n v="2365.86"/>
    <x v="1"/>
    <x v="8"/>
    <x v="1"/>
  </r>
  <r>
    <s v="ORD01676"/>
    <s v="2023-12-08"/>
    <x v="38"/>
    <x v="27"/>
    <x v="3"/>
    <s v="File"/>
    <n v="3"/>
    <n v="46914"/>
    <n v="0.15"/>
    <n v="119630.7"/>
    <n v="20151.13"/>
    <x v="3"/>
    <x v="9"/>
    <x v="1"/>
  </r>
  <r>
    <s v="ORD01677"/>
    <s v="2023-12-28"/>
    <x v="6"/>
    <x v="4"/>
    <x v="0"/>
    <s v="Stool"/>
    <n v="12"/>
    <n v="38105"/>
    <n v="0"/>
    <n v="457260"/>
    <n v="61467.71"/>
    <x v="2"/>
    <x v="9"/>
    <x v="1"/>
  </r>
  <r>
    <s v="ORD01678"/>
    <s v="2024-06-29"/>
    <x v="18"/>
    <x v="1"/>
    <x v="1"/>
    <s v="Mobile"/>
    <n v="13"/>
    <n v="28166"/>
    <n v="0.15"/>
    <n v="311234.3"/>
    <n v="71796.479999999996"/>
    <x v="1"/>
    <x v="5"/>
    <x v="0"/>
  </r>
  <r>
    <s v="ORD01679"/>
    <s v="2023-08-06"/>
    <x v="18"/>
    <x v="13"/>
    <x v="2"/>
    <s v="Jacket"/>
    <n v="4"/>
    <n v="12526"/>
    <n v="0.1"/>
    <n v="45093.599999999999"/>
    <n v="9370.18"/>
    <x v="0"/>
    <x v="8"/>
    <x v="1"/>
  </r>
  <r>
    <s v="ORD01680"/>
    <s v="2023-01-26"/>
    <x v="41"/>
    <x v="8"/>
    <x v="2"/>
    <s v="Sweater"/>
    <n v="5"/>
    <n v="34595"/>
    <n v="0.2"/>
    <n v="138380"/>
    <n v="16400.939999999999"/>
    <x v="0"/>
    <x v="3"/>
    <x v="1"/>
  </r>
  <r>
    <s v="ORD01681"/>
    <s v="2024-06-16"/>
    <x v="42"/>
    <x v="3"/>
    <x v="3"/>
    <s v="Stapler"/>
    <n v="9"/>
    <n v="8659"/>
    <n v="0.2"/>
    <n v="62344.800000000003"/>
    <n v="8355.7999999999993"/>
    <x v="0"/>
    <x v="5"/>
    <x v="0"/>
  </r>
  <r>
    <s v="ORD01682"/>
    <s v="2024-01-23"/>
    <x v="12"/>
    <x v="9"/>
    <x v="1"/>
    <s v="Keyboard"/>
    <n v="15"/>
    <n v="38162"/>
    <n v="0"/>
    <n v="572430"/>
    <n v="100554.68"/>
    <x v="0"/>
    <x v="3"/>
    <x v="0"/>
  </r>
  <r>
    <s v="ORD01683"/>
    <s v="2023-05-28"/>
    <x v="44"/>
    <x v="17"/>
    <x v="1"/>
    <s v="Power Bank"/>
    <n v="8"/>
    <n v="13333"/>
    <n v="0"/>
    <n v="106664"/>
    <n v="27148.32"/>
    <x v="3"/>
    <x v="6"/>
    <x v="1"/>
  </r>
  <r>
    <s v="ORD01684"/>
    <s v="2024-09-05"/>
    <x v="40"/>
    <x v="17"/>
    <x v="1"/>
    <s v="Power Bank"/>
    <n v="2"/>
    <n v="50638"/>
    <n v="0.2"/>
    <n v="81020.800000000003"/>
    <n v="19927.14"/>
    <x v="0"/>
    <x v="10"/>
    <x v="0"/>
  </r>
  <r>
    <s v="ORD01685"/>
    <s v="2024-03-29"/>
    <x v="29"/>
    <x v="14"/>
    <x v="2"/>
    <s v="Dress"/>
    <n v="7"/>
    <n v="50545"/>
    <n v="0"/>
    <n v="353815"/>
    <n v="100975.37"/>
    <x v="1"/>
    <x v="7"/>
    <x v="0"/>
  </r>
  <r>
    <s v="ORD01686"/>
    <s v="2024-02-10"/>
    <x v="35"/>
    <x v="20"/>
    <x v="1"/>
    <s v="Tablet"/>
    <n v="13"/>
    <n v="3785"/>
    <n v="0"/>
    <n v="49205"/>
    <n v="9046.85"/>
    <x v="0"/>
    <x v="11"/>
    <x v="0"/>
  </r>
  <r>
    <s v="ORD01687"/>
    <s v="2023-09-11"/>
    <x v="37"/>
    <x v="1"/>
    <x v="1"/>
    <s v="Mobile"/>
    <n v="12"/>
    <n v="9879"/>
    <n v="0.1"/>
    <n v="106693.2"/>
    <n v="27334.25"/>
    <x v="1"/>
    <x v="10"/>
    <x v="1"/>
  </r>
  <r>
    <s v="ORD01688"/>
    <s v="2024-11-26"/>
    <x v="25"/>
    <x v="3"/>
    <x v="3"/>
    <s v="Stapler"/>
    <n v="8"/>
    <n v="44138"/>
    <n v="0.1"/>
    <n v="317793.59999999998"/>
    <n v="81506.06"/>
    <x v="3"/>
    <x v="4"/>
    <x v="0"/>
  </r>
  <r>
    <s v="ORD01689"/>
    <s v="2024-10-18"/>
    <x v="7"/>
    <x v="8"/>
    <x v="2"/>
    <s v="Sweater"/>
    <n v="1"/>
    <n v="1095"/>
    <n v="0.1"/>
    <n v="985.5"/>
    <n v="238.39"/>
    <x v="0"/>
    <x v="0"/>
    <x v="0"/>
  </r>
  <r>
    <s v="ORD01690"/>
    <s v="2024-04-21"/>
    <x v="18"/>
    <x v="8"/>
    <x v="2"/>
    <s v="Sweater"/>
    <n v="3"/>
    <n v="39617"/>
    <n v="0.1"/>
    <n v="106965.9"/>
    <n v="9601.7900000000009"/>
    <x v="3"/>
    <x v="2"/>
    <x v="0"/>
  </r>
  <r>
    <s v="ORD01691"/>
    <s v="2023-01-07"/>
    <x v="35"/>
    <x v="0"/>
    <x v="0"/>
    <s v="Chair"/>
    <n v="12"/>
    <n v="46887"/>
    <n v="0.1"/>
    <n v="506379.6"/>
    <n v="99264.99"/>
    <x v="2"/>
    <x v="3"/>
    <x v="1"/>
  </r>
  <r>
    <s v="ORD01692"/>
    <s v="2023-05-15"/>
    <x v="35"/>
    <x v="11"/>
    <x v="3"/>
    <s v="Printer"/>
    <n v="4"/>
    <n v="22669"/>
    <n v="0.15"/>
    <n v="77074.600000000006"/>
    <n v="17987.93"/>
    <x v="1"/>
    <x v="6"/>
    <x v="1"/>
  </r>
  <r>
    <s v="ORD01693"/>
    <s v="2024-04-01"/>
    <x v="32"/>
    <x v="17"/>
    <x v="1"/>
    <s v="Power Bank"/>
    <n v="4"/>
    <n v="11160"/>
    <n v="0.2"/>
    <n v="35712"/>
    <n v="7693.76"/>
    <x v="1"/>
    <x v="2"/>
    <x v="0"/>
  </r>
  <r>
    <s v="ORD01694"/>
    <s v="2023-03-05"/>
    <x v="28"/>
    <x v="24"/>
    <x v="2"/>
    <s v="T-Shirt"/>
    <n v="7"/>
    <n v="14318"/>
    <n v="0.2"/>
    <n v="80180.800000000003"/>
    <n v="14769.07"/>
    <x v="0"/>
    <x v="7"/>
    <x v="1"/>
  </r>
  <r>
    <s v="ORD01695"/>
    <s v="2024-06-23"/>
    <x v="27"/>
    <x v="24"/>
    <x v="2"/>
    <s v="T-Shirt"/>
    <n v="9"/>
    <n v="45607"/>
    <n v="0.05"/>
    <n v="389939.85"/>
    <n v="64882.02"/>
    <x v="1"/>
    <x v="5"/>
    <x v="0"/>
  </r>
  <r>
    <s v="ORD01696"/>
    <s v="2024-01-18"/>
    <x v="39"/>
    <x v="0"/>
    <x v="0"/>
    <s v="Chair"/>
    <n v="4"/>
    <n v="50305"/>
    <n v="0"/>
    <n v="201220"/>
    <n v="49024.36"/>
    <x v="0"/>
    <x v="3"/>
    <x v="0"/>
  </r>
  <r>
    <s v="ORD01697"/>
    <s v="2023-03-29"/>
    <x v="13"/>
    <x v="23"/>
    <x v="0"/>
    <s v="Desk"/>
    <n v="3"/>
    <n v="18936"/>
    <n v="0.1"/>
    <n v="51127.199999999997"/>
    <n v="11860.11"/>
    <x v="0"/>
    <x v="7"/>
    <x v="1"/>
  </r>
  <r>
    <s v="ORD01698"/>
    <s v="2023-05-29"/>
    <x v="5"/>
    <x v="10"/>
    <x v="3"/>
    <s v="Marker"/>
    <n v="5"/>
    <n v="22612"/>
    <n v="0.15"/>
    <n v="96101"/>
    <n v="25943.19"/>
    <x v="0"/>
    <x v="6"/>
    <x v="1"/>
  </r>
  <r>
    <s v="ORD01699"/>
    <s v="2024-08-20"/>
    <x v="41"/>
    <x v="0"/>
    <x v="0"/>
    <s v="Chair"/>
    <n v="8"/>
    <n v="27881"/>
    <n v="0.2"/>
    <n v="178438.39999999999"/>
    <n v="40263.660000000003"/>
    <x v="0"/>
    <x v="8"/>
    <x v="0"/>
  </r>
  <r>
    <s v="ORD01700"/>
    <s v="2023-05-24"/>
    <x v="33"/>
    <x v="10"/>
    <x v="3"/>
    <s v="Marker"/>
    <n v="13"/>
    <n v="11355"/>
    <n v="0.05"/>
    <n v="140234.25"/>
    <n v="30848.54"/>
    <x v="2"/>
    <x v="6"/>
    <x v="1"/>
  </r>
  <r>
    <s v="ORD01701"/>
    <s v="2024-06-24"/>
    <x v="17"/>
    <x v="9"/>
    <x v="1"/>
    <s v="Keyboard"/>
    <n v="11"/>
    <n v="41061"/>
    <n v="0.15"/>
    <n v="383920.35"/>
    <n v="72382.3"/>
    <x v="1"/>
    <x v="5"/>
    <x v="0"/>
  </r>
  <r>
    <s v="ORD01702"/>
    <s v="2024-05-14"/>
    <x v="20"/>
    <x v="15"/>
    <x v="0"/>
    <s v="Sofa"/>
    <n v="10"/>
    <n v="54768"/>
    <n v="0.1"/>
    <n v="492912"/>
    <n v="86708.160000000003"/>
    <x v="0"/>
    <x v="6"/>
    <x v="0"/>
  </r>
  <r>
    <s v="ORD01703"/>
    <s v="2024-01-10"/>
    <x v="36"/>
    <x v="5"/>
    <x v="0"/>
    <s v="Cupboard"/>
    <n v="13"/>
    <n v="48129"/>
    <n v="0.2"/>
    <n v="500541.6"/>
    <n v="78281.73"/>
    <x v="2"/>
    <x v="3"/>
    <x v="0"/>
  </r>
  <r>
    <s v="ORD01704"/>
    <s v="2023-12-09"/>
    <x v="35"/>
    <x v="0"/>
    <x v="0"/>
    <s v="Chair"/>
    <n v="12"/>
    <n v="10650"/>
    <n v="0.2"/>
    <n v="102240"/>
    <n v="12231.37"/>
    <x v="2"/>
    <x v="9"/>
    <x v="1"/>
  </r>
  <r>
    <s v="ORD01705"/>
    <s v="2024-11-02"/>
    <x v="19"/>
    <x v="9"/>
    <x v="1"/>
    <s v="Keyboard"/>
    <n v="11"/>
    <n v="46741"/>
    <n v="0.15"/>
    <n v="437028.35"/>
    <n v="101577.1"/>
    <x v="0"/>
    <x v="4"/>
    <x v="0"/>
  </r>
  <r>
    <s v="ORD01706"/>
    <s v="2023-05-22"/>
    <x v="32"/>
    <x v="12"/>
    <x v="1"/>
    <s v="Headphones"/>
    <n v="10"/>
    <n v="18293"/>
    <n v="0.2"/>
    <n v="146344"/>
    <n v="38098.589999999997"/>
    <x v="3"/>
    <x v="6"/>
    <x v="1"/>
  </r>
  <r>
    <s v="ORD01707"/>
    <s v="2023-09-26"/>
    <x v="6"/>
    <x v="17"/>
    <x v="1"/>
    <s v="Power Bank"/>
    <n v="4"/>
    <n v="28222"/>
    <n v="0.15"/>
    <n v="95954.8"/>
    <n v="19143.580000000002"/>
    <x v="2"/>
    <x v="10"/>
    <x v="1"/>
  </r>
  <r>
    <s v="ORD01708"/>
    <s v="2024-04-10"/>
    <x v="49"/>
    <x v="7"/>
    <x v="0"/>
    <s v="Bed"/>
    <n v="12"/>
    <n v="7928"/>
    <n v="0.1"/>
    <n v="85622.399999999994"/>
    <n v="14446.06"/>
    <x v="3"/>
    <x v="2"/>
    <x v="0"/>
  </r>
  <r>
    <s v="ORD01709"/>
    <s v="2024-03-12"/>
    <x v="26"/>
    <x v="27"/>
    <x v="3"/>
    <s v="File"/>
    <n v="7"/>
    <n v="5812"/>
    <n v="0.15"/>
    <n v="34581.4"/>
    <n v="8833.5499999999993"/>
    <x v="1"/>
    <x v="7"/>
    <x v="0"/>
  </r>
  <r>
    <s v="ORD01710"/>
    <s v="2023-07-08"/>
    <x v="24"/>
    <x v="11"/>
    <x v="3"/>
    <s v="Printer"/>
    <n v="7"/>
    <n v="8631"/>
    <n v="0.2"/>
    <n v="48333.599999999999"/>
    <n v="13094"/>
    <x v="2"/>
    <x v="1"/>
    <x v="1"/>
  </r>
  <r>
    <s v="ORD01711"/>
    <s v="2024-01-15"/>
    <x v="21"/>
    <x v="1"/>
    <x v="1"/>
    <s v="Mobile"/>
    <n v="10"/>
    <n v="52914"/>
    <n v="0.2"/>
    <n v="423312"/>
    <n v="87753.16"/>
    <x v="3"/>
    <x v="3"/>
    <x v="0"/>
  </r>
  <r>
    <s v="ORD01712"/>
    <s v="2023-01-17"/>
    <x v="12"/>
    <x v="11"/>
    <x v="3"/>
    <s v="Printer"/>
    <n v="13"/>
    <n v="25645"/>
    <n v="0.2"/>
    <n v="266708"/>
    <n v="24118.89"/>
    <x v="2"/>
    <x v="3"/>
    <x v="1"/>
  </r>
  <r>
    <s v="ORD01713"/>
    <s v="2024-02-12"/>
    <x v="18"/>
    <x v="27"/>
    <x v="3"/>
    <s v="File"/>
    <n v="13"/>
    <n v="38671"/>
    <n v="0"/>
    <n v="502723"/>
    <n v="149576.46"/>
    <x v="2"/>
    <x v="11"/>
    <x v="0"/>
  </r>
  <r>
    <s v="ORD01714"/>
    <s v="2023-11-16"/>
    <x v="16"/>
    <x v="12"/>
    <x v="1"/>
    <s v="Headphones"/>
    <n v="9"/>
    <n v="24593"/>
    <n v="0.05"/>
    <n v="210270.15"/>
    <n v="58144.69"/>
    <x v="1"/>
    <x v="4"/>
    <x v="1"/>
  </r>
  <r>
    <s v="ORD01715"/>
    <s v="2023-04-01"/>
    <x v="41"/>
    <x v="9"/>
    <x v="1"/>
    <s v="Keyboard"/>
    <n v="9"/>
    <n v="33348"/>
    <n v="0.15"/>
    <n v="255112.2"/>
    <n v="47281.62"/>
    <x v="2"/>
    <x v="2"/>
    <x v="1"/>
  </r>
  <r>
    <s v="ORD01716"/>
    <s v="2024-11-09"/>
    <x v="38"/>
    <x v="6"/>
    <x v="2"/>
    <s v="Jeans"/>
    <n v="8"/>
    <n v="19534"/>
    <n v="0.15"/>
    <n v="132831.20000000001"/>
    <n v="21973.78"/>
    <x v="2"/>
    <x v="4"/>
    <x v="0"/>
  </r>
  <r>
    <s v="ORD01717"/>
    <s v="2023-07-23"/>
    <x v="32"/>
    <x v="10"/>
    <x v="3"/>
    <s v="Marker"/>
    <n v="5"/>
    <n v="58951"/>
    <n v="0.15"/>
    <n v="250541.75"/>
    <n v="27814.94"/>
    <x v="1"/>
    <x v="1"/>
    <x v="1"/>
  </r>
  <r>
    <s v="ORD01718"/>
    <s v="2024-08-20"/>
    <x v="31"/>
    <x v="14"/>
    <x v="2"/>
    <s v="Dress"/>
    <n v="10"/>
    <n v="2110"/>
    <n v="0.2"/>
    <n v="16880"/>
    <n v="2192.6999999999998"/>
    <x v="1"/>
    <x v="8"/>
    <x v="0"/>
  </r>
  <r>
    <s v="ORD01719"/>
    <s v="2023-09-24"/>
    <x v="38"/>
    <x v="24"/>
    <x v="2"/>
    <s v="T-Shirt"/>
    <n v="2"/>
    <n v="36939"/>
    <n v="0.2"/>
    <n v="59102.400000000001"/>
    <n v="14840.73"/>
    <x v="3"/>
    <x v="10"/>
    <x v="1"/>
  </r>
  <r>
    <s v="ORD01720"/>
    <s v="2024-05-24"/>
    <x v="16"/>
    <x v="12"/>
    <x v="1"/>
    <s v="Headphones"/>
    <n v="2"/>
    <n v="46506"/>
    <n v="0.2"/>
    <n v="74409.600000000006"/>
    <n v="13358.26"/>
    <x v="2"/>
    <x v="6"/>
    <x v="0"/>
  </r>
  <r>
    <s v="ORD01721"/>
    <s v="2023-01-24"/>
    <x v="17"/>
    <x v="24"/>
    <x v="2"/>
    <s v="T-Shirt"/>
    <n v="14"/>
    <n v="56144"/>
    <n v="0.15"/>
    <n v="668113.6"/>
    <n v="192736.41"/>
    <x v="2"/>
    <x v="3"/>
    <x v="1"/>
  </r>
  <r>
    <s v="ORD01722"/>
    <s v="2023-04-10"/>
    <x v="14"/>
    <x v="20"/>
    <x v="1"/>
    <s v="Tablet"/>
    <n v="11"/>
    <n v="32772"/>
    <n v="0.1"/>
    <n v="324442.8"/>
    <n v="41372.269999999997"/>
    <x v="3"/>
    <x v="2"/>
    <x v="1"/>
  </r>
  <r>
    <s v="ORD01723"/>
    <s v="2023-10-29"/>
    <x v="45"/>
    <x v="8"/>
    <x v="2"/>
    <s v="Sweater"/>
    <n v="15"/>
    <n v="14697"/>
    <n v="0.1"/>
    <n v="198409.5"/>
    <n v="23442.91"/>
    <x v="3"/>
    <x v="0"/>
    <x v="1"/>
  </r>
  <r>
    <s v="ORD01724"/>
    <s v="2023-04-16"/>
    <x v="4"/>
    <x v="20"/>
    <x v="1"/>
    <s v="Tablet"/>
    <n v="15"/>
    <n v="55387"/>
    <n v="0.1"/>
    <n v="747724.5"/>
    <n v="139429.64000000001"/>
    <x v="0"/>
    <x v="2"/>
    <x v="1"/>
  </r>
  <r>
    <s v="ORD01725"/>
    <s v="2024-05-23"/>
    <x v="30"/>
    <x v="22"/>
    <x v="1"/>
    <s v="Camera"/>
    <n v="2"/>
    <n v="22821"/>
    <n v="0.2"/>
    <n v="36513.599999999999"/>
    <n v="3974.45"/>
    <x v="0"/>
    <x v="6"/>
    <x v="0"/>
  </r>
  <r>
    <s v="ORD01726"/>
    <s v="2023-07-25"/>
    <x v="24"/>
    <x v="3"/>
    <x v="3"/>
    <s v="Stapler"/>
    <n v="5"/>
    <n v="10603"/>
    <n v="0.1"/>
    <n v="47713.5"/>
    <n v="8569.1200000000008"/>
    <x v="1"/>
    <x v="1"/>
    <x v="1"/>
  </r>
  <r>
    <s v="ORD01727"/>
    <s v="2024-01-10"/>
    <x v="4"/>
    <x v="13"/>
    <x v="2"/>
    <s v="Jacket"/>
    <n v="9"/>
    <n v="47257"/>
    <n v="0.2"/>
    <n v="340250.4"/>
    <n v="29411.119999999999"/>
    <x v="0"/>
    <x v="3"/>
    <x v="0"/>
  </r>
  <r>
    <s v="ORD01728"/>
    <s v="2023-04-25"/>
    <x v="4"/>
    <x v="7"/>
    <x v="0"/>
    <s v="Bed"/>
    <n v="11"/>
    <n v="55313"/>
    <n v="0.05"/>
    <n v="578020.85"/>
    <n v="93802.54"/>
    <x v="0"/>
    <x v="2"/>
    <x v="1"/>
  </r>
  <r>
    <s v="ORD01729"/>
    <s v="2024-08-25"/>
    <x v="27"/>
    <x v="25"/>
    <x v="3"/>
    <s v="Notebook"/>
    <n v="2"/>
    <n v="26945"/>
    <n v="0.15"/>
    <n v="45806.5"/>
    <n v="6859.56"/>
    <x v="2"/>
    <x v="8"/>
    <x v="0"/>
  </r>
  <r>
    <s v="ORD01730"/>
    <s v="2024-11-21"/>
    <x v="32"/>
    <x v="9"/>
    <x v="1"/>
    <s v="Keyboard"/>
    <n v="9"/>
    <n v="54263"/>
    <n v="0.15"/>
    <n v="415111.95"/>
    <n v="95995.02"/>
    <x v="0"/>
    <x v="4"/>
    <x v="0"/>
  </r>
  <r>
    <s v="ORD01731"/>
    <s v="2024-11-02"/>
    <x v="26"/>
    <x v="14"/>
    <x v="2"/>
    <s v="Dress"/>
    <n v="7"/>
    <n v="57430"/>
    <n v="0.05"/>
    <n v="381909.5"/>
    <n v="73547.42"/>
    <x v="0"/>
    <x v="4"/>
    <x v="0"/>
  </r>
  <r>
    <s v="ORD01732"/>
    <s v="2024-10-08"/>
    <x v="9"/>
    <x v="22"/>
    <x v="1"/>
    <s v="Camera"/>
    <n v="4"/>
    <n v="35627"/>
    <n v="0.15"/>
    <n v="121131.8"/>
    <n v="26679.53"/>
    <x v="2"/>
    <x v="0"/>
    <x v="0"/>
  </r>
  <r>
    <s v="ORD01733"/>
    <s v="2023-01-09"/>
    <x v="11"/>
    <x v="4"/>
    <x v="0"/>
    <s v="Stool"/>
    <n v="13"/>
    <n v="7749"/>
    <n v="0.2"/>
    <n v="80589.600000000006"/>
    <n v="19907.78"/>
    <x v="1"/>
    <x v="3"/>
    <x v="1"/>
  </r>
  <r>
    <s v="ORD01734"/>
    <s v="2023-06-28"/>
    <x v="28"/>
    <x v="25"/>
    <x v="3"/>
    <s v="Notebook"/>
    <n v="7"/>
    <n v="4028"/>
    <n v="0"/>
    <n v="28196"/>
    <n v="4792.21"/>
    <x v="0"/>
    <x v="5"/>
    <x v="1"/>
  </r>
  <r>
    <s v="ORD01735"/>
    <s v="2023-12-25"/>
    <x v="3"/>
    <x v="2"/>
    <x v="2"/>
    <s v="Shoes"/>
    <n v="6"/>
    <n v="50705"/>
    <n v="0"/>
    <n v="304230"/>
    <n v="42847.35"/>
    <x v="0"/>
    <x v="9"/>
    <x v="1"/>
  </r>
  <r>
    <s v="ORD01736"/>
    <s v="2024-01-14"/>
    <x v="9"/>
    <x v="12"/>
    <x v="1"/>
    <s v="Headphones"/>
    <n v="1"/>
    <n v="43977"/>
    <n v="0"/>
    <n v="43977"/>
    <n v="7481.35"/>
    <x v="2"/>
    <x v="3"/>
    <x v="0"/>
  </r>
  <r>
    <s v="ORD01737"/>
    <s v="2024-05-13"/>
    <x v="35"/>
    <x v="1"/>
    <x v="1"/>
    <s v="Mobile"/>
    <n v="3"/>
    <n v="58581"/>
    <n v="0.15"/>
    <n v="149381.54999999999"/>
    <n v="27570.9"/>
    <x v="2"/>
    <x v="6"/>
    <x v="0"/>
  </r>
  <r>
    <s v="ORD01738"/>
    <s v="2024-11-14"/>
    <x v="0"/>
    <x v="24"/>
    <x v="2"/>
    <s v="T-Shirt"/>
    <n v="10"/>
    <n v="35928"/>
    <n v="0.15"/>
    <n v="305388"/>
    <n v="25048.46"/>
    <x v="3"/>
    <x v="4"/>
    <x v="0"/>
  </r>
  <r>
    <s v="ORD01739"/>
    <s v="2023-04-04"/>
    <x v="28"/>
    <x v="9"/>
    <x v="1"/>
    <s v="Keyboard"/>
    <n v="4"/>
    <n v="4200"/>
    <n v="0.2"/>
    <n v="13440"/>
    <n v="1182.05"/>
    <x v="2"/>
    <x v="2"/>
    <x v="1"/>
  </r>
  <r>
    <s v="ORD01740"/>
    <s v="2023-05-04"/>
    <x v="7"/>
    <x v="11"/>
    <x v="3"/>
    <s v="Printer"/>
    <n v="5"/>
    <n v="30296"/>
    <n v="0.1"/>
    <n v="136332"/>
    <n v="12030.49"/>
    <x v="3"/>
    <x v="6"/>
    <x v="1"/>
  </r>
  <r>
    <s v="ORD01741"/>
    <s v="2024-07-12"/>
    <x v="23"/>
    <x v="19"/>
    <x v="1"/>
    <s v="Smartwatch"/>
    <n v="2"/>
    <n v="20565"/>
    <n v="0.05"/>
    <n v="39073.5"/>
    <n v="4453.5200000000004"/>
    <x v="3"/>
    <x v="1"/>
    <x v="0"/>
  </r>
  <r>
    <s v="ORD01742"/>
    <s v="2024-03-31"/>
    <x v="27"/>
    <x v="23"/>
    <x v="0"/>
    <s v="Desk"/>
    <n v="13"/>
    <n v="35336"/>
    <n v="0"/>
    <n v="459368"/>
    <n v="59739.34"/>
    <x v="3"/>
    <x v="7"/>
    <x v="0"/>
  </r>
  <r>
    <s v="ORD01743"/>
    <s v="2024-09-12"/>
    <x v="11"/>
    <x v="24"/>
    <x v="2"/>
    <s v="T-Shirt"/>
    <n v="1"/>
    <n v="13717"/>
    <n v="0.1"/>
    <n v="12345.3"/>
    <n v="3551.84"/>
    <x v="0"/>
    <x v="10"/>
    <x v="0"/>
  </r>
  <r>
    <s v="ORD01744"/>
    <s v="2023-12-05"/>
    <x v="23"/>
    <x v="4"/>
    <x v="0"/>
    <s v="Stool"/>
    <n v="1"/>
    <n v="25060"/>
    <n v="0.15"/>
    <n v="21301"/>
    <n v="5278.92"/>
    <x v="3"/>
    <x v="9"/>
    <x v="1"/>
  </r>
  <r>
    <s v="ORD01745"/>
    <s v="2023-04-12"/>
    <x v="3"/>
    <x v="11"/>
    <x v="3"/>
    <s v="Printer"/>
    <n v="1"/>
    <n v="4094"/>
    <n v="0"/>
    <n v="4094"/>
    <n v="522.76"/>
    <x v="2"/>
    <x v="2"/>
    <x v="1"/>
  </r>
  <r>
    <s v="ORD01746"/>
    <s v="2023-05-28"/>
    <x v="32"/>
    <x v="21"/>
    <x v="1"/>
    <s v="Laptop"/>
    <n v="8"/>
    <n v="59812"/>
    <n v="0.1"/>
    <n v="430646.4"/>
    <n v="43647.77"/>
    <x v="0"/>
    <x v="6"/>
    <x v="1"/>
  </r>
  <r>
    <s v="ORD01747"/>
    <s v="2023-02-18"/>
    <x v="32"/>
    <x v="14"/>
    <x v="2"/>
    <s v="Dress"/>
    <n v="2"/>
    <n v="31775"/>
    <n v="0"/>
    <n v="63550"/>
    <n v="9362.64"/>
    <x v="0"/>
    <x v="11"/>
    <x v="1"/>
  </r>
  <r>
    <s v="ORD01748"/>
    <s v="2024-08-10"/>
    <x v="2"/>
    <x v="0"/>
    <x v="0"/>
    <s v="Chair"/>
    <n v="8"/>
    <n v="27502"/>
    <n v="0.05"/>
    <n v="209015.2"/>
    <n v="48982.5"/>
    <x v="2"/>
    <x v="8"/>
    <x v="0"/>
  </r>
  <r>
    <s v="ORD01749"/>
    <s v="2024-09-21"/>
    <x v="40"/>
    <x v="15"/>
    <x v="0"/>
    <s v="Sofa"/>
    <n v="15"/>
    <n v="26636"/>
    <n v="0"/>
    <n v="399540"/>
    <n v="47295.96"/>
    <x v="3"/>
    <x v="10"/>
    <x v="0"/>
  </r>
  <r>
    <s v="ORD01750"/>
    <s v="2024-09-10"/>
    <x v="25"/>
    <x v="16"/>
    <x v="3"/>
    <s v="Pen"/>
    <n v="13"/>
    <n v="6983"/>
    <n v="0.1"/>
    <n v="81701.100000000006"/>
    <n v="16823.189999999999"/>
    <x v="0"/>
    <x v="10"/>
    <x v="0"/>
  </r>
  <r>
    <s v="ORD01751"/>
    <s v="2024-02-11"/>
    <x v="30"/>
    <x v="5"/>
    <x v="0"/>
    <s v="Cupboard"/>
    <n v="1"/>
    <n v="38342"/>
    <n v="0.1"/>
    <n v="34507.800000000003"/>
    <n v="3694.58"/>
    <x v="2"/>
    <x v="11"/>
    <x v="0"/>
  </r>
  <r>
    <s v="ORD01752"/>
    <s v="2023-07-25"/>
    <x v="19"/>
    <x v="7"/>
    <x v="0"/>
    <s v="Bed"/>
    <n v="2"/>
    <n v="33597"/>
    <n v="0.05"/>
    <n v="63834.3"/>
    <n v="5184.6099999999997"/>
    <x v="1"/>
    <x v="1"/>
    <x v="1"/>
  </r>
  <r>
    <s v="ORD01753"/>
    <s v="2024-10-22"/>
    <x v="5"/>
    <x v="9"/>
    <x v="1"/>
    <s v="Keyboard"/>
    <n v="12"/>
    <n v="56373"/>
    <n v="0.05"/>
    <n v="642652.19999999995"/>
    <n v="141041.62"/>
    <x v="3"/>
    <x v="0"/>
    <x v="0"/>
  </r>
  <r>
    <s v="ORD01754"/>
    <s v="2023-01-14"/>
    <x v="16"/>
    <x v="9"/>
    <x v="1"/>
    <s v="Keyboard"/>
    <n v="1"/>
    <n v="53477"/>
    <n v="0.05"/>
    <n v="50803.15"/>
    <n v="14136.66"/>
    <x v="3"/>
    <x v="3"/>
    <x v="1"/>
  </r>
  <r>
    <s v="ORD01755"/>
    <s v="2024-04-20"/>
    <x v="16"/>
    <x v="14"/>
    <x v="2"/>
    <s v="Dress"/>
    <n v="8"/>
    <n v="42011"/>
    <n v="0.15"/>
    <n v="285674.8"/>
    <n v="51707.66"/>
    <x v="3"/>
    <x v="2"/>
    <x v="0"/>
  </r>
  <r>
    <s v="ORD01756"/>
    <s v="2023-03-02"/>
    <x v="35"/>
    <x v="5"/>
    <x v="0"/>
    <s v="Cupboard"/>
    <n v="12"/>
    <n v="14911"/>
    <n v="0.15"/>
    <n v="152092.20000000001"/>
    <n v="12364.34"/>
    <x v="1"/>
    <x v="7"/>
    <x v="1"/>
  </r>
  <r>
    <s v="ORD01757"/>
    <s v="2023-11-24"/>
    <x v="33"/>
    <x v="21"/>
    <x v="1"/>
    <s v="Laptop"/>
    <n v="11"/>
    <n v="16940"/>
    <n v="0.05"/>
    <n v="177023"/>
    <n v="43401.8"/>
    <x v="3"/>
    <x v="4"/>
    <x v="1"/>
  </r>
  <r>
    <s v="ORD01758"/>
    <s v="2024-03-15"/>
    <x v="4"/>
    <x v="12"/>
    <x v="1"/>
    <s v="Headphones"/>
    <n v="10"/>
    <n v="6363"/>
    <n v="0.15"/>
    <n v="54085.5"/>
    <n v="10689.23"/>
    <x v="2"/>
    <x v="7"/>
    <x v="0"/>
  </r>
  <r>
    <s v="ORD01759"/>
    <s v="2024-01-31"/>
    <x v="0"/>
    <x v="18"/>
    <x v="0"/>
    <s v="Table"/>
    <n v="5"/>
    <n v="27558"/>
    <n v="0.2"/>
    <n v="110232"/>
    <n v="8899.43"/>
    <x v="2"/>
    <x v="3"/>
    <x v="0"/>
  </r>
  <r>
    <s v="ORD01760"/>
    <s v="2023-02-12"/>
    <x v="31"/>
    <x v="5"/>
    <x v="0"/>
    <s v="Cupboard"/>
    <n v="6"/>
    <n v="25427"/>
    <n v="0.05"/>
    <n v="144933.9"/>
    <n v="37957.31"/>
    <x v="1"/>
    <x v="11"/>
    <x v="1"/>
  </r>
  <r>
    <s v="ORD01761"/>
    <s v="2024-11-23"/>
    <x v="9"/>
    <x v="15"/>
    <x v="0"/>
    <s v="Sofa"/>
    <n v="4"/>
    <n v="19692"/>
    <n v="0.2"/>
    <n v="63014.400000000001"/>
    <n v="12569.36"/>
    <x v="3"/>
    <x v="4"/>
    <x v="0"/>
  </r>
  <r>
    <s v="ORD01762"/>
    <s v="2024-09-22"/>
    <x v="11"/>
    <x v="16"/>
    <x v="3"/>
    <s v="Pen"/>
    <n v="8"/>
    <n v="57233"/>
    <n v="0.2"/>
    <n v="366291.20000000001"/>
    <n v="57958.63"/>
    <x v="2"/>
    <x v="10"/>
    <x v="0"/>
  </r>
  <r>
    <s v="ORD01763"/>
    <s v="2023-01-13"/>
    <x v="9"/>
    <x v="17"/>
    <x v="1"/>
    <s v="Power Bank"/>
    <n v="4"/>
    <n v="5442"/>
    <n v="0.05"/>
    <n v="20679.599999999999"/>
    <n v="2983.69"/>
    <x v="2"/>
    <x v="3"/>
    <x v="1"/>
  </r>
  <r>
    <s v="ORD01764"/>
    <s v="2024-11-19"/>
    <x v="11"/>
    <x v="11"/>
    <x v="3"/>
    <s v="Printer"/>
    <n v="10"/>
    <n v="35371"/>
    <n v="0"/>
    <n v="353710"/>
    <n v="53200.07"/>
    <x v="3"/>
    <x v="4"/>
    <x v="0"/>
  </r>
  <r>
    <s v="ORD01765"/>
    <s v="2023-02-22"/>
    <x v="33"/>
    <x v="20"/>
    <x v="1"/>
    <s v="Tablet"/>
    <n v="2"/>
    <n v="25111"/>
    <n v="0"/>
    <n v="50222"/>
    <n v="6592.39"/>
    <x v="2"/>
    <x v="11"/>
    <x v="1"/>
  </r>
  <r>
    <s v="ORD01766"/>
    <s v="2023-10-01"/>
    <x v="10"/>
    <x v="10"/>
    <x v="3"/>
    <s v="Marker"/>
    <n v="10"/>
    <n v="46704"/>
    <n v="0.1"/>
    <n v="420336"/>
    <n v="109052.71"/>
    <x v="3"/>
    <x v="0"/>
    <x v="1"/>
  </r>
  <r>
    <s v="ORD01767"/>
    <s v="2024-10-17"/>
    <x v="9"/>
    <x v="22"/>
    <x v="1"/>
    <s v="Camera"/>
    <n v="6"/>
    <n v="47506"/>
    <n v="0"/>
    <n v="285036"/>
    <n v="23791.05"/>
    <x v="1"/>
    <x v="0"/>
    <x v="0"/>
  </r>
  <r>
    <s v="ORD01768"/>
    <s v="2024-11-02"/>
    <x v="6"/>
    <x v="3"/>
    <x v="3"/>
    <s v="Stapler"/>
    <n v="10"/>
    <n v="29148"/>
    <n v="0.05"/>
    <n v="276906"/>
    <n v="74345.350000000006"/>
    <x v="0"/>
    <x v="4"/>
    <x v="0"/>
  </r>
  <r>
    <s v="ORD01769"/>
    <s v="2024-09-20"/>
    <x v="39"/>
    <x v="20"/>
    <x v="1"/>
    <s v="Tablet"/>
    <n v="6"/>
    <n v="869"/>
    <n v="0"/>
    <n v="5214"/>
    <n v="901.04"/>
    <x v="3"/>
    <x v="10"/>
    <x v="0"/>
  </r>
  <r>
    <s v="ORD01770"/>
    <s v="2024-05-23"/>
    <x v="4"/>
    <x v="23"/>
    <x v="0"/>
    <s v="Desk"/>
    <n v="9"/>
    <n v="5070"/>
    <n v="0.1"/>
    <n v="41067"/>
    <n v="7792.98"/>
    <x v="0"/>
    <x v="6"/>
    <x v="0"/>
  </r>
  <r>
    <s v="ORD01771"/>
    <s v="2023-06-02"/>
    <x v="23"/>
    <x v="19"/>
    <x v="1"/>
    <s v="Smartwatch"/>
    <n v="3"/>
    <n v="4083"/>
    <n v="0.15"/>
    <n v="10411.65"/>
    <n v="2156.2600000000002"/>
    <x v="3"/>
    <x v="5"/>
    <x v="1"/>
  </r>
  <r>
    <s v="ORD01772"/>
    <s v="2023-09-18"/>
    <x v="19"/>
    <x v="22"/>
    <x v="1"/>
    <s v="Camera"/>
    <n v="2"/>
    <n v="51940"/>
    <n v="0.2"/>
    <n v="83104"/>
    <n v="21421.360000000001"/>
    <x v="2"/>
    <x v="10"/>
    <x v="1"/>
  </r>
  <r>
    <s v="ORD01773"/>
    <s v="2024-07-28"/>
    <x v="48"/>
    <x v="5"/>
    <x v="0"/>
    <s v="Cupboard"/>
    <n v="2"/>
    <n v="42004"/>
    <n v="0.15"/>
    <n v="71406.8"/>
    <n v="16961"/>
    <x v="2"/>
    <x v="1"/>
    <x v="0"/>
  </r>
  <r>
    <s v="ORD01774"/>
    <s v="2023-04-03"/>
    <x v="3"/>
    <x v="6"/>
    <x v="2"/>
    <s v="Jeans"/>
    <n v="4"/>
    <n v="17968"/>
    <n v="0.05"/>
    <n v="68278.399999999994"/>
    <n v="10783.54"/>
    <x v="1"/>
    <x v="2"/>
    <x v="1"/>
  </r>
  <r>
    <s v="ORD01775"/>
    <s v="2023-07-22"/>
    <x v="35"/>
    <x v="7"/>
    <x v="0"/>
    <s v="Bed"/>
    <n v="9"/>
    <n v="44576"/>
    <n v="0"/>
    <n v="401184"/>
    <n v="52966.1"/>
    <x v="0"/>
    <x v="1"/>
    <x v="1"/>
  </r>
  <r>
    <s v="ORD01776"/>
    <s v="2023-12-04"/>
    <x v="1"/>
    <x v="18"/>
    <x v="0"/>
    <s v="Table"/>
    <n v="15"/>
    <n v="4668"/>
    <n v="0.15"/>
    <n v="59517"/>
    <n v="17019.09"/>
    <x v="3"/>
    <x v="9"/>
    <x v="1"/>
  </r>
  <r>
    <s v="ORD01777"/>
    <s v="2024-01-22"/>
    <x v="22"/>
    <x v="8"/>
    <x v="2"/>
    <s v="Sweater"/>
    <n v="11"/>
    <n v="59534"/>
    <n v="0"/>
    <n v="654874"/>
    <n v="170523.51"/>
    <x v="1"/>
    <x v="3"/>
    <x v="0"/>
  </r>
  <r>
    <s v="ORD01778"/>
    <s v="2024-09-11"/>
    <x v="49"/>
    <x v="6"/>
    <x v="2"/>
    <s v="Jeans"/>
    <n v="12"/>
    <n v="59239"/>
    <n v="0.1"/>
    <n v="639781.19999999995"/>
    <n v="107203.88"/>
    <x v="2"/>
    <x v="10"/>
    <x v="0"/>
  </r>
  <r>
    <s v="ORD01779"/>
    <s v="2024-05-07"/>
    <x v="9"/>
    <x v="13"/>
    <x v="2"/>
    <s v="Jacket"/>
    <n v="6"/>
    <n v="45849"/>
    <n v="0.2"/>
    <n v="220075.2"/>
    <n v="19915.52"/>
    <x v="3"/>
    <x v="6"/>
    <x v="0"/>
  </r>
  <r>
    <s v="ORD01780"/>
    <s v="2023-01-31"/>
    <x v="12"/>
    <x v="12"/>
    <x v="1"/>
    <s v="Headphones"/>
    <n v="12"/>
    <n v="28331"/>
    <n v="0.15"/>
    <n v="288976.2"/>
    <n v="39236.26"/>
    <x v="3"/>
    <x v="3"/>
    <x v="1"/>
  </r>
  <r>
    <s v="ORD01781"/>
    <s v="2024-01-18"/>
    <x v="43"/>
    <x v="9"/>
    <x v="1"/>
    <s v="Keyboard"/>
    <n v="5"/>
    <n v="34367"/>
    <n v="0.15"/>
    <n v="146059.75"/>
    <n v="25931.41"/>
    <x v="0"/>
    <x v="3"/>
    <x v="0"/>
  </r>
  <r>
    <s v="ORD01782"/>
    <s v="2023-11-19"/>
    <x v="16"/>
    <x v="13"/>
    <x v="2"/>
    <s v="Jacket"/>
    <n v="10"/>
    <n v="37700"/>
    <n v="0.1"/>
    <n v="339300"/>
    <n v="70595.899999999994"/>
    <x v="0"/>
    <x v="4"/>
    <x v="1"/>
  </r>
  <r>
    <s v="ORD01783"/>
    <s v="2024-07-25"/>
    <x v="40"/>
    <x v="22"/>
    <x v="1"/>
    <s v="Camera"/>
    <n v="2"/>
    <n v="52979"/>
    <n v="0.15"/>
    <n v="90064.3"/>
    <n v="13805.51"/>
    <x v="0"/>
    <x v="1"/>
    <x v="0"/>
  </r>
  <r>
    <s v="ORD01784"/>
    <s v="2024-07-20"/>
    <x v="26"/>
    <x v="22"/>
    <x v="1"/>
    <s v="Camera"/>
    <n v="1"/>
    <n v="54882"/>
    <n v="0"/>
    <n v="54882"/>
    <n v="15290.11"/>
    <x v="2"/>
    <x v="1"/>
    <x v="0"/>
  </r>
  <r>
    <s v="ORD01785"/>
    <s v="2024-05-08"/>
    <x v="28"/>
    <x v="27"/>
    <x v="3"/>
    <s v="File"/>
    <n v="14"/>
    <n v="54629"/>
    <n v="0.05"/>
    <n v="726565.7"/>
    <n v="58195.88"/>
    <x v="2"/>
    <x v="6"/>
    <x v="0"/>
  </r>
  <r>
    <s v="ORD01786"/>
    <s v="2024-02-03"/>
    <x v="49"/>
    <x v="7"/>
    <x v="0"/>
    <s v="Bed"/>
    <n v="15"/>
    <n v="53865"/>
    <n v="0.1"/>
    <n v="727177.5"/>
    <n v="85726.57"/>
    <x v="2"/>
    <x v="11"/>
    <x v="0"/>
  </r>
  <r>
    <s v="ORD01787"/>
    <s v="2024-05-15"/>
    <x v="49"/>
    <x v="14"/>
    <x v="2"/>
    <s v="Dress"/>
    <n v="10"/>
    <n v="8346"/>
    <n v="0"/>
    <n v="83460"/>
    <n v="10630.09"/>
    <x v="1"/>
    <x v="6"/>
    <x v="0"/>
  </r>
  <r>
    <s v="ORD01788"/>
    <s v="2024-09-27"/>
    <x v="21"/>
    <x v="11"/>
    <x v="3"/>
    <s v="Printer"/>
    <n v="3"/>
    <n v="8120"/>
    <n v="0.15"/>
    <n v="20706"/>
    <n v="2590.0300000000002"/>
    <x v="3"/>
    <x v="10"/>
    <x v="0"/>
  </r>
  <r>
    <s v="ORD01789"/>
    <s v="2024-06-05"/>
    <x v="9"/>
    <x v="20"/>
    <x v="1"/>
    <s v="Tablet"/>
    <n v="3"/>
    <n v="11965"/>
    <n v="0.2"/>
    <n v="28716"/>
    <n v="2493.14"/>
    <x v="3"/>
    <x v="5"/>
    <x v="0"/>
  </r>
  <r>
    <s v="ORD01790"/>
    <s v="2024-05-10"/>
    <x v="35"/>
    <x v="1"/>
    <x v="1"/>
    <s v="Mobile"/>
    <n v="5"/>
    <n v="42806"/>
    <n v="0.15"/>
    <n v="181925.5"/>
    <n v="15861.4"/>
    <x v="2"/>
    <x v="6"/>
    <x v="0"/>
  </r>
  <r>
    <s v="ORD01791"/>
    <s v="2024-02-05"/>
    <x v="34"/>
    <x v="14"/>
    <x v="2"/>
    <s v="Dress"/>
    <n v="15"/>
    <n v="23727"/>
    <n v="0.2"/>
    <n v="284724"/>
    <n v="30652.36"/>
    <x v="2"/>
    <x v="11"/>
    <x v="0"/>
  </r>
  <r>
    <s v="ORD01792"/>
    <s v="2023-03-07"/>
    <x v="19"/>
    <x v="15"/>
    <x v="0"/>
    <s v="Sofa"/>
    <n v="10"/>
    <n v="54930"/>
    <n v="0.2"/>
    <n v="439440"/>
    <n v="99382.21"/>
    <x v="2"/>
    <x v="7"/>
    <x v="1"/>
  </r>
  <r>
    <s v="ORD01793"/>
    <s v="2023-10-27"/>
    <x v="39"/>
    <x v="4"/>
    <x v="0"/>
    <s v="Stool"/>
    <n v="10"/>
    <n v="34385"/>
    <n v="0.1"/>
    <n v="309465"/>
    <n v="77334.11"/>
    <x v="0"/>
    <x v="0"/>
    <x v="1"/>
  </r>
  <r>
    <s v="ORD01794"/>
    <s v="2023-03-18"/>
    <x v="39"/>
    <x v="17"/>
    <x v="1"/>
    <s v="Power Bank"/>
    <n v="10"/>
    <n v="14075"/>
    <n v="0.1"/>
    <n v="126675"/>
    <n v="33384.160000000003"/>
    <x v="3"/>
    <x v="7"/>
    <x v="1"/>
  </r>
  <r>
    <s v="ORD01795"/>
    <s v="2024-10-12"/>
    <x v="1"/>
    <x v="25"/>
    <x v="3"/>
    <s v="Notebook"/>
    <n v="7"/>
    <n v="9210"/>
    <n v="0.1"/>
    <n v="58023"/>
    <n v="9745.64"/>
    <x v="0"/>
    <x v="0"/>
    <x v="0"/>
  </r>
  <r>
    <s v="ORD01796"/>
    <s v="2023-03-19"/>
    <x v="29"/>
    <x v="17"/>
    <x v="1"/>
    <s v="Power Bank"/>
    <n v="4"/>
    <n v="30536"/>
    <n v="0.15"/>
    <n v="103822.39999999999"/>
    <n v="26402.49"/>
    <x v="2"/>
    <x v="7"/>
    <x v="1"/>
  </r>
  <r>
    <s v="ORD01797"/>
    <s v="2023-12-21"/>
    <x v="17"/>
    <x v="6"/>
    <x v="2"/>
    <s v="Jeans"/>
    <n v="8"/>
    <n v="13409"/>
    <n v="0.05"/>
    <n v="101908.4"/>
    <n v="21542.5"/>
    <x v="3"/>
    <x v="9"/>
    <x v="1"/>
  </r>
  <r>
    <s v="ORD01798"/>
    <s v="2024-07-05"/>
    <x v="30"/>
    <x v="19"/>
    <x v="1"/>
    <s v="Smartwatch"/>
    <n v="8"/>
    <n v="38039"/>
    <n v="0"/>
    <n v="304312"/>
    <n v="42259.22"/>
    <x v="0"/>
    <x v="1"/>
    <x v="0"/>
  </r>
  <r>
    <s v="ORD01799"/>
    <s v="2023-09-27"/>
    <x v="32"/>
    <x v="24"/>
    <x v="2"/>
    <s v="T-Shirt"/>
    <n v="13"/>
    <n v="51447"/>
    <n v="0.15"/>
    <n v="568489.35"/>
    <n v="161228.06"/>
    <x v="3"/>
    <x v="10"/>
    <x v="1"/>
  </r>
  <r>
    <s v="ORD01800"/>
    <s v="2024-11-13"/>
    <x v="36"/>
    <x v="24"/>
    <x v="2"/>
    <s v="T-Shirt"/>
    <n v="3"/>
    <n v="29625"/>
    <n v="0.15"/>
    <n v="75543.75"/>
    <n v="7671.26"/>
    <x v="0"/>
    <x v="4"/>
    <x v="0"/>
  </r>
  <r>
    <s v="ORD01801"/>
    <s v="2023-12-20"/>
    <x v="33"/>
    <x v="24"/>
    <x v="2"/>
    <s v="T-Shirt"/>
    <n v="2"/>
    <n v="21736"/>
    <n v="0.05"/>
    <n v="41298.400000000001"/>
    <n v="6103.89"/>
    <x v="2"/>
    <x v="9"/>
    <x v="1"/>
  </r>
  <r>
    <s v="ORD01802"/>
    <s v="2024-07-12"/>
    <x v="10"/>
    <x v="6"/>
    <x v="2"/>
    <s v="Jeans"/>
    <n v="4"/>
    <n v="56226"/>
    <n v="0.1"/>
    <n v="202413.6"/>
    <n v="49824.53"/>
    <x v="3"/>
    <x v="1"/>
    <x v="0"/>
  </r>
  <r>
    <s v="ORD01803"/>
    <s v="2023-04-12"/>
    <x v="25"/>
    <x v="14"/>
    <x v="2"/>
    <s v="Dress"/>
    <n v="12"/>
    <n v="41970"/>
    <n v="0.05"/>
    <n v="478458"/>
    <n v="78382.86"/>
    <x v="3"/>
    <x v="2"/>
    <x v="1"/>
  </r>
  <r>
    <s v="ORD01804"/>
    <s v="2023-03-20"/>
    <x v="15"/>
    <x v="7"/>
    <x v="0"/>
    <s v="Bed"/>
    <n v="3"/>
    <n v="58253"/>
    <n v="0.2"/>
    <n v="139807.20000000001"/>
    <n v="36483.03"/>
    <x v="2"/>
    <x v="7"/>
    <x v="1"/>
  </r>
  <r>
    <s v="ORD01805"/>
    <s v="2024-10-17"/>
    <x v="10"/>
    <x v="4"/>
    <x v="0"/>
    <s v="Stool"/>
    <n v="11"/>
    <n v="6494"/>
    <n v="0.05"/>
    <n v="67862.3"/>
    <n v="12131.59"/>
    <x v="2"/>
    <x v="0"/>
    <x v="0"/>
  </r>
  <r>
    <s v="ORD01806"/>
    <s v="2024-04-02"/>
    <x v="18"/>
    <x v="0"/>
    <x v="0"/>
    <s v="Chair"/>
    <n v="4"/>
    <n v="52282"/>
    <n v="0.15"/>
    <n v="177758.8"/>
    <n v="45108.44"/>
    <x v="0"/>
    <x v="2"/>
    <x v="0"/>
  </r>
  <r>
    <s v="ORD01807"/>
    <s v="2023-10-20"/>
    <x v="12"/>
    <x v="6"/>
    <x v="2"/>
    <s v="Jeans"/>
    <n v="3"/>
    <n v="56970"/>
    <n v="0.1"/>
    <n v="153819"/>
    <n v="45584.42"/>
    <x v="2"/>
    <x v="0"/>
    <x v="1"/>
  </r>
  <r>
    <s v="ORD01808"/>
    <s v="2023-12-24"/>
    <x v="39"/>
    <x v="2"/>
    <x v="2"/>
    <s v="Shoes"/>
    <n v="3"/>
    <n v="9860"/>
    <n v="0.2"/>
    <n v="23664"/>
    <n v="6902.21"/>
    <x v="3"/>
    <x v="9"/>
    <x v="1"/>
  </r>
  <r>
    <s v="ORD01809"/>
    <s v="2024-06-12"/>
    <x v="24"/>
    <x v="27"/>
    <x v="3"/>
    <s v="File"/>
    <n v="15"/>
    <n v="30822"/>
    <n v="0"/>
    <n v="462330"/>
    <n v="53679.09"/>
    <x v="3"/>
    <x v="5"/>
    <x v="0"/>
  </r>
  <r>
    <s v="ORD01810"/>
    <s v="2024-01-28"/>
    <x v="32"/>
    <x v="20"/>
    <x v="1"/>
    <s v="Tablet"/>
    <n v="1"/>
    <n v="22949"/>
    <n v="0.15"/>
    <n v="19506.650000000001"/>
    <n v="2084.96"/>
    <x v="0"/>
    <x v="3"/>
    <x v="0"/>
  </r>
  <r>
    <s v="ORD01811"/>
    <s v="2023-03-16"/>
    <x v="46"/>
    <x v="7"/>
    <x v="0"/>
    <s v="Bed"/>
    <n v="4"/>
    <n v="45484"/>
    <n v="0.15"/>
    <n v="154645.6"/>
    <n v="27462.93"/>
    <x v="0"/>
    <x v="7"/>
    <x v="1"/>
  </r>
  <r>
    <s v="ORD01812"/>
    <s v="2024-07-18"/>
    <x v="43"/>
    <x v="18"/>
    <x v="0"/>
    <s v="Table"/>
    <n v="2"/>
    <n v="50631"/>
    <n v="0.1"/>
    <n v="91135.8"/>
    <n v="9275.01"/>
    <x v="2"/>
    <x v="1"/>
    <x v="0"/>
  </r>
  <r>
    <s v="ORD01813"/>
    <s v="2023-11-27"/>
    <x v="22"/>
    <x v="18"/>
    <x v="0"/>
    <s v="Table"/>
    <n v="6"/>
    <n v="46365"/>
    <n v="0.05"/>
    <n v="264280.5"/>
    <n v="41822.379999999997"/>
    <x v="3"/>
    <x v="4"/>
    <x v="1"/>
  </r>
  <r>
    <s v="ORD01814"/>
    <s v="2023-04-26"/>
    <x v="18"/>
    <x v="14"/>
    <x v="2"/>
    <s v="Dress"/>
    <n v="11"/>
    <n v="24857"/>
    <n v="0"/>
    <n v="273427"/>
    <n v="74611.509999999995"/>
    <x v="0"/>
    <x v="2"/>
    <x v="1"/>
  </r>
  <r>
    <s v="ORD01815"/>
    <s v="2023-06-28"/>
    <x v="21"/>
    <x v="21"/>
    <x v="1"/>
    <s v="Laptop"/>
    <n v="6"/>
    <n v="13952"/>
    <n v="0.1"/>
    <n v="75340.800000000003"/>
    <n v="6489.11"/>
    <x v="1"/>
    <x v="5"/>
    <x v="1"/>
  </r>
  <r>
    <s v="ORD01816"/>
    <s v="2024-04-01"/>
    <x v="49"/>
    <x v="6"/>
    <x v="2"/>
    <s v="Jeans"/>
    <n v="2"/>
    <n v="41295"/>
    <n v="0.2"/>
    <n v="66072"/>
    <n v="17950.03"/>
    <x v="0"/>
    <x v="2"/>
    <x v="0"/>
  </r>
  <r>
    <s v="ORD01817"/>
    <s v="2024-04-23"/>
    <x v="21"/>
    <x v="2"/>
    <x v="2"/>
    <s v="Shoes"/>
    <n v="6"/>
    <n v="49793"/>
    <n v="0.2"/>
    <n v="239006.4"/>
    <n v="29402.68"/>
    <x v="1"/>
    <x v="2"/>
    <x v="0"/>
  </r>
  <r>
    <s v="ORD01818"/>
    <s v="2024-07-11"/>
    <x v="2"/>
    <x v="15"/>
    <x v="0"/>
    <s v="Sofa"/>
    <n v="8"/>
    <n v="867"/>
    <n v="0"/>
    <n v="6936"/>
    <n v="1468.56"/>
    <x v="1"/>
    <x v="1"/>
    <x v="0"/>
  </r>
  <r>
    <s v="ORD01819"/>
    <s v="2024-09-23"/>
    <x v="3"/>
    <x v="12"/>
    <x v="1"/>
    <s v="Headphones"/>
    <n v="4"/>
    <n v="33928"/>
    <n v="0.15"/>
    <n v="115355.2"/>
    <n v="12372.61"/>
    <x v="1"/>
    <x v="10"/>
    <x v="0"/>
  </r>
  <r>
    <s v="ORD01820"/>
    <s v="2024-06-10"/>
    <x v="19"/>
    <x v="25"/>
    <x v="3"/>
    <s v="Notebook"/>
    <n v="5"/>
    <n v="47026"/>
    <n v="0"/>
    <n v="235130"/>
    <n v="60364.51"/>
    <x v="1"/>
    <x v="5"/>
    <x v="0"/>
  </r>
  <r>
    <s v="ORD01821"/>
    <s v="2023-11-05"/>
    <x v="40"/>
    <x v="5"/>
    <x v="0"/>
    <s v="Cupboard"/>
    <n v="5"/>
    <n v="44610"/>
    <n v="0"/>
    <n v="223050"/>
    <n v="26070.81"/>
    <x v="1"/>
    <x v="4"/>
    <x v="1"/>
  </r>
  <r>
    <s v="ORD01822"/>
    <s v="2024-08-10"/>
    <x v="28"/>
    <x v="7"/>
    <x v="0"/>
    <s v="Bed"/>
    <n v="7"/>
    <n v="46750"/>
    <n v="0.2"/>
    <n v="261800"/>
    <n v="64053.87"/>
    <x v="0"/>
    <x v="8"/>
    <x v="0"/>
  </r>
  <r>
    <s v="ORD01823"/>
    <s v="2023-04-16"/>
    <x v="40"/>
    <x v="0"/>
    <x v="0"/>
    <s v="Chair"/>
    <n v="1"/>
    <n v="38088"/>
    <n v="0.1"/>
    <n v="34279.199999999997"/>
    <n v="4273.26"/>
    <x v="2"/>
    <x v="2"/>
    <x v="1"/>
  </r>
  <r>
    <s v="ORD01824"/>
    <s v="2024-09-19"/>
    <x v="18"/>
    <x v="25"/>
    <x v="3"/>
    <s v="Notebook"/>
    <n v="15"/>
    <n v="8232"/>
    <n v="0.1"/>
    <n v="111132"/>
    <n v="21759.64"/>
    <x v="3"/>
    <x v="10"/>
    <x v="0"/>
  </r>
  <r>
    <s v="ORD01825"/>
    <s v="2023-02-24"/>
    <x v="22"/>
    <x v="10"/>
    <x v="3"/>
    <s v="Marker"/>
    <n v="4"/>
    <n v="20827"/>
    <n v="0.2"/>
    <n v="66646.399999999994"/>
    <n v="5883.66"/>
    <x v="0"/>
    <x v="11"/>
    <x v="1"/>
  </r>
  <r>
    <s v="ORD01826"/>
    <s v="2023-10-07"/>
    <x v="36"/>
    <x v="6"/>
    <x v="2"/>
    <s v="Jeans"/>
    <n v="7"/>
    <n v="17003"/>
    <n v="0"/>
    <n v="119021"/>
    <n v="26891.27"/>
    <x v="3"/>
    <x v="0"/>
    <x v="1"/>
  </r>
  <r>
    <s v="ORD01827"/>
    <s v="2024-07-17"/>
    <x v="12"/>
    <x v="20"/>
    <x v="1"/>
    <s v="Tablet"/>
    <n v="15"/>
    <n v="48292"/>
    <n v="0.15"/>
    <n v="615723"/>
    <n v="102478.87"/>
    <x v="1"/>
    <x v="1"/>
    <x v="0"/>
  </r>
  <r>
    <s v="ORD01828"/>
    <s v="2023-09-19"/>
    <x v="28"/>
    <x v="18"/>
    <x v="0"/>
    <s v="Table"/>
    <n v="10"/>
    <n v="15032"/>
    <n v="0.2"/>
    <n v="120256"/>
    <n v="20698.86"/>
    <x v="3"/>
    <x v="10"/>
    <x v="1"/>
  </r>
  <r>
    <s v="ORD01829"/>
    <s v="2023-06-27"/>
    <x v="33"/>
    <x v="14"/>
    <x v="2"/>
    <s v="Dress"/>
    <n v="14"/>
    <n v="10433"/>
    <n v="0.2"/>
    <n v="116849.60000000001"/>
    <n v="25101.72"/>
    <x v="1"/>
    <x v="5"/>
    <x v="1"/>
  </r>
  <r>
    <s v="ORD01830"/>
    <s v="2023-03-10"/>
    <x v="7"/>
    <x v="27"/>
    <x v="3"/>
    <s v="File"/>
    <n v="9"/>
    <n v="20299"/>
    <n v="0.1"/>
    <n v="164421.9"/>
    <n v="44712.27"/>
    <x v="1"/>
    <x v="7"/>
    <x v="1"/>
  </r>
  <r>
    <s v="ORD01831"/>
    <s v="2024-05-14"/>
    <x v="45"/>
    <x v="1"/>
    <x v="1"/>
    <s v="Mobile"/>
    <n v="4"/>
    <n v="39209"/>
    <n v="0.05"/>
    <n v="148994.20000000001"/>
    <n v="12966.97"/>
    <x v="1"/>
    <x v="6"/>
    <x v="0"/>
  </r>
  <r>
    <s v="ORD01832"/>
    <s v="2023-09-15"/>
    <x v="7"/>
    <x v="18"/>
    <x v="0"/>
    <s v="Table"/>
    <n v="7"/>
    <n v="54185"/>
    <n v="0.1"/>
    <n v="341365.5"/>
    <n v="67743.259999999995"/>
    <x v="3"/>
    <x v="10"/>
    <x v="1"/>
  </r>
  <r>
    <s v="ORD01833"/>
    <s v="2024-08-07"/>
    <x v="12"/>
    <x v="25"/>
    <x v="3"/>
    <s v="Notebook"/>
    <n v="3"/>
    <n v="37898"/>
    <n v="0.2"/>
    <n v="90955.199999999997"/>
    <n v="7558.66"/>
    <x v="0"/>
    <x v="8"/>
    <x v="0"/>
  </r>
  <r>
    <s v="ORD01834"/>
    <s v="2024-11-23"/>
    <x v="9"/>
    <x v="4"/>
    <x v="0"/>
    <s v="Stool"/>
    <n v="10"/>
    <n v="28698"/>
    <n v="0.2"/>
    <n v="229584"/>
    <n v="62313.09"/>
    <x v="0"/>
    <x v="4"/>
    <x v="0"/>
  </r>
  <r>
    <s v="ORD01835"/>
    <s v="2023-01-26"/>
    <x v="13"/>
    <x v="2"/>
    <x v="2"/>
    <s v="Shoes"/>
    <n v="2"/>
    <n v="15208"/>
    <n v="0.1"/>
    <n v="27374.400000000001"/>
    <n v="6868.87"/>
    <x v="1"/>
    <x v="3"/>
    <x v="1"/>
  </r>
  <r>
    <s v="ORD01836"/>
    <s v="2024-01-09"/>
    <x v="40"/>
    <x v="10"/>
    <x v="3"/>
    <s v="Marker"/>
    <n v="10"/>
    <n v="13582"/>
    <n v="0.05"/>
    <n v="129029"/>
    <n v="12321.83"/>
    <x v="2"/>
    <x v="3"/>
    <x v="0"/>
  </r>
  <r>
    <s v="ORD01837"/>
    <s v="2024-02-09"/>
    <x v="35"/>
    <x v="10"/>
    <x v="3"/>
    <s v="Marker"/>
    <n v="3"/>
    <n v="52181"/>
    <n v="0.1"/>
    <n v="140888.70000000001"/>
    <n v="25246.13"/>
    <x v="1"/>
    <x v="11"/>
    <x v="0"/>
  </r>
  <r>
    <s v="ORD01838"/>
    <s v="2023-12-30"/>
    <x v="24"/>
    <x v="25"/>
    <x v="3"/>
    <s v="Notebook"/>
    <n v="5"/>
    <n v="46853"/>
    <n v="0.2"/>
    <n v="187412"/>
    <n v="40122.589999999997"/>
    <x v="1"/>
    <x v="9"/>
    <x v="1"/>
  </r>
  <r>
    <s v="ORD01839"/>
    <s v="2023-05-11"/>
    <x v="5"/>
    <x v="19"/>
    <x v="1"/>
    <s v="Smartwatch"/>
    <n v="2"/>
    <n v="28849"/>
    <n v="0"/>
    <n v="57698"/>
    <n v="6516.47"/>
    <x v="3"/>
    <x v="6"/>
    <x v="1"/>
  </r>
  <r>
    <s v="ORD01840"/>
    <s v="2023-07-21"/>
    <x v="15"/>
    <x v="14"/>
    <x v="2"/>
    <s v="Dress"/>
    <n v="1"/>
    <n v="37348"/>
    <n v="0.1"/>
    <n v="33613.199999999997"/>
    <n v="9707.0300000000007"/>
    <x v="1"/>
    <x v="1"/>
    <x v="1"/>
  </r>
  <r>
    <s v="ORD01841"/>
    <s v="2023-04-14"/>
    <x v="49"/>
    <x v="14"/>
    <x v="2"/>
    <s v="Dress"/>
    <n v="4"/>
    <n v="21048"/>
    <n v="0.05"/>
    <n v="79982.399999999994"/>
    <n v="11959.88"/>
    <x v="3"/>
    <x v="2"/>
    <x v="1"/>
  </r>
  <r>
    <s v="ORD01842"/>
    <s v="2023-10-12"/>
    <x v="41"/>
    <x v="8"/>
    <x v="2"/>
    <s v="Sweater"/>
    <n v="13"/>
    <n v="46004"/>
    <n v="0.15"/>
    <n v="508344.2"/>
    <n v="69976.72"/>
    <x v="0"/>
    <x v="0"/>
    <x v="1"/>
  </r>
  <r>
    <s v="ORD01843"/>
    <s v="2024-02-02"/>
    <x v="10"/>
    <x v="9"/>
    <x v="1"/>
    <s v="Keyboard"/>
    <n v="8"/>
    <n v="27357"/>
    <n v="0"/>
    <n v="218856"/>
    <n v="38069.279999999999"/>
    <x v="1"/>
    <x v="11"/>
    <x v="0"/>
  </r>
  <r>
    <s v="ORD01844"/>
    <s v="2024-01-05"/>
    <x v="49"/>
    <x v="7"/>
    <x v="0"/>
    <s v="Bed"/>
    <n v="5"/>
    <n v="11363"/>
    <n v="0.05"/>
    <n v="53974.25"/>
    <n v="8672.0400000000009"/>
    <x v="0"/>
    <x v="3"/>
    <x v="0"/>
  </r>
  <r>
    <s v="ORD01845"/>
    <s v="2023-05-09"/>
    <x v="4"/>
    <x v="0"/>
    <x v="0"/>
    <s v="Chair"/>
    <n v="11"/>
    <n v="27598"/>
    <n v="0.2"/>
    <n v="242862.4"/>
    <n v="43350.559999999998"/>
    <x v="2"/>
    <x v="6"/>
    <x v="1"/>
  </r>
  <r>
    <s v="ORD01846"/>
    <s v="2023-08-02"/>
    <x v="33"/>
    <x v="27"/>
    <x v="3"/>
    <s v="File"/>
    <n v="2"/>
    <n v="50253"/>
    <n v="0.15"/>
    <n v="85430.1"/>
    <n v="14338.06"/>
    <x v="1"/>
    <x v="8"/>
    <x v="1"/>
  </r>
  <r>
    <s v="ORD01847"/>
    <s v="2023-09-17"/>
    <x v="44"/>
    <x v="1"/>
    <x v="1"/>
    <s v="Mobile"/>
    <n v="13"/>
    <n v="20179"/>
    <n v="0.2"/>
    <n v="209861.6"/>
    <n v="26972.21"/>
    <x v="1"/>
    <x v="10"/>
    <x v="1"/>
  </r>
  <r>
    <s v="ORD01848"/>
    <s v="2023-03-04"/>
    <x v="41"/>
    <x v="19"/>
    <x v="1"/>
    <s v="Smartwatch"/>
    <n v="14"/>
    <n v="58800"/>
    <n v="0.05"/>
    <n v="782040"/>
    <n v="155866.70000000001"/>
    <x v="1"/>
    <x v="7"/>
    <x v="1"/>
  </r>
  <r>
    <s v="ORD01849"/>
    <s v="2023-11-05"/>
    <x v="15"/>
    <x v="16"/>
    <x v="3"/>
    <s v="Pen"/>
    <n v="5"/>
    <n v="25166"/>
    <n v="0.15"/>
    <n v="106955.5"/>
    <n v="31600.28"/>
    <x v="3"/>
    <x v="4"/>
    <x v="1"/>
  </r>
  <r>
    <s v="ORD01850"/>
    <s v="2023-11-07"/>
    <x v="49"/>
    <x v="6"/>
    <x v="2"/>
    <s v="Jeans"/>
    <n v="12"/>
    <n v="16433"/>
    <n v="0.1"/>
    <n v="177476.4"/>
    <n v="20882.38"/>
    <x v="1"/>
    <x v="4"/>
    <x v="1"/>
  </r>
  <r>
    <s v="ORD01851"/>
    <s v="2023-08-31"/>
    <x v="34"/>
    <x v="12"/>
    <x v="1"/>
    <s v="Headphones"/>
    <n v="11"/>
    <n v="56967"/>
    <n v="0"/>
    <n v="626637"/>
    <n v="124070.84"/>
    <x v="3"/>
    <x v="8"/>
    <x v="1"/>
  </r>
  <r>
    <s v="ORD01852"/>
    <s v="2023-04-19"/>
    <x v="40"/>
    <x v="6"/>
    <x v="2"/>
    <s v="Jeans"/>
    <n v="14"/>
    <n v="33697"/>
    <n v="0.05"/>
    <n v="448170.1"/>
    <n v="120360.98"/>
    <x v="3"/>
    <x v="2"/>
    <x v="1"/>
  </r>
  <r>
    <s v="ORD01853"/>
    <s v="2024-06-08"/>
    <x v="29"/>
    <x v="8"/>
    <x v="2"/>
    <s v="Sweater"/>
    <n v="5"/>
    <n v="16868"/>
    <n v="0.15"/>
    <n v="71689"/>
    <n v="20381.98"/>
    <x v="2"/>
    <x v="5"/>
    <x v="0"/>
  </r>
  <r>
    <s v="ORD01854"/>
    <s v="2023-01-16"/>
    <x v="21"/>
    <x v="12"/>
    <x v="1"/>
    <s v="Headphones"/>
    <n v="4"/>
    <n v="17245"/>
    <n v="0"/>
    <n v="68980"/>
    <n v="10890.02"/>
    <x v="2"/>
    <x v="3"/>
    <x v="1"/>
  </r>
  <r>
    <s v="ORD01855"/>
    <s v="2023-11-03"/>
    <x v="15"/>
    <x v="10"/>
    <x v="3"/>
    <s v="Marker"/>
    <n v="1"/>
    <n v="5770"/>
    <n v="0.1"/>
    <n v="5193"/>
    <n v="638.16"/>
    <x v="3"/>
    <x v="4"/>
    <x v="1"/>
  </r>
  <r>
    <s v="ORD01856"/>
    <s v="2023-09-11"/>
    <x v="39"/>
    <x v="10"/>
    <x v="3"/>
    <s v="Marker"/>
    <n v="7"/>
    <n v="29128"/>
    <n v="0.05"/>
    <n v="193701.2"/>
    <n v="28973.01"/>
    <x v="1"/>
    <x v="10"/>
    <x v="1"/>
  </r>
  <r>
    <s v="ORD01857"/>
    <s v="2023-04-05"/>
    <x v="7"/>
    <x v="1"/>
    <x v="1"/>
    <s v="Mobile"/>
    <n v="6"/>
    <n v="34418"/>
    <n v="0.2"/>
    <n v="165206.39999999999"/>
    <n v="17882.46"/>
    <x v="0"/>
    <x v="2"/>
    <x v="1"/>
  </r>
  <r>
    <s v="ORD01858"/>
    <s v="2024-02-01"/>
    <x v="29"/>
    <x v="16"/>
    <x v="3"/>
    <s v="Pen"/>
    <n v="9"/>
    <n v="21830"/>
    <n v="0"/>
    <n v="196470"/>
    <n v="37413.67"/>
    <x v="2"/>
    <x v="11"/>
    <x v="0"/>
  </r>
  <r>
    <s v="ORD01859"/>
    <s v="2023-04-07"/>
    <x v="46"/>
    <x v="8"/>
    <x v="2"/>
    <s v="Sweater"/>
    <n v="15"/>
    <n v="40084"/>
    <n v="0.05"/>
    <n v="571197"/>
    <n v="149603"/>
    <x v="3"/>
    <x v="2"/>
    <x v="1"/>
  </r>
  <r>
    <s v="ORD01860"/>
    <s v="2023-04-17"/>
    <x v="21"/>
    <x v="10"/>
    <x v="3"/>
    <s v="Marker"/>
    <n v="7"/>
    <n v="2000"/>
    <n v="0"/>
    <n v="14000"/>
    <n v="3517.18"/>
    <x v="2"/>
    <x v="2"/>
    <x v="1"/>
  </r>
  <r>
    <s v="ORD01861"/>
    <s v="2023-06-03"/>
    <x v="48"/>
    <x v="15"/>
    <x v="0"/>
    <s v="Sofa"/>
    <n v="15"/>
    <n v="45480"/>
    <n v="0.2"/>
    <n v="545760"/>
    <n v="104510.28"/>
    <x v="1"/>
    <x v="5"/>
    <x v="1"/>
  </r>
  <r>
    <s v="ORD01862"/>
    <s v="2024-01-19"/>
    <x v="1"/>
    <x v="11"/>
    <x v="3"/>
    <s v="Printer"/>
    <n v="13"/>
    <n v="14379"/>
    <n v="0.05"/>
    <n v="177580.65"/>
    <n v="24659.53"/>
    <x v="1"/>
    <x v="3"/>
    <x v="0"/>
  </r>
  <r>
    <s v="ORD01863"/>
    <s v="2024-03-16"/>
    <x v="8"/>
    <x v="15"/>
    <x v="0"/>
    <s v="Sofa"/>
    <n v="8"/>
    <n v="1798"/>
    <n v="0.15"/>
    <n v="12226.4"/>
    <n v="1898.51"/>
    <x v="3"/>
    <x v="7"/>
    <x v="0"/>
  </r>
  <r>
    <s v="ORD01864"/>
    <s v="2023-08-21"/>
    <x v="36"/>
    <x v="0"/>
    <x v="0"/>
    <s v="Chair"/>
    <n v="14"/>
    <n v="57185"/>
    <n v="0.2"/>
    <n v="640472"/>
    <n v="153936.44"/>
    <x v="2"/>
    <x v="8"/>
    <x v="1"/>
  </r>
  <r>
    <s v="ORD01865"/>
    <s v="2023-06-16"/>
    <x v="7"/>
    <x v="22"/>
    <x v="1"/>
    <s v="Camera"/>
    <n v="15"/>
    <n v="6765"/>
    <n v="0"/>
    <n v="101475"/>
    <n v="9563.2800000000007"/>
    <x v="2"/>
    <x v="5"/>
    <x v="1"/>
  </r>
  <r>
    <s v="ORD01866"/>
    <s v="2024-07-17"/>
    <x v="6"/>
    <x v="10"/>
    <x v="3"/>
    <s v="Marker"/>
    <n v="9"/>
    <n v="51524"/>
    <n v="0"/>
    <n v="463716"/>
    <n v="125404.96"/>
    <x v="3"/>
    <x v="1"/>
    <x v="0"/>
  </r>
  <r>
    <s v="ORD01867"/>
    <s v="2024-05-26"/>
    <x v="11"/>
    <x v="7"/>
    <x v="0"/>
    <s v="Bed"/>
    <n v="6"/>
    <n v="39788"/>
    <n v="0.1"/>
    <n v="214855.2"/>
    <n v="36729.83"/>
    <x v="1"/>
    <x v="6"/>
    <x v="0"/>
  </r>
  <r>
    <s v="ORD01868"/>
    <s v="2023-12-26"/>
    <x v="46"/>
    <x v="16"/>
    <x v="3"/>
    <s v="Pen"/>
    <n v="13"/>
    <n v="40552"/>
    <n v="0.05"/>
    <n v="500817.2"/>
    <n v="56422.91"/>
    <x v="0"/>
    <x v="9"/>
    <x v="1"/>
  </r>
  <r>
    <s v="ORD01869"/>
    <s v="2023-07-02"/>
    <x v="9"/>
    <x v="19"/>
    <x v="1"/>
    <s v="Smartwatch"/>
    <n v="2"/>
    <n v="2028"/>
    <n v="0.1"/>
    <n v="3650.4"/>
    <n v="745.71"/>
    <x v="1"/>
    <x v="1"/>
    <x v="1"/>
  </r>
  <r>
    <s v="ORD01870"/>
    <s v="2023-11-08"/>
    <x v="18"/>
    <x v="9"/>
    <x v="1"/>
    <s v="Keyboard"/>
    <n v="12"/>
    <n v="40727"/>
    <n v="0.1"/>
    <n v="439851.6"/>
    <n v="125107.66"/>
    <x v="3"/>
    <x v="4"/>
    <x v="1"/>
  </r>
  <r>
    <s v="ORD01871"/>
    <s v="2024-08-22"/>
    <x v="29"/>
    <x v="1"/>
    <x v="1"/>
    <s v="Mobile"/>
    <n v="10"/>
    <n v="48022"/>
    <n v="0.1"/>
    <n v="432198"/>
    <n v="123560.86"/>
    <x v="1"/>
    <x v="8"/>
    <x v="0"/>
  </r>
  <r>
    <s v="ORD01872"/>
    <s v="2023-11-14"/>
    <x v="5"/>
    <x v="8"/>
    <x v="2"/>
    <s v="Sweater"/>
    <n v="6"/>
    <n v="10383"/>
    <n v="0.1"/>
    <n v="56068.2"/>
    <n v="6856.28"/>
    <x v="0"/>
    <x v="4"/>
    <x v="1"/>
  </r>
  <r>
    <s v="ORD01873"/>
    <s v="2024-10-15"/>
    <x v="7"/>
    <x v="8"/>
    <x v="2"/>
    <s v="Sweater"/>
    <n v="7"/>
    <n v="8299"/>
    <n v="0.15"/>
    <n v="49379.05"/>
    <n v="10174.74"/>
    <x v="1"/>
    <x v="0"/>
    <x v="0"/>
  </r>
  <r>
    <s v="ORD01874"/>
    <s v="2023-01-31"/>
    <x v="7"/>
    <x v="2"/>
    <x v="2"/>
    <s v="Shoes"/>
    <n v="11"/>
    <n v="19279"/>
    <n v="0.15"/>
    <n v="180258.65"/>
    <n v="49445.81"/>
    <x v="2"/>
    <x v="3"/>
    <x v="1"/>
  </r>
  <r>
    <s v="ORD01875"/>
    <s v="2024-06-25"/>
    <x v="13"/>
    <x v="18"/>
    <x v="0"/>
    <s v="Table"/>
    <n v="11"/>
    <n v="22899"/>
    <n v="0.2"/>
    <n v="201511.2"/>
    <n v="49127.48"/>
    <x v="2"/>
    <x v="5"/>
    <x v="0"/>
  </r>
  <r>
    <s v="ORD01876"/>
    <s v="2024-02-08"/>
    <x v="13"/>
    <x v="5"/>
    <x v="0"/>
    <s v="Cupboard"/>
    <n v="1"/>
    <n v="6991"/>
    <n v="0.15"/>
    <n v="5942.35"/>
    <n v="993.02"/>
    <x v="1"/>
    <x v="11"/>
    <x v="0"/>
  </r>
  <r>
    <s v="ORD01877"/>
    <s v="2023-08-25"/>
    <x v="8"/>
    <x v="7"/>
    <x v="0"/>
    <s v="Bed"/>
    <n v="13"/>
    <n v="2693"/>
    <n v="0.15"/>
    <n v="29757.65"/>
    <n v="4441.38"/>
    <x v="1"/>
    <x v="8"/>
    <x v="1"/>
  </r>
  <r>
    <s v="ORD01878"/>
    <s v="2023-06-09"/>
    <x v="47"/>
    <x v="12"/>
    <x v="1"/>
    <s v="Headphones"/>
    <n v="3"/>
    <n v="53062"/>
    <n v="0"/>
    <n v="159186"/>
    <n v="34100.65"/>
    <x v="2"/>
    <x v="5"/>
    <x v="1"/>
  </r>
  <r>
    <s v="ORD01879"/>
    <s v="2023-04-20"/>
    <x v="48"/>
    <x v="7"/>
    <x v="0"/>
    <s v="Bed"/>
    <n v="1"/>
    <n v="12195"/>
    <n v="0.05"/>
    <n v="11585.25"/>
    <n v="1584.69"/>
    <x v="0"/>
    <x v="2"/>
    <x v="1"/>
  </r>
  <r>
    <s v="ORD01880"/>
    <s v="2023-10-16"/>
    <x v="35"/>
    <x v="19"/>
    <x v="1"/>
    <s v="Smartwatch"/>
    <n v="2"/>
    <n v="22126"/>
    <n v="0.05"/>
    <n v="42039.4"/>
    <n v="11838.71"/>
    <x v="2"/>
    <x v="0"/>
    <x v="1"/>
  </r>
  <r>
    <s v="ORD01881"/>
    <s v="2023-12-13"/>
    <x v="44"/>
    <x v="6"/>
    <x v="2"/>
    <s v="Jeans"/>
    <n v="2"/>
    <n v="59175"/>
    <n v="0.2"/>
    <n v="94680"/>
    <n v="25512.51"/>
    <x v="3"/>
    <x v="9"/>
    <x v="1"/>
  </r>
  <r>
    <s v="ORD01882"/>
    <s v="2023-01-27"/>
    <x v="41"/>
    <x v="14"/>
    <x v="2"/>
    <s v="Dress"/>
    <n v="12"/>
    <n v="59961"/>
    <n v="0.2"/>
    <n v="575625.6"/>
    <n v="125781.93"/>
    <x v="2"/>
    <x v="3"/>
    <x v="1"/>
  </r>
  <r>
    <s v="ORD01883"/>
    <s v="2024-09-29"/>
    <x v="32"/>
    <x v="10"/>
    <x v="3"/>
    <s v="Marker"/>
    <n v="3"/>
    <n v="32980"/>
    <n v="0.05"/>
    <n v="93993"/>
    <n v="26862.57"/>
    <x v="1"/>
    <x v="10"/>
    <x v="0"/>
  </r>
  <r>
    <s v="ORD01884"/>
    <s v="2023-05-30"/>
    <x v="40"/>
    <x v="1"/>
    <x v="1"/>
    <s v="Mobile"/>
    <n v="6"/>
    <n v="56866"/>
    <n v="0.05"/>
    <n v="324136.2"/>
    <n v="80718.91"/>
    <x v="2"/>
    <x v="6"/>
    <x v="1"/>
  </r>
  <r>
    <s v="ORD01885"/>
    <s v="2024-07-23"/>
    <x v="35"/>
    <x v="14"/>
    <x v="2"/>
    <s v="Dress"/>
    <n v="7"/>
    <n v="2065"/>
    <n v="0"/>
    <n v="14455"/>
    <n v="1483.56"/>
    <x v="0"/>
    <x v="1"/>
    <x v="0"/>
  </r>
  <r>
    <s v="ORD01886"/>
    <s v="2024-06-23"/>
    <x v="47"/>
    <x v="15"/>
    <x v="0"/>
    <s v="Sofa"/>
    <n v="11"/>
    <n v="24263"/>
    <n v="0.2"/>
    <n v="213514.4"/>
    <n v="48344.14"/>
    <x v="1"/>
    <x v="5"/>
    <x v="0"/>
  </r>
  <r>
    <s v="ORD01887"/>
    <s v="2024-09-01"/>
    <x v="27"/>
    <x v="19"/>
    <x v="1"/>
    <s v="Smartwatch"/>
    <n v="5"/>
    <n v="9877"/>
    <n v="0.05"/>
    <n v="46915.75"/>
    <n v="8223.6200000000008"/>
    <x v="3"/>
    <x v="10"/>
    <x v="0"/>
  </r>
  <r>
    <s v="ORD01888"/>
    <s v="2024-02-12"/>
    <x v="11"/>
    <x v="14"/>
    <x v="2"/>
    <s v="Dress"/>
    <n v="12"/>
    <n v="17498"/>
    <n v="0.15"/>
    <n v="178479.6"/>
    <n v="44567.35"/>
    <x v="2"/>
    <x v="11"/>
    <x v="0"/>
  </r>
  <r>
    <s v="ORD01889"/>
    <s v="2023-12-27"/>
    <x v="44"/>
    <x v="0"/>
    <x v="0"/>
    <s v="Chair"/>
    <n v="3"/>
    <n v="4856"/>
    <n v="0.1"/>
    <n v="13111.2"/>
    <n v="2439"/>
    <x v="2"/>
    <x v="9"/>
    <x v="1"/>
  </r>
  <r>
    <s v="ORD01890"/>
    <s v="2023-10-15"/>
    <x v="42"/>
    <x v="4"/>
    <x v="0"/>
    <s v="Stool"/>
    <n v="11"/>
    <n v="38430"/>
    <n v="0"/>
    <n v="422730"/>
    <n v="62157.89"/>
    <x v="0"/>
    <x v="0"/>
    <x v="1"/>
  </r>
  <r>
    <s v="ORD01891"/>
    <s v="2024-03-09"/>
    <x v="49"/>
    <x v="1"/>
    <x v="1"/>
    <s v="Mobile"/>
    <n v="7"/>
    <n v="36899"/>
    <n v="0"/>
    <n v="258293"/>
    <n v="45131.199999999997"/>
    <x v="3"/>
    <x v="7"/>
    <x v="0"/>
  </r>
  <r>
    <s v="ORD01892"/>
    <s v="2023-02-22"/>
    <x v="24"/>
    <x v="20"/>
    <x v="1"/>
    <s v="Tablet"/>
    <n v="13"/>
    <n v="53962"/>
    <n v="0.2"/>
    <n v="561204.80000000005"/>
    <n v="108514.25"/>
    <x v="3"/>
    <x v="11"/>
    <x v="1"/>
  </r>
  <r>
    <s v="ORD01893"/>
    <s v="2024-08-26"/>
    <x v="23"/>
    <x v="12"/>
    <x v="1"/>
    <s v="Headphones"/>
    <n v="5"/>
    <n v="50730"/>
    <n v="0.15"/>
    <n v="215602.5"/>
    <n v="43780.73"/>
    <x v="1"/>
    <x v="8"/>
    <x v="0"/>
  </r>
  <r>
    <s v="ORD01894"/>
    <s v="2023-09-08"/>
    <x v="45"/>
    <x v="0"/>
    <x v="0"/>
    <s v="Chair"/>
    <n v="13"/>
    <n v="15568"/>
    <n v="0.05"/>
    <n v="192264.8"/>
    <n v="56725.26"/>
    <x v="2"/>
    <x v="10"/>
    <x v="1"/>
  </r>
  <r>
    <s v="ORD01895"/>
    <s v="2023-07-28"/>
    <x v="37"/>
    <x v="11"/>
    <x v="3"/>
    <s v="Printer"/>
    <n v="14"/>
    <n v="55038"/>
    <n v="0.1"/>
    <n v="693478.8"/>
    <n v="68528.210000000006"/>
    <x v="1"/>
    <x v="1"/>
    <x v="1"/>
  </r>
  <r>
    <s v="ORD01896"/>
    <s v="2023-04-09"/>
    <x v="19"/>
    <x v="14"/>
    <x v="2"/>
    <s v="Dress"/>
    <n v="15"/>
    <n v="54212"/>
    <n v="0"/>
    <n v="813180"/>
    <n v="147459.24"/>
    <x v="1"/>
    <x v="2"/>
    <x v="1"/>
  </r>
  <r>
    <s v="ORD01897"/>
    <s v="2023-05-27"/>
    <x v="1"/>
    <x v="20"/>
    <x v="1"/>
    <s v="Tablet"/>
    <n v="6"/>
    <n v="13179"/>
    <n v="0.2"/>
    <n v="63259.199999999997"/>
    <n v="18230.11"/>
    <x v="0"/>
    <x v="6"/>
    <x v="1"/>
  </r>
  <r>
    <s v="ORD01898"/>
    <s v="2024-04-06"/>
    <x v="19"/>
    <x v="18"/>
    <x v="0"/>
    <s v="Table"/>
    <n v="3"/>
    <n v="6780"/>
    <n v="0.15"/>
    <n v="17289"/>
    <n v="3194.83"/>
    <x v="3"/>
    <x v="2"/>
    <x v="0"/>
  </r>
  <r>
    <s v="ORD01899"/>
    <s v="2023-02-18"/>
    <x v="36"/>
    <x v="23"/>
    <x v="0"/>
    <s v="Desk"/>
    <n v="4"/>
    <n v="48855"/>
    <n v="0.2"/>
    <n v="156336"/>
    <n v="39133.019999999997"/>
    <x v="3"/>
    <x v="11"/>
    <x v="1"/>
  </r>
  <r>
    <s v="ORD01900"/>
    <s v="2023-06-24"/>
    <x v="30"/>
    <x v="15"/>
    <x v="0"/>
    <s v="Sofa"/>
    <n v="7"/>
    <n v="19625"/>
    <n v="0.05"/>
    <n v="130506.25"/>
    <n v="13991.89"/>
    <x v="3"/>
    <x v="5"/>
    <x v="1"/>
  </r>
  <r>
    <s v="ORD01901"/>
    <s v="2023-11-16"/>
    <x v="42"/>
    <x v="24"/>
    <x v="2"/>
    <s v="T-Shirt"/>
    <n v="1"/>
    <n v="43776"/>
    <n v="0"/>
    <n v="43776"/>
    <n v="7266.71"/>
    <x v="0"/>
    <x v="4"/>
    <x v="1"/>
  </r>
  <r>
    <s v="ORD01902"/>
    <s v="2024-09-16"/>
    <x v="36"/>
    <x v="12"/>
    <x v="1"/>
    <s v="Headphones"/>
    <n v="2"/>
    <n v="56631"/>
    <n v="0"/>
    <n v="113262"/>
    <n v="9511.85"/>
    <x v="3"/>
    <x v="10"/>
    <x v="0"/>
  </r>
  <r>
    <s v="ORD01903"/>
    <s v="2023-10-08"/>
    <x v="36"/>
    <x v="8"/>
    <x v="2"/>
    <s v="Sweater"/>
    <n v="11"/>
    <n v="53262"/>
    <n v="0"/>
    <n v="585882"/>
    <n v="82044.679999999993"/>
    <x v="2"/>
    <x v="0"/>
    <x v="1"/>
  </r>
  <r>
    <s v="ORD01904"/>
    <s v="2024-09-20"/>
    <x v="43"/>
    <x v="14"/>
    <x v="2"/>
    <s v="Dress"/>
    <n v="4"/>
    <n v="43833"/>
    <n v="0"/>
    <n v="175332"/>
    <n v="26025.06"/>
    <x v="2"/>
    <x v="10"/>
    <x v="0"/>
  </r>
  <r>
    <s v="ORD01905"/>
    <s v="2024-06-14"/>
    <x v="42"/>
    <x v="22"/>
    <x v="1"/>
    <s v="Camera"/>
    <n v="3"/>
    <n v="14002"/>
    <n v="0.05"/>
    <n v="39905.699999999997"/>
    <n v="11607.13"/>
    <x v="3"/>
    <x v="5"/>
    <x v="0"/>
  </r>
  <r>
    <s v="ORD01906"/>
    <s v="2024-10-02"/>
    <x v="29"/>
    <x v="2"/>
    <x v="2"/>
    <s v="Shoes"/>
    <n v="9"/>
    <n v="58077"/>
    <n v="0.2"/>
    <n v="418154.4"/>
    <n v="117165.31"/>
    <x v="2"/>
    <x v="0"/>
    <x v="0"/>
  </r>
  <r>
    <s v="ORD01907"/>
    <s v="2023-08-08"/>
    <x v="16"/>
    <x v="10"/>
    <x v="3"/>
    <s v="Marker"/>
    <n v="10"/>
    <n v="44020"/>
    <n v="0"/>
    <n v="440200"/>
    <n v="39885.35"/>
    <x v="0"/>
    <x v="8"/>
    <x v="1"/>
  </r>
  <r>
    <s v="ORD01908"/>
    <s v="2023-07-04"/>
    <x v="36"/>
    <x v="21"/>
    <x v="1"/>
    <s v="Laptop"/>
    <n v="15"/>
    <n v="31655"/>
    <n v="0.2"/>
    <n v="379860"/>
    <n v="110293.47"/>
    <x v="3"/>
    <x v="1"/>
    <x v="1"/>
  </r>
  <r>
    <s v="ORD01909"/>
    <s v="2024-02-17"/>
    <x v="10"/>
    <x v="27"/>
    <x v="3"/>
    <s v="File"/>
    <n v="14"/>
    <n v="53372"/>
    <n v="0.1"/>
    <n v="672487.2"/>
    <n v="187947.08"/>
    <x v="2"/>
    <x v="11"/>
    <x v="0"/>
  </r>
  <r>
    <s v="ORD01910"/>
    <s v="2023-02-21"/>
    <x v="2"/>
    <x v="23"/>
    <x v="0"/>
    <s v="Desk"/>
    <n v="15"/>
    <n v="39773"/>
    <n v="0"/>
    <n v="596595"/>
    <n v="133600.67000000001"/>
    <x v="1"/>
    <x v="11"/>
    <x v="1"/>
  </r>
  <r>
    <s v="ORD01911"/>
    <s v="2023-11-13"/>
    <x v="8"/>
    <x v="2"/>
    <x v="2"/>
    <s v="Shoes"/>
    <n v="4"/>
    <n v="20710"/>
    <n v="0.1"/>
    <n v="74556"/>
    <n v="17419.82"/>
    <x v="2"/>
    <x v="4"/>
    <x v="1"/>
  </r>
  <r>
    <s v="ORD01912"/>
    <s v="2024-07-23"/>
    <x v="35"/>
    <x v="19"/>
    <x v="1"/>
    <s v="Smartwatch"/>
    <n v="8"/>
    <n v="50035"/>
    <n v="0.1"/>
    <n v="360252"/>
    <n v="68922.02"/>
    <x v="1"/>
    <x v="1"/>
    <x v="0"/>
  </r>
  <r>
    <s v="ORD01913"/>
    <s v="2024-09-30"/>
    <x v="10"/>
    <x v="11"/>
    <x v="3"/>
    <s v="Printer"/>
    <n v="9"/>
    <n v="26781"/>
    <n v="0.2"/>
    <n v="192823.2"/>
    <n v="39687.65"/>
    <x v="0"/>
    <x v="10"/>
    <x v="0"/>
  </r>
  <r>
    <s v="ORD01914"/>
    <s v="2024-03-18"/>
    <x v="18"/>
    <x v="0"/>
    <x v="0"/>
    <s v="Chair"/>
    <n v="2"/>
    <n v="32259"/>
    <n v="0.15"/>
    <n v="54840.3"/>
    <n v="8697.93"/>
    <x v="2"/>
    <x v="7"/>
    <x v="0"/>
  </r>
  <r>
    <s v="ORD01915"/>
    <s v="2024-01-13"/>
    <x v="40"/>
    <x v="8"/>
    <x v="2"/>
    <s v="Sweater"/>
    <n v="15"/>
    <n v="1015"/>
    <n v="0.2"/>
    <n v="12180"/>
    <n v="3173.69"/>
    <x v="3"/>
    <x v="3"/>
    <x v="0"/>
  </r>
  <r>
    <s v="ORD01916"/>
    <s v="2024-11-13"/>
    <x v="8"/>
    <x v="9"/>
    <x v="1"/>
    <s v="Keyboard"/>
    <n v="12"/>
    <n v="36058"/>
    <n v="0"/>
    <n v="432696"/>
    <n v="85374.64"/>
    <x v="3"/>
    <x v="4"/>
    <x v="0"/>
  </r>
  <r>
    <s v="ORD01917"/>
    <s v="2024-03-05"/>
    <x v="4"/>
    <x v="24"/>
    <x v="2"/>
    <s v="T-Shirt"/>
    <n v="13"/>
    <n v="7816"/>
    <n v="0.1"/>
    <n v="91447.2"/>
    <n v="19327.41"/>
    <x v="3"/>
    <x v="7"/>
    <x v="0"/>
  </r>
  <r>
    <s v="ORD01918"/>
    <s v="2023-05-20"/>
    <x v="5"/>
    <x v="18"/>
    <x v="0"/>
    <s v="Table"/>
    <n v="9"/>
    <n v="44149"/>
    <n v="0.15"/>
    <n v="337739.85"/>
    <n v="34040.160000000003"/>
    <x v="2"/>
    <x v="6"/>
    <x v="1"/>
  </r>
  <r>
    <s v="ORD01919"/>
    <s v="2023-12-08"/>
    <x v="23"/>
    <x v="18"/>
    <x v="0"/>
    <s v="Table"/>
    <n v="3"/>
    <n v="18260"/>
    <n v="0.15"/>
    <n v="46563"/>
    <n v="7991.88"/>
    <x v="2"/>
    <x v="9"/>
    <x v="1"/>
  </r>
  <r>
    <s v="ORD01920"/>
    <s v="2023-01-27"/>
    <x v="33"/>
    <x v="5"/>
    <x v="0"/>
    <s v="Cupboard"/>
    <n v="9"/>
    <n v="53896"/>
    <n v="0.05"/>
    <n v="460810.8"/>
    <n v="119067.69"/>
    <x v="0"/>
    <x v="3"/>
    <x v="1"/>
  </r>
  <r>
    <s v="ORD01921"/>
    <s v="2024-01-14"/>
    <x v="27"/>
    <x v="23"/>
    <x v="0"/>
    <s v="Desk"/>
    <n v="2"/>
    <n v="17917"/>
    <n v="0.1"/>
    <n v="32250.6"/>
    <n v="9209.84"/>
    <x v="0"/>
    <x v="3"/>
    <x v="0"/>
  </r>
  <r>
    <s v="ORD01922"/>
    <s v="2024-03-17"/>
    <x v="1"/>
    <x v="5"/>
    <x v="0"/>
    <s v="Cupboard"/>
    <n v="13"/>
    <n v="10787"/>
    <n v="0"/>
    <n v="140231"/>
    <n v="17161.599999999999"/>
    <x v="3"/>
    <x v="7"/>
    <x v="0"/>
  </r>
  <r>
    <s v="ORD01923"/>
    <s v="2023-08-25"/>
    <x v="30"/>
    <x v="9"/>
    <x v="1"/>
    <s v="Keyboard"/>
    <n v="2"/>
    <n v="18676"/>
    <n v="0.2"/>
    <n v="29881.599999999999"/>
    <n v="3227.48"/>
    <x v="0"/>
    <x v="8"/>
    <x v="1"/>
  </r>
  <r>
    <s v="ORD01924"/>
    <s v="2024-04-16"/>
    <x v="24"/>
    <x v="4"/>
    <x v="0"/>
    <s v="Stool"/>
    <n v="4"/>
    <n v="55137"/>
    <n v="0"/>
    <n v="220548"/>
    <n v="21375.9"/>
    <x v="1"/>
    <x v="2"/>
    <x v="0"/>
  </r>
  <r>
    <s v="ORD01925"/>
    <s v="2024-08-21"/>
    <x v="32"/>
    <x v="25"/>
    <x v="3"/>
    <s v="Notebook"/>
    <n v="10"/>
    <n v="39233"/>
    <n v="0.2"/>
    <n v="313864"/>
    <n v="76115.08"/>
    <x v="2"/>
    <x v="8"/>
    <x v="0"/>
  </r>
  <r>
    <s v="ORD01926"/>
    <s v="2024-05-01"/>
    <x v="39"/>
    <x v="10"/>
    <x v="3"/>
    <s v="Marker"/>
    <n v="2"/>
    <n v="48932"/>
    <n v="0"/>
    <n v="97864"/>
    <n v="28995.39"/>
    <x v="2"/>
    <x v="6"/>
    <x v="0"/>
  </r>
  <r>
    <s v="ORD01927"/>
    <s v="2024-02-09"/>
    <x v="38"/>
    <x v="1"/>
    <x v="1"/>
    <s v="Mobile"/>
    <n v="7"/>
    <n v="8119"/>
    <n v="0"/>
    <n v="56833"/>
    <n v="12860.94"/>
    <x v="1"/>
    <x v="11"/>
    <x v="0"/>
  </r>
  <r>
    <s v="ORD01928"/>
    <s v="2024-05-10"/>
    <x v="14"/>
    <x v="11"/>
    <x v="3"/>
    <s v="Printer"/>
    <n v="14"/>
    <n v="16442"/>
    <n v="0"/>
    <n v="230188"/>
    <n v="34449.93"/>
    <x v="2"/>
    <x v="6"/>
    <x v="0"/>
  </r>
  <r>
    <s v="ORD01929"/>
    <s v="2023-07-14"/>
    <x v="28"/>
    <x v="1"/>
    <x v="1"/>
    <s v="Mobile"/>
    <n v="13"/>
    <n v="44158"/>
    <n v="0"/>
    <n v="574054"/>
    <n v="133864.79999999999"/>
    <x v="3"/>
    <x v="1"/>
    <x v="1"/>
  </r>
  <r>
    <s v="ORD01930"/>
    <s v="2024-10-27"/>
    <x v="14"/>
    <x v="22"/>
    <x v="1"/>
    <s v="Camera"/>
    <n v="9"/>
    <n v="34858"/>
    <n v="0.2"/>
    <n v="250977.6"/>
    <n v="37761.300000000003"/>
    <x v="0"/>
    <x v="0"/>
    <x v="0"/>
  </r>
  <r>
    <s v="ORD01931"/>
    <s v="2023-02-01"/>
    <x v="6"/>
    <x v="8"/>
    <x v="2"/>
    <s v="Sweater"/>
    <n v="6"/>
    <n v="23111"/>
    <n v="0.15"/>
    <n v="117866.1"/>
    <n v="33774.54"/>
    <x v="3"/>
    <x v="11"/>
    <x v="1"/>
  </r>
  <r>
    <s v="ORD01932"/>
    <s v="2023-09-12"/>
    <x v="6"/>
    <x v="10"/>
    <x v="3"/>
    <s v="Marker"/>
    <n v="14"/>
    <n v="24602"/>
    <n v="0.1"/>
    <n v="309985.2"/>
    <n v="34096.53"/>
    <x v="1"/>
    <x v="10"/>
    <x v="1"/>
  </r>
  <r>
    <s v="ORD01933"/>
    <s v="2023-11-30"/>
    <x v="44"/>
    <x v="24"/>
    <x v="2"/>
    <s v="T-Shirt"/>
    <n v="10"/>
    <n v="27798"/>
    <n v="0.05"/>
    <n v="264081"/>
    <n v="44394.09"/>
    <x v="1"/>
    <x v="4"/>
    <x v="1"/>
  </r>
  <r>
    <s v="ORD01934"/>
    <s v="2023-04-24"/>
    <x v="46"/>
    <x v="10"/>
    <x v="3"/>
    <s v="Marker"/>
    <n v="10"/>
    <n v="7345"/>
    <n v="0.15"/>
    <n v="62432.5"/>
    <n v="11874.13"/>
    <x v="3"/>
    <x v="2"/>
    <x v="1"/>
  </r>
  <r>
    <s v="ORD01935"/>
    <s v="2024-07-18"/>
    <x v="4"/>
    <x v="9"/>
    <x v="1"/>
    <s v="Keyboard"/>
    <n v="1"/>
    <n v="31904"/>
    <n v="0.1"/>
    <n v="28713.599999999999"/>
    <n v="4191.6899999999996"/>
    <x v="1"/>
    <x v="1"/>
    <x v="0"/>
  </r>
  <r>
    <s v="ORD01936"/>
    <s v="2023-08-26"/>
    <x v="8"/>
    <x v="24"/>
    <x v="2"/>
    <s v="T-Shirt"/>
    <n v="13"/>
    <n v="50978"/>
    <n v="0.2"/>
    <n v="530171.19999999995"/>
    <n v="74432.460000000006"/>
    <x v="1"/>
    <x v="8"/>
    <x v="1"/>
  </r>
  <r>
    <s v="ORD01937"/>
    <s v="2024-08-19"/>
    <x v="2"/>
    <x v="10"/>
    <x v="3"/>
    <s v="Marker"/>
    <n v="6"/>
    <n v="22349"/>
    <n v="0.1"/>
    <n v="120684.6"/>
    <n v="31087.57"/>
    <x v="1"/>
    <x v="8"/>
    <x v="0"/>
  </r>
  <r>
    <s v="ORD01938"/>
    <s v="2023-03-04"/>
    <x v="49"/>
    <x v="5"/>
    <x v="0"/>
    <s v="Cupboard"/>
    <n v="15"/>
    <n v="53077"/>
    <n v="0.05"/>
    <n v="756347.25"/>
    <n v="193242.12"/>
    <x v="0"/>
    <x v="7"/>
    <x v="1"/>
  </r>
  <r>
    <s v="ORD01939"/>
    <s v="2023-12-20"/>
    <x v="21"/>
    <x v="1"/>
    <x v="1"/>
    <s v="Mobile"/>
    <n v="8"/>
    <n v="16218"/>
    <n v="0.15"/>
    <n v="110282.4"/>
    <n v="19889.32"/>
    <x v="1"/>
    <x v="9"/>
    <x v="1"/>
  </r>
  <r>
    <s v="ORD01940"/>
    <s v="2024-05-07"/>
    <x v="0"/>
    <x v="11"/>
    <x v="3"/>
    <s v="Printer"/>
    <n v="12"/>
    <n v="49408"/>
    <n v="0.1"/>
    <n v="533606.40000000002"/>
    <n v="68775.08"/>
    <x v="3"/>
    <x v="6"/>
    <x v="0"/>
  </r>
  <r>
    <s v="ORD01941"/>
    <s v="2023-09-07"/>
    <x v="32"/>
    <x v="15"/>
    <x v="0"/>
    <s v="Sofa"/>
    <n v="3"/>
    <n v="44071"/>
    <n v="0.2"/>
    <n v="105770.4"/>
    <n v="15854.33"/>
    <x v="1"/>
    <x v="10"/>
    <x v="1"/>
  </r>
  <r>
    <s v="ORD01942"/>
    <s v="2023-09-05"/>
    <x v="32"/>
    <x v="6"/>
    <x v="2"/>
    <s v="Jeans"/>
    <n v="13"/>
    <n v="38661"/>
    <n v="0.1"/>
    <n v="452333.7"/>
    <n v="85945.06"/>
    <x v="2"/>
    <x v="10"/>
    <x v="1"/>
  </r>
  <r>
    <s v="ORD01943"/>
    <s v="2023-09-03"/>
    <x v="43"/>
    <x v="4"/>
    <x v="0"/>
    <s v="Stool"/>
    <n v="1"/>
    <n v="40284"/>
    <n v="0.1"/>
    <n v="36255.599999999999"/>
    <n v="10811.5"/>
    <x v="1"/>
    <x v="10"/>
    <x v="1"/>
  </r>
  <r>
    <s v="ORD01944"/>
    <s v="2024-11-09"/>
    <x v="40"/>
    <x v="7"/>
    <x v="0"/>
    <s v="Bed"/>
    <n v="11"/>
    <n v="5499"/>
    <n v="0"/>
    <n v="60489"/>
    <n v="10713.4"/>
    <x v="3"/>
    <x v="4"/>
    <x v="0"/>
  </r>
  <r>
    <s v="ORD01945"/>
    <s v="2023-11-24"/>
    <x v="40"/>
    <x v="5"/>
    <x v="0"/>
    <s v="Cupboard"/>
    <n v="14"/>
    <n v="38996"/>
    <n v="0.1"/>
    <n v="491349.6"/>
    <n v="119720.83"/>
    <x v="1"/>
    <x v="4"/>
    <x v="1"/>
  </r>
  <r>
    <s v="ORD01946"/>
    <s v="2023-01-07"/>
    <x v="36"/>
    <x v="27"/>
    <x v="3"/>
    <s v="File"/>
    <n v="10"/>
    <n v="57233"/>
    <n v="0"/>
    <n v="572330"/>
    <n v="135839.93"/>
    <x v="1"/>
    <x v="3"/>
    <x v="1"/>
  </r>
  <r>
    <s v="ORD01947"/>
    <s v="2023-08-22"/>
    <x v="36"/>
    <x v="21"/>
    <x v="1"/>
    <s v="Laptop"/>
    <n v="7"/>
    <n v="56329"/>
    <n v="0.2"/>
    <n v="315442.40000000002"/>
    <n v="78709.899999999994"/>
    <x v="3"/>
    <x v="8"/>
    <x v="1"/>
  </r>
  <r>
    <s v="ORD01948"/>
    <s v="2023-08-03"/>
    <x v="40"/>
    <x v="3"/>
    <x v="3"/>
    <s v="Stapler"/>
    <n v="11"/>
    <n v="22351"/>
    <n v="0.2"/>
    <n v="196688.8"/>
    <n v="19177.71"/>
    <x v="1"/>
    <x v="8"/>
    <x v="1"/>
  </r>
  <r>
    <s v="ORD01949"/>
    <s v="2024-02-19"/>
    <x v="12"/>
    <x v="5"/>
    <x v="0"/>
    <s v="Cupboard"/>
    <n v="13"/>
    <n v="53129"/>
    <n v="0.15"/>
    <n v="587075.44999999995"/>
    <n v="93027.53"/>
    <x v="3"/>
    <x v="11"/>
    <x v="0"/>
  </r>
  <r>
    <s v="ORD01950"/>
    <s v="2024-07-24"/>
    <x v="22"/>
    <x v="20"/>
    <x v="1"/>
    <s v="Tablet"/>
    <n v="2"/>
    <n v="17580"/>
    <n v="0"/>
    <n v="35160"/>
    <n v="3448.19"/>
    <x v="2"/>
    <x v="1"/>
    <x v="0"/>
  </r>
  <r>
    <s v="ORD01951"/>
    <s v="2024-01-26"/>
    <x v="38"/>
    <x v="1"/>
    <x v="1"/>
    <s v="Mobile"/>
    <n v="2"/>
    <n v="25074"/>
    <n v="0.2"/>
    <n v="40118.400000000001"/>
    <n v="10578.75"/>
    <x v="0"/>
    <x v="3"/>
    <x v="0"/>
  </r>
  <r>
    <s v="ORD01952"/>
    <s v="2023-11-11"/>
    <x v="2"/>
    <x v="16"/>
    <x v="3"/>
    <s v="Pen"/>
    <n v="8"/>
    <n v="37815"/>
    <n v="0.15"/>
    <n v="257142"/>
    <n v="21133.21"/>
    <x v="1"/>
    <x v="4"/>
    <x v="1"/>
  </r>
  <r>
    <s v="ORD01953"/>
    <s v="2024-09-27"/>
    <x v="14"/>
    <x v="13"/>
    <x v="2"/>
    <s v="Jacket"/>
    <n v="8"/>
    <n v="18835"/>
    <n v="0.1"/>
    <n v="135612"/>
    <n v="36513.57"/>
    <x v="2"/>
    <x v="10"/>
    <x v="0"/>
  </r>
  <r>
    <s v="ORD01954"/>
    <s v="2024-05-12"/>
    <x v="9"/>
    <x v="18"/>
    <x v="0"/>
    <s v="Table"/>
    <n v="14"/>
    <n v="44909"/>
    <n v="0.1"/>
    <n v="565853.4"/>
    <n v="62629.279999999999"/>
    <x v="1"/>
    <x v="6"/>
    <x v="0"/>
  </r>
  <r>
    <s v="ORD01955"/>
    <s v="2023-07-17"/>
    <x v="15"/>
    <x v="6"/>
    <x v="2"/>
    <s v="Jeans"/>
    <n v="15"/>
    <n v="53740"/>
    <n v="0.05"/>
    <n v="765795"/>
    <n v="67455.89"/>
    <x v="1"/>
    <x v="1"/>
    <x v="1"/>
  </r>
  <r>
    <s v="ORD01956"/>
    <s v="2024-03-01"/>
    <x v="13"/>
    <x v="9"/>
    <x v="1"/>
    <s v="Keyboard"/>
    <n v="8"/>
    <n v="26028"/>
    <n v="0.1"/>
    <n v="187401.60000000001"/>
    <n v="16523.509999999998"/>
    <x v="3"/>
    <x v="7"/>
    <x v="0"/>
  </r>
  <r>
    <s v="ORD01957"/>
    <s v="2023-04-04"/>
    <x v="19"/>
    <x v="26"/>
    <x v="3"/>
    <s v="Paper Ream"/>
    <n v="5"/>
    <n v="42954"/>
    <n v="0.1"/>
    <n v="193293"/>
    <n v="54403.93"/>
    <x v="1"/>
    <x v="2"/>
    <x v="1"/>
  </r>
  <r>
    <s v="ORD01958"/>
    <s v="2023-04-15"/>
    <x v="32"/>
    <x v="27"/>
    <x v="3"/>
    <s v="File"/>
    <n v="1"/>
    <n v="14310"/>
    <n v="0.05"/>
    <n v="13594.5"/>
    <n v="3534.63"/>
    <x v="2"/>
    <x v="2"/>
    <x v="1"/>
  </r>
  <r>
    <s v="ORD01959"/>
    <s v="2024-06-08"/>
    <x v="12"/>
    <x v="14"/>
    <x v="2"/>
    <s v="Dress"/>
    <n v="11"/>
    <n v="29238"/>
    <n v="0.05"/>
    <n v="305537.09999999998"/>
    <n v="46759.32"/>
    <x v="2"/>
    <x v="5"/>
    <x v="0"/>
  </r>
  <r>
    <s v="ORD01960"/>
    <s v="2024-05-17"/>
    <x v="21"/>
    <x v="13"/>
    <x v="2"/>
    <s v="Jacket"/>
    <n v="11"/>
    <n v="22597"/>
    <n v="0.1"/>
    <n v="223710.3"/>
    <n v="42636.91"/>
    <x v="3"/>
    <x v="6"/>
    <x v="0"/>
  </r>
  <r>
    <s v="ORD01961"/>
    <s v="2023-07-22"/>
    <x v="6"/>
    <x v="22"/>
    <x v="1"/>
    <s v="Camera"/>
    <n v="15"/>
    <n v="4654"/>
    <n v="0.05"/>
    <n v="66319.5"/>
    <n v="7245.4"/>
    <x v="2"/>
    <x v="1"/>
    <x v="1"/>
  </r>
  <r>
    <s v="ORD01962"/>
    <s v="2024-06-16"/>
    <x v="7"/>
    <x v="0"/>
    <x v="0"/>
    <s v="Chair"/>
    <n v="2"/>
    <n v="671"/>
    <n v="0.1"/>
    <n v="1207.8"/>
    <n v="248.14"/>
    <x v="0"/>
    <x v="5"/>
    <x v="0"/>
  </r>
  <r>
    <s v="ORD01963"/>
    <s v="2024-03-08"/>
    <x v="22"/>
    <x v="12"/>
    <x v="1"/>
    <s v="Headphones"/>
    <n v="13"/>
    <n v="10559"/>
    <n v="0.1"/>
    <n v="123540.3"/>
    <n v="20193.68"/>
    <x v="0"/>
    <x v="7"/>
    <x v="0"/>
  </r>
  <r>
    <s v="ORD01964"/>
    <s v="2024-07-16"/>
    <x v="12"/>
    <x v="3"/>
    <x v="3"/>
    <s v="Stapler"/>
    <n v="4"/>
    <n v="15677"/>
    <n v="0.2"/>
    <n v="50166.400000000001"/>
    <n v="11793.86"/>
    <x v="0"/>
    <x v="1"/>
    <x v="0"/>
  </r>
  <r>
    <s v="ORD01965"/>
    <s v="2024-07-05"/>
    <x v="28"/>
    <x v="11"/>
    <x v="3"/>
    <s v="Printer"/>
    <n v="13"/>
    <n v="455"/>
    <n v="0.1"/>
    <n v="5323.5"/>
    <n v="1340.94"/>
    <x v="0"/>
    <x v="1"/>
    <x v="0"/>
  </r>
  <r>
    <s v="ORD01966"/>
    <s v="2024-05-23"/>
    <x v="31"/>
    <x v="19"/>
    <x v="1"/>
    <s v="Smartwatch"/>
    <n v="11"/>
    <n v="25577"/>
    <n v="0.05"/>
    <n v="267279.65000000002"/>
    <n v="26085.91"/>
    <x v="1"/>
    <x v="6"/>
    <x v="0"/>
  </r>
  <r>
    <s v="ORD01967"/>
    <s v="2024-05-15"/>
    <x v="20"/>
    <x v="4"/>
    <x v="0"/>
    <s v="Stool"/>
    <n v="1"/>
    <n v="25986"/>
    <n v="0.05"/>
    <n v="24686.7"/>
    <n v="6837.45"/>
    <x v="0"/>
    <x v="6"/>
    <x v="0"/>
  </r>
  <r>
    <s v="ORD01968"/>
    <s v="2024-10-20"/>
    <x v="12"/>
    <x v="17"/>
    <x v="1"/>
    <s v="Power Bank"/>
    <n v="9"/>
    <n v="33499"/>
    <n v="0.1"/>
    <n v="271341.90000000002"/>
    <n v="30340.61"/>
    <x v="1"/>
    <x v="0"/>
    <x v="0"/>
  </r>
  <r>
    <s v="ORD01969"/>
    <s v="2023-03-16"/>
    <x v="12"/>
    <x v="21"/>
    <x v="1"/>
    <s v="Laptop"/>
    <n v="1"/>
    <n v="21019"/>
    <n v="0.05"/>
    <n v="19968.05"/>
    <n v="4778.6000000000004"/>
    <x v="3"/>
    <x v="7"/>
    <x v="1"/>
  </r>
  <r>
    <s v="ORD01970"/>
    <s v="2024-07-09"/>
    <x v="17"/>
    <x v="25"/>
    <x v="3"/>
    <s v="Notebook"/>
    <n v="10"/>
    <n v="50547"/>
    <n v="0.15"/>
    <n v="429649.5"/>
    <n v="47981.23"/>
    <x v="1"/>
    <x v="1"/>
    <x v="0"/>
  </r>
  <r>
    <s v="ORD01971"/>
    <s v="2024-10-30"/>
    <x v="38"/>
    <x v="9"/>
    <x v="1"/>
    <s v="Keyboard"/>
    <n v="1"/>
    <n v="11551"/>
    <n v="0.2"/>
    <n v="9240.7999999999993"/>
    <n v="1609.1"/>
    <x v="0"/>
    <x v="0"/>
    <x v="0"/>
  </r>
  <r>
    <s v="ORD01972"/>
    <s v="2024-01-23"/>
    <x v="45"/>
    <x v="23"/>
    <x v="0"/>
    <s v="Desk"/>
    <n v="8"/>
    <n v="40533"/>
    <n v="0"/>
    <n v="324264"/>
    <n v="79888.149999999994"/>
    <x v="1"/>
    <x v="3"/>
    <x v="0"/>
  </r>
  <r>
    <s v="ORD01973"/>
    <s v="2024-04-14"/>
    <x v="4"/>
    <x v="2"/>
    <x v="2"/>
    <s v="Shoes"/>
    <n v="1"/>
    <n v="7824"/>
    <n v="0.15"/>
    <n v="6650.4"/>
    <n v="1717.34"/>
    <x v="3"/>
    <x v="2"/>
    <x v="0"/>
  </r>
  <r>
    <s v="ORD01974"/>
    <s v="2023-12-28"/>
    <x v="19"/>
    <x v="1"/>
    <x v="1"/>
    <s v="Mobile"/>
    <n v="9"/>
    <n v="332"/>
    <n v="0.2"/>
    <n v="2390.4"/>
    <n v="492.1"/>
    <x v="0"/>
    <x v="9"/>
    <x v="1"/>
  </r>
  <r>
    <s v="ORD01975"/>
    <s v="2023-09-28"/>
    <x v="22"/>
    <x v="5"/>
    <x v="0"/>
    <s v="Cupboard"/>
    <n v="3"/>
    <n v="35242"/>
    <n v="0"/>
    <n v="105726"/>
    <n v="25106.39"/>
    <x v="1"/>
    <x v="10"/>
    <x v="1"/>
  </r>
  <r>
    <s v="ORD01976"/>
    <s v="2023-10-05"/>
    <x v="44"/>
    <x v="10"/>
    <x v="3"/>
    <s v="Marker"/>
    <n v="7"/>
    <n v="55525"/>
    <n v="0.1"/>
    <n v="349807.5"/>
    <n v="73350.289999999994"/>
    <x v="1"/>
    <x v="0"/>
    <x v="1"/>
  </r>
  <r>
    <s v="ORD01977"/>
    <s v="2023-08-14"/>
    <x v="3"/>
    <x v="22"/>
    <x v="1"/>
    <s v="Camera"/>
    <n v="8"/>
    <n v="28916"/>
    <n v="0"/>
    <n v="231328"/>
    <n v="34648.22"/>
    <x v="2"/>
    <x v="8"/>
    <x v="1"/>
  </r>
  <r>
    <s v="ORD01978"/>
    <s v="2023-09-22"/>
    <x v="27"/>
    <x v="20"/>
    <x v="1"/>
    <s v="Tablet"/>
    <n v="2"/>
    <n v="59678"/>
    <n v="0.2"/>
    <n v="95484.800000000003"/>
    <n v="12438.72"/>
    <x v="0"/>
    <x v="10"/>
    <x v="1"/>
  </r>
  <r>
    <s v="ORD01979"/>
    <s v="2023-07-01"/>
    <x v="37"/>
    <x v="15"/>
    <x v="0"/>
    <s v="Sofa"/>
    <n v="5"/>
    <n v="9052"/>
    <n v="0.05"/>
    <n v="42997"/>
    <n v="10196.99"/>
    <x v="3"/>
    <x v="1"/>
    <x v="1"/>
  </r>
  <r>
    <s v="ORD01980"/>
    <s v="2024-01-26"/>
    <x v="13"/>
    <x v="24"/>
    <x v="2"/>
    <s v="T-Shirt"/>
    <n v="12"/>
    <n v="7430"/>
    <n v="0.15"/>
    <n v="75786"/>
    <n v="6477.8"/>
    <x v="3"/>
    <x v="3"/>
    <x v="0"/>
  </r>
  <r>
    <s v="ORD01981"/>
    <s v="2023-03-30"/>
    <x v="20"/>
    <x v="8"/>
    <x v="2"/>
    <s v="Sweater"/>
    <n v="7"/>
    <n v="53559"/>
    <n v="0.05"/>
    <n v="356167.35"/>
    <n v="104363.46"/>
    <x v="2"/>
    <x v="7"/>
    <x v="1"/>
  </r>
  <r>
    <s v="ORD01982"/>
    <s v="2023-05-20"/>
    <x v="26"/>
    <x v="20"/>
    <x v="1"/>
    <s v="Tablet"/>
    <n v="11"/>
    <n v="59493"/>
    <n v="0.2"/>
    <n v="523538.4"/>
    <n v="43625.81"/>
    <x v="2"/>
    <x v="6"/>
    <x v="1"/>
  </r>
  <r>
    <s v="ORD01983"/>
    <s v="2023-01-03"/>
    <x v="17"/>
    <x v="5"/>
    <x v="0"/>
    <s v="Cupboard"/>
    <n v="1"/>
    <n v="18715"/>
    <n v="0.2"/>
    <n v="14972"/>
    <n v="2303.1"/>
    <x v="2"/>
    <x v="3"/>
    <x v="1"/>
  </r>
  <r>
    <s v="ORD01984"/>
    <s v="2023-03-12"/>
    <x v="39"/>
    <x v="7"/>
    <x v="0"/>
    <s v="Bed"/>
    <n v="5"/>
    <n v="23629"/>
    <n v="0.05"/>
    <n v="112237.75"/>
    <n v="22294.83"/>
    <x v="1"/>
    <x v="7"/>
    <x v="1"/>
  </r>
  <r>
    <s v="ORD01985"/>
    <s v="2023-12-07"/>
    <x v="13"/>
    <x v="18"/>
    <x v="0"/>
    <s v="Table"/>
    <n v="14"/>
    <n v="15468"/>
    <n v="0.05"/>
    <n v="205724.4"/>
    <n v="36914.769999999997"/>
    <x v="2"/>
    <x v="9"/>
    <x v="1"/>
  </r>
  <r>
    <s v="ORD01986"/>
    <s v="2023-02-24"/>
    <x v="1"/>
    <x v="10"/>
    <x v="3"/>
    <s v="Marker"/>
    <n v="1"/>
    <n v="16678"/>
    <n v="0.2"/>
    <n v="13342.4"/>
    <n v="3214.77"/>
    <x v="0"/>
    <x v="11"/>
    <x v="1"/>
  </r>
  <r>
    <s v="ORD01987"/>
    <s v="2024-01-02"/>
    <x v="20"/>
    <x v="2"/>
    <x v="2"/>
    <s v="Shoes"/>
    <n v="15"/>
    <n v="49861"/>
    <n v="0.1"/>
    <n v="673123.5"/>
    <n v="116739.24"/>
    <x v="2"/>
    <x v="3"/>
    <x v="0"/>
  </r>
  <r>
    <s v="ORD01988"/>
    <s v="2023-01-23"/>
    <x v="42"/>
    <x v="13"/>
    <x v="2"/>
    <s v="Jacket"/>
    <n v="8"/>
    <n v="20331"/>
    <n v="0.05"/>
    <n v="154515.6"/>
    <n v="34445.35"/>
    <x v="1"/>
    <x v="3"/>
    <x v="1"/>
  </r>
  <r>
    <s v="ORD01989"/>
    <s v="2023-06-19"/>
    <x v="38"/>
    <x v="12"/>
    <x v="1"/>
    <s v="Headphones"/>
    <n v="3"/>
    <n v="58269"/>
    <n v="0.15"/>
    <n v="148585.95000000001"/>
    <n v="13537.58"/>
    <x v="2"/>
    <x v="5"/>
    <x v="1"/>
  </r>
  <r>
    <s v="ORD01990"/>
    <s v="2023-11-18"/>
    <x v="19"/>
    <x v="1"/>
    <x v="1"/>
    <s v="Mobile"/>
    <n v="12"/>
    <n v="40690"/>
    <n v="0.2"/>
    <n v="390624"/>
    <n v="115979.07"/>
    <x v="2"/>
    <x v="4"/>
    <x v="1"/>
  </r>
  <r>
    <s v="ORD01991"/>
    <s v="2024-03-01"/>
    <x v="21"/>
    <x v="25"/>
    <x v="3"/>
    <s v="Notebook"/>
    <n v="13"/>
    <n v="43731"/>
    <n v="0.15"/>
    <n v="483227.55"/>
    <n v="122046.84"/>
    <x v="2"/>
    <x v="7"/>
    <x v="0"/>
  </r>
  <r>
    <s v="ORD01992"/>
    <s v="2023-11-08"/>
    <x v="47"/>
    <x v="12"/>
    <x v="1"/>
    <s v="Headphones"/>
    <n v="4"/>
    <n v="7125"/>
    <n v="0.1"/>
    <n v="25650"/>
    <n v="2428.0100000000002"/>
    <x v="2"/>
    <x v="4"/>
    <x v="1"/>
  </r>
  <r>
    <s v="ORD01993"/>
    <s v="2023-01-02"/>
    <x v="8"/>
    <x v="6"/>
    <x v="2"/>
    <s v="Jeans"/>
    <n v="3"/>
    <n v="50021"/>
    <n v="0"/>
    <n v="150063"/>
    <n v="36774.879999999997"/>
    <x v="0"/>
    <x v="3"/>
    <x v="1"/>
  </r>
  <r>
    <s v="ORD01994"/>
    <s v="2024-05-16"/>
    <x v="24"/>
    <x v="19"/>
    <x v="1"/>
    <s v="Smartwatch"/>
    <n v="4"/>
    <n v="17032"/>
    <n v="0"/>
    <n v="68128"/>
    <n v="10075.459999999999"/>
    <x v="1"/>
    <x v="6"/>
    <x v="0"/>
  </r>
  <r>
    <s v="ORD01995"/>
    <s v="2023-11-23"/>
    <x v="26"/>
    <x v="18"/>
    <x v="0"/>
    <s v="Table"/>
    <n v="7"/>
    <n v="19631"/>
    <n v="0"/>
    <n v="137417"/>
    <n v="31498.49"/>
    <x v="1"/>
    <x v="4"/>
    <x v="1"/>
  </r>
  <r>
    <s v="ORD01996"/>
    <s v="2024-03-14"/>
    <x v="43"/>
    <x v="8"/>
    <x v="2"/>
    <s v="Sweater"/>
    <n v="9"/>
    <n v="3905"/>
    <n v="0.05"/>
    <n v="33387.75"/>
    <n v="5251.9"/>
    <x v="1"/>
    <x v="7"/>
    <x v="0"/>
  </r>
  <r>
    <s v="ORD01997"/>
    <s v="2024-05-26"/>
    <x v="48"/>
    <x v="15"/>
    <x v="0"/>
    <s v="Sofa"/>
    <n v="12"/>
    <n v="38029"/>
    <n v="0"/>
    <n v="456348"/>
    <n v="87752.97"/>
    <x v="0"/>
    <x v="6"/>
    <x v="0"/>
  </r>
  <r>
    <s v="ORD01998"/>
    <s v="2023-01-01"/>
    <x v="1"/>
    <x v="27"/>
    <x v="3"/>
    <s v="File"/>
    <n v="13"/>
    <n v="38136"/>
    <n v="0.05"/>
    <n v="470979.6"/>
    <n v="113616.02"/>
    <x v="3"/>
    <x v="3"/>
    <x v="1"/>
  </r>
  <r>
    <s v="ORD01999"/>
    <s v="2023-04-16"/>
    <x v="0"/>
    <x v="6"/>
    <x v="2"/>
    <s v="Jeans"/>
    <n v="5"/>
    <n v="51021"/>
    <n v="0.1"/>
    <n v="229594.5"/>
    <n v="28321.14"/>
    <x v="0"/>
    <x v="2"/>
    <x v="1"/>
  </r>
  <r>
    <s v="ORD02000"/>
    <s v="2023-10-10"/>
    <x v="43"/>
    <x v="2"/>
    <x v="2"/>
    <s v="Shoes"/>
    <n v="12"/>
    <n v="12048"/>
    <n v="0.1"/>
    <n v="130118.39999999999"/>
    <n v="32201.48"/>
    <x v="0"/>
    <x v="0"/>
    <x v="1"/>
  </r>
  <r>
    <s v="ORD02001"/>
    <s v="2024-11-10"/>
    <x v="25"/>
    <x v="3"/>
    <x v="3"/>
    <s v="Stapler"/>
    <n v="9"/>
    <n v="21846"/>
    <n v="0.1"/>
    <n v="176952.6"/>
    <n v="26756.21"/>
    <x v="2"/>
    <x v="4"/>
    <x v="0"/>
  </r>
  <r>
    <s v="ORD02002"/>
    <s v="2023-09-15"/>
    <x v="45"/>
    <x v="6"/>
    <x v="2"/>
    <s v="Jeans"/>
    <n v="10"/>
    <n v="50851"/>
    <n v="0.15"/>
    <n v="432233.5"/>
    <n v="42427.26"/>
    <x v="2"/>
    <x v="10"/>
    <x v="1"/>
  </r>
  <r>
    <s v="ORD02003"/>
    <s v="2024-07-04"/>
    <x v="8"/>
    <x v="3"/>
    <x v="3"/>
    <s v="Stapler"/>
    <n v="3"/>
    <n v="50271"/>
    <n v="0.2"/>
    <n v="120650.4"/>
    <n v="10458.34"/>
    <x v="3"/>
    <x v="1"/>
    <x v="0"/>
  </r>
  <r>
    <s v="ORD02004"/>
    <s v="2023-02-15"/>
    <x v="19"/>
    <x v="22"/>
    <x v="1"/>
    <s v="Camera"/>
    <n v="5"/>
    <n v="20442"/>
    <n v="0.05"/>
    <n v="97099.5"/>
    <n v="9602.58"/>
    <x v="2"/>
    <x v="11"/>
    <x v="1"/>
  </r>
  <r>
    <s v="ORD02005"/>
    <s v="2023-07-18"/>
    <x v="43"/>
    <x v="23"/>
    <x v="0"/>
    <s v="Desk"/>
    <n v="4"/>
    <n v="28570"/>
    <n v="0"/>
    <n v="114280"/>
    <n v="21076.32"/>
    <x v="2"/>
    <x v="1"/>
    <x v="1"/>
  </r>
  <r>
    <s v="ORD02006"/>
    <s v="2023-12-20"/>
    <x v="7"/>
    <x v="21"/>
    <x v="1"/>
    <s v="Laptop"/>
    <n v="4"/>
    <n v="42765"/>
    <n v="0"/>
    <n v="171060"/>
    <n v="24276.639999999999"/>
    <x v="0"/>
    <x v="9"/>
    <x v="1"/>
  </r>
  <r>
    <s v="ORD02007"/>
    <s v="2023-01-26"/>
    <x v="40"/>
    <x v="26"/>
    <x v="3"/>
    <s v="Paper Ream"/>
    <n v="12"/>
    <n v="48609"/>
    <n v="0.15"/>
    <n v="495811.8"/>
    <n v="97906.23"/>
    <x v="0"/>
    <x v="3"/>
    <x v="1"/>
  </r>
  <r>
    <s v="ORD02008"/>
    <s v="2023-10-07"/>
    <x v="6"/>
    <x v="8"/>
    <x v="2"/>
    <s v="Sweater"/>
    <n v="13"/>
    <n v="33625"/>
    <n v="0.05"/>
    <n v="415268.75"/>
    <n v="94635.66"/>
    <x v="2"/>
    <x v="0"/>
    <x v="1"/>
  </r>
  <r>
    <s v="ORD02009"/>
    <s v="2023-02-19"/>
    <x v="30"/>
    <x v="11"/>
    <x v="3"/>
    <s v="Printer"/>
    <n v="6"/>
    <n v="50317"/>
    <n v="0.15"/>
    <n v="256616.7"/>
    <n v="25299.27"/>
    <x v="3"/>
    <x v="11"/>
    <x v="1"/>
  </r>
  <r>
    <s v="ORD02010"/>
    <s v="2024-10-15"/>
    <x v="33"/>
    <x v="13"/>
    <x v="2"/>
    <s v="Jacket"/>
    <n v="3"/>
    <n v="36031"/>
    <n v="0.2"/>
    <n v="86474.4"/>
    <n v="15857.7"/>
    <x v="0"/>
    <x v="0"/>
    <x v="0"/>
  </r>
  <r>
    <s v="ORD02011"/>
    <s v="2024-11-23"/>
    <x v="46"/>
    <x v="17"/>
    <x v="1"/>
    <s v="Power Bank"/>
    <n v="10"/>
    <n v="1211"/>
    <n v="0.2"/>
    <n v="9688"/>
    <n v="2204.0300000000002"/>
    <x v="2"/>
    <x v="4"/>
    <x v="0"/>
  </r>
  <r>
    <s v="ORD02012"/>
    <s v="2023-01-31"/>
    <x v="23"/>
    <x v="23"/>
    <x v="0"/>
    <s v="Desk"/>
    <n v="1"/>
    <n v="3818"/>
    <n v="0.15"/>
    <n v="3245.3"/>
    <n v="771.42"/>
    <x v="1"/>
    <x v="3"/>
    <x v="1"/>
  </r>
  <r>
    <s v="ORD02013"/>
    <s v="2024-02-08"/>
    <x v="46"/>
    <x v="15"/>
    <x v="0"/>
    <s v="Sofa"/>
    <n v="9"/>
    <n v="42231"/>
    <n v="0.1"/>
    <n v="342071.1"/>
    <n v="63662.66"/>
    <x v="3"/>
    <x v="11"/>
    <x v="0"/>
  </r>
  <r>
    <s v="ORD02014"/>
    <s v="2024-10-04"/>
    <x v="21"/>
    <x v="9"/>
    <x v="1"/>
    <s v="Keyboard"/>
    <n v="5"/>
    <n v="31895"/>
    <n v="0"/>
    <n v="159475"/>
    <n v="38758.61"/>
    <x v="1"/>
    <x v="0"/>
    <x v="0"/>
  </r>
  <r>
    <s v="ORD02015"/>
    <s v="2023-05-06"/>
    <x v="36"/>
    <x v="12"/>
    <x v="1"/>
    <s v="Headphones"/>
    <n v="5"/>
    <n v="34630"/>
    <n v="0.15"/>
    <n v="147177.5"/>
    <n v="14776.07"/>
    <x v="2"/>
    <x v="6"/>
    <x v="1"/>
  </r>
  <r>
    <s v="ORD02016"/>
    <s v="2024-02-02"/>
    <x v="9"/>
    <x v="8"/>
    <x v="2"/>
    <s v="Sweater"/>
    <n v="12"/>
    <n v="44560"/>
    <n v="0.2"/>
    <n v="427776"/>
    <n v="118323.68"/>
    <x v="1"/>
    <x v="11"/>
    <x v="0"/>
  </r>
  <r>
    <s v="ORD02017"/>
    <s v="2024-04-19"/>
    <x v="39"/>
    <x v="3"/>
    <x v="3"/>
    <s v="Stapler"/>
    <n v="14"/>
    <n v="38526"/>
    <n v="0.15"/>
    <n v="458459.4"/>
    <n v="107951.76"/>
    <x v="1"/>
    <x v="2"/>
    <x v="0"/>
  </r>
  <r>
    <s v="ORD02018"/>
    <s v="2024-02-21"/>
    <x v="40"/>
    <x v="13"/>
    <x v="2"/>
    <s v="Jacket"/>
    <n v="8"/>
    <n v="36813"/>
    <n v="0.15"/>
    <n v="250328.4"/>
    <n v="55241.63"/>
    <x v="0"/>
    <x v="11"/>
    <x v="0"/>
  </r>
  <r>
    <s v="ORD02019"/>
    <s v="2023-11-15"/>
    <x v="4"/>
    <x v="22"/>
    <x v="1"/>
    <s v="Camera"/>
    <n v="3"/>
    <n v="5820"/>
    <n v="0.1"/>
    <n v="15714"/>
    <n v="2307.92"/>
    <x v="1"/>
    <x v="4"/>
    <x v="1"/>
  </r>
  <r>
    <s v="ORD02020"/>
    <s v="2023-08-13"/>
    <x v="7"/>
    <x v="11"/>
    <x v="3"/>
    <s v="Printer"/>
    <n v="9"/>
    <n v="59901"/>
    <n v="0.05"/>
    <n v="512153.55"/>
    <n v="100148.39"/>
    <x v="2"/>
    <x v="8"/>
    <x v="1"/>
  </r>
  <r>
    <s v="ORD02021"/>
    <s v="2024-08-14"/>
    <x v="29"/>
    <x v="24"/>
    <x v="2"/>
    <s v="T-Shirt"/>
    <n v="12"/>
    <n v="37300"/>
    <n v="0.1"/>
    <n v="402840"/>
    <n v="66005.759999999995"/>
    <x v="3"/>
    <x v="8"/>
    <x v="0"/>
  </r>
  <r>
    <s v="ORD02022"/>
    <s v="2023-05-30"/>
    <x v="28"/>
    <x v="23"/>
    <x v="0"/>
    <s v="Desk"/>
    <n v="7"/>
    <n v="27965"/>
    <n v="0.2"/>
    <n v="156604"/>
    <n v="25721.74"/>
    <x v="3"/>
    <x v="6"/>
    <x v="1"/>
  </r>
  <r>
    <s v="ORD02023"/>
    <s v="2024-05-30"/>
    <x v="32"/>
    <x v="17"/>
    <x v="1"/>
    <s v="Power Bank"/>
    <n v="15"/>
    <n v="51707"/>
    <n v="0.1"/>
    <n v="698044.5"/>
    <n v="163915.54"/>
    <x v="2"/>
    <x v="6"/>
    <x v="0"/>
  </r>
  <r>
    <s v="ORD02024"/>
    <s v="2023-04-21"/>
    <x v="45"/>
    <x v="21"/>
    <x v="1"/>
    <s v="Laptop"/>
    <n v="12"/>
    <n v="33274"/>
    <n v="0.1"/>
    <n v="359359.2"/>
    <n v="42800.959999999999"/>
    <x v="3"/>
    <x v="2"/>
    <x v="1"/>
  </r>
  <r>
    <s v="ORD02025"/>
    <s v="2024-09-14"/>
    <x v="2"/>
    <x v="15"/>
    <x v="0"/>
    <s v="Sofa"/>
    <n v="2"/>
    <n v="28711"/>
    <n v="0.1"/>
    <n v="51679.8"/>
    <n v="13192.64"/>
    <x v="0"/>
    <x v="10"/>
    <x v="0"/>
  </r>
  <r>
    <s v="ORD02026"/>
    <s v="2023-11-21"/>
    <x v="29"/>
    <x v="20"/>
    <x v="1"/>
    <s v="Tablet"/>
    <n v="6"/>
    <n v="40207"/>
    <n v="0.15"/>
    <n v="205055.7"/>
    <n v="57479.56"/>
    <x v="0"/>
    <x v="4"/>
    <x v="1"/>
  </r>
  <r>
    <s v="ORD02027"/>
    <s v="2023-06-01"/>
    <x v="49"/>
    <x v="10"/>
    <x v="3"/>
    <s v="Marker"/>
    <n v="15"/>
    <n v="18945"/>
    <n v="0.1"/>
    <n v="255757.5"/>
    <n v="32872.39"/>
    <x v="0"/>
    <x v="5"/>
    <x v="1"/>
  </r>
  <r>
    <s v="ORD02028"/>
    <s v="2023-01-04"/>
    <x v="41"/>
    <x v="9"/>
    <x v="1"/>
    <s v="Keyboard"/>
    <n v="13"/>
    <n v="7527"/>
    <n v="0.1"/>
    <n v="88065.9"/>
    <n v="7858.68"/>
    <x v="3"/>
    <x v="3"/>
    <x v="1"/>
  </r>
  <r>
    <s v="ORD02029"/>
    <s v="2023-06-01"/>
    <x v="23"/>
    <x v="23"/>
    <x v="0"/>
    <s v="Desk"/>
    <n v="6"/>
    <n v="34470"/>
    <n v="0.2"/>
    <n v="165456"/>
    <n v="23278.6"/>
    <x v="1"/>
    <x v="5"/>
    <x v="1"/>
  </r>
  <r>
    <s v="ORD02030"/>
    <s v="2023-07-07"/>
    <x v="12"/>
    <x v="5"/>
    <x v="0"/>
    <s v="Cupboard"/>
    <n v="8"/>
    <n v="50984"/>
    <n v="0.05"/>
    <n v="387478.4"/>
    <n v="57630"/>
    <x v="3"/>
    <x v="1"/>
    <x v="1"/>
  </r>
  <r>
    <s v="ORD02031"/>
    <s v="2024-05-27"/>
    <x v="12"/>
    <x v="6"/>
    <x v="2"/>
    <s v="Jeans"/>
    <n v="6"/>
    <n v="32617"/>
    <n v="0.05"/>
    <n v="185916.9"/>
    <n v="42719.71"/>
    <x v="1"/>
    <x v="6"/>
    <x v="0"/>
  </r>
  <r>
    <s v="ORD02032"/>
    <s v="2023-07-23"/>
    <x v="44"/>
    <x v="12"/>
    <x v="1"/>
    <s v="Headphones"/>
    <n v="5"/>
    <n v="24253"/>
    <n v="0.2"/>
    <n v="97012"/>
    <n v="20699.64"/>
    <x v="0"/>
    <x v="1"/>
    <x v="1"/>
  </r>
  <r>
    <s v="ORD02033"/>
    <s v="2024-05-02"/>
    <x v="46"/>
    <x v="21"/>
    <x v="1"/>
    <s v="Laptop"/>
    <n v="10"/>
    <n v="29700"/>
    <n v="0.1"/>
    <n v="267300"/>
    <n v="39683.31"/>
    <x v="3"/>
    <x v="6"/>
    <x v="0"/>
  </r>
  <r>
    <s v="ORD02034"/>
    <s v="2023-10-26"/>
    <x v="11"/>
    <x v="0"/>
    <x v="0"/>
    <s v="Chair"/>
    <n v="5"/>
    <n v="45963"/>
    <n v="0.2"/>
    <n v="183852"/>
    <n v="23154.74"/>
    <x v="0"/>
    <x v="0"/>
    <x v="1"/>
  </r>
  <r>
    <s v="ORD02035"/>
    <s v="2024-06-04"/>
    <x v="12"/>
    <x v="3"/>
    <x v="3"/>
    <s v="Stapler"/>
    <n v="1"/>
    <n v="28028"/>
    <n v="0.1"/>
    <n v="25225.200000000001"/>
    <n v="3379.43"/>
    <x v="3"/>
    <x v="5"/>
    <x v="0"/>
  </r>
  <r>
    <s v="ORD02036"/>
    <s v="2024-01-17"/>
    <x v="31"/>
    <x v="18"/>
    <x v="0"/>
    <s v="Table"/>
    <n v="9"/>
    <n v="30031"/>
    <n v="0.05"/>
    <n v="256765.05"/>
    <n v="50568.03"/>
    <x v="3"/>
    <x v="3"/>
    <x v="0"/>
  </r>
  <r>
    <s v="ORD02037"/>
    <s v="2024-11-16"/>
    <x v="1"/>
    <x v="6"/>
    <x v="2"/>
    <s v="Jeans"/>
    <n v="8"/>
    <n v="19517"/>
    <n v="0.2"/>
    <n v="124908.8"/>
    <n v="15098.91"/>
    <x v="0"/>
    <x v="4"/>
    <x v="0"/>
  </r>
  <r>
    <s v="ORD02038"/>
    <s v="2023-10-28"/>
    <x v="45"/>
    <x v="24"/>
    <x v="2"/>
    <s v="T-Shirt"/>
    <n v="3"/>
    <n v="47551"/>
    <n v="0"/>
    <n v="142653"/>
    <n v="35637.01"/>
    <x v="0"/>
    <x v="0"/>
    <x v="1"/>
  </r>
  <r>
    <s v="ORD02039"/>
    <s v="2023-03-07"/>
    <x v="12"/>
    <x v="1"/>
    <x v="1"/>
    <s v="Mobile"/>
    <n v="8"/>
    <n v="26386"/>
    <n v="0.05"/>
    <n v="200533.6"/>
    <n v="49907.34"/>
    <x v="0"/>
    <x v="7"/>
    <x v="1"/>
  </r>
  <r>
    <s v="ORD02040"/>
    <s v="2024-04-25"/>
    <x v="11"/>
    <x v="8"/>
    <x v="2"/>
    <s v="Sweater"/>
    <n v="9"/>
    <n v="16192"/>
    <n v="0"/>
    <n v="145728"/>
    <n v="16877.38"/>
    <x v="0"/>
    <x v="2"/>
    <x v="0"/>
  </r>
  <r>
    <s v="ORD02041"/>
    <s v="2023-03-02"/>
    <x v="46"/>
    <x v="10"/>
    <x v="3"/>
    <s v="Marker"/>
    <n v="3"/>
    <n v="26763"/>
    <n v="0"/>
    <n v="80289"/>
    <n v="23401.46"/>
    <x v="0"/>
    <x v="7"/>
    <x v="1"/>
  </r>
  <r>
    <s v="ORD02042"/>
    <s v="2023-10-09"/>
    <x v="34"/>
    <x v="6"/>
    <x v="2"/>
    <s v="Jeans"/>
    <n v="15"/>
    <n v="28243"/>
    <n v="0"/>
    <n v="423645"/>
    <n v="108399.63"/>
    <x v="1"/>
    <x v="0"/>
    <x v="1"/>
  </r>
  <r>
    <s v="ORD02043"/>
    <s v="2024-04-03"/>
    <x v="47"/>
    <x v="1"/>
    <x v="1"/>
    <s v="Mobile"/>
    <n v="12"/>
    <n v="8446"/>
    <n v="0.05"/>
    <n v="96284.4"/>
    <n v="15087.19"/>
    <x v="0"/>
    <x v="2"/>
    <x v="0"/>
  </r>
  <r>
    <s v="ORD02044"/>
    <s v="2024-06-20"/>
    <x v="2"/>
    <x v="13"/>
    <x v="2"/>
    <s v="Jacket"/>
    <n v="4"/>
    <n v="43477"/>
    <n v="0.05"/>
    <n v="165212.6"/>
    <n v="41297.199999999997"/>
    <x v="3"/>
    <x v="5"/>
    <x v="0"/>
  </r>
  <r>
    <s v="ORD02045"/>
    <s v="2024-03-17"/>
    <x v="19"/>
    <x v="11"/>
    <x v="3"/>
    <s v="Printer"/>
    <n v="1"/>
    <n v="26047"/>
    <n v="0.15"/>
    <n v="22139.95"/>
    <n v="3624.37"/>
    <x v="1"/>
    <x v="7"/>
    <x v="0"/>
  </r>
  <r>
    <s v="ORD02046"/>
    <s v="2024-02-28"/>
    <x v="31"/>
    <x v="22"/>
    <x v="1"/>
    <s v="Camera"/>
    <n v="5"/>
    <n v="54987"/>
    <n v="0.2"/>
    <n v="219948"/>
    <n v="51189.98"/>
    <x v="0"/>
    <x v="11"/>
    <x v="0"/>
  </r>
  <r>
    <s v="ORD02047"/>
    <s v="2023-03-15"/>
    <x v="30"/>
    <x v="0"/>
    <x v="0"/>
    <s v="Chair"/>
    <n v="9"/>
    <n v="23923"/>
    <n v="0"/>
    <n v="215307"/>
    <n v="29892.94"/>
    <x v="3"/>
    <x v="7"/>
    <x v="1"/>
  </r>
  <r>
    <s v="ORD02048"/>
    <s v="2023-04-07"/>
    <x v="47"/>
    <x v="23"/>
    <x v="0"/>
    <s v="Desk"/>
    <n v="5"/>
    <n v="1990"/>
    <n v="0.05"/>
    <n v="9452.5"/>
    <n v="2014.57"/>
    <x v="0"/>
    <x v="2"/>
    <x v="1"/>
  </r>
  <r>
    <s v="ORD02049"/>
    <s v="2024-03-22"/>
    <x v="20"/>
    <x v="21"/>
    <x v="1"/>
    <s v="Laptop"/>
    <n v="1"/>
    <n v="53758"/>
    <n v="0.05"/>
    <n v="51070.1"/>
    <n v="11835.06"/>
    <x v="0"/>
    <x v="7"/>
    <x v="0"/>
  </r>
  <r>
    <s v="ORD02050"/>
    <s v="2024-10-13"/>
    <x v="42"/>
    <x v="25"/>
    <x v="3"/>
    <s v="Notebook"/>
    <n v="12"/>
    <n v="10547"/>
    <n v="0"/>
    <n v="126564"/>
    <n v="35258.92"/>
    <x v="2"/>
    <x v="0"/>
    <x v="0"/>
  </r>
  <r>
    <s v="ORD02051"/>
    <s v="2023-01-07"/>
    <x v="13"/>
    <x v="26"/>
    <x v="3"/>
    <s v="Paper Ream"/>
    <n v="11"/>
    <n v="19640"/>
    <n v="0.05"/>
    <n v="205238"/>
    <n v="34723.480000000003"/>
    <x v="0"/>
    <x v="3"/>
    <x v="1"/>
  </r>
  <r>
    <s v="ORD02052"/>
    <s v="2024-05-24"/>
    <x v="39"/>
    <x v="8"/>
    <x v="2"/>
    <s v="Sweater"/>
    <n v="3"/>
    <n v="38706"/>
    <n v="0.2"/>
    <n v="92894.399999999994"/>
    <n v="11698.2"/>
    <x v="0"/>
    <x v="6"/>
    <x v="0"/>
  </r>
  <r>
    <s v="ORD02053"/>
    <s v="2023-03-18"/>
    <x v="46"/>
    <x v="23"/>
    <x v="0"/>
    <s v="Desk"/>
    <n v="10"/>
    <n v="42683"/>
    <n v="0.2"/>
    <n v="341464"/>
    <n v="59968.33"/>
    <x v="2"/>
    <x v="7"/>
    <x v="1"/>
  </r>
  <r>
    <s v="ORD02054"/>
    <s v="2023-12-10"/>
    <x v="8"/>
    <x v="14"/>
    <x v="2"/>
    <s v="Dress"/>
    <n v="15"/>
    <n v="11935"/>
    <n v="0"/>
    <n v="179025"/>
    <n v="32650.68"/>
    <x v="0"/>
    <x v="9"/>
    <x v="1"/>
  </r>
  <r>
    <s v="ORD02055"/>
    <s v="2024-05-02"/>
    <x v="6"/>
    <x v="9"/>
    <x v="1"/>
    <s v="Keyboard"/>
    <n v="10"/>
    <n v="15630"/>
    <n v="0"/>
    <n v="156300"/>
    <n v="15817.55"/>
    <x v="0"/>
    <x v="6"/>
    <x v="0"/>
  </r>
  <r>
    <s v="ORD02056"/>
    <s v="2024-06-18"/>
    <x v="36"/>
    <x v="24"/>
    <x v="2"/>
    <s v="T-Shirt"/>
    <n v="13"/>
    <n v="47139"/>
    <n v="0.2"/>
    <n v="490245.6"/>
    <n v="132342.51"/>
    <x v="1"/>
    <x v="5"/>
    <x v="0"/>
  </r>
  <r>
    <s v="ORD02057"/>
    <s v="2023-08-31"/>
    <x v="14"/>
    <x v="16"/>
    <x v="3"/>
    <s v="Pen"/>
    <n v="8"/>
    <n v="51577"/>
    <n v="0.05"/>
    <n v="391985.2"/>
    <n v="80917.570000000007"/>
    <x v="0"/>
    <x v="8"/>
    <x v="1"/>
  </r>
  <r>
    <s v="ORD02058"/>
    <s v="2024-08-07"/>
    <x v="12"/>
    <x v="9"/>
    <x v="1"/>
    <s v="Keyboard"/>
    <n v="8"/>
    <n v="19506"/>
    <n v="0.15"/>
    <n v="132640.79999999999"/>
    <n v="20609.88"/>
    <x v="0"/>
    <x v="8"/>
    <x v="0"/>
  </r>
  <r>
    <s v="ORD02059"/>
    <s v="2024-01-14"/>
    <x v="35"/>
    <x v="26"/>
    <x v="3"/>
    <s v="Paper Ream"/>
    <n v="7"/>
    <n v="46570"/>
    <n v="0.05"/>
    <n v="309690.5"/>
    <n v="25125.84"/>
    <x v="1"/>
    <x v="3"/>
    <x v="0"/>
  </r>
  <r>
    <s v="ORD02060"/>
    <s v="2023-06-01"/>
    <x v="5"/>
    <x v="20"/>
    <x v="1"/>
    <s v="Tablet"/>
    <n v="6"/>
    <n v="50712"/>
    <n v="0.15"/>
    <n v="258631.2"/>
    <n v="20997.56"/>
    <x v="0"/>
    <x v="5"/>
    <x v="1"/>
  </r>
  <r>
    <s v="ORD02061"/>
    <s v="2024-04-03"/>
    <x v="15"/>
    <x v="13"/>
    <x v="2"/>
    <s v="Jacket"/>
    <n v="1"/>
    <n v="45891"/>
    <n v="0.05"/>
    <n v="43596.45"/>
    <n v="6506.66"/>
    <x v="3"/>
    <x v="2"/>
    <x v="0"/>
  </r>
  <r>
    <s v="ORD02062"/>
    <s v="2024-11-23"/>
    <x v="13"/>
    <x v="10"/>
    <x v="3"/>
    <s v="Marker"/>
    <n v="2"/>
    <n v="17313"/>
    <n v="0.1"/>
    <n v="31163.4"/>
    <n v="8676.4"/>
    <x v="1"/>
    <x v="4"/>
    <x v="0"/>
  </r>
  <r>
    <s v="ORD02063"/>
    <s v="2023-03-09"/>
    <x v="23"/>
    <x v="10"/>
    <x v="3"/>
    <s v="Marker"/>
    <n v="10"/>
    <n v="2601"/>
    <n v="0"/>
    <n v="26010"/>
    <n v="5032.24"/>
    <x v="1"/>
    <x v="7"/>
    <x v="1"/>
  </r>
  <r>
    <s v="ORD02064"/>
    <s v="2023-09-22"/>
    <x v="30"/>
    <x v="13"/>
    <x v="2"/>
    <s v="Jacket"/>
    <n v="11"/>
    <n v="46720"/>
    <n v="0.1"/>
    <n v="462528"/>
    <n v="129619.95"/>
    <x v="1"/>
    <x v="10"/>
    <x v="1"/>
  </r>
  <r>
    <s v="ORD02065"/>
    <s v="2024-11-14"/>
    <x v="13"/>
    <x v="7"/>
    <x v="0"/>
    <s v="Bed"/>
    <n v="13"/>
    <n v="37862"/>
    <n v="0.1"/>
    <n v="442985.4"/>
    <n v="73390.039999999994"/>
    <x v="3"/>
    <x v="4"/>
    <x v="0"/>
  </r>
  <r>
    <s v="ORD02066"/>
    <s v="2024-01-03"/>
    <x v="44"/>
    <x v="26"/>
    <x v="3"/>
    <s v="Paper Ream"/>
    <n v="4"/>
    <n v="51480"/>
    <n v="0.2"/>
    <n v="164736"/>
    <n v="46138.83"/>
    <x v="3"/>
    <x v="3"/>
    <x v="0"/>
  </r>
  <r>
    <s v="ORD02067"/>
    <s v="2023-05-24"/>
    <x v="16"/>
    <x v="17"/>
    <x v="1"/>
    <s v="Power Bank"/>
    <n v="7"/>
    <n v="47331"/>
    <n v="0.15"/>
    <n v="281619.45"/>
    <n v="30030.51"/>
    <x v="3"/>
    <x v="6"/>
    <x v="1"/>
  </r>
  <r>
    <s v="ORD02068"/>
    <s v="2024-09-22"/>
    <x v="8"/>
    <x v="5"/>
    <x v="0"/>
    <s v="Cupboard"/>
    <n v="2"/>
    <n v="55851"/>
    <n v="0"/>
    <n v="111702"/>
    <n v="13082.31"/>
    <x v="0"/>
    <x v="10"/>
    <x v="0"/>
  </r>
  <r>
    <s v="ORD02069"/>
    <s v="2024-01-25"/>
    <x v="43"/>
    <x v="15"/>
    <x v="0"/>
    <s v="Sofa"/>
    <n v="7"/>
    <n v="50044"/>
    <n v="0.15"/>
    <n v="297761.8"/>
    <n v="35966.01"/>
    <x v="0"/>
    <x v="3"/>
    <x v="0"/>
  </r>
  <r>
    <s v="ORD02070"/>
    <s v="2023-01-01"/>
    <x v="24"/>
    <x v="24"/>
    <x v="2"/>
    <s v="T-Shirt"/>
    <n v="6"/>
    <n v="45841"/>
    <n v="0.05"/>
    <n v="261293.7"/>
    <n v="76349.91"/>
    <x v="1"/>
    <x v="3"/>
    <x v="1"/>
  </r>
  <r>
    <s v="ORD02071"/>
    <s v="2024-05-29"/>
    <x v="33"/>
    <x v="4"/>
    <x v="0"/>
    <s v="Stool"/>
    <n v="8"/>
    <n v="37646"/>
    <n v="0.1"/>
    <n v="271051.2"/>
    <n v="71287.649999999994"/>
    <x v="2"/>
    <x v="6"/>
    <x v="0"/>
  </r>
  <r>
    <s v="ORD02072"/>
    <s v="2023-06-16"/>
    <x v="1"/>
    <x v="27"/>
    <x v="3"/>
    <s v="File"/>
    <n v="11"/>
    <n v="38281"/>
    <n v="0"/>
    <n v="421091"/>
    <n v="46792.29"/>
    <x v="3"/>
    <x v="5"/>
    <x v="1"/>
  </r>
  <r>
    <s v="ORD02073"/>
    <s v="2023-01-05"/>
    <x v="46"/>
    <x v="11"/>
    <x v="3"/>
    <s v="Printer"/>
    <n v="1"/>
    <n v="33896"/>
    <n v="0.15"/>
    <n v="28811.599999999999"/>
    <n v="4534.99"/>
    <x v="3"/>
    <x v="3"/>
    <x v="1"/>
  </r>
  <r>
    <s v="ORD02074"/>
    <s v="2023-02-20"/>
    <x v="6"/>
    <x v="17"/>
    <x v="1"/>
    <s v="Power Bank"/>
    <n v="4"/>
    <n v="56618"/>
    <n v="0.1"/>
    <n v="203824.8"/>
    <n v="30304.37"/>
    <x v="0"/>
    <x v="11"/>
    <x v="1"/>
  </r>
  <r>
    <s v="ORD02075"/>
    <s v="2024-07-17"/>
    <x v="2"/>
    <x v="16"/>
    <x v="3"/>
    <s v="Pen"/>
    <n v="11"/>
    <n v="4836"/>
    <n v="0.15"/>
    <n v="45216.6"/>
    <n v="4586.88"/>
    <x v="0"/>
    <x v="1"/>
    <x v="0"/>
  </r>
  <r>
    <s v="ORD02076"/>
    <s v="2023-05-02"/>
    <x v="40"/>
    <x v="20"/>
    <x v="1"/>
    <s v="Tablet"/>
    <n v="14"/>
    <n v="27078"/>
    <n v="0.05"/>
    <n v="360137.4"/>
    <n v="93072.22"/>
    <x v="1"/>
    <x v="6"/>
    <x v="1"/>
  </r>
  <r>
    <s v="ORD02077"/>
    <s v="2023-12-02"/>
    <x v="21"/>
    <x v="25"/>
    <x v="3"/>
    <s v="Notebook"/>
    <n v="12"/>
    <n v="19478"/>
    <n v="0.2"/>
    <n v="186988.79999999999"/>
    <n v="34184.76"/>
    <x v="0"/>
    <x v="9"/>
    <x v="1"/>
  </r>
  <r>
    <s v="ORD02078"/>
    <s v="2023-10-10"/>
    <x v="24"/>
    <x v="1"/>
    <x v="1"/>
    <s v="Mobile"/>
    <n v="13"/>
    <n v="33372"/>
    <n v="0"/>
    <n v="433836"/>
    <n v="127890.1"/>
    <x v="1"/>
    <x v="0"/>
    <x v="1"/>
  </r>
  <r>
    <s v="ORD02079"/>
    <s v="2024-04-19"/>
    <x v="0"/>
    <x v="21"/>
    <x v="1"/>
    <s v="Laptop"/>
    <n v="13"/>
    <n v="38333"/>
    <n v="0.15"/>
    <n v="423579.65"/>
    <n v="125506.49"/>
    <x v="3"/>
    <x v="2"/>
    <x v="0"/>
  </r>
  <r>
    <s v="ORD02080"/>
    <s v="2023-05-02"/>
    <x v="0"/>
    <x v="13"/>
    <x v="2"/>
    <s v="Jacket"/>
    <n v="13"/>
    <n v="14283"/>
    <n v="0"/>
    <n v="185679"/>
    <n v="47518"/>
    <x v="1"/>
    <x v="6"/>
    <x v="1"/>
  </r>
  <r>
    <s v="ORD02081"/>
    <s v="2023-12-06"/>
    <x v="7"/>
    <x v="10"/>
    <x v="3"/>
    <s v="Marker"/>
    <n v="9"/>
    <n v="24666"/>
    <n v="0.1"/>
    <n v="199794.6"/>
    <n v="17405"/>
    <x v="0"/>
    <x v="9"/>
    <x v="1"/>
  </r>
  <r>
    <s v="ORD02082"/>
    <s v="2023-12-31"/>
    <x v="11"/>
    <x v="24"/>
    <x v="2"/>
    <s v="T-Shirt"/>
    <n v="8"/>
    <n v="44560"/>
    <n v="0"/>
    <n v="356480"/>
    <n v="57513.17"/>
    <x v="0"/>
    <x v="9"/>
    <x v="1"/>
  </r>
  <r>
    <s v="ORD02083"/>
    <s v="2024-11-21"/>
    <x v="3"/>
    <x v="6"/>
    <x v="2"/>
    <s v="Jeans"/>
    <n v="11"/>
    <n v="27905"/>
    <n v="0"/>
    <n v="306955"/>
    <n v="73525.279999999999"/>
    <x v="1"/>
    <x v="4"/>
    <x v="0"/>
  </r>
  <r>
    <s v="ORD02084"/>
    <s v="2024-10-12"/>
    <x v="32"/>
    <x v="24"/>
    <x v="2"/>
    <s v="T-Shirt"/>
    <n v="5"/>
    <n v="9010"/>
    <n v="0.2"/>
    <n v="36040"/>
    <n v="10744.86"/>
    <x v="1"/>
    <x v="0"/>
    <x v="0"/>
  </r>
  <r>
    <s v="ORD02085"/>
    <s v="2023-02-22"/>
    <x v="31"/>
    <x v="13"/>
    <x v="2"/>
    <s v="Jacket"/>
    <n v="4"/>
    <n v="36568"/>
    <n v="0.15"/>
    <n v="124331.2"/>
    <n v="15296.67"/>
    <x v="2"/>
    <x v="11"/>
    <x v="1"/>
  </r>
  <r>
    <s v="ORD02086"/>
    <s v="2024-01-28"/>
    <x v="1"/>
    <x v="19"/>
    <x v="1"/>
    <s v="Smartwatch"/>
    <n v="13"/>
    <n v="59114"/>
    <n v="0.1"/>
    <n v="691633.8"/>
    <n v="174273.64"/>
    <x v="2"/>
    <x v="3"/>
    <x v="0"/>
  </r>
  <r>
    <s v="ORD02087"/>
    <s v="2023-01-23"/>
    <x v="3"/>
    <x v="27"/>
    <x v="3"/>
    <s v="File"/>
    <n v="8"/>
    <n v="39932"/>
    <n v="0.1"/>
    <n v="287510.40000000002"/>
    <n v="63497.87"/>
    <x v="0"/>
    <x v="3"/>
    <x v="1"/>
  </r>
  <r>
    <s v="ORD02088"/>
    <s v="2023-03-14"/>
    <x v="0"/>
    <x v="13"/>
    <x v="2"/>
    <s v="Jacket"/>
    <n v="1"/>
    <n v="4629"/>
    <n v="0.2"/>
    <n v="3703.2"/>
    <n v="513.41"/>
    <x v="3"/>
    <x v="7"/>
    <x v="1"/>
  </r>
  <r>
    <s v="ORD02089"/>
    <s v="2024-10-20"/>
    <x v="17"/>
    <x v="16"/>
    <x v="3"/>
    <s v="Pen"/>
    <n v="3"/>
    <n v="49183"/>
    <n v="0"/>
    <n v="147549"/>
    <n v="11972.25"/>
    <x v="2"/>
    <x v="0"/>
    <x v="0"/>
  </r>
  <r>
    <s v="ORD02090"/>
    <s v="2023-03-14"/>
    <x v="24"/>
    <x v="2"/>
    <x v="2"/>
    <s v="Shoes"/>
    <n v="15"/>
    <n v="47706"/>
    <n v="0.05"/>
    <n v="679810.5"/>
    <n v="64985.33"/>
    <x v="3"/>
    <x v="7"/>
    <x v="1"/>
  </r>
  <r>
    <s v="ORD02091"/>
    <s v="2024-05-07"/>
    <x v="49"/>
    <x v="17"/>
    <x v="1"/>
    <s v="Power Bank"/>
    <n v="8"/>
    <n v="6992"/>
    <n v="0"/>
    <n v="55936"/>
    <n v="12222.91"/>
    <x v="0"/>
    <x v="6"/>
    <x v="0"/>
  </r>
  <r>
    <s v="ORD02092"/>
    <s v="2023-10-25"/>
    <x v="31"/>
    <x v="14"/>
    <x v="2"/>
    <s v="Dress"/>
    <n v="13"/>
    <n v="36185"/>
    <n v="0"/>
    <n v="470405"/>
    <n v="98208.08"/>
    <x v="1"/>
    <x v="0"/>
    <x v="1"/>
  </r>
  <r>
    <s v="ORD02093"/>
    <s v="2023-02-01"/>
    <x v="17"/>
    <x v="23"/>
    <x v="0"/>
    <s v="Desk"/>
    <n v="6"/>
    <n v="48163"/>
    <n v="0.1"/>
    <n v="260080.2"/>
    <n v="53673.31"/>
    <x v="3"/>
    <x v="11"/>
    <x v="1"/>
  </r>
  <r>
    <s v="ORD02094"/>
    <s v="2024-05-29"/>
    <x v="34"/>
    <x v="13"/>
    <x v="2"/>
    <s v="Jacket"/>
    <n v="7"/>
    <n v="25272"/>
    <n v="0.1"/>
    <n v="159213.6"/>
    <n v="44741.53"/>
    <x v="1"/>
    <x v="6"/>
    <x v="0"/>
  </r>
  <r>
    <s v="ORD02095"/>
    <s v="2023-12-23"/>
    <x v="24"/>
    <x v="27"/>
    <x v="3"/>
    <s v="File"/>
    <n v="14"/>
    <n v="47469"/>
    <n v="0.05"/>
    <n v="631337.69999999995"/>
    <n v="62496.01"/>
    <x v="1"/>
    <x v="9"/>
    <x v="1"/>
  </r>
  <r>
    <s v="ORD02096"/>
    <s v="2023-03-19"/>
    <x v="33"/>
    <x v="24"/>
    <x v="2"/>
    <s v="T-Shirt"/>
    <n v="4"/>
    <n v="43553"/>
    <n v="0.2"/>
    <n v="139369.60000000001"/>
    <n v="37924.11"/>
    <x v="0"/>
    <x v="7"/>
    <x v="1"/>
  </r>
  <r>
    <s v="ORD02097"/>
    <s v="2023-01-22"/>
    <x v="3"/>
    <x v="15"/>
    <x v="0"/>
    <s v="Sofa"/>
    <n v="13"/>
    <n v="36955"/>
    <n v="0"/>
    <n v="480415"/>
    <n v="129292.91"/>
    <x v="2"/>
    <x v="3"/>
    <x v="1"/>
  </r>
  <r>
    <s v="ORD02098"/>
    <s v="2023-06-09"/>
    <x v="3"/>
    <x v="15"/>
    <x v="0"/>
    <s v="Sofa"/>
    <n v="9"/>
    <n v="16333"/>
    <n v="0.15"/>
    <n v="124947.45"/>
    <n v="12780.84"/>
    <x v="2"/>
    <x v="5"/>
    <x v="1"/>
  </r>
  <r>
    <s v="ORD02099"/>
    <s v="2024-09-19"/>
    <x v="33"/>
    <x v="15"/>
    <x v="0"/>
    <s v="Sofa"/>
    <n v="14"/>
    <n v="25144"/>
    <n v="0.1"/>
    <n v="316814.40000000002"/>
    <n v="89325.52"/>
    <x v="3"/>
    <x v="10"/>
    <x v="0"/>
  </r>
  <r>
    <s v="ORD02100"/>
    <s v="2023-09-25"/>
    <x v="26"/>
    <x v="1"/>
    <x v="1"/>
    <s v="Mobile"/>
    <n v="7"/>
    <n v="4352"/>
    <n v="0.05"/>
    <n v="28940.799999999999"/>
    <n v="5093.97"/>
    <x v="3"/>
    <x v="10"/>
    <x v="1"/>
  </r>
  <r>
    <s v="ORD02101"/>
    <s v="2023-01-29"/>
    <x v="38"/>
    <x v="3"/>
    <x v="3"/>
    <s v="Stapler"/>
    <n v="15"/>
    <n v="33354"/>
    <n v="0.15"/>
    <n v="425263.5"/>
    <n v="119487.98"/>
    <x v="2"/>
    <x v="3"/>
    <x v="1"/>
  </r>
  <r>
    <s v="ORD02102"/>
    <s v="2023-07-29"/>
    <x v="49"/>
    <x v="4"/>
    <x v="0"/>
    <s v="Stool"/>
    <n v="3"/>
    <n v="18947"/>
    <n v="0"/>
    <n v="56841"/>
    <n v="12880.48"/>
    <x v="3"/>
    <x v="1"/>
    <x v="1"/>
  </r>
  <r>
    <s v="ORD02103"/>
    <s v="2023-02-24"/>
    <x v="28"/>
    <x v="16"/>
    <x v="3"/>
    <s v="Pen"/>
    <n v="4"/>
    <n v="2969"/>
    <n v="0.1"/>
    <n v="10688.4"/>
    <n v="2817.05"/>
    <x v="3"/>
    <x v="11"/>
    <x v="1"/>
  </r>
  <r>
    <s v="ORD02104"/>
    <s v="2023-05-17"/>
    <x v="47"/>
    <x v="20"/>
    <x v="1"/>
    <s v="Tablet"/>
    <n v="14"/>
    <n v="4212"/>
    <n v="0.2"/>
    <n v="47174.400000000001"/>
    <n v="12799.6"/>
    <x v="0"/>
    <x v="6"/>
    <x v="1"/>
  </r>
  <r>
    <s v="ORD02105"/>
    <s v="2024-08-10"/>
    <x v="36"/>
    <x v="1"/>
    <x v="1"/>
    <s v="Mobile"/>
    <n v="7"/>
    <n v="29995"/>
    <n v="0.15"/>
    <n v="178470.25"/>
    <n v="37728.68"/>
    <x v="3"/>
    <x v="8"/>
    <x v="0"/>
  </r>
  <r>
    <s v="ORD02106"/>
    <s v="2024-11-28"/>
    <x v="38"/>
    <x v="9"/>
    <x v="1"/>
    <s v="Keyboard"/>
    <n v="2"/>
    <n v="51809"/>
    <n v="0.05"/>
    <n v="98437.1"/>
    <n v="26648.39"/>
    <x v="1"/>
    <x v="4"/>
    <x v="0"/>
  </r>
  <r>
    <s v="ORD02107"/>
    <s v="2024-05-10"/>
    <x v="44"/>
    <x v="9"/>
    <x v="1"/>
    <s v="Keyboard"/>
    <n v="11"/>
    <n v="47760"/>
    <n v="0.15"/>
    <n v="446556"/>
    <n v="105685.72"/>
    <x v="2"/>
    <x v="6"/>
    <x v="0"/>
  </r>
  <r>
    <s v="ORD02108"/>
    <s v="2023-03-12"/>
    <x v="32"/>
    <x v="8"/>
    <x v="2"/>
    <s v="Sweater"/>
    <n v="2"/>
    <n v="13036"/>
    <n v="0.15"/>
    <n v="22161.200000000001"/>
    <n v="3119.7"/>
    <x v="1"/>
    <x v="7"/>
    <x v="1"/>
  </r>
  <r>
    <s v="ORD02109"/>
    <s v="2024-09-14"/>
    <x v="44"/>
    <x v="7"/>
    <x v="0"/>
    <s v="Bed"/>
    <n v="10"/>
    <n v="35652"/>
    <n v="0.2"/>
    <n v="285216"/>
    <n v="36619.949999999997"/>
    <x v="1"/>
    <x v="10"/>
    <x v="0"/>
  </r>
  <r>
    <s v="ORD02110"/>
    <s v="2023-11-04"/>
    <x v="3"/>
    <x v="20"/>
    <x v="1"/>
    <s v="Tablet"/>
    <n v="1"/>
    <n v="50457"/>
    <n v="0.1"/>
    <n v="45411.3"/>
    <n v="10151.799999999999"/>
    <x v="1"/>
    <x v="4"/>
    <x v="1"/>
  </r>
  <r>
    <s v="ORD02111"/>
    <s v="2024-10-18"/>
    <x v="32"/>
    <x v="0"/>
    <x v="0"/>
    <s v="Chair"/>
    <n v="12"/>
    <n v="58141"/>
    <n v="0.05"/>
    <n v="662807.4"/>
    <n v="114172.06"/>
    <x v="2"/>
    <x v="0"/>
    <x v="0"/>
  </r>
  <r>
    <s v="ORD02112"/>
    <s v="2024-05-02"/>
    <x v="46"/>
    <x v="1"/>
    <x v="1"/>
    <s v="Mobile"/>
    <n v="6"/>
    <n v="38696"/>
    <n v="0.15"/>
    <n v="197349.6"/>
    <n v="28563.07"/>
    <x v="3"/>
    <x v="6"/>
    <x v="0"/>
  </r>
  <r>
    <s v="ORD02113"/>
    <s v="2024-06-29"/>
    <x v="41"/>
    <x v="2"/>
    <x v="2"/>
    <s v="Shoes"/>
    <n v="11"/>
    <n v="39577"/>
    <n v="0.15"/>
    <n v="370044.95"/>
    <n v="54342.400000000001"/>
    <x v="3"/>
    <x v="5"/>
    <x v="0"/>
  </r>
  <r>
    <s v="ORD02114"/>
    <s v="2023-01-09"/>
    <x v="8"/>
    <x v="3"/>
    <x v="3"/>
    <s v="Stapler"/>
    <n v="3"/>
    <n v="5094"/>
    <n v="0.1"/>
    <n v="13753.8"/>
    <n v="3933.7"/>
    <x v="1"/>
    <x v="3"/>
    <x v="1"/>
  </r>
  <r>
    <s v="ORD02115"/>
    <s v="2023-12-24"/>
    <x v="6"/>
    <x v="4"/>
    <x v="0"/>
    <s v="Stool"/>
    <n v="14"/>
    <n v="50949"/>
    <n v="0.15"/>
    <n v="606293.1"/>
    <n v="74847.88"/>
    <x v="0"/>
    <x v="9"/>
    <x v="1"/>
  </r>
  <r>
    <s v="ORD02116"/>
    <s v="2023-12-30"/>
    <x v="31"/>
    <x v="10"/>
    <x v="3"/>
    <s v="Marker"/>
    <n v="9"/>
    <n v="53169"/>
    <n v="0.15"/>
    <n v="406742.85"/>
    <n v="58093.14"/>
    <x v="1"/>
    <x v="9"/>
    <x v="1"/>
  </r>
  <r>
    <s v="ORD02117"/>
    <s v="2023-01-31"/>
    <x v="41"/>
    <x v="2"/>
    <x v="2"/>
    <s v="Shoes"/>
    <n v="13"/>
    <n v="37562"/>
    <n v="0.1"/>
    <n v="439475.4"/>
    <n v="72697.2"/>
    <x v="0"/>
    <x v="3"/>
    <x v="1"/>
  </r>
  <r>
    <s v="ORD02118"/>
    <s v="2024-09-12"/>
    <x v="2"/>
    <x v="8"/>
    <x v="2"/>
    <s v="Sweater"/>
    <n v="12"/>
    <n v="41014"/>
    <n v="0.2"/>
    <n v="393734.40000000002"/>
    <n v="37867.019999999997"/>
    <x v="0"/>
    <x v="10"/>
    <x v="0"/>
  </r>
  <r>
    <s v="ORD02119"/>
    <s v="2024-03-17"/>
    <x v="46"/>
    <x v="1"/>
    <x v="1"/>
    <s v="Mobile"/>
    <n v="9"/>
    <n v="53109"/>
    <n v="0.05"/>
    <n v="454081.95"/>
    <n v="83858.2"/>
    <x v="2"/>
    <x v="7"/>
    <x v="0"/>
  </r>
  <r>
    <s v="ORD02120"/>
    <s v="2023-08-24"/>
    <x v="6"/>
    <x v="13"/>
    <x v="2"/>
    <s v="Jacket"/>
    <n v="1"/>
    <n v="10765"/>
    <n v="0.15"/>
    <n v="9150.25"/>
    <n v="1338.61"/>
    <x v="0"/>
    <x v="8"/>
    <x v="1"/>
  </r>
  <r>
    <s v="ORD02121"/>
    <s v="2024-04-26"/>
    <x v="26"/>
    <x v="17"/>
    <x v="1"/>
    <s v="Power Bank"/>
    <n v="8"/>
    <n v="51410"/>
    <n v="0.1"/>
    <n v="370152"/>
    <n v="43260.4"/>
    <x v="0"/>
    <x v="2"/>
    <x v="0"/>
  </r>
  <r>
    <s v="ORD02122"/>
    <s v="2023-12-06"/>
    <x v="34"/>
    <x v="27"/>
    <x v="3"/>
    <s v="File"/>
    <n v="9"/>
    <n v="58446"/>
    <n v="0.1"/>
    <n v="473412.6"/>
    <n v="79749.350000000006"/>
    <x v="2"/>
    <x v="9"/>
    <x v="1"/>
  </r>
  <r>
    <s v="ORD02123"/>
    <s v="2024-03-02"/>
    <x v="42"/>
    <x v="8"/>
    <x v="2"/>
    <s v="Sweater"/>
    <n v="5"/>
    <n v="38495"/>
    <n v="0.1"/>
    <n v="173227.5"/>
    <n v="32422.14"/>
    <x v="1"/>
    <x v="7"/>
    <x v="0"/>
  </r>
  <r>
    <s v="ORD02124"/>
    <s v="2024-02-27"/>
    <x v="24"/>
    <x v="19"/>
    <x v="1"/>
    <s v="Smartwatch"/>
    <n v="5"/>
    <n v="4097"/>
    <n v="0.2"/>
    <n v="16388"/>
    <n v="4605.25"/>
    <x v="3"/>
    <x v="11"/>
    <x v="0"/>
  </r>
  <r>
    <s v="ORD02125"/>
    <s v="2024-09-08"/>
    <x v="17"/>
    <x v="10"/>
    <x v="3"/>
    <s v="Marker"/>
    <n v="12"/>
    <n v="14392"/>
    <n v="0.2"/>
    <n v="138163.20000000001"/>
    <n v="23593.119999999999"/>
    <x v="3"/>
    <x v="10"/>
    <x v="0"/>
  </r>
  <r>
    <s v="ORD02126"/>
    <s v="2024-08-26"/>
    <x v="35"/>
    <x v="10"/>
    <x v="3"/>
    <s v="Marker"/>
    <n v="8"/>
    <n v="22792"/>
    <n v="0.2"/>
    <n v="145868.79999999999"/>
    <n v="12152.17"/>
    <x v="0"/>
    <x v="8"/>
    <x v="0"/>
  </r>
  <r>
    <s v="ORD02127"/>
    <s v="2024-05-13"/>
    <x v="11"/>
    <x v="1"/>
    <x v="1"/>
    <s v="Mobile"/>
    <n v="11"/>
    <n v="49681"/>
    <n v="0"/>
    <n v="546491"/>
    <n v="152433.29999999999"/>
    <x v="2"/>
    <x v="6"/>
    <x v="0"/>
  </r>
  <r>
    <s v="ORD02128"/>
    <s v="2024-09-09"/>
    <x v="6"/>
    <x v="26"/>
    <x v="3"/>
    <s v="Paper Ream"/>
    <n v="8"/>
    <n v="50418"/>
    <n v="0.1"/>
    <n v="363009.6"/>
    <n v="97808.94"/>
    <x v="3"/>
    <x v="10"/>
    <x v="0"/>
  </r>
  <r>
    <s v="ORD02129"/>
    <s v="2024-03-21"/>
    <x v="45"/>
    <x v="24"/>
    <x v="2"/>
    <s v="T-Shirt"/>
    <n v="10"/>
    <n v="17566"/>
    <n v="0"/>
    <n v="175660"/>
    <n v="41233.82"/>
    <x v="3"/>
    <x v="7"/>
    <x v="0"/>
  </r>
  <r>
    <s v="ORD02130"/>
    <s v="2024-01-06"/>
    <x v="33"/>
    <x v="17"/>
    <x v="1"/>
    <s v="Power Bank"/>
    <n v="3"/>
    <n v="30485"/>
    <n v="0"/>
    <n v="91455"/>
    <n v="9168.74"/>
    <x v="0"/>
    <x v="3"/>
    <x v="0"/>
  </r>
  <r>
    <s v="ORD02131"/>
    <s v="2023-06-02"/>
    <x v="35"/>
    <x v="27"/>
    <x v="3"/>
    <s v="File"/>
    <n v="14"/>
    <n v="48411"/>
    <n v="0"/>
    <n v="677754"/>
    <n v="65557.27"/>
    <x v="2"/>
    <x v="5"/>
    <x v="1"/>
  </r>
  <r>
    <s v="ORD02132"/>
    <s v="2023-01-13"/>
    <x v="48"/>
    <x v="23"/>
    <x v="0"/>
    <s v="Desk"/>
    <n v="13"/>
    <n v="9497"/>
    <n v="0.15"/>
    <n v="104941.85"/>
    <n v="21506.32"/>
    <x v="1"/>
    <x v="3"/>
    <x v="1"/>
  </r>
  <r>
    <s v="ORD02133"/>
    <s v="2023-01-24"/>
    <x v="15"/>
    <x v="25"/>
    <x v="3"/>
    <s v="Notebook"/>
    <n v="3"/>
    <n v="20612"/>
    <n v="0"/>
    <n v="61836"/>
    <n v="6225.25"/>
    <x v="1"/>
    <x v="3"/>
    <x v="1"/>
  </r>
  <r>
    <s v="ORD02134"/>
    <s v="2024-06-04"/>
    <x v="43"/>
    <x v="19"/>
    <x v="1"/>
    <s v="Smartwatch"/>
    <n v="9"/>
    <n v="1617"/>
    <n v="0.15"/>
    <n v="12370.05"/>
    <n v="2045.64"/>
    <x v="2"/>
    <x v="5"/>
    <x v="0"/>
  </r>
  <r>
    <s v="ORD02135"/>
    <s v="2024-11-19"/>
    <x v="19"/>
    <x v="12"/>
    <x v="1"/>
    <s v="Headphones"/>
    <n v="3"/>
    <n v="53668"/>
    <n v="0.2"/>
    <n v="128803.2"/>
    <n v="15411.65"/>
    <x v="0"/>
    <x v="4"/>
    <x v="0"/>
  </r>
  <r>
    <s v="ORD02136"/>
    <s v="2023-07-13"/>
    <x v="38"/>
    <x v="24"/>
    <x v="2"/>
    <s v="T-Shirt"/>
    <n v="12"/>
    <n v="21169"/>
    <n v="0.05"/>
    <n v="241326.6"/>
    <n v="70265.27"/>
    <x v="3"/>
    <x v="1"/>
    <x v="1"/>
  </r>
  <r>
    <s v="ORD02137"/>
    <s v="2024-09-18"/>
    <x v="32"/>
    <x v="24"/>
    <x v="2"/>
    <s v="T-Shirt"/>
    <n v="8"/>
    <n v="39556"/>
    <n v="0.1"/>
    <n v="284803.20000000001"/>
    <n v="59277.62"/>
    <x v="2"/>
    <x v="10"/>
    <x v="0"/>
  </r>
  <r>
    <s v="ORD02138"/>
    <s v="2024-08-07"/>
    <x v="37"/>
    <x v="15"/>
    <x v="0"/>
    <s v="Sofa"/>
    <n v="2"/>
    <n v="44661"/>
    <n v="0.2"/>
    <n v="71457.600000000006"/>
    <n v="12841.65"/>
    <x v="1"/>
    <x v="8"/>
    <x v="0"/>
  </r>
  <r>
    <s v="ORD02139"/>
    <s v="2023-11-02"/>
    <x v="40"/>
    <x v="3"/>
    <x v="3"/>
    <s v="Stapler"/>
    <n v="9"/>
    <n v="44074"/>
    <n v="0.1"/>
    <n v="356999.4"/>
    <n v="39854.01"/>
    <x v="0"/>
    <x v="4"/>
    <x v="1"/>
  </r>
  <r>
    <s v="ORD02140"/>
    <s v="2024-10-11"/>
    <x v="21"/>
    <x v="22"/>
    <x v="1"/>
    <s v="Camera"/>
    <n v="1"/>
    <n v="59405"/>
    <n v="0.15"/>
    <n v="50494.25"/>
    <n v="7754.31"/>
    <x v="0"/>
    <x v="0"/>
    <x v="0"/>
  </r>
  <r>
    <s v="ORD02141"/>
    <s v="2024-08-20"/>
    <x v="46"/>
    <x v="5"/>
    <x v="0"/>
    <s v="Cupboard"/>
    <n v="8"/>
    <n v="602"/>
    <n v="0"/>
    <n v="4816"/>
    <n v="1060.8499999999999"/>
    <x v="1"/>
    <x v="8"/>
    <x v="0"/>
  </r>
  <r>
    <s v="ORD02142"/>
    <s v="2024-03-27"/>
    <x v="0"/>
    <x v="3"/>
    <x v="3"/>
    <s v="Stapler"/>
    <n v="6"/>
    <n v="46126"/>
    <n v="0.1"/>
    <n v="249080.4"/>
    <n v="34310.78"/>
    <x v="1"/>
    <x v="7"/>
    <x v="0"/>
  </r>
  <r>
    <s v="ORD02143"/>
    <s v="2023-10-20"/>
    <x v="18"/>
    <x v="10"/>
    <x v="3"/>
    <s v="Marker"/>
    <n v="8"/>
    <n v="35812"/>
    <n v="0.15"/>
    <n v="243521.6"/>
    <n v="31173.08"/>
    <x v="3"/>
    <x v="0"/>
    <x v="1"/>
  </r>
  <r>
    <s v="ORD02144"/>
    <s v="2023-03-01"/>
    <x v="10"/>
    <x v="16"/>
    <x v="3"/>
    <s v="Pen"/>
    <n v="6"/>
    <n v="40799"/>
    <n v="0.05"/>
    <n v="232554.3"/>
    <n v="56175.14"/>
    <x v="3"/>
    <x v="7"/>
    <x v="1"/>
  </r>
  <r>
    <s v="ORD02145"/>
    <s v="2023-09-08"/>
    <x v="29"/>
    <x v="1"/>
    <x v="1"/>
    <s v="Mobile"/>
    <n v="5"/>
    <n v="21343"/>
    <n v="0"/>
    <n v="106715"/>
    <n v="20685.03"/>
    <x v="1"/>
    <x v="10"/>
    <x v="1"/>
  </r>
  <r>
    <s v="ORD02146"/>
    <s v="2024-02-25"/>
    <x v="22"/>
    <x v="17"/>
    <x v="1"/>
    <s v="Power Bank"/>
    <n v="9"/>
    <n v="7606"/>
    <n v="0.05"/>
    <n v="65031.3"/>
    <n v="14442.78"/>
    <x v="1"/>
    <x v="11"/>
    <x v="0"/>
  </r>
  <r>
    <s v="ORD02147"/>
    <s v="2024-05-14"/>
    <x v="42"/>
    <x v="25"/>
    <x v="3"/>
    <s v="Notebook"/>
    <n v="8"/>
    <n v="20996"/>
    <n v="0.2"/>
    <n v="134374.39999999999"/>
    <n v="38468.46"/>
    <x v="2"/>
    <x v="6"/>
    <x v="0"/>
  </r>
  <r>
    <s v="ORD02148"/>
    <s v="2023-05-28"/>
    <x v="4"/>
    <x v="1"/>
    <x v="1"/>
    <s v="Mobile"/>
    <n v="9"/>
    <n v="33865"/>
    <n v="0"/>
    <n v="304785"/>
    <n v="27451.71"/>
    <x v="3"/>
    <x v="6"/>
    <x v="1"/>
  </r>
  <r>
    <s v="ORD02149"/>
    <s v="2023-08-11"/>
    <x v="22"/>
    <x v="4"/>
    <x v="0"/>
    <s v="Stool"/>
    <n v="11"/>
    <n v="54028"/>
    <n v="0"/>
    <n v="594308"/>
    <n v="130119.48"/>
    <x v="1"/>
    <x v="8"/>
    <x v="1"/>
  </r>
  <r>
    <s v="ORD02150"/>
    <s v="2023-02-08"/>
    <x v="36"/>
    <x v="0"/>
    <x v="0"/>
    <s v="Chair"/>
    <n v="15"/>
    <n v="26305"/>
    <n v="0.1"/>
    <n v="355117.5"/>
    <n v="69454.81"/>
    <x v="3"/>
    <x v="11"/>
    <x v="1"/>
  </r>
  <r>
    <s v="ORD02151"/>
    <s v="2024-11-03"/>
    <x v="34"/>
    <x v="22"/>
    <x v="1"/>
    <s v="Camera"/>
    <n v="14"/>
    <n v="59375"/>
    <n v="0.2"/>
    <n v="665000"/>
    <n v="164614.49"/>
    <x v="2"/>
    <x v="4"/>
    <x v="0"/>
  </r>
  <r>
    <s v="ORD02152"/>
    <s v="2024-06-22"/>
    <x v="48"/>
    <x v="22"/>
    <x v="1"/>
    <s v="Camera"/>
    <n v="9"/>
    <n v="2624"/>
    <n v="0"/>
    <n v="23616"/>
    <n v="5824.36"/>
    <x v="3"/>
    <x v="5"/>
    <x v="0"/>
  </r>
  <r>
    <s v="ORD02153"/>
    <s v="2023-09-24"/>
    <x v="48"/>
    <x v="23"/>
    <x v="0"/>
    <s v="Desk"/>
    <n v="11"/>
    <n v="4041"/>
    <n v="0.05"/>
    <n v="42228.45"/>
    <n v="7715.33"/>
    <x v="3"/>
    <x v="10"/>
    <x v="1"/>
  </r>
  <r>
    <s v="ORD02154"/>
    <s v="2023-07-16"/>
    <x v="17"/>
    <x v="7"/>
    <x v="0"/>
    <s v="Bed"/>
    <n v="1"/>
    <n v="29147"/>
    <n v="0.2"/>
    <n v="23317.599999999999"/>
    <n v="6429.41"/>
    <x v="1"/>
    <x v="1"/>
    <x v="1"/>
  </r>
  <r>
    <s v="ORD02155"/>
    <s v="2024-06-07"/>
    <x v="7"/>
    <x v="8"/>
    <x v="2"/>
    <s v="Sweater"/>
    <n v="7"/>
    <n v="33209"/>
    <n v="0.2"/>
    <n v="185970.4"/>
    <n v="15529.33"/>
    <x v="0"/>
    <x v="5"/>
    <x v="0"/>
  </r>
  <r>
    <s v="ORD02156"/>
    <s v="2024-06-02"/>
    <x v="31"/>
    <x v="8"/>
    <x v="2"/>
    <s v="Sweater"/>
    <n v="9"/>
    <n v="7840"/>
    <n v="0"/>
    <n v="70560"/>
    <n v="19662.22"/>
    <x v="0"/>
    <x v="5"/>
    <x v="0"/>
  </r>
  <r>
    <s v="ORD02157"/>
    <s v="2023-10-17"/>
    <x v="33"/>
    <x v="2"/>
    <x v="2"/>
    <s v="Shoes"/>
    <n v="11"/>
    <n v="27443"/>
    <n v="0.05"/>
    <n v="286779.34999999998"/>
    <n v="36641.21"/>
    <x v="2"/>
    <x v="0"/>
    <x v="1"/>
  </r>
  <r>
    <s v="ORD02158"/>
    <s v="2023-07-27"/>
    <x v="12"/>
    <x v="8"/>
    <x v="2"/>
    <s v="Sweater"/>
    <n v="10"/>
    <n v="24527"/>
    <n v="0.15"/>
    <n v="208479.5"/>
    <n v="55606.74"/>
    <x v="2"/>
    <x v="1"/>
    <x v="1"/>
  </r>
  <r>
    <s v="ORD02159"/>
    <s v="2023-08-19"/>
    <x v="19"/>
    <x v="2"/>
    <x v="2"/>
    <s v="Shoes"/>
    <n v="8"/>
    <n v="27637"/>
    <n v="0.2"/>
    <n v="176876.79999999999"/>
    <n v="37100.18"/>
    <x v="2"/>
    <x v="8"/>
    <x v="1"/>
  </r>
  <r>
    <s v="ORD02160"/>
    <s v="2023-05-02"/>
    <x v="26"/>
    <x v="19"/>
    <x v="1"/>
    <s v="Smartwatch"/>
    <n v="2"/>
    <n v="5725"/>
    <n v="0.15"/>
    <n v="9732.5"/>
    <n v="1618.24"/>
    <x v="3"/>
    <x v="6"/>
    <x v="1"/>
  </r>
  <r>
    <s v="ORD02161"/>
    <s v="2024-06-24"/>
    <x v="24"/>
    <x v="17"/>
    <x v="1"/>
    <s v="Power Bank"/>
    <n v="10"/>
    <n v="10706"/>
    <n v="0"/>
    <n v="107060"/>
    <n v="12215.06"/>
    <x v="0"/>
    <x v="5"/>
    <x v="0"/>
  </r>
  <r>
    <s v="ORD02162"/>
    <s v="2024-01-01"/>
    <x v="20"/>
    <x v="23"/>
    <x v="0"/>
    <s v="Desk"/>
    <n v="13"/>
    <n v="24782"/>
    <n v="0.1"/>
    <n v="289949.40000000002"/>
    <n v="48412.54"/>
    <x v="0"/>
    <x v="3"/>
    <x v="0"/>
  </r>
  <r>
    <s v="ORD02163"/>
    <s v="2023-04-23"/>
    <x v="24"/>
    <x v="20"/>
    <x v="1"/>
    <s v="Tablet"/>
    <n v="15"/>
    <n v="8260"/>
    <n v="0.15"/>
    <n v="105315"/>
    <n v="20557.27"/>
    <x v="3"/>
    <x v="2"/>
    <x v="1"/>
  </r>
  <r>
    <s v="ORD02164"/>
    <s v="2023-11-23"/>
    <x v="48"/>
    <x v="2"/>
    <x v="2"/>
    <s v="Shoes"/>
    <n v="10"/>
    <n v="35982"/>
    <n v="0.2"/>
    <n v="287856"/>
    <n v="79701.47"/>
    <x v="1"/>
    <x v="4"/>
    <x v="1"/>
  </r>
  <r>
    <s v="ORD02165"/>
    <s v="2023-01-25"/>
    <x v="35"/>
    <x v="14"/>
    <x v="2"/>
    <s v="Dress"/>
    <n v="9"/>
    <n v="18956"/>
    <n v="0.2"/>
    <n v="136483.20000000001"/>
    <n v="13984.75"/>
    <x v="2"/>
    <x v="3"/>
    <x v="1"/>
  </r>
  <r>
    <s v="ORD02166"/>
    <s v="2024-10-15"/>
    <x v="35"/>
    <x v="12"/>
    <x v="1"/>
    <s v="Headphones"/>
    <n v="2"/>
    <n v="13239"/>
    <n v="0"/>
    <n v="26478"/>
    <n v="2201.86"/>
    <x v="1"/>
    <x v="0"/>
    <x v="0"/>
  </r>
  <r>
    <s v="ORD02167"/>
    <s v="2024-09-06"/>
    <x v="7"/>
    <x v="0"/>
    <x v="0"/>
    <s v="Chair"/>
    <n v="15"/>
    <n v="52118"/>
    <n v="0.1"/>
    <n v="703593"/>
    <n v="87727.44"/>
    <x v="2"/>
    <x v="10"/>
    <x v="0"/>
  </r>
  <r>
    <s v="ORD02168"/>
    <s v="2023-02-09"/>
    <x v="24"/>
    <x v="17"/>
    <x v="1"/>
    <s v="Power Bank"/>
    <n v="14"/>
    <n v="12723"/>
    <n v="0.05"/>
    <n v="169215.9"/>
    <n v="50269.31"/>
    <x v="2"/>
    <x v="11"/>
    <x v="1"/>
  </r>
  <r>
    <s v="ORD02169"/>
    <s v="2023-03-21"/>
    <x v="7"/>
    <x v="14"/>
    <x v="2"/>
    <s v="Dress"/>
    <n v="4"/>
    <n v="55627"/>
    <n v="0.15"/>
    <n v="189131.8"/>
    <n v="34498.39"/>
    <x v="3"/>
    <x v="7"/>
    <x v="1"/>
  </r>
  <r>
    <s v="ORD02170"/>
    <s v="2023-03-28"/>
    <x v="11"/>
    <x v="18"/>
    <x v="0"/>
    <s v="Table"/>
    <n v="9"/>
    <n v="30962"/>
    <n v="0.2"/>
    <n v="222926.4"/>
    <n v="47548.71"/>
    <x v="3"/>
    <x v="7"/>
    <x v="1"/>
  </r>
  <r>
    <s v="ORD02171"/>
    <s v="2023-11-26"/>
    <x v="47"/>
    <x v="8"/>
    <x v="2"/>
    <s v="Sweater"/>
    <n v="12"/>
    <n v="1059"/>
    <n v="0.1"/>
    <n v="11437.2"/>
    <n v="2470.9899999999998"/>
    <x v="2"/>
    <x v="4"/>
    <x v="1"/>
  </r>
  <r>
    <s v="ORD02172"/>
    <s v="2024-11-16"/>
    <x v="44"/>
    <x v="10"/>
    <x v="3"/>
    <s v="Marker"/>
    <n v="1"/>
    <n v="35724"/>
    <n v="0.15"/>
    <n v="30365.4"/>
    <n v="7247.75"/>
    <x v="3"/>
    <x v="4"/>
    <x v="0"/>
  </r>
  <r>
    <s v="ORD02173"/>
    <s v="2023-10-10"/>
    <x v="20"/>
    <x v="20"/>
    <x v="1"/>
    <s v="Tablet"/>
    <n v="5"/>
    <n v="51186"/>
    <n v="0.15"/>
    <n v="217540.5"/>
    <n v="33387.86"/>
    <x v="2"/>
    <x v="0"/>
    <x v="1"/>
  </r>
  <r>
    <s v="ORD02174"/>
    <s v="2024-05-22"/>
    <x v="3"/>
    <x v="13"/>
    <x v="2"/>
    <s v="Jacket"/>
    <n v="4"/>
    <n v="17151"/>
    <n v="0.2"/>
    <n v="54883.199999999997"/>
    <n v="6221.6"/>
    <x v="1"/>
    <x v="6"/>
    <x v="0"/>
  </r>
  <r>
    <s v="ORD02175"/>
    <s v="2023-04-29"/>
    <x v="37"/>
    <x v="11"/>
    <x v="3"/>
    <s v="Printer"/>
    <n v="1"/>
    <n v="29879"/>
    <n v="0.05"/>
    <n v="28385.05"/>
    <n v="4494.93"/>
    <x v="0"/>
    <x v="2"/>
    <x v="1"/>
  </r>
  <r>
    <s v="ORD02176"/>
    <s v="2023-11-30"/>
    <x v="16"/>
    <x v="1"/>
    <x v="1"/>
    <s v="Mobile"/>
    <n v="1"/>
    <n v="36526"/>
    <n v="0.05"/>
    <n v="34699.699999999997"/>
    <n v="10014.879999999999"/>
    <x v="2"/>
    <x v="4"/>
    <x v="1"/>
  </r>
  <r>
    <s v="ORD02177"/>
    <s v="2024-02-13"/>
    <x v="24"/>
    <x v="11"/>
    <x v="3"/>
    <s v="Printer"/>
    <n v="3"/>
    <n v="14530"/>
    <n v="0.15"/>
    <n v="37051.5"/>
    <n v="9063.99"/>
    <x v="2"/>
    <x v="11"/>
    <x v="0"/>
  </r>
  <r>
    <s v="ORD02178"/>
    <s v="2024-09-01"/>
    <x v="30"/>
    <x v="6"/>
    <x v="2"/>
    <s v="Jeans"/>
    <n v="3"/>
    <n v="24262"/>
    <n v="0"/>
    <n v="72786"/>
    <n v="12254.1"/>
    <x v="0"/>
    <x v="10"/>
    <x v="0"/>
  </r>
  <r>
    <s v="ORD02179"/>
    <s v="2023-06-21"/>
    <x v="39"/>
    <x v="8"/>
    <x v="2"/>
    <s v="Sweater"/>
    <n v="10"/>
    <n v="1796"/>
    <n v="0"/>
    <n v="17960"/>
    <n v="4445.8"/>
    <x v="0"/>
    <x v="5"/>
    <x v="1"/>
  </r>
  <r>
    <s v="ORD02180"/>
    <s v="2024-06-04"/>
    <x v="26"/>
    <x v="10"/>
    <x v="3"/>
    <s v="Marker"/>
    <n v="10"/>
    <n v="55415"/>
    <n v="0.2"/>
    <n v="443320"/>
    <n v="107406.54"/>
    <x v="0"/>
    <x v="5"/>
    <x v="0"/>
  </r>
  <r>
    <s v="ORD02181"/>
    <s v="2024-05-01"/>
    <x v="0"/>
    <x v="24"/>
    <x v="2"/>
    <s v="T-Shirt"/>
    <n v="3"/>
    <n v="55846"/>
    <n v="0.1"/>
    <n v="150784.20000000001"/>
    <n v="32155.8"/>
    <x v="3"/>
    <x v="6"/>
    <x v="0"/>
  </r>
  <r>
    <s v="ORD02182"/>
    <s v="2024-06-12"/>
    <x v="32"/>
    <x v="8"/>
    <x v="2"/>
    <s v="Sweater"/>
    <n v="2"/>
    <n v="43839"/>
    <n v="0.2"/>
    <n v="70142.399999999994"/>
    <n v="11215.91"/>
    <x v="1"/>
    <x v="5"/>
    <x v="0"/>
  </r>
  <r>
    <s v="ORD02183"/>
    <s v="2024-02-28"/>
    <x v="49"/>
    <x v="27"/>
    <x v="3"/>
    <s v="File"/>
    <n v="7"/>
    <n v="35215"/>
    <n v="0.15"/>
    <n v="209529.25"/>
    <n v="21333.759999999998"/>
    <x v="2"/>
    <x v="11"/>
    <x v="0"/>
  </r>
  <r>
    <s v="ORD02184"/>
    <s v="2023-02-05"/>
    <x v="4"/>
    <x v="27"/>
    <x v="3"/>
    <s v="File"/>
    <n v="10"/>
    <n v="37667"/>
    <n v="0"/>
    <n v="376670"/>
    <n v="38693.26"/>
    <x v="3"/>
    <x v="11"/>
    <x v="1"/>
  </r>
  <r>
    <s v="ORD02185"/>
    <s v="2023-07-13"/>
    <x v="1"/>
    <x v="18"/>
    <x v="0"/>
    <s v="Table"/>
    <n v="7"/>
    <n v="58736"/>
    <n v="0.2"/>
    <n v="328921.59999999998"/>
    <n v="66059.05"/>
    <x v="1"/>
    <x v="1"/>
    <x v="1"/>
  </r>
  <r>
    <s v="ORD02186"/>
    <s v="2024-09-19"/>
    <x v="45"/>
    <x v="7"/>
    <x v="0"/>
    <s v="Bed"/>
    <n v="13"/>
    <n v="27008"/>
    <n v="0"/>
    <n v="351104"/>
    <n v="100532.54"/>
    <x v="2"/>
    <x v="10"/>
    <x v="0"/>
  </r>
  <r>
    <s v="ORD02187"/>
    <s v="2024-01-29"/>
    <x v="37"/>
    <x v="0"/>
    <x v="0"/>
    <s v="Chair"/>
    <n v="15"/>
    <n v="49022"/>
    <n v="0.05"/>
    <n v="698563.5"/>
    <n v="147247.32999999999"/>
    <x v="3"/>
    <x v="3"/>
    <x v="0"/>
  </r>
  <r>
    <s v="ORD02188"/>
    <s v="2024-06-13"/>
    <x v="23"/>
    <x v="22"/>
    <x v="1"/>
    <s v="Camera"/>
    <n v="7"/>
    <n v="736"/>
    <n v="0.05"/>
    <n v="4894.3999999999996"/>
    <n v="1242.18"/>
    <x v="3"/>
    <x v="5"/>
    <x v="0"/>
  </r>
  <r>
    <s v="ORD02189"/>
    <s v="2023-02-02"/>
    <x v="23"/>
    <x v="14"/>
    <x v="2"/>
    <s v="Dress"/>
    <n v="15"/>
    <n v="3331"/>
    <n v="0"/>
    <n v="49965"/>
    <n v="13487.84"/>
    <x v="1"/>
    <x v="11"/>
    <x v="1"/>
  </r>
  <r>
    <s v="ORD02190"/>
    <s v="2023-01-22"/>
    <x v="14"/>
    <x v="16"/>
    <x v="3"/>
    <s v="Pen"/>
    <n v="14"/>
    <n v="13817"/>
    <n v="0.2"/>
    <n v="154750.39999999999"/>
    <n v="16050.31"/>
    <x v="0"/>
    <x v="3"/>
    <x v="1"/>
  </r>
  <r>
    <s v="ORD02191"/>
    <s v="2023-05-31"/>
    <x v="4"/>
    <x v="27"/>
    <x v="3"/>
    <s v="File"/>
    <n v="4"/>
    <n v="37247"/>
    <n v="0.2"/>
    <n v="119190.39999999999"/>
    <n v="22781.96"/>
    <x v="1"/>
    <x v="6"/>
    <x v="1"/>
  </r>
  <r>
    <s v="ORD02192"/>
    <s v="2023-10-26"/>
    <x v="29"/>
    <x v="5"/>
    <x v="0"/>
    <s v="Cupboard"/>
    <n v="7"/>
    <n v="7560"/>
    <n v="0.15"/>
    <n v="44982"/>
    <n v="6915.77"/>
    <x v="0"/>
    <x v="0"/>
    <x v="1"/>
  </r>
  <r>
    <s v="ORD02193"/>
    <s v="2024-01-11"/>
    <x v="38"/>
    <x v="23"/>
    <x v="0"/>
    <s v="Desk"/>
    <n v="5"/>
    <n v="32400"/>
    <n v="0.15"/>
    <n v="137700"/>
    <n v="21643.71"/>
    <x v="1"/>
    <x v="3"/>
    <x v="0"/>
  </r>
  <r>
    <s v="ORD02194"/>
    <s v="2023-05-10"/>
    <x v="22"/>
    <x v="15"/>
    <x v="0"/>
    <s v="Sofa"/>
    <n v="13"/>
    <n v="41743"/>
    <n v="0.2"/>
    <n v="434127.2"/>
    <n v="75463.38"/>
    <x v="3"/>
    <x v="6"/>
    <x v="1"/>
  </r>
  <r>
    <s v="ORD02195"/>
    <s v="2024-03-07"/>
    <x v="30"/>
    <x v="20"/>
    <x v="1"/>
    <s v="Tablet"/>
    <n v="7"/>
    <n v="47027"/>
    <n v="0.2"/>
    <n v="263351.2"/>
    <n v="73869.56"/>
    <x v="3"/>
    <x v="7"/>
    <x v="0"/>
  </r>
  <r>
    <s v="ORD02196"/>
    <s v="2023-06-15"/>
    <x v="19"/>
    <x v="10"/>
    <x v="3"/>
    <s v="Marker"/>
    <n v="12"/>
    <n v="15439"/>
    <n v="0.05"/>
    <n v="176004.6"/>
    <n v="43384.34"/>
    <x v="0"/>
    <x v="5"/>
    <x v="1"/>
  </r>
  <r>
    <s v="ORD02197"/>
    <s v="2024-04-11"/>
    <x v="17"/>
    <x v="21"/>
    <x v="1"/>
    <s v="Laptop"/>
    <n v="6"/>
    <n v="3005"/>
    <n v="0"/>
    <n v="18030"/>
    <n v="3175.86"/>
    <x v="2"/>
    <x v="2"/>
    <x v="0"/>
  </r>
  <r>
    <s v="ORD02198"/>
    <s v="2023-11-28"/>
    <x v="28"/>
    <x v="26"/>
    <x v="3"/>
    <s v="Paper Ream"/>
    <n v="4"/>
    <n v="5141"/>
    <n v="0.15"/>
    <n v="17479.400000000001"/>
    <n v="2464.75"/>
    <x v="3"/>
    <x v="4"/>
    <x v="1"/>
  </r>
  <r>
    <s v="ORD02199"/>
    <s v="2023-01-15"/>
    <x v="3"/>
    <x v="4"/>
    <x v="0"/>
    <s v="Stool"/>
    <n v="9"/>
    <n v="4338"/>
    <n v="0.15"/>
    <n v="33185.699999999997"/>
    <n v="6380.66"/>
    <x v="2"/>
    <x v="3"/>
    <x v="1"/>
  </r>
  <r>
    <s v="ORD02200"/>
    <s v="2024-02-25"/>
    <x v="27"/>
    <x v="12"/>
    <x v="1"/>
    <s v="Headphones"/>
    <n v="1"/>
    <n v="6540"/>
    <n v="0.15"/>
    <n v="5559"/>
    <n v="892.48"/>
    <x v="3"/>
    <x v="11"/>
    <x v="0"/>
  </r>
  <r>
    <s v="ORD02201"/>
    <s v="2024-01-19"/>
    <x v="7"/>
    <x v="10"/>
    <x v="3"/>
    <s v="Marker"/>
    <n v="2"/>
    <n v="45086"/>
    <n v="0.1"/>
    <n v="81154.8"/>
    <n v="20016.580000000002"/>
    <x v="0"/>
    <x v="3"/>
    <x v="0"/>
  </r>
  <r>
    <s v="ORD02202"/>
    <s v="2023-09-06"/>
    <x v="13"/>
    <x v="19"/>
    <x v="1"/>
    <s v="Smartwatch"/>
    <n v="15"/>
    <n v="3883"/>
    <n v="0"/>
    <n v="58245"/>
    <n v="14300.77"/>
    <x v="0"/>
    <x v="10"/>
    <x v="1"/>
  </r>
  <r>
    <s v="ORD02203"/>
    <s v="2023-03-15"/>
    <x v="14"/>
    <x v="9"/>
    <x v="1"/>
    <s v="Keyboard"/>
    <n v="8"/>
    <n v="2176"/>
    <n v="0.2"/>
    <n v="13926.4"/>
    <n v="3295.62"/>
    <x v="0"/>
    <x v="7"/>
    <x v="1"/>
  </r>
  <r>
    <s v="ORD02204"/>
    <s v="2023-06-22"/>
    <x v="0"/>
    <x v="20"/>
    <x v="1"/>
    <s v="Tablet"/>
    <n v="1"/>
    <n v="16492"/>
    <n v="0"/>
    <n v="16492"/>
    <n v="1650.99"/>
    <x v="0"/>
    <x v="5"/>
    <x v="1"/>
  </r>
  <r>
    <s v="ORD02205"/>
    <s v="2023-01-01"/>
    <x v="22"/>
    <x v="20"/>
    <x v="1"/>
    <s v="Tablet"/>
    <n v="12"/>
    <n v="31528"/>
    <n v="0"/>
    <n v="378336"/>
    <n v="84745.13"/>
    <x v="2"/>
    <x v="3"/>
    <x v="1"/>
  </r>
  <r>
    <s v="ORD02206"/>
    <s v="2024-05-23"/>
    <x v="14"/>
    <x v="25"/>
    <x v="3"/>
    <s v="Notebook"/>
    <n v="13"/>
    <n v="39766"/>
    <n v="0.05"/>
    <n v="491110.1"/>
    <n v="105521.57"/>
    <x v="0"/>
    <x v="6"/>
    <x v="0"/>
  </r>
  <r>
    <s v="ORD02207"/>
    <s v="2023-04-24"/>
    <x v="48"/>
    <x v="14"/>
    <x v="2"/>
    <s v="Dress"/>
    <n v="4"/>
    <n v="29453"/>
    <n v="0.1"/>
    <n v="106030.8"/>
    <n v="22369.87"/>
    <x v="2"/>
    <x v="2"/>
    <x v="1"/>
  </r>
  <r>
    <s v="ORD02208"/>
    <s v="2023-09-19"/>
    <x v="26"/>
    <x v="1"/>
    <x v="1"/>
    <s v="Mobile"/>
    <n v="3"/>
    <n v="4997"/>
    <n v="0"/>
    <n v="14991"/>
    <n v="3392.95"/>
    <x v="1"/>
    <x v="10"/>
    <x v="1"/>
  </r>
  <r>
    <s v="ORD02209"/>
    <s v="2023-05-28"/>
    <x v="13"/>
    <x v="2"/>
    <x v="2"/>
    <s v="Shoes"/>
    <n v="12"/>
    <n v="49543"/>
    <n v="0"/>
    <n v="594516"/>
    <n v="135520.14000000001"/>
    <x v="2"/>
    <x v="6"/>
    <x v="1"/>
  </r>
  <r>
    <s v="ORD02210"/>
    <s v="2024-06-23"/>
    <x v="41"/>
    <x v="15"/>
    <x v="0"/>
    <s v="Sofa"/>
    <n v="9"/>
    <n v="28402"/>
    <n v="0.2"/>
    <n v="204494.4"/>
    <n v="60519.7"/>
    <x v="2"/>
    <x v="5"/>
    <x v="0"/>
  </r>
  <r>
    <s v="ORD02211"/>
    <s v="2023-11-26"/>
    <x v="29"/>
    <x v="6"/>
    <x v="2"/>
    <s v="Jeans"/>
    <n v="8"/>
    <n v="5771"/>
    <n v="0.15"/>
    <n v="39242.800000000003"/>
    <n v="11714.93"/>
    <x v="0"/>
    <x v="4"/>
    <x v="1"/>
  </r>
  <r>
    <s v="ORD02212"/>
    <s v="2023-02-21"/>
    <x v="42"/>
    <x v="6"/>
    <x v="2"/>
    <s v="Jeans"/>
    <n v="10"/>
    <n v="25937"/>
    <n v="0.05"/>
    <n v="246401.5"/>
    <n v="60791.85"/>
    <x v="3"/>
    <x v="11"/>
    <x v="1"/>
  </r>
  <r>
    <s v="ORD02213"/>
    <s v="2023-01-03"/>
    <x v="42"/>
    <x v="2"/>
    <x v="2"/>
    <s v="Shoes"/>
    <n v="15"/>
    <n v="19156"/>
    <n v="0.05"/>
    <n v="272973"/>
    <n v="60172.19"/>
    <x v="0"/>
    <x v="3"/>
    <x v="1"/>
  </r>
  <r>
    <s v="ORD02214"/>
    <s v="2024-04-26"/>
    <x v="10"/>
    <x v="11"/>
    <x v="3"/>
    <s v="Printer"/>
    <n v="4"/>
    <n v="10966"/>
    <n v="0.1"/>
    <n v="39477.599999999999"/>
    <n v="10159.530000000001"/>
    <x v="1"/>
    <x v="2"/>
    <x v="0"/>
  </r>
  <r>
    <s v="ORD02215"/>
    <s v="2024-06-29"/>
    <x v="16"/>
    <x v="20"/>
    <x v="1"/>
    <s v="Tablet"/>
    <n v="13"/>
    <n v="13402"/>
    <n v="0.1"/>
    <n v="156803.4"/>
    <n v="25054.36"/>
    <x v="3"/>
    <x v="5"/>
    <x v="0"/>
  </r>
  <r>
    <s v="ORD02216"/>
    <s v="2024-10-08"/>
    <x v="39"/>
    <x v="6"/>
    <x v="2"/>
    <s v="Jeans"/>
    <n v="3"/>
    <n v="1778"/>
    <n v="0"/>
    <n v="5334"/>
    <n v="1380.2"/>
    <x v="2"/>
    <x v="0"/>
    <x v="0"/>
  </r>
  <r>
    <s v="ORD02217"/>
    <s v="2024-11-03"/>
    <x v="27"/>
    <x v="15"/>
    <x v="0"/>
    <s v="Sofa"/>
    <n v="15"/>
    <n v="56606"/>
    <n v="0.1"/>
    <n v="764181"/>
    <n v="145068.06"/>
    <x v="1"/>
    <x v="4"/>
    <x v="0"/>
  </r>
  <r>
    <s v="ORD02218"/>
    <s v="2023-03-23"/>
    <x v="9"/>
    <x v="16"/>
    <x v="3"/>
    <s v="Pen"/>
    <n v="2"/>
    <n v="17594"/>
    <n v="0.05"/>
    <n v="33428.6"/>
    <n v="4510.1899999999996"/>
    <x v="0"/>
    <x v="7"/>
    <x v="1"/>
  </r>
  <r>
    <s v="ORD02219"/>
    <s v="2024-04-14"/>
    <x v="13"/>
    <x v="8"/>
    <x v="2"/>
    <s v="Sweater"/>
    <n v="10"/>
    <n v="43775"/>
    <n v="0.1"/>
    <n v="393975"/>
    <n v="38223.449999999997"/>
    <x v="1"/>
    <x v="2"/>
    <x v="0"/>
  </r>
  <r>
    <s v="ORD02220"/>
    <s v="2024-06-29"/>
    <x v="18"/>
    <x v="17"/>
    <x v="1"/>
    <s v="Power Bank"/>
    <n v="4"/>
    <n v="21178"/>
    <n v="0"/>
    <n v="84712"/>
    <n v="15283.79"/>
    <x v="3"/>
    <x v="5"/>
    <x v="0"/>
  </r>
  <r>
    <s v="ORD02221"/>
    <s v="2024-01-27"/>
    <x v="34"/>
    <x v="11"/>
    <x v="3"/>
    <s v="Printer"/>
    <n v="13"/>
    <n v="39677"/>
    <n v="0.15"/>
    <n v="438430.85"/>
    <n v="49753.75"/>
    <x v="0"/>
    <x v="3"/>
    <x v="0"/>
  </r>
  <r>
    <s v="ORD02222"/>
    <s v="2023-02-14"/>
    <x v="36"/>
    <x v="4"/>
    <x v="0"/>
    <s v="Stool"/>
    <n v="12"/>
    <n v="2947"/>
    <n v="0"/>
    <n v="35364"/>
    <n v="4077.46"/>
    <x v="2"/>
    <x v="11"/>
    <x v="1"/>
  </r>
  <r>
    <s v="ORD02223"/>
    <s v="2023-08-02"/>
    <x v="1"/>
    <x v="24"/>
    <x v="2"/>
    <s v="T-Shirt"/>
    <n v="2"/>
    <n v="6225"/>
    <n v="0.05"/>
    <n v="11827.5"/>
    <n v="2165.1"/>
    <x v="1"/>
    <x v="8"/>
    <x v="1"/>
  </r>
  <r>
    <s v="ORD02224"/>
    <s v="2023-11-15"/>
    <x v="40"/>
    <x v="4"/>
    <x v="0"/>
    <s v="Stool"/>
    <n v="1"/>
    <n v="55490"/>
    <n v="0.05"/>
    <n v="52715.5"/>
    <n v="6619.59"/>
    <x v="2"/>
    <x v="4"/>
    <x v="1"/>
  </r>
  <r>
    <s v="ORD02225"/>
    <s v="2024-03-03"/>
    <x v="8"/>
    <x v="5"/>
    <x v="0"/>
    <s v="Cupboard"/>
    <n v="10"/>
    <n v="35945"/>
    <n v="0.05"/>
    <n v="341477.5"/>
    <n v="93218.7"/>
    <x v="0"/>
    <x v="7"/>
    <x v="0"/>
  </r>
  <r>
    <s v="ORD02226"/>
    <s v="2024-01-02"/>
    <x v="43"/>
    <x v="6"/>
    <x v="2"/>
    <s v="Jeans"/>
    <n v="10"/>
    <n v="57000"/>
    <n v="0"/>
    <n v="570000"/>
    <n v="142945.04999999999"/>
    <x v="2"/>
    <x v="3"/>
    <x v="0"/>
  </r>
  <r>
    <s v="ORD02227"/>
    <s v="2024-05-14"/>
    <x v="43"/>
    <x v="9"/>
    <x v="1"/>
    <s v="Keyboard"/>
    <n v="1"/>
    <n v="14608"/>
    <n v="0.2"/>
    <n v="11686.4"/>
    <n v="2254.5100000000002"/>
    <x v="1"/>
    <x v="6"/>
    <x v="0"/>
  </r>
  <r>
    <s v="ORD02228"/>
    <s v="2024-05-01"/>
    <x v="14"/>
    <x v="11"/>
    <x v="3"/>
    <s v="Printer"/>
    <n v="12"/>
    <n v="5911"/>
    <n v="0.05"/>
    <n v="67385.399999999994"/>
    <n v="5711.46"/>
    <x v="3"/>
    <x v="6"/>
    <x v="0"/>
  </r>
  <r>
    <s v="ORD02229"/>
    <s v="2024-09-22"/>
    <x v="10"/>
    <x v="8"/>
    <x v="2"/>
    <s v="Sweater"/>
    <n v="7"/>
    <n v="8328"/>
    <n v="0"/>
    <n v="58296"/>
    <n v="6822.75"/>
    <x v="1"/>
    <x v="10"/>
    <x v="0"/>
  </r>
  <r>
    <s v="ORD02230"/>
    <s v="2024-04-08"/>
    <x v="19"/>
    <x v="4"/>
    <x v="0"/>
    <s v="Stool"/>
    <n v="2"/>
    <n v="41978"/>
    <n v="0.05"/>
    <n v="79758.2"/>
    <n v="22683.65"/>
    <x v="3"/>
    <x v="2"/>
    <x v="0"/>
  </r>
  <r>
    <s v="ORD02231"/>
    <s v="2023-04-29"/>
    <x v="14"/>
    <x v="23"/>
    <x v="0"/>
    <s v="Desk"/>
    <n v="2"/>
    <n v="23614"/>
    <n v="0"/>
    <n v="47228"/>
    <n v="3951.22"/>
    <x v="1"/>
    <x v="2"/>
    <x v="1"/>
  </r>
  <r>
    <s v="ORD02232"/>
    <s v="2023-07-21"/>
    <x v="45"/>
    <x v="15"/>
    <x v="0"/>
    <s v="Sofa"/>
    <n v="13"/>
    <n v="43184"/>
    <n v="0.05"/>
    <n v="533322.4"/>
    <n v="63772.26"/>
    <x v="0"/>
    <x v="1"/>
    <x v="1"/>
  </r>
  <r>
    <s v="ORD02233"/>
    <s v="2023-10-26"/>
    <x v="5"/>
    <x v="18"/>
    <x v="0"/>
    <s v="Table"/>
    <n v="13"/>
    <n v="18284"/>
    <n v="0.1"/>
    <n v="213922.8"/>
    <n v="22073.97"/>
    <x v="2"/>
    <x v="0"/>
    <x v="1"/>
  </r>
  <r>
    <s v="ORD02234"/>
    <s v="2023-05-27"/>
    <x v="8"/>
    <x v="19"/>
    <x v="1"/>
    <s v="Smartwatch"/>
    <n v="4"/>
    <n v="305"/>
    <n v="0.1"/>
    <n v="1098"/>
    <n v="301.82"/>
    <x v="2"/>
    <x v="6"/>
    <x v="1"/>
  </r>
  <r>
    <s v="ORD02235"/>
    <s v="2024-06-13"/>
    <x v="45"/>
    <x v="7"/>
    <x v="0"/>
    <s v="Bed"/>
    <n v="14"/>
    <n v="17681"/>
    <n v="0.2"/>
    <n v="198027.2"/>
    <n v="37813.839999999997"/>
    <x v="1"/>
    <x v="5"/>
    <x v="0"/>
  </r>
  <r>
    <s v="ORD02236"/>
    <s v="2024-04-14"/>
    <x v="43"/>
    <x v="17"/>
    <x v="1"/>
    <s v="Power Bank"/>
    <n v="3"/>
    <n v="55594"/>
    <n v="0.05"/>
    <n v="158442.9"/>
    <n v="44198.78"/>
    <x v="1"/>
    <x v="2"/>
    <x v="0"/>
  </r>
  <r>
    <s v="ORD02237"/>
    <s v="2023-08-07"/>
    <x v="19"/>
    <x v="23"/>
    <x v="0"/>
    <s v="Desk"/>
    <n v="13"/>
    <n v="59463"/>
    <n v="0.05"/>
    <n v="734368.05"/>
    <n v="160567.01999999999"/>
    <x v="1"/>
    <x v="8"/>
    <x v="1"/>
  </r>
  <r>
    <s v="ORD02238"/>
    <s v="2024-07-05"/>
    <x v="48"/>
    <x v="1"/>
    <x v="1"/>
    <s v="Mobile"/>
    <n v="7"/>
    <n v="41557"/>
    <n v="0.1"/>
    <n v="261809.1"/>
    <n v="33858.44"/>
    <x v="0"/>
    <x v="1"/>
    <x v="0"/>
  </r>
  <r>
    <s v="ORD02239"/>
    <s v="2024-01-30"/>
    <x v="31"/>
    <x v="0"/>
    <x v="0"/>
    <s v="Chair"/>
    <n v="15"/>
    <n v="16149"/>
    <n v="0.15"/>
    <n v="205899.75"/>
    <n v="22631.32"/>
    <x v="0"/>
    <x v="3"/>
    <x v="0"/>
  </r>
  <r>
    <s v="ORD02240"/>
    <s v="2024-11-23"/>
    <x v="8"/>
    <x v="2"/>
    <x v="2"/>
    <s v="Shoes"/>
    <n v="8"/>
    <n v="59305"/>
    <n v="0.15"/>
    <n v="403274"/>
    <n v="78876.84"/>
    <x v="1"/>
    <x v="4"/>
    <x v="0"/>
  </r>
  <r>
    <s v="ORD02241"/>
    <s v="2024-05-09"/>
    <x v="1"/>
    <x v="21"/>
    <x v="1"/>
    <s v="Laptop"/>
    <n v="1"/>
    <n v="8345"/>
    <n v="0"/>
    <n v="8345"/>
    <n v="2226.4299999999998"/>
    <x v="2"/>
    <x v="6"/>
    <x v="0"/>
  </r>
  <r>
    <s v="ORD02242"/>
    <s v="2024-11-09"/>
    <x v="25"/>
    <x v="25"/>
    <x v="3"/>
    <s v="Notebook"/>
    <n v="1"/>
    <n v="5706"/>
    <n v="0.1"/>
    <n v="5135.3999999999996"/>
    <n v="1497.12"/>
    <x v="2"/>
    <x v="4"/>
    <x v="0"/>
  </r>
  <r>
    <s v="ORD02243"/>
    <s v="2023-02-18"/>
    <x v="37"/>
    <x v="27"/>
    <x v="3"/>
    <s v="File"/>
    <n v="11"/>
    <n v="43150"/>
    <n v="0.15"/>
    <n v="403452.5"/>
    <n v="60252.97"/>
    <x v="3"/>
    <x v="11"/>
    <x v="1"/>
  </r>
  <r>
    <s v="ORD02244"/>
    <s v="2024-06-25"/>
    <x v="14"/>
    <x v="26"/>
    <x v="3"/>
    <s v="Paper Ream"/>
    <n v="15"/>
    <n v="35053"/>
    <n v="0"/>
    <n v="525795"/>
    <n v="138689.35999999999"/>
    <x v="3"/>
    <x v="5"/>
    <x v="0"/>
  </r>
  <r>
    <s v="ORD02245"/>
    <s v="2023-10-17"/>
    <x v="5"/>
    <x v="19"/>
    <x v="1"/>
    <s v="Smartwatch"/>
    <n v="13"/>
    <n v="27027"/>
    <n v="0.05"/>
    <n v="333783.45"/>
    <n v="37542.29"/>
    <x v="1"/>
    <x v="0"/>
    <x v="1"/>
  </r>
  <r>
    <s v="ORD02246"/>
    <s v="2024-02-22"/>
    <x v="30"/>
    <x v="26"/>
    <x v="3"/>
    <s v="Paper Ream"/>
    <n v="15"/>
    <n v="27207"/>
    <n v="0.05"/>
    <n v="387699.75"/>
    <n v="109722.27"/>
    <x v="1"/>
    <x v="11"/>
    <x v="0"/>
  </r>
  <r>
    <s v="ORD02247"/>
    <s v="2024-01-22"/>
    <x v="5"/>
    <x v="2"/>
    <x v="2"/>
    <s v="Shoes"/>
    <n v="9"/>
    <n v="18588"/>
    <n v="0.1"/>
    <n v="150562.79999999999"/>
    <n v="14970.36"/>
    <x v="3"/>
    <x v="3"/>
    <x v="0"/>
  </r>
  <r>
    <s v="ORD02248"/>
    <s v="2023-03-03"/>
    <x v="48"/>
    <x v="14"/>
    <x v="2"/>
    <s v="Dress"/>
    <n v="4"/>
    <n v="8361"/>
    <n v="0.15"/>
    <n v="28427.4"/>
    <n v="3439.52"/>
    <x v="3"/>
    <x v="7"/>
    <x v="1"/>
  </r>
  <r>
    <s v="ORD02249"/>
    <s v="2023-03-15"/>
    <x v="22"/>
    <x v="13"/>
    <x v="2"/>
    <s v="Jacket"/>
    <n v="12"/>
    <n v="28025"/>
    <n v="0"/>
    <n v="336300"/>
    <n v="52404.04"/>
    <x v="3"/>
    <x v="7"/>
    <x v="1"/>
  </r>
  <r>
    <s v="ORD02250"/>
    <s v="2023-02-18"/>
    <x v="37"/>
    <x v="22"/>
    <x v="1"/>
    <s v="Camera"/>
    <n v="9"/>
    <n v="53471"/>
    <n v="0.2"/>
    <n v="384991.2"/>
    <n v="34158.44"/>
    <x v="1"/>
    <x v="11"/>
    <x v="1"/>
  </r>
  <r>
    <s v="ORD02251"/>
    <s v="2024-02-23"/>
    <x v="11"/>
    <x v="16"/>
    <x v="3"/>
    <s v="Pen"/>
    <n v="15"/>
    <n v="25831"/>
    <n v="0.05"/>
    <n v="368091.75"/>
    <n v="103392.02"/>
    <x v="1"/>
    <x v="11"/>
    <x v="0"/>
  </r>
  <r>
    <s v="ORD02252"/>
    <s v="2023-09-19"/>
    <x v="31"/>
    <x v="2"/>
    <x v="2"/>
    <s v="Shoes"/>
    <n v="6"/>
    <n v="32279"/>
    <n v="0.15"/>
    <n v="164622.9"/>
    <n v="47816.13"/>
    <x v="3"/>
    <x v="10"/>
    <x v="1"/>
  </r>
  <r>
    <s v="ORD02253"/>
    <s v="2023-02-20"/>
    <x v="39"/>
    <x v="5"/>
    <x v="0"/>
    <s v="Cupboard"/>
    <n v="5"/>
    <n v="38684"/>
    <n v="0.1"/>
    <n v="174078"/>
    <n v="29642.81"/>
    <x v="2"/>
    <x v="11"/>
    <x v="1"/>
  </r>
  <r>
    <s v="ORD02254"/>
    <s v="2023-08-21"/>
    <x v="18"/>
    <x v="7"/>
    <x v="0"/>
    <s v="Bed"/>
    <n v="4"/>
    <n v="38123"/>
    <n v="0"/>
    <n v="152492"/>
    <n v="44248.480000000003"/>
    <x v="3"/>
    <x v="8"/>
    <x v="1"/>
  </r>
  <r>
    <s v="ORD02255"/>
    <s v="2023-02-11"/>
    <x v="27"/>
    <x v="27"/>
    <x v="3"/>
    <s v="File"/>
    <n v="1"/>
    <n v="30530"/>
    <n v="0.1"/>
    <n v="27477"/>
    <n v="2404.46"/>
    <x v="1"/>
    <x v="11"/>
    <x v="1"/>
  </r>
  <r>
    <s v="ORD02256"/>
    <s v="2023-03-12"/>
    <x v="33"/>
    <x v="15"/>
    <x v="0"/>
    <s v="Sofa"/>
    <n v="3"/>
    <n v="28474"/>
    <n v="0"/>
    <n v="85422"/>
    <n v="25397.74"/>
    <x v="1"/>
    <x v="7"/>
    <x v="1"/>
  </r>
  <r>
    <s v="ORD02257"/>
    <s v="2024-11-17"/>
    <x v="22"/>
    <x v="17"/>
    <x v="1"/>
    <s v="Power Bank"/>
    <n v="3"/>
    <n v="14570"/>
    <n v="0"/>
    <n v="43710"/>
    <n v="6633.48"/>
    <x v="2"/>
    <x v="4"/>
    <x v="0"/>
  </r>
  <r>
    <s v="ORD02258"/>
    <s v="2023-12-27"/>
    <x v="32"/>
    <x v="26"/>
    <x v="3"/>
    <s v="Paper Ream"/>
    <n v="2"/>
    <n v="41960"/>
    <n v="0"/>
    <n v="83920"/>
    <n v="22158.37"/>
    <x v="1"/>
    <x v="9"/>
    <x v="1"/>
  </r>
  <r>
    <s v="ORD02259"/>
    <s v="2023-10-04"/>
    <x v="12"/>
    <x v="24"/>
    <x v="2"/>
    <s v="T-Shirt"/>
    <n v="13"/>
    <n v="46994"/>
    <n v="0.1"/>
    <n v="549829.80000000005"/>
    <n v="144753.31"/>
    <x v="1"/>
    <x v="0"/>
    <x v="1"/>
  </r>
  <r>
    <s v="ORD02260"/>
    <s v="2024-02-13"/>
    <x v="26"/>
    <x v="19"/>
    <x v="1"/>
    <s v="Smartwatch"/>
    <n v="4"/>
    <n v="23065"/>
    <n v="0"/>
    <n v="92260"/>
    <n v="19893.740000000002"/>
    <x v="2"/>
    <x v="11"/>
    <x v="0"/>
  </r>
  <r>
    <s v="ORD02261"/>
    <s v="2023-03-18"/>
    <x v="7"/>
    <x v="4"/>
    <x v="0"/>
    <s v="Stool"/>
    <n v="15"/>
    <n v="24678"/>
    <n v="0"/>
    <n v="370170"/>
    <n v="83485.63"/>
    <x v="2"/>
    <x v="7"/>
    <x v="1"/>
  </r>
  <r>
    <s v="ORD02262"/>
    <s v="2024-08-06"/>
    <x v="49"/>
    <x v="14"/>
    <x v="2"/>
    <s v="Dress"/>
    <n v="5"/>
    <n v="45837"/>
    <n v="0.2"/>
    <n v="183348"/>
    <n v="33059.050000000003"/>
    <x v="1"/>
    <x v="8"/>
    <x v="0"/>
  </r>
  <r>
    <s v="ORD02263"/>
    <s v="2023-07-05"/>
    <x v="5"/>
    <x v="13"/>
    <x v="2"/>
    <s v="Jacket"/>
    <n v="3"/>
    <n v="1641"/>
    <n v="0.2"/>
    <n v="3938.4"/>
    <n v="938.45"/>
    <x v="0"/>
    <x v="1"/>
    <x v="1"/>
  </r>
  <r>
    <s v="ORD02264"/>
    <s v="2023-11-11"/>
    <x v="12"/>
    <x v="23"/>
    <x v="0"/>
    <s v="Desk"/>
    <n v="10"/>
    <n v="25076"/>
    <n v="0.2"/>
    <n v="200608"/>
    <n v="27598.87"/>
    <x v="2"/>
    <x v="4"/>
    <x v="1"/>
  </r>
  <r>
    <s v="ORD02265"/>
    <s v="2023-06-25"/>
    <x v="1"/>
    <x v="14"/>
    <x v="2"/>
    <s v="Dress"/>
    <n v="2"/>
    <n v="42210"/>
    <n v="0.2"/>
    <n v="67536"/>
    <n v="17819.32"/>
    <x v="1"/>
    <x v="5"/>
    <x v="1"/>
  </r>
  <r>
    <s v="ORD02266"/>
    <s v="2023-09-10"/>
    <x v="35"/>
    <x v="13"/>
    <x v="2"/>
    <s v="Jacket"/>
    <n v="8"/>
    <n v="41784"/>
    <n v="0"/>
    <n v="334272"/>
    <n v="87475.93"/>
    <x v="1"/>
    <x v="10"/>
    <x v="1"/>
  </r>
  <r>
    <s v="ORD02267"/>
    <s v="2024-10-20"/>
    <x v="15"/>
    <x v="14"/>
    <x v="2"/>
    <s v="Dress"/>
    <n v="10"/>
    <n v="5335"/>
    <n v="0.2"/>
    <n v="42680"/>
    <n v="8175.32"/>
    <x v="1"/>
    <x v="0"/>
    <x v="0"/>
  </r>
  <r>
    <s v="ORD02268"/>
    <s v="2023-05-18"/>
    <x v="23"/>
    <x v="12"/>
    <x v="1"/>
    <s v="Headphones"/>
    <n v="3"/>
    <n v="19699"/>
    <n v="0.15"/>
    <n v="50232.45"/>
    <n v="5866.21"/>
    <x v="3"/>
    <x v="6"/>
    <x v="1"/>
  </r>
  <r>
    <s v="ORD02269"/>
    <s v="2023-10-03"/>
    <x v="6"/>
    <x v="5"/>
    <x v="0"/>
    <s v="Cupboard"/>
    <n v="6"/>
    <n v="1202"/>
    <n v="0.2"/>
    <n v="5769.6"/>
    <n v="1119.51"/>
    <x v="1"/>
    <x v="0"/>
    <x v="1"/>
  </r>
  <r>
    <s v="ORD02270"/>
    <s v="2024-07-17"/>
    <x v="38"/>
    <x v="11"/>
    <x v="3"/>
    <s v="Printer"/>
    <n v="15"/>
    <n v="6257"/>
    <n v="0.05"/>
    <n v="89162.25"/>
    <n v="22086.84"/>
    <x v="0"/>
    <x v="1"/>
    <x v="0"/>
  </r>
  <r>
    <s v="ORD02271"/>
    <s v="2024-04-13"/>
    <x v="16"/>
    <x v="20"/>
    <x v="1"/>
    <s v="Tablet"/>
    <n v="6"/>
    <n v="8306"/>
    <n v="0.2"/>
    <n v="39868.800000000003"/>
    <n v="10014.11"/>
    <x v="1"/>
    <x v="2"/>
    <x v="0"/>
  </r>
  <r>
    <s v="ORD02272"/>
    <s v="2023-03-11"/>
    <x v="6"/>
    <x v="15"/>
    <x v="0"/>
    <s v="Sofa"/>
    <n v="5"/>
    <n v="31423"/>
    <n v="0.15"/>
    <n v="133547.75"/>
    <n v="22286.29"/>
    <x v="0"/>
    <x v="7"/>
    <x v="1"/>
  </r>
  <r>
    <s v="ORD02273"/>
    <s v="2023-10-02"/>
    <x v="18"/>
    <x v="14"/>
    <x v="2"/>
    <s v="Dress"/>
    <n v="1"/>
    <n v="58178"/>
    <n v="0.2"/>
    <n v="46542.400000000001"/>
    <n v="9597.4"/>
    <x v="3"/>
    <x v="0"/>
    <x v="1"/>
  </r>
  <r>
    <s v="ORD02274"/>
    <s v="2024-04-11"/>
    <x v="35"/>
    <x v="27"/>
    <x v="3"/>
    <s v="File"/>
    <n v="15"/>
    <n v="47624"/>
    <n v="0.15"/>
    <n v="607206"/>
    <n v="86986.93"/>
    <x v="2"/>
    <x v="2"/>
    <x v="0"/>
  </r>
  <r>
    <s v="ORD02275"/>
    <s v="2023-10-13"/>
    <x v="19"/>
    <x v="14"/>
    <x v="2"/>
    <s v="Dress"/>
    <n v="5"/>
    <n v="55903"/>
    <n v="0.1"/>
    <n v="251563.5"/>
    <n v="30095.58"/>
    <x v="1"/>
    <x v="0"/>
    <x v="1"/>
  </r>
  <r>
    <s v="ORD02276"/>
    <s v="2024-10-06"/>
    <x v="26"/>
    <x v="5"/>
    <x v="0"/>
    <s v="Cupboard"/>
    <n v="10"/>
    <n v="28374"/>
    <n v="0.1"/>
    <n v="255366"/>
    <n v="38916.93"/>
    <x v="3"/>
    <x v="0"/>
    <x v="0"/>
  </r>
  <r>
    <s v="ORD02277"/>
    <s v="2023-02-25"/>
    <x v="9"/>
    <x v="5"/>
    <x v="0"/>
    <s v="Cupboard"/>
    <n v="12"/>
    <n v="28084"/>
    <n v="0.2"/>
    <n v="269606.40000000002"/>
    <n v="31465.54"/>
    <x v="3"/>
    <x v="11"/>
    <x v="1"/>
  </r>
  <r>
    <s v="ORD02278"/>
    <s v="2024-09-08"/>
    <x v="24"/>
    <x v="4"/>
    <x v="0"/>
    <s v="Stool"/>
    <n v="5"/>
    <n v="26773"/>
    <n v="0.2"/>
    <n v="107092"/>
    <n v="22585.61"/>
    <x v="3"/>
    <x v="10"/>
    <x v="0"/>
  </r>
  <r>
    <s v="ORD02279"/>
    <s v="2023-12-26"/>
    <x v="3"/>
    <x v="4"/>
    <x v="0"/>
    <s v="Stool"/>
    <n v="1"/>
    <n v="47545"/>
    <n v="0.15"/>
    <n v="40413.25"/>
    <n v="6050.91"/>
    <x v="2"/>
    <x v="9"/>
    <x v="1"/>
  </r>
  <r>
    <s v="ORD02280"/>
    <s v="2023-03-06"/>
    <x v="16"/>
    <x v="21"/>
    <x v="1"/>
    <s v="Laptop"/>
    <n v="1"/>
    <n v="21823"/>
    <n v="0.15"/>
    <n v="18549.55"/>
    <n v="4788.34"/>
    <x v="3"/>
    <x v="7"/>
    <x v="1"/>
  </r>
  <r>
    <s v="ORD02281"/>
    <s v="2024-03-05"/>
    <x v="15"/>
    <x v="4"/>
    <x v="0"/>
    <s v="Stool"/>
    <n v="8"/>
    <n v="7852"/>
    <n v="0.2"/>
    <n v="50252.800000000003"/>
    <n v="14616.54"/>
    <x v="2"/>
    <x v="7"/>
    <x v="0"/>
  </r>
  <r>
    <s v="ORD02282"/>
    <s v="2024-08-09"/>
    <x v="8"/>
    <x v="23"/>
    <x v="0"/>
    <s v="Desk"/>
    <n v="2"/>
    <n v="28900"/>
    <n v="0"/>
    <n v="57800"/>
    <n v="4675.57"/>
    <x v="0"/>
    <x v="8"/>
    <x v="0"/>
  </r>
  <r>
    <s v="ORD02283"/>
    <s v="2024-11-04"/>
    <x v="36"/>
    <x v="2"/>
    <x v="2"/>
    <s v="Shoes"/>
    <n v="1"/>
    <n v="48698"/>
    <n v="0.15"/>
    <n v="41393.300000000003"/>
    <n v="4167.8100000000004"/>
    <x v="0"/>
    <x v="4"/>
    <x v="0"/>
  </r>
  <r>
    <s v="ORD02284"/>
    <s v="2024-09-16"/>
    <x v="10"/>
    <x v="22"/>
    <x v="1"/>
    <s v="Camera"/>
    <n v="7"/>
    <n v="53587"/>
    <n v="0.2"/>
    <n v="300087.2"/>
    <n v="47902.62"/>
    <x v="3"/>
    <x v="10"/>
    <x v="0"/>
  </r>
  <r>
    <s v="ORD02285"/>
    <s v="2023-04-14"/>
    <x v="25"/>
    <x v="26"/>
    <x v="3"/>
    <s v="Paper Ream"/>
    <n v="11"/>
    <n v="19388"/>
    <n v="0.1"/>
    <n v="191941.2"/>
    <n v="49907.71"/>
    <x v="2"/>
    <x v="2"/>
    <x v="1"/>
  </r>
  <r>
    <s v="ORD02286"/>
    <s v="2024-09-05"/>
    <x v="22"/>
    <x v="11"/>
    <x v="3"/>
    <s v="Printer"/>
    <n v="12"/>
    <n v="2194"/>
    <n v="0.15"/>
    <n v="22378.799999999999"/>
    <n v="6705.81"/>
    <x v="3"/>
    <x v="10"/>
    <x v="0"/>
  </r>
  <r>
    <s v="ORD02287"/>
    <s v="2023-07-07"/>
    <x v="38"/>
    <x v="14"/>
    <x v="2"/>
    <s v="Dress"/>
    <n v="10"/>
    <n v="20324"/>
    <n v="0.2"/>
    <n v="162592"/>
    <n v="16300.99"/>
    <x v="2"/>
    <x v="1"/>
    <x v="1"/>
  </r>
  <r>
    <s v="ORD02288"/>
    <s v="2024-01-30"/>
    <x v="7"/>
    <x v="21"/>
    <x v="1"/>
    <s v="Laptop"/>
    <n v="15"/>
    <n v="6796"/>
    <n v="0"/>
    <n v="101940"/>
    <n v="29857.8"/>
    <x v="3"/>
    <x v="3"/>
    <x v="0"/>
  </r>
  <r>
    <s v="ORD02289"/>
    <s v="2024-04-27"/>
    <x v="13"/>
    <x v="18"/>
    <x v="0"/>
    <s v="Table"/>
    <n v="14"/>
    <n v="8111"/>
    <n v="0.1"/>
    <n v="102198.6"/>
    <n v="26517.040000000001"/>
    <x v="1"/>
    <x v="2"/>
    <x v="0"/>
  </r>
  <r>
    <s v="ORD02290"/>
    <s v="2024-02-08"/>
    <x v="44"/>
    <x v="9"/>
    <x v="1"/>
    <s v="Keyboard"/>
    <n v="11"/>
    <n v="50943"/>
    <n v="0.15"/>
    <n v="476317.05"/>
    <n v="85640.54"/>
    <x v="0"/>
    <x v="11"/>
    <x v="0"/>
  </r>
  <r>
    <s v="ORD02291"/>
    <s v="2023-07-06"/>
    <x v="18"/>
    <x v="16"/>
    <x v="3"/>
    <s v="Pen"/>
    <n v="15"/>
    <n v="8633"/>
    <n v="0.15"/>
    <n v="110070.75"/>
    <n v="9141.0300000000007"/>
    <x v="3"/>
    <x v="1"/>
    <x v="1"/>
  </r>
  <r>
    <s v="ORD02292"/>
    <s v="2023-05-18"/>
    <x v="8"/>
    <x v="0"/>
    <x v="0"/>
    <s v="Chair"/>
    <n v="14"/>
    <n v="34877"/>
    <n v="0"/>
    <n v="488278"/>
    <n v="106469.72"/>
    <x v="2"/>
    <x v="6"/>
    <x v="1"/>
  </r>
  <r>
    <s v="ORD02293"/>
    <s v="2024-08-16"/>
    <x v="1"/>
    <x v="1"/>
    <x v="1"/>
    <s v="Mobile"/>
    <n v="7"/>
    <n v="55947"/>
    <n v="0.05"/>
    <n v="372047.55"/>
    <n v="70405.78"/>
    <x v="2"/>
    <x v="8"/>
    <x v="0"/>
  </r>
  <r>
    <s v="ORD02294"/>
    <s v="2023-01-11"/>
    <x v="48"/>
    <x v="19"/>
    <x v="1"/>
    <s v="Smartwatch"/>
    <n v="9"/>
    <n v="5713"/>
    <n v="0.1"/>
    <n v="46275.3"/>
    <n v="10045.11"/>
    <x v="0"/>
    <x v="3"/>
    <x v="1"/>
  </r>
  <r>
    <s v="ORD02295"/>
    <s v="2024-04-18"/>
    <x v="24"/>
    <x v="27"/>
    <x v="3"/>
    <s v="File"/>
    <n v="4"/>
    <n v="13023"/>
    <n v="0.2"/>
    <n v="41673.599999999999"/>
    <n v="12416.98"/>
    <x v="0"/>
    <x v="2"/>
    <x v="0"/>
  </r>
  <r>
    <s v="ORD02296"/>
    <s v="2023-05-14"/>
    <x v="38"/>
    <x v="17"/>
    <x v="1"/>
    <s v="Power Bank"/>
    <n v="5"/>
    <n v="13731"/>
    <n v="0.2"/>
    <n v="54924"/>
    <n v="9345.9699999999993"/>
    <x v="0"/>
    <x v="6"/>
    <x v="1"/>
  </r>
  <r>
    <s v="ORD02297"/>
    <s v="2023-06-18"/>
    <x v="33"/>
    <x v="2"/>
    <x v="2"/>
    <s v="Shoes"/>
    <n v="11"/>
    <n v="14083"/>
    <n v="0.1"/>
    <n v="139421.70000000001"/>
    <n v="38002.559999999998"/>
    <x v="1"/>
    <x v="5"/>
    <x v="1"/>
  </r>
  <r>
    <s v="ORD02298"/>
    <s v="2023-03-02"/>
    <x v="49"/>
    <x v="0"/>
    <x v="0"/>
    <s v="Chair"/>
    <n v="11"/>
    <n v="8217"/>
    <n v="0.05"/>
    <n v="85867.65"/>
    <n v="20575.099999999999"/>
    <x v="3"/>
    <x v="7"/>
    <x v="1"/>
  </r>
  <r>
    <s v="ORD02299"/>
    <s v="2024-10-21"/>
    <x v="19"/>
    <x v="26"/>
    <x v="3"/>
    <s v="Paper Ream"/>
    <n v="1"/>
    <n v="38623"/>
    <n v="0.05"/>
    <n v="36691.85"/>
    <n v="10092.040000000001"/>
    <x v="3"/>
    <x v="0"/>
    <x v="0"/>
  </r>
  <r>
    <s v="ORD02300"/>
    <s v="2024-08-13"/>
    <x v="3"/>
    <x v="15"/>
    <x v="0"/>
    <s v="Sofa"/>
    <n v="14"/>
    <n v="10406"/>
    <n v="0.15"/>
    <n v="123831.4"/>
    <n v="23196.33"/>
    <x v="1"/>
    <x v="8"/>
    <x v="0"/>
  </r>
  <r>
    <s v="ORD02301"/>
    <s v="2023-04-24"/>
    <x v="46"/>
    <x v="12"/>
    <x v="1"/>
    <s v="Headphones"/>
    <n v="3"/>
    <n v="15264"/>
    <n v="0.15"/>
    <n v="38923.199999999997"/>
    <n v="9571.8700000000008"/>
    <x v="3"/>
    <x v="2"/>
    <x v="1"/>
  </r>
  <r>
    <s v="ORD02302"/>
    <s v="2023-09-30"/>
    <x v="12"/>
    <x v="22"/>
    <x v="1"/>
    <s v="Camera"/>
    <n v="9"/>
    <n v="43579"/>
    <n v="0.15"/>
    <n v="333379.34999999998"/>
    <n v="59526.080000000002"/>
    <x v="3"/>
    <x v="10"/>
    <x v="1"/>
  </r>
  <r>
    <s v="ORD02303"/>
    <s v="2024-07-22"/>
    <x v="14"/>
    <x v="7"/>
    <x v="0"/>
    <s v="Bed"/>
    <n v="12"/>
    <n v="31926"/>
    <n v="0.1"/>
    <n v="344800.8"/>
    <n v="66004.039999999994"/>
    <x v="0"/>
    <x v="1"/>
    <x v="0"/>
  </r>
  <r>
    <s v="ORD02304"/>
    <s v="2023-10-07"/>
    <x v="40"/>
    <x v="2"/>
    <x v="2"/>
    <s v="Shoes"/>
    <n v="8"/>
    <n v="58426"/>
    <n v="0.15"/>
    <n v="397296.8"/>
    <n v="40120.120000000003"/>
    <x v="3"/>
    <x v="0"/>
    <x v="1"/>
  </r>
  <r>
    <s v="ORD02305"/>
    <s v="2024-08-11"/>
    <x v="48"/>
    <x v="18"/>
    <x v="0"/>
    <s v="Table"/>
    <n v="11"/>
    <n v="32221"/>
    <n v="0.15"/>
    <n v="301266.34999999998"/>
    <n v="88088.02"/>
    <x v="2"/>
    <x v="8"/>
    <x v="0"/>
  </r>
  <r>
    <s v="ORD02306"/>
    <s v="2024-09-12"/>
    <x v="29"/>
    <x v="3"/>
    <x v="3"/>
    <s v="Stapler"/>
    <n v="5"/>
    <n v="29624"/>
    <n v="0.2"/>
    <n v="118496"/>
    <n v="26163.23"/>
    <x v="0"/>
    <x v="10"/>
    <x v="0"/>
  </r>
  <r>
    <s v="ORD02307"/>
    <s v="2024-06-01"/>
    <x v="30"/>
    <x v="14"/>
    <x v="2"/>
    <s v="Dress"/>
    <n v="3"/>
    <n v="23644"/>
    <n v="0.2"/>
    <n v="56745.599999999999"/>
    <n v="6236.73"/>
    <x v="1"/>
    <x v="5"/>
    <x v="0"/>
  </r>
  <r>
    <s v="ORD02308"/>
    <s v="2024-10-26"/>
    <x v="20"/>
    <x v="21"/>
    <x v="1"/>
    <s v="Laptop"/>
    <n v="13"/>
    <n v="27025"/>
    <n v="0.15"/>
    <n v="298626.25"/>
    <n v="84061.03"/>
    <x v="2"/>
    <x v="0"/>
    <x v="0"/>
  </r>
  <r>
    <s v="ORD02309"/>
    <s v="2023-09-16"/>
    <x v="31"/>
    <x v="6"/>
    <x v="2"/>
    <s v="Jeans"/>
    <n v="8"/>
    <n v="31185"/>
    <n v="0"/>
    <n v="249480"/>
    <n v="55039.97"/>
    <x v="0"/>
    <x v="10"/>
    <x v="1"/>
  </r>
  <r>
    <s v="ORD02310"/>
    <s v="2023-04-07"/>
    <x v="1"/>
    <x v="8"/>
    <x v="2"/>
    <s v="Sweater"/>
    <n v="9"/>
    <n v="17812"/>
    <n v="0.2"/>
    <n v="128246.39999999999"/>
    <n v="14701.91"/>
    <x v="3"/>
    <x v="2"/>
    <x v="1"/>
  </r>
  <r>
    <s v="ORD02311"/>
    <s v="2023-04-18"/>
    <x v="49"/>
    <x v="24"/>
    <x v="2"/>
    <s v="T-Shirt"/>
    <n v="4"/>
    <n v="25248"/>
    <n v="0.15"/>
    <n v="85843.199999999997"/>
    <n v="19683.490000000002"/>
    <x v="3"/>
    <x v="2"/>
    <x v="1"/>
  </r>
  <r>
    <s v="ORD02312"/>
    <s v="2023-02-12"/>
    <x v="31"/>
    <x v="12"/>
    <x v="1"/>
    <s v="Headphones"/>
    <n v="9"/>
    <n v="38420"/>
    <n v="0.1"/>
    <n v="311202"/>
    <n v="65453.15"/>
    <x v="3"/>
    <x v="11"/>
    <x v="1"/>
  </r>
  <r>
    <s v="ORD02313"/>
    <s v="2023-11-13"/>
    <x v="41"/>
    <x v="24"/>
    <x v="2"/>
    <s v="T-Shirt"/>
    <n v="1"/>
    <n v="41906"/>
    <n v="0"/>
    <n v="41906"/>
    <n v="3650.65"/>
    <x v="2"/>
    <x v="4"/>
    <x v="1"/>
  </r>
  <r>
    <s v="ORD02314"/>
    <s v="2024-10-01"/>
    <x v="17"/>
    <x v="25"/>
    <x v="3"/>
    <s v="Notebook"/>
    <n v="15"/>
    <n v="16338"/>
    <n v="0.05"/>
    <n v="232816.5"/>
    <n v="40070.239999999998"/>
    <x v="3"/>
    <x v="0"/>
    <x v="0"/>
  </r>
  <r>
    <s v="ORD02315"/>
    <s v="2024-08-11"/>
    <x v="46"/>
    <x v="17"/>
    <x v="1"/>
    <s v="Power Bank"/>
    <n v="5"/>
    <n v="13860"/>
    <n v="0.05"/>
    <n v="65835"/>
    <n v="7577.14"/>
    <x v="1"/>
    <x v="8"/>
    <x v="0"/>
  </r>
  <r>
    <s v="ORD02316"/>
    <s v="2023-04-25"/>
    <x v="16"/>
    <x v="9"/>
    <x v="1"/>
    <s v="Keyboard"/>
    <n v="11"/>
    <n v="42378"/>
    <n v="0.05"/>
    <n v="442850.1"/>
    <n v="65594.570000000007"/>
    <x v="2"/>
    <x v="2"/>
    <x v="1"/>
  </r>
  <r>
    <s v="ORD02317"/>
    <s v="2023-07-15"/>
    <x v="22"/>
    <x v="26"/>
    <x v="3"/>
    <s v="Paper Ream"/>
    <n v="4"/>
    <n v="42427"/>
    <n v="0.1"/>
    <n v="152737.20000000001"/>
    <n v="25568.65"/>
    <x v="2"/>
    <x v="1"/>
    <x v="1"/>
  </r>
  <r>
    <s v="ORD02318"/>
    <s v="2023-06-08"/>
    <x v="11"/>
    <x v="23"/>
    <x v="0"/>
    <s v="Desk"/>
    <n v="10"/>
    <n v="46220"/>
    <n v="0.1"/>
    <n v="415980"/>
    <n v="76992.25"/>
    <x v="2"/>
    <x v="5"/>
    <x v="1"/>
  </r>
  <r>
    <s v="ORD02319"/>
    <s v="2023-04-19"/>
    <x v="47"/>
    <x v="26"/>
    <x v="3"/>
    <s v="Paper Ream"/>
    <n v="5"/>
    <n v="35829"/>
    <n v="0.15"/>
    <n v="152273.25"/>
    <n v="23352.86"/>
    <x v="2"/>
    <x v="2"/>
    <x v="1"/>
  </r>
  <r>
    <s v="ORD02320"/>
    <s v="2024-03-27"/>
    <x v="32"/>
    <x v="23"/>
    <x v="0"/>
    <s v="Desk"/>
    <n v="2"/>
    <n v="17319"/>
    <n v="0.15"/>
    <n v="29442.3"/>
    <n v="7306.74"/>
    <x v="1"/>
    <x v="7"/>
    <x v="0"/>
  </r>
  <r>
    <s v="ORD02321"/>
    <s v="2024-05-28"/>
    <x v="19"/>
    <x v="26"/>
    <x v="3"/>
    <s v="Paper Ream"/>
    <n v="6"/>
    <n v="41966"/>
    <n v="0.1"/>
    <n v="226616.4"/>
    <n v="64122.21"/>
    <x v="1"/>
    <x v="6"/>
    <x v="0"/>
  </r>
  <r>
    <s v="ORD02322"/>
    <s v="2024-05-18"/>
    <x v="23"/>
    <x v="17"/>
    <x v="1"/>
    <s v="Power Bank"/>
    <n v="7"/>
    <n v="48388"/>
    <n v="0"/>
    <n v="338716"/>
    <n v="31870.21"/>
    <x v="1"/>
    <x v="6"/>
    <x v="0"/>
  </r>
  <r>
    <s v="ORD02323"/>
    <s v="2023-12-12"/>
    <x v="14"/>
    <x v="17"/>
    <x v="1"/>
    <s v="Power Bank"/>
    <n v="7"/>
    <n v="2686"/>
    <n v="0.1"/>
    <n v="16921.8"/>
    <n v="3447.82"/>
    <x v="2"/>
    <x v="9"/>
    <x v="1"/>
  </r>
  <r>
    <s v="ORD02324"/>
    <s v="2023-11-16"/>
    <x v="11"/>
    <x v="12"/>
    <x v="1"/>
    <s v="Headphones"/>
    <n v="9"/>
    <n v="1527"/>
    <n v="0"/>
    <n v="13743"/>
    <n v="3556.02"/>
    <x v="2"/>
    <x v="4"/>
    <x v="1"/>
  </r>
  <r>
    <s v="ORD02325"/>
    <s v="2023-01-02"/>
    <x v="31"/>
    <x v="21"/>
    <x v="1"/>
    <s v="Laptop"/>
    <n v="13"/>
    <n v="40968"/>
    <n v="0.15"/>
    <n v="452696.4"/>
    <n v="129500.69"/>
    <x v="1"/>
    <x v="3"/>
    <x v="1"/>
  </r>
  <r>
    <s v="ORD02326"/>
    <s v="2023-10-13"/>
    <x v="9"/>
    <x v="22"/>
    <x v="1"/>
    <s v="Camera"/>
    <n v="1"/>
    <n v="34212"/>
    <n v="0.2"/>
    <n v="27369.599999999999"/>
    <n v="5161.05"/>
    <x v="0"/>
    <x v="0"/>
    <x v="1"/>
  </r>
  <r>
    <s v="ORD02327"/>
    <s v="2023-11-26"/>
    <x v="24"/>
    <x v="21"/>
    <x v="1"/>
    <s v="Laptop"/>
    <n v="10"/>
    <n v="27728"/>
    <n v="0.15"/>
    <n v="235688"/>
    <n v="34830.42"/>
    <x v="1"/>
    <x v="4"/>
    <x v="1"/>
  </r>
  <r>
    <s v="ORD02328"/>
    <s v="2024-05-22"/>
    <x v="38"/>
    <x v="11"/>
    <x v="3"/>
    <s v="Printer"/>
    <n v="10"/>
    <n v="56241"/>
    <n v="0"/>
    <n v="562410"/>
    <n v="82795.42"/>
    <x v="2"/>
    <x v="6"/>
    <x v="0"/>
  </r>
  <r>
    <s v="ORD02329"/>
    <s v="2024-09-16"/>
    <x v="40"/>
    <x v="14"/>
    <x v="2"/>
    <s v="Dress"/>
    <n v="12"/>
    <n v="50989"/>
    <n v="0"/>
    <n v="611868"/>
    <n v="125678.77"/>
    <x v="0"/>
    <x v="10"/>
    <x v="0"/>
  </r>
  <r>
    <s v="ORD02330"/>
    <s v="2024-07-23"/>
    <x v="16"/>
    <x v="20"/>
    <x v="1"/>
    <s v="Tablet"/>
    <n v="1"/>
    <n v="56096"/>
    <n v="0.2"/>
    <n v="44876.800000000003"/>
    <n v="3907.19"/>
    <x v="1"/>
    <x v="1"/>
    <x v="0"/>
  </r>
  <r>
    <s v="ORD02331"/>
    <s v="2023-12-14"/>
    <x v="14"/>
    <x v="18"/>
    <x v="0"/>
    <s v="Table"/>
    <n v="5"/>
    <n v="51900"/>
    <n v="0.05"/>
    <n v="246525"/>
    <n v="24502.53"/>
    <x v="2"/>
    <x v="9"/>
    <x v="1"/>
  </r>
  <r>
    <s v="ORD02332"/>
    <s v="2023-11-19"/>
    <x v="23"/>
    <x v="20"/>
    <x v="1"/>
    <s v="Tablet"/>
    <n v="6"/>
    <n v="42543"/>
    <n v="0.1"/>
    <n v="229732.2"/>
    <n v="51464.52"/>
    <x v="0"/>
    <x v="4"/>
    <x v="1"/>
  </r>
  <r>
    <s v="ORD02333"/>
    <s v="2023-07-08"/>
    <x v="6"/>
    <x v="3"/>
    <x v="3"/>
    <s v="Stapler"/>
    <n v="15"/>
    <n v="57697"/>
    <n v="0.1"/>
    <n v="778909.5"/>
    <n v="179458.9"/>
    <x v="3"/>
    <x v="1"/>
    <x v="1"/>
  </r>
  <r>
    <s v="ORD02334"/>
    <s v="2023-12-04"/>
    <x v="45"/>
    <x v="15"/>
    <x v="0"/>
    <s v="Sofa"/>
    <n v="13"/>
    <n v="23191"/>
    <n v="0.05"/>
    <n v="286408.84999999998"/>
    <n v="79450.320000000007"/>
    <x v="0"/>
    <x v="9"/>
    <x v="1"/>
  </r>
  <r>
    <s v="ORD02335"/>
    <s v="2023-07-10"/>
    <x v="17"/>
    <x v="2"/>
    <x v="2"/>
    <s v="Shoes"/>
    <n v="3"/>
    <n v="53642"/>
    <n v="0.2"/>
    <n v="128740.8"/>
    <n v="35414.18"/>
    <x v="2"/>
    <x v="1"/>
    <x v="1"/>
  </r>
  <r>
    <s v="ORD02336"/>
    <s v="2024-10-12"/>
    <x v="35"/>
    <x v="13"/>
    <x v="2"/>
    <s v="Jacket"/>
    <n v="2"/>
    <n v="19531"/>
    <n v="0.15"/>
    <n v="33202.699999999997"/>
    <n v="4691.2"/>
    <x v="3"/>
    <x v="0"/>
    <x v="0"/>
  </r>
  <r>
    <s v="ORD02337"/>
    <s v="2024-04-12"/>
    <x v="22"/>
    <x v="14"/>
    <x v="2"/>
    <s v="Dress"/>
    <n v="13"/>
    <n v="19723"/>
    <n v="0"/>
    <n v="256399"/>
    <n v="39380"/>
    <x v="1"/>
    <x v="2"/>
    <x v="0"/>
  </r>
  <r>
    <s v="ORD02338"/>
    <s v="2023-10-08"/>
    <x v="27"/>
    <x v="12"/>
    <x v="1"/>
    <s v="Headphones"/>
    <n v="4"/>
    <n v="32409"/>
    <n v="0.15"/>
    <n v="110190.6"/>
    <n v="14439.49"/>
    <x v="3"/>
    <x v="0"/>
    <x v="1"/>
  </r>
  <r>
    <s v="ORD02339"/>
    <s v="2023-05-04"/>
    <x v="48"/>
    <x v="19"/>
    <x v="1"/>
    <s v="Smartwatch"/>
    <n v="9"/>
    <n v="29363"/>
    <n v="0.05"/>
    <n v="251053.65"/>
    <n v="73083.240000000005"/>
    <x v="1"/>
    <x v="6"/>
    <x v="1"/>
  </r>
  <r>
    <s v="ORD02340"/>
    <s v="2023-05-07"/>
    <x v="35"/>
    <x v="6"/>
    <x v="2"/>
    <s v="Jeans"/>
    <n v="13"/>
    <n v="38426"/>
    <n v="0.05"/>
    <n v="474561.1"/>
    <n v="72327.22"/>
    <x v="1"/>
    <x v="6"/>
    <x v="1"/>
  </r>
  <r>
    <s v="ORD02341"/>
    <s v="2023-11-06"/>
    <x v="14"/>
    <x v="1"/>
    <x v="1"/>
    <s v="Mobile"/>
    <n v="15"/>
    <n v="3082"/>
    <n v="0.2"/>
    <n v="36984"/>
    <n v="3454.77"/>
    <x v="1"/>
    <x v="4"/>
    <x v="1"/>
  </r>
  <r>
    <s v="ORD02342"/>
    <s v="2024-07-14"/>
    <x v="46"/>
    <x v="10"/>
    <x v="3"/>
    <s v="Marker"/>
    <n v="11"/>
    <n v="26206"/>
    <n v="0"/>
    <n v="288266"/>
    <n v="69395.100000000006"/>
    <x v="1"/>
    <x v="1"/>
    <x v="0"/>
  </r>
  <r>
    <s v="ORD02343"/>
    <s v="2024-11-14"/>
    <x v="45"/>
    <x v="25"/>
    <x v="3"/>
    <s v="Notebook"/>
    <n v="10"/>
    <n v="11666"/>
    <n v="0.15"/>
    <n v="99161"/>
    <n v="8108.07"/>
    <x v="0"/>
    <x v="4"/>
    <x v="0"/>
  </r>
  <r>
    <s v="ORD02344"/>
    <s v="2023-11-27"/>
    <x v="5"/>
    <x v="7"/>
    <x v="0"/>
    <s v="Bed"/>
    <n v="1"/>
    <n v="32054"/>
    <n v="0.05"/>
    <n v="30451.3"/>
    <n v="3403.44"/>
    <x v="2"/>
    <x v="4"/>
    <x v="1"/>
  </r>
  <r>
    <s v="ORD02345"/>
    <s v="2024-08-23"/>
    <x v="34"/>
    <x v="11"/>
    <x v="3"/>
    <s v="Printer"/>
    <n v="4"/>
    <n v="49777"/>
    <n v="0"/>
    <n v="199108"/>
    <n v="50696.97"/>
    <x v="3"/>
    <x v="8"/>
    <x v="0"/>
  </r>
  <r>
    <s v="ORD02346"/>
    <s v="2024-05-15"/>
    <x v="46"/>
    <x v="13"/>
    <x v="2"/>
    <s v="Jacket"/>
    <n v="5"/>
    <n v="26402"/>
    <n v="0.2"/>
    <n v="105608"/>
    <n v="12717.23"/>
    <x v="3"/>
    <x v="6"/>
    <x v="0"/>
  </r>
  <r>
    <s v="ORD02347"/>
    <s v="2023-08-13"/>
    <x v="17"/>
    <x v="12"/>
    <x v="1"/>
    <s v="Headphones"/>
    <n v="11"/>
    <n v="23285"/>
    <n v="0.05"/>
    <n v="243328.25"/>
    <n v="67649.78"/>
    <x v="2"/>
    <x v="8"/>
    <x v="1"/>
  </r>
  <r>
    <s v="ORD02348"/>
    <s v="2024-01-17"/>
    <x v="23"/>
    <x v="9"/>
    <x v="1"/>
    <s v="Keyboard"/>
    <n v="10"/>
    <n v="16844"/>
    <n v="0"/>
    <n v="168440"/>
    <n v="36045.71"/>
    <x v="3"/>
    <x v="3"/>
    <x v="0"/>
  </r>
  <r>
    <s v="ORD02349"/>
    <s v="2024-09-18"/>
    <x v="10"/>
    <x v="19"/>
    <x v="1"/>
    <s v="Smartwatch"/>
    <n v="4"/>
    <n v="43016"/>
    <n v="0"/>
    <n v="172064"/>
    <n v="24673.4"/>
    <x v="3"/>
    <x v="10"/>
    <x v="0"/>
  </r>
  <r>
    <s v="ORD02350"/>
    <s v="2024-01-07"/>
    <x v="20"/>
    <x v="3"/>
    <x v="3"/>
    <s v="Stapler"/>
    <n v="15"/>
    <n v="27408"/>
    <n v="0.05"/>
    <n v="390564"/>
    <n v="56786.65"/>
    <x v="1"/>
    <x v="3"/>
    <x v="0"/>
  </r>
  <r>
    <s v="ORD02351"/>
    <s v="2023-03-19"/>
    <x v="8"/>
    <x v="9"/>
    <x v="1"/>
    <s v="Keyboard"/>
    <n v="15"/>
    <n v="38431"/>
    <n v="0.15"/>
    <n v="489995.25"/>
    <n v="96269.39"/>
    <x v="2"/>
    <x v="7"/>
    <x v="1"/>
  </r>
  <r>
    <s v="ORD02352"/>
    <s v="2024-05-19"/>
    <x v="8"/>
    <x v="13"/>
    <x v="2"/>
    <s v="Jacket"/>
    <n v="8"/>
    <n v="11657"/>
    <n v="0"/>
    <n v="93256"/>
    <n v="10799.32"/>
    <x v="2"/>
    <x v="6"/>
    <x v="0"/>
  </r>
  <r>
    <s v="ORD02353"/>
    <s v="2023-07-07"/>
    <x v="26"/>
    <x v="1"/>
    <x v="1"/>
    <s v="Mobile"/>
    <n v="13"/>
    <n v="25117"/>
    <n v="0.05"/>
    <n v="310194.95"/>
    <n v="88499.55"/>
    <x v="1"/>
    <x v="1"/>
    <x v="1"/>
  </r>
  <r>
    <s v="ORD02354"/>
    <s v="2024-10-09"/>
    <x v="24"/>
    <x v="24"/>
    <x v="2"/>
    <s v="T-Shirt"/>
    <n v="8"/>
    <n v="54635"/>
    <n v="0.15"/>
    <n v="371518"/>
    <n v="39758.14"/>
    <x v="1"/>
    <x v="0"/>
    <x v="0"/>
  </r>
  <r>
    <s v="ORD02355"/>
    <s v="2023-11-30"/>
    <x v="31"/>
    <x v="8"/>
    <x v="2"/>
    <s v="Sweater"/>
    <n v="11"/>
    <n v="19654"/>
    <n v="0.1"/>
    <n v="194574.6"/>
    <n v="43904.18"/>
    <x v="2"/>
    <x v="4"/>
    <x v="1"/>
  </r>
  <r>
    <s v="ORD02356"/>
    <s v="2024-02-23"/>
    <x v="46"/>
    <x v="6"/>
    <x v="2"/>
    <s v="Jeans"/>
    <n v="6"/>
    <n v="19522"/>
    <n v="0.15"/>
    <n v="99562.2"/>
    <n v="19160.03"/>
    <x v="1"/>
    <x v="11"/>
    <x v="0"/>
  </r>
  <r>
    <s v="ORD02357"/>
    <s v="2023-01-02"/>
    <x v="21"/>
    <x v="5"/>
    <x v="0"/>
    <s v="Cupboard"/>
    <n v="4"/>
    <n v="22317"/>
    <n v="0.15"/>
    <n v="75877.8"/>
    <n v="16622.93"/>
    <x v="2"/>
    <x v="3"/>
    <x v="1"/>
  </r>
  <r>
    <s v="ORD02358"/>
    <s v="2024-11-08"/>
    <x v="30"/>
    <x v="27"/>
    <x v="3"/>
    <s v="File"/>
    <n v="3"/>
    <n v="12132"/>
    <n v="0"/>
    <n v="36396"/>
    <n v="3312.46"/>
    <x v="0"/>
    <x v="4"/>
    <x v="0"/>
  </r>
  <r>
    <s v="ORD02359"/>
    <s v="2024-06-05"/>
    <x v="49"/>
    <x v="14"/>
    <x v="2"/>
    <s v="Dress"/>
    <n v="13"/>
    <n v="57365"/>
    <n v="0.05"/>
    <n v="708457.75"/>
    <n v="193818.09"/>
    <x v="2"/>
    <x v="5"/>
    <x v="0"/>
  </r>
  <r>
    <s v="ORD02360"/>
    <s v="2023-07-25"/>
    <x v="28"/>
    <x v="14"/>
    <x v="2"/>
    <s v="Dress"/>
    <n v="12"/>
    <n v="6383"/>
    <n v="0.05"/>
    <n v="72766.2"/>
    <n v="6161.94"/>
    <x v="2"/>
    <x v="1"/>
    <x v="1"/>
  </r>
  <r>
    <s v="ORD02361"/>
    <s v="2023-09-18"/>
    <x v="10"/>
    <x v="6"/>
    <x v="2"/>
    <s v="Jeans"/>
    <n v="5"/>
    <n v="22347"/>
    <n v="0.1"/>
    <n v="100561.5"/>
    <n v="27365.57"/>
    <x v="2"/>
    <x v="10"/>
    <x v="1"/>
  </r>
  <r>
    <s v="ORD02362"/>
    <s v="2024-03-01"/>
    <x v="37"/>
    <x v="8"/>
    <x v="2"/>
    <s v="Sweater"/>
    <n v="2"/>
    <n v="18274"/>
    <n v="0.1"/>
    <n v="32893.199999999997"/>
    <n v="7442.46"/>
    <x v="0"/>
    <x v="7"/>
    <x v="0"/>
  </r>
  <r>
    <s v="ORD02363"/>
    <s v="2023-06-30"/>
    <x v="26"/>
    <x v="27"/>
    <x v="3"/>
    <s v="File"/>
    <n v="13"/>
    <n v="9429"/>
    <n v="0"/>
    <n v="122577"/>
    <n v="21346.47"/>
    <x v="2"/>
    <x v="5"/>
    <x v="1"/>
  </r>
  <r>
    <s v="ORD02364"/>
    <s v="2023-06-06"/>
    <x v="0"/>
    <x v="14"/>
    <x v="2"/>
    <s v="Dress"/>
    <n v="12"/>
    <n v="43031"/>
    <n v="0.1"/>
    <n v="464734.8"/>
    <n v="94203.88"/>
    <x v="3"/>
    <x v="5"/>
    <x v="1"/>
  </r>
  <r>
    <s v="ORD02365"/>
    <s v="2024-08-17"/>
    <x v="4"/>
    <x v="6"/>
    <x v="2"/>
    <s v="Jeans"/>
    <n v="12"/>
    <n v="52263"/>
    <n v="0.1"/>
    <n v="564440.4"/>
    <n v="58434.43"/>
    <x v="3"/>
    <x v="8"/>
    <x v="0"/>
  </r>
  <r>
    <s v="ORD02366"/>
    <s v="2024-06-05"/>
    <x v="38"/>
    <x v="4"/>
    <x v="0"/>
    <s v="Stool"/>
    <n v="8"/>
    <n v="52246"/>
    <n v="0.15"/>
    <n v="355272.8"/>
    <n v="71916.55"/>
    <x v="3"/>
    <x v="5"/>
    <x v="0"/>
  </r>
  <r>
    <s v="ORD02367"/>
    <s v="2024-10-23"/>
    <x v="35"/>
    <x v="11"/>
    <x v="3"/>
    <s v="Printer"/>
    <n v="4"/>
    <n v="4931"/>
    <n v="0"/>
    <n v="19724"/>
    <n v="3716.57"/>
    <x v="2"/>
    <x v="0"/>
    <x v="0"/>
  </r>
  <r>
    <s v="ORD02368"/>
    <s v="2024-06-14"/>
    <x v="4"/>
    <x v="25"/>
    <x v="3"/>
    <s v="Notebook"/>
    <n v="4"/>
    <n v="17965"/>
    <n v="0.05"/>
    <n v="68267"/>
    <n v="7669.61"/>
    <x v="1"/>
    <x v="5"/>
    <x v="0"/>
  </r>
  <r>
    <s v="ORD02369"/>
    <s v="2023-09-24"/>
    <x v="43"/>
    <x v="25"/>
    <x v="3"/>
    <s v="Notebook"/>
    <n v="7"/>
    <n v="35229"/>
    <n v="0.1"/>
    <n v="221942.7"/>
    <n v="31679.01"/>
    <x v="0"/>
    <x v="10"/>
    <x v="1"/>
  </r>
  <r>
    <s v="ORD02370"/>
    <s v="2023-07-26"/>
    <x v="31"/>
    <x v="23"/>
    <x v="0"/>
    <s v="Desk"/>
    <n v="8"/>
    <n v="44014"/>
    <n v="0.1"/>
    <n v="316900.8"/>
    <n v="39569.24"/>
    <x v="1"/>
    <x v="1"/>
    <x v="1"/>
  </r>
  <r>
    <s v="ORD02371"/>
    <s v="2023-10-17"/>
    <x v="5"/>
    <x v="25"/>
    <x v="3"/>
    <s v="Notebook"/>
    <n v="13"/>
    <n v="4032"/>
    <n v="0"/>
    <n v="52416"/>
    <n v="8136.48"/>
    <x v="3"/>
    <x v="0"/>
    <x v="1"/>
  </r>
  <r>
    <s v="ORD02372"/>
    <s v="2023-06-18"/>
    <x v="16"/>
    <x v="13"/>
    <x v="2"/>
    <s v="Jacket"/>
    <n v="4"/>
    <n v="29977"/>
    <n v="0.2"/>
    <n v="95926.399999999994"/>
    <n v="14156.13"/>
    <x v="0"/>
    <x v="5"/>
    <x v="1"/>
  </r>
  <r>
    <s v="ORD02373"/>
    <s v="2024-11-22"/>
    <x v="49"/>
    <x v="24"/>
    <x v="2"/>
    <s v="T-Shirt"/>
    <n v="13"/>
    <n v="16207"/>
    <n v="0.1"/>
    <n v="189621.9"/>
    <n v="24677.62"/>
    <x v="3"/>
    <x v="4"/>
    <x v="0"/>
  </r>
  <r>
    <s v="ORD02374"/>
    <s v="2024-01-06"/>
    <x v="4"/>
    <x v="14"/>
    <x v="2"/>
    <s v="Dress"/>
    <n v="14"/>
    <n v="21860"/>
    <n v="0"/>
    <n v="306040"/>
    <n v="29328.04"/>
    <x v="1"/>
    <x v="3"/>
    <x v="0"/>
  </r>
  <r>
    <s v="ORD02375"/>
    <s v="2023-11-05"/>
    <x v="43"/>
    <x v="25"/>
    <x v="3"/>
    <s v="Notebook"/>
    <n v="4"/>
    <n v="50729"/>
    <n v="0.05"/>
    <n v="192770.2"/>
    <n v="43190.69"/>
    <x v="3"/>
    <x v="4"/>
    <x v="1"/>
  </r>
  <r>
    <s v="ORD02376"/>
    <s v="2024-11-15"/>
    <x v="17"/>
    <x v="10"/>
    <x v="3"/>
    <s v="Marker"/>
    <n v="14"/>
    <n v="21180"/>
    <n v="0.15"/>
    <n v="252042"/>
    <n v="54352.959999999999"/>
    <x v="0"/>
    <x v="4"/>
    <x v="0"/>
  </r>
  <r>
    <s v="ORD02377"/>
    <s v="2024-02-08"/>
    <x v="28"/>
    <x v="18"/>
    <x v="0"/>
    <s v="Table"/>
    <n v="9"/>
    <n v="52943"/>
    <n v="0.15"/>
    <n v="405013.95"/>
    <n v="47583.63"/>
    <x v="0"/>
    <x v="11"/>
    <x v="0"/>
  </r>
  <r>
    <s v="ORD02378"/>
    <s v="2024-10-29"/>
    <x v="46"/>
    <x v="20"/>
    <x v="1"/>
    <s v="Tablet"/>
    <n v="10"/>
    <n v="42087"/>
    <n v="0.2"/>
    <n v="336696"/>
    <n v="57668.21"/>
    <x v="2"/>
    <x v="0"/>
    <x v="0"/>
  </r>
  <r>
    <s v="ORD02379"/>
    <s v="2024-01-19"/>
    <x v="41"/>
    <x v="10"/>
    <x v="3"/>
    <s v="Marker"/>
    <n v="12"/>
    <n v="22706"/>
    <n v="0"/>
    <n v="272472"/>
    <n v="25740.49"/>
    <x v="1"/>
    <x v="3"/>
    <x v="0"/>
  </r>
  <r>
    <s v="ORD02380"/>
    <s v="2024-06-18"/>
    <x v="37"/>
    <x v="0"/>
    <x v="0"/>
    <s v="Chair"/>
    <n v="7"/>
    <n v="25175"/>
    <n v="0.15"/>
    <n v="149791.25"/>
    <n v="20378.900000000001"/>
    <x v="1"/>
    <x v="5"/>
    <x v="0"/>
  </r>
  <r>
    <s v="ORD02381"/>
    <s v="2024-02-17"/>
    <x v="6"/>
    <x v="2"/>
    <x v="2"/>
    <s v="Shoes"/>
    <n v="14"/>
    <n v="10502"/>
    <n v="0.15"/>
    <n v="124973.8"/>
    <n v="16055.25"/>
    <x v="0"/>
    <x v="11"/>
    <x v="0"/>
  </r>
  <r>
    <s v="ORD02382"/>
    <s v="2024-05-14"/>
    <x v="21"/>
    <x v="5"/>
    <x v="0"/>
    <s v="Cupboard"/>
    <n v="2"/>
    <n v="37974"/>
    <n v="0.2"/>
    <n v="60758.400000000001"/>
    <n v="13577.21"/>
    <x v="3"/>
    <x v="6"/>
    <x v="0"/>
  </r>
  <r>
    <s v="ORD02383"/>
    <s v="2024-11-01"/>
    <x v="19"/>
    <x v="14"/>
    <x v="2"/>
    <s v="Dress"/>
    <n v="3"/>
    <n v="26011"/>
    <n v="0"/>
    <n v="78033"/>
    <n v="6656.68"/>
    <x v="1"/>
    <x v="4"/>
    <x v="0"/>
  </r>
  <r>
    <s v="ORD02384"/>
    <s v="2023-10-12"/>
    <x v="9"/>
    <x v="26"/>
    <x v="3"/>
    <s v="Paper Ream"/>
    <n v="7"/>
    <n v="56164"/>
    <n v="0.2"/>
    <n v="314518.40000000002"/>
    <n v="73404.42"/>
    <x v="1"/>
    <x v="0"/>
    <x v="1"/>
  </r>
  <r>
    <s v="ORD02385"/>
    <s v="2023-12-03"/>
    <x v="24"/>
    <x v="1"/>
    <x v="1"/>
    <s v="Mobile"/>
    <n v="1"/>
    <n v="15526"/>
    <n v="0.15"/>
    <n v="13197.1"/>
    <n v="2092.69"/>
    <x v="2"/>
    <x v="9"/>
    <x v="1"/>
  </r>
  <r>
    <s v="ORD02386"/>
    <s v="2024-02-08"/>
    <x v="44"/>
    <x v="3"/>
    <x v="3"/>
    <s v="Stapler"/>
    <n v="3"/>
    <n v="44103"/>
    <n v="0"/>
    <n v="132309"/>
    <n v="33203.699999999997"/>
    <x v="0"/>
    <x v="11"/>
    <x v="0"/>
  </r>
  <r>
    <s v="ORD02387"/>
    <s v="2024-02-10"/>
    <x v="46"/>
    <x v="19"/>
    <x v="1"/>
    <s v="Smartwatch"/>
    <n v="3"/>
    <n v="7310"/>
    <n v="0.1"/>
    <n v="19737"/>
    <n v="3221.67"/>
    <x v="3"/>
    <x v="11"/>
    <x v="0"/>
  </r>
  <r>
    <s v="ORD02388"/>
    <s v="2023-11-27"/>
    <x v="22"/>
    <x v="21"/>
    <x v="1"/>
    <s v="Laptop"/>
    <n v="14"/>
    <n v="22119"/>
    <n v="0.15"/>
    <n v="263216.09999999998"/>
    <n v="71466.59"/>
    <x v="1"/>
    <x v="4"/>
    <x v="1"/>
  </r>
  <r>
    <s v="ORD02389"/>
    <s v="2024-09-23"/>
    <x v="13"/>
    <x v="0"/>
    <x v="0"/>
    <s v="Chair"/>
    <n v="7"/>
    <n v="34453"/>
    <n v="0.05"/>
    <n v="229112.45"/>
    <n v="22470.04"/>
    <x v="2"/>
    <x v="10"/>
    <x v="0"/>
  </r>
  <r>
    <s v="ORD02390"/>
    <s v="2024-05-25"/>
    <x v="48"/>
    <x v="7"/>
    <x v="0"/>
    <s v="Bed"/>
    <n v="15"/>
    <n v="47500"/>
    <n v="0"/>
    <n v="712500"/>
    <n v="72933.2"/>
    <x v="1"/>
    <x v="6"/>
    <x v="0"/>
  </r>
  <r>
    <s v="ORD02391"/>
    <s v="2023-08-24"/>
    <x v="24"/>
    <x v="2"/>
    <x v="2"/>
    <s v="Shoes"/>
    <n v="10"/>
    <n v="11855"/>
    <n v="0.1"/>
    <n v="106695"/>
    <n v="31019.47"/>
    <x v="1"/>
    <x v="8"/>
    <x v="1"/>
  </r>
  <r>
    <s v="ORD02392"/>
    <s v="2024-07-10"/>
    <x v="47"/>
    <x v="12"/>
    <x v="1"/>
    <s v="Headphones"/>
    <n v="9"/>
    <n v="37628"/>
    <n v="0.15"/>
    <n v="287854.2"/>
    <n v="82046.66"/>
    <x v="1"/>
    <x v="1"/>
    <x v="0"/>
  </r>
  <r>
    <s v="ORD02393"/>
    <s v="2024-02-22"/>
    <x v="28"/>
    <x v="26"/>
    <x v="3"/>
    <s v="Paper Ream"/>
    <n v="7"/>
    <n v="12343"/>
    <n v="0.05"/>
    <n v="82080.95"/>
    <n v="22832.21"/>
    <x v="2"/>
    <x v="11"/>
    <x v="0"/>
  </r>
  <r>
    <s v="ORD02394"/>
    <s v="2024-06-20"/>
    <x v="40"/>
    <x v="20"/>
    <x v="1"/>
    <s v="Tablet"/>
    <n v="1"/>
    <n v="20344"/>
    <n v="0.1"/>
    <n v="18309.599999999999"/>
    <n v="4423.47"/>
    <x v="0"/>
    <x v="5"/>
    <x v="0"/>
  </r>
  <r>
    <s v="ORD02395"/>
    <s v="2023-01-05"/>
    <x v="12"/>
    <x v="21"/>
    <x v="1"/>
    <s v="Laptop"/>
    <n v="4"/>
    <n v="44099"/>
    <n v="0.1"/>
    <n v="158756.4"/>
    <n v="40698.18"/>
    <x v="1"/>
    <x v="3"/>
    <x v="1"/>
  </r>
  <r>
    <s v="ORD02396"/>
    <s v="2023-05-05"/>
    <x v="35"/>
    <x v="22"/>
    <x v="1"/>
    <s v="Camera"/>
    <n v="7"/>
    <n v="45826"/>
    <n v="0.05"/>
    <n v="304742.90000000002"/>
    <n v="90171.26"/>
    <x v="0"/>
    <x v="6"/>
    <x v="1"/>
  </r>
  <r>
    <s v="ORD02397"/>
    <s v="2023-07-28"/>
    <x v="42"/>
    <x v="13"/>
    <x v="2"/>
    <s v="Jacket"/>
    <n v="9"/>
    <n v="49221"/>
    <n v="0.2"/>
    <n v="354391.2"/>
    <n v="78285.14"/>
    <x v="1"/>
    <x v="1"/>
    <x v="1"/>
  </r>
  <r>
    <s v="ORD02398"/>
    <s v="2023-01-26"/>
    <x v="3"/>
    <x v="12"/>
    <x v="1"/>
    <s v="Headphones"/>
    <n v="9"/>
    <n v="59550"/>
    <n v="0.1"/>
    <n v="482355"/>
    <n v="93050.19"/>
    <x v="1"/>
    <x v="3"/>
    <x v="1"/>
  </r>
  <r>
    <s v="ORD02399"/>
    <s v="2023-04-02"/>
    <x v="13"/>
    <x v="26"/>
    <x v="3"/>
    <s v="Paper Ream"/>
    <n v="13"/>
    <n v="35495"/>
    <n v="0.05"/>
    <n v="438363.25"/>
    <n v="94143.51"/>
    <x v="1"/>
    <x v="2"/>
    <x v="1"/>
  </r>
  <r>
    <s v="ORD02400"/>
    <s v="2023-04-11"/>
    <x v="5"/>
    <x v="7"/>
    <x v="0"/>
    <s v="Bed"/>
    <n v="1"/>
    <n v="41504"/>
    <n v="0.15"/>
    <n v="35278.400000000001"/>
    <n v="9991.3700000000008"/>
    <x v="2"/>
    <x v="2"/>
    <x v="1"/>
  </r>
  <r>
    <s v="ORD02401"/>
    <s v="2023-03-24"/>
    <x v="29"/>
    <x v="16"/>
    <x v="3"/>
    <s v="Pen"/>
    <n v="8"/>
    <n v="19278"/>
    <n v="0.15"/>
    <n v="131090.4"/>
    <n v="34368.68"/>
    <x v="3"/>
    <x v="7"/>
    <x v="1"/>
  </r>
  <r>
    <s v="ORD02402"/>
    <s v="2024-07-12"/>
    <x v="38"/>
    <x v="4"/>
    <x v="0"/>
    <s v="Stool"/>
    <n v="7"/>
    <n v="36687"/>
    <n v="0.1"/>
    <n v="231128.1"/>
    <n v="31431.58"/>
    <x v="0"/>
    <x v="1"/>
    <x v="0"/>
  </r>
  <r>
    <s v="ORD02403"/>
    <s v="2023-06-30"/>
    <x v="28"/>
    <x v="8"/>
    <x v="2"/>
    <s v="Sweater"/>
    <n v="7"/>
    <n v="58159"/>
    <n v="0.1"/>
    <n v="366401.7"/>
    <n v="108762.6"/>
    <x v="0"/>
    <x v="5"/>
    <x v="1"/>
  </r>
  <r>
    <s v="ORD02404"/>
    <s v="2023-09-27"/>
    <x v="12"/>
    <x v="6"/>
    <x v="2"/>
    <s v="Jeans"/>
    <n v="15"/>
    <n v="11085"/>
    <n v="0"/>
    <n v="166275"/>
    <n v="41720.75"/>
    <x v="1"/>
    <x v="10"/>
    <x v="1"/>
  </r>
  <r>
    <s v="ORD02405"/>
    <s v="2023-10-23"/>
    <x v="28"/>
    <x v="3"/>
    <x v="3"/>
    <s v="Stapler"/>
    <n v="1"/>
    <n v="15678"/>
    <n v="0"/>
    <n v="15678"/>
    <n v="2392.75"/>
    <x v="0"/>
    <x v="0"/>
    <x v="1"/>
  </r>
  <r>
    <s v="ORD02406"/>
    <s v="2024-06-15"/>
    <x v="20"/>
    <x v="10"/>
    <x v="3"/>
    <s v="Marker"/>
    <n v="7"/>
    <n v="41504"/>
    <n v="0.1"/>
    <n v="261475.20000000001"/>
    <n v="54949.88"/>
    <x v="1"/>
    <x v="5"/>
    <x v="0"/>
  </r>
  <r>
    <s v="ORD02407"/>
    <s v="2024-11-16"/>
    <x v="15"/>
    <x v="10"/>
    <x v="3"/>
    <s v="Marker"/>
    <n v="4"/>
    <n v="33944"/>
    <n v="0.1"/>
    <n v="122198.39999999999"/>
    <n v="22293.21"/>
    <x v="2"/>
    <x v="4"/>
    <x v="0"/>
  </r>
  <r>
    <s v="ORD02408"/>
    <s v="2023-11-02"/>
    <x v="44"/>
    <x v="5"/>
    <x v="0"/>
    <s v="Cupboard"/>
    <n v="8"/>
    <n v="12624"/>
    <n v="0.05"/>
    <n v="95942.399999999994"/>
    <n v="28533.18"/>
    <x v="3"/>
    <x v="4"/>
    <x v="1"/>
  </r>
  <r>
    <s v="ORD02409"/>
    <s v="2023-07-15"/>
    <x v="17"/>
    <x v="26"/>
    <x v="3"/>
    <s v="Paper Ream"/>
    <n v="14"/>
    <n v="11009"/>
    <n v="0.05"/>
    <n v="146419.70000000001"/>
    <n v="31524.17"/>
    <x v="1"/>
    <x v="1"/>
    <x v="1"/>
  </r>
  <r>
    <s v="ORD02410"/>
    <s v="2023-12-08"/>
    <x v="39"/>
    <x v="5"/>
    <x v="0"/>
    <s v="Cupboard"/>
    <n v="1"/>
    <n v="50657"/>
    <n v="0.2"/>
    <n v="40525.599999999999"/>
    <n v="3606.69"/>
    <x v="3"/>
    <x v="9"/>
    <x v="1"/>
  </r>
  <r>
    <s v="ORD02411"/>
    <s v="2023-08-24"/>
    <x v="48"/>
    <x v="19"/>
    <x v="1"/>
    <s v="Smartwatch"/>
    <n v="8"/>
    <n v="55883"/>
    <n v="0.15"/>
    <n v="380004.4"/>
    <n v="92332.37"/>
    <x v="0"/>
    <x v="8"/>
    <x v="1"/>
  </r>
  <r>
    <s v="ORD02412"/>
    <s v="2023-03-09"/>
    <x v="5"/>
    <x v="4"/>
    <x v="0"/>
    <s v="Stool"/>
    <n v="10"/>
    <n v="1037"/>
    <n v="0.15"/>
    <n v="8814.5"/>
    <n v="1401.1"/>
    <x v="0"/>
    <x v="7"/>
    <x v="1"/>
  </r>
  <r>
    <s v="ORD02413"/>
    <s v="2023-12-10"/>
    <x v="44"/>
    <x v="19"/>
    <x v="1"/>
    <s v="Smartwatch"/>
    <n v="6"/>
    <n v="27483"/>
    <n v="0"/>
    <n v="164898"/>
    <n v="17565.740000000002"/>
    <x v="0"/>
    <x v="9"/>
    <x v="1"/>
  </r>
  <r>
    <s v="ORD02414"/>
    <s v="2024-04-06"/>
    <x v="43"/>
    <x v="26"/>
    <x v="3"/>
    <s v="Paper Ream"/>
    <n v="11"/>
    <n v="4705"/>
    <n v="0.05"/>
    <n v="49167.25"/>
    <n v="12938.06"/>
    <x v="1"/>
    <x v="2"/>
    <x v="0"/>
  </r>
  <r>
    <s v="ORD02415"/>
    <s v="2023-07-31"/>
    <x v="2"/>
    <x v="16"/>
    <x v="3"/>
    <s v="Pen"/>
    <n v="1"/>
    <n v="15293"/>
    <n v="0.15"/>
    <n v="12999.05"/>
    <n v="3029.85"/>
    <x v="0"/>
    <x v="1"/>
    <x v="1"/>
  </r>
  <r>
    <s v="ORD02416"/>
    <s v="2023-07-30"/>
    <x v="5"/>
    <x v="27"/>
    <x v="3"/>
    <s v="File"/>
    <n v="1"/>
    <n v="51912"/>
    <n v="0.15"/>
    <n v="44125.2"/>
    <n v="5157.78"/>
    <x v="1"/>
    <x v="1"/>
    <x v="1"/>
  </r>
  <r>
    <s v="ORD02417"/>
    <s v="2023-03-17"/>
    <x v="18"/>
    <x v="9"/>
    <x v="1"/>
    <s v="Keyboard"/>
    <n v="7"/>
    <n v="34742"/>
    <n v="0"/>
    <n v="243194"/>
    <n v="43505.81"/>
    <x v="0"/>
    <x v="7"/>
    <x v="1"/>
  </r>
  <r>
    <s v="ORD02418"/>
    <s v="2023-08-13"/>
    <x v="9"/>
    <x v="3"/>
    <x v="3"/>
    <s v="Stapler"/>
    <n v="6"/>
    <n v="31231"/>
    <n v="0.1"/>
    <n v="168647.4"/>
    <n v="36559.24"/>
    <x v="3"/>
    <x v="8"/>
    <x v="1"/>
  </r>
  <r>
    <s v="ORD02419"/>
    <s v="2024-10-05"/>
    <x v="13"/>
    <x v="2"/>
    <x v="2"/>
    <s v="Shoes"/>
    <n v="1"/>
    <n v="45219"/>
    <n v="0.2"/>
    <n v="36175.199999999997"/>
    <n v="7177.4"/>
    <x v="0"/>
    <x v="0"/>
    <x v="0"/>
  </r>
  <r>
    <s v="ORD02420"/>
    <s v="2024-06-30"/>
    <x v="4"/>
    <x v="1"/>
    <x v="1"/>
    <s v="Mobile"/>
    <n v="1"/>
    <n v="33065"/>
    <n v="0.15"/>
    <n v="28105.25"/>
    <n v="6055.03"/>
    <x v="3"/>
    <x v="5"/>
    <x v="0"/>
  </r>
  <r>
    <s v="ORD02421"/>
    <s v="2023-08-13"/>
    <x v="48"/>
    <x v="2"/>
    <x v="2"/>
    <s v="Shoes"/>
    <n v="15"/>
    <n v="9106"/>
    <n v="0.1"/>
    <n v="122931"/>
    <n v="33299.71"/>
    <x v="1"/>
    <x v="8"/>
    <x v="1"/>
  </r>
  <r>
    <s v="ORD02422"/>
    <s v="2024-05-02"/>
    <x v="45"/>
    <x v="8"/>
    <x v="2"/>
    <s v="Sweater"/>
    <n v="6"/>
    <n v="54995"/>
    <n v="0.2"/>
    <n v="263976"/>
    <n v="41541.980000000003"/>
    <x v="3"/>
    <x v="6"/>
    <x v="0"/>
  </r>
  <r>
    <s v="ORD02423"/>
    <s v="2024-01-02"/>
    <x v="44"/>
    <x v="13"/>
    <x v="2"/>
    <s v="Jacket"/>
    <n v="6"/>
    <n v="13801"/>
    <n v="0.15"/>
    <n v="70385.100000000006"/>
    <n v="14811.07"/>
    <x v="1"/>
    <x v="3"/>
    <x v="0"/>
  </r>
  <r>
    <s v="ORD02424"/>
    <s v="2024-09-26"/>
    <x v="18"/>
    <x v="2"/>
    <x v="2"/>
    <s v="Shoes"/>
    <n v="6"/>
    <n v="4853"/>
    <n v="0.15"/>
    <n v="24750.3"/>
    <n v="7408.83"/>
    <x v="2"/>
    <x v="10"/>
    <x v="0"/>
  </r>
  <r>
    <s v="ORD02425"/>
    <s v="2024-06-19"/>
    <x v="26"/>
    <x v="11"/>
    <x v="3"/>
    <s v="Printer"/>
    <n v="3"/>
    <n v="11586"/>
    <n v="0.2"/>
    <n v="27806.400000000001"/>
    <n v="5391.21"/>
    <x v="2"/>
    <x v="5"/>
    <x v="0"/>
  </r>
  <r>
    <s v="ORD02426"/>
    <s v="2023-05-24"/>
    <x v="20"/>
    <x v="23"/>
    <x v="0"/>
    <s v="Desk"/>
    <n v="5"/>
    <n v="26252"/>
    <n v="0.2"/>
    <n v="105008"/>
    <n v="20940.919999999998"/>
    <x v="2"/>
    <x v="6"/>
    <x v="1"/>
  </r>
  <r>
    <s v="ORD02427"/>
    <s v="2023-05-08"/>
    <x v="16"/>
    <x v="20"/>
    <x v="1"/>
    <s v="Tablet"/>
    <n v="6"/>
    <n v="9808"/>
    <n v="0.2"/>
    <n v="47078.400000000001"/>
    <n v="9695.57"/>
    <x v="2"/>
    <x v="6"/>
    <x v="1"/>
  </r>
  <r>
    <s v="ORD02428"/>
    <s v="2023-07-04"/>
    <x v="12"/>
    <x v="17"/>
    <x v="1"/>
    <s v="Power Bank"/>
    <n v="5"/>
    <n v="24364"/>
    <n v="0.2"/>
    <n v="97456"/>
    <n v="25627.64"/>
    <x v="0"/>
    <x v="1"/>
    <x v="1"/>
  </r>
  <r>
    <s v="ORD02429"/>
    <s v="2024-07-04"/>
    <x v="45"/>
    <x v="11"/>
    <x v="3"/>
    <s v="Printer"/>
    <n v="6"/>
    <n v="36216"/>
    <n v="0.05"/>
    <n v="206431.2"/>
    <n v="45074.38"/>
    <x v="3"/>
    <x v="1"/>
    <x v="0"/>
  </r>
  <r>
    <s v="ORD02430"/>
    <s v="2023-03-11"/>
    <x v="17"/>
    <x v="27"/>
    <x v="3"/>
    <s v="File"/>
    <n v="5"/>
    <n v="33048"/>
    <n v="0"/>
    <n v="165240"/>
    <n v="32406.26"/>
    <x v="2"/>
    <x v="7"/>
    <x v="1"/>
  </r>
  <r>
    <s v="ORD02431"/>
    <s v="2024-04-22"/>
    <x v="27"/>
    <x v="2"/>
    <x v="2"/>
    <s v="Shoes"/>
    <n v="8"/>
    <n v="8929"/>
    <n v="0.2"/>
    <n v="57145.599999999999"/>
    <n v="10998.25"/>
    <x v="3"/>
    <x v="2"/>
    <x v="0"/>
  </r>
  <r>
    <s v="ORD02432"/>
    <s v="2023-09-22"/>
    <x v="24"/>
    <x v="24"/>
    <x v="2"/>
    <s v="T-Shirt"/>
    <n v="8"/>
    <n v="51516"/>
    <n v="0.15"/>
    <n v="350308.8"/>
    <n v="67014.710000000006"/>
    <x v="0"/>
    <x v="10"/>
    <x v="1"/>
  </r>
  <r>
    <s v="ORD02433"/>
    <s v="2024-10-12"/>
    <x v="27"/>
    <x v="24"/>
    <x v="2"/>
    <s v="T-Shirt"/>
    <n v="11"/>
    <n v="8689"/>
    <n v="0"/>
    <n v="95579"/>
    <n v="18834.02"/>
    <x v="1"/>
    <x v="0"/>
    <x v="0"/>
  </r>
  <r>
    <s v="ORD02434"/>
    <s v="2024-03-03"/>
    <x v="31"/>
    <x v="6"/>
    <x v="2"/>
    <s v="Jeans"/>
    <n v="7"/>
    <n v="15057"/>
    <n v="0.15"/>
    <n v="89589.15"/>
    <n v="8502.23"/>
    <x v="2"/>
    <x v="7"/>
    <x v="0"/>
  </r>
  <r>
    <s v="ORD02435"/>
    <s v="2024-04-10"/>
    <x v="21"/>
    <x v="24"/>
    <x v="2"/>
    <s v="T-Shirt"/>
    <n v="8"/>
    <n v="36326"/>
    <n v="0.15"/>
    <n v="247016.8"/>
    <n v="73301.42"/>
    <x v="2"/>
    <x v="2"/>
    <x v="0"/>
  </r>
  <r>
    <s v="ORD02436"/>
    <s v="2024-06-20"/>
    <x v="19"/>
    <x v="2"/>
    <x v="2"/>
    <s v="Shoes"/>
    <n v="4"/>
    <n v="16078"/>
    <n v="0.2"/>
    <n v="51449.599999999999"/>
    <n v="4838.17"/>
    <x v="3"/>
    <x v="5"/>
    <x v="0"/>
  </r>
  <r>
    <s v="ORD02437"/>
    <s v="2024-09-27"/>
    <x v="14"/>
    <x v="27"/>
    <x v="3"/>
    <s v="File"/>
    <n v="14"/>
    <n v="14087"/>
    <n v="0.2"/>
    <n v="157774.39999999999"/>
    <n v="12922.77"/>
    <x v="2"/>
    <x v="10"/>
    <x v="0"/>
  </r>
  <r>
    <s v="ORD02438"/>
    <s v="2024-05-12"/>
    <x v="41"/>
    <x v="17"/>
    <x v="1"/>
    <s v="Power Bank"/>
    <n v="8"/>
    <n v="31275"/>
    <n v="0.2"/>
    <n v="200160"/>
    <n v="36626.620000000003"/>
    <x v="1"/>
    <x v="6"/>
    <x v="0"/>
  </r>
  <r>
    <s v="ORD02439"/>
    <s v="2023-01-30"/>
    <x v="14"/>
    <x v="12"/>
    <x v="1"/>
    <s v="Headphones"/>
    <n v="9"/>
    <n v="39762"/>
    <n v="0.15"/>
    <n v="304179.3"/>
    <n v="47611.87"/>
    <x v="2"/>
    <x v="3"/>
    <x v="1"/>
  </r>
  <r>
    <s v="ORD02440"/>
    <s v="2023-06-17"/>
    <x v="22"/>
    <x v="24"/>
    <x v="2"/>
    <s v="T-Shirt"/>
    <n v="3"/>
    <n v="59273"/>
    <n v="0.1"/>
    <n v="160037.1"/>
    <n v="25240.29"/>
    <x v="3"/>
    <x v="5"/>
    <x v="1"/>
  </r>
  <r>
    <s v="ORD02441"/>
    <s v="2024-09-05"/>
    <x v="25"/>
    <x v="27"/>
    <x v="3"/>
    <s v="File"/>
    <n v="4"/>
    <n v="10228"/>
    <n v="0.15"/>
    <n v="34775.199999999997"/>
    <n v="6873.96"/>
    <x v="3"/>
    <x v="10"/>
    <x v="0"/>
  </r>
  <r>
    <s v="ORD02442"/>
    <s v="2023-09-03"/>
    <x v="37"/>
    <x v="0"/>
    <x v="0"/>
    <s v="Chair"/>
    <n v="14"/>
    <n v="11710"/>
    <n v="0.05"/>
    <n v="155743"/>
    <n v="22500.35"/>
    <x v="3"/>
    <x v="10"/>
    <x v="1"/>
  </r>
  <r>
    <s v="ORD02443"/>
    <s v="2024-10-26"/>
    <x v="38"/>
    <x v="20"/>
    <x v="1"/>
    <s v="Tablet"/>
    <n v="13"/>
    <n v="44025"/>
    <n v="0.15"/>
    <n v="486476.25"/>
    <n v="96669.89"/>
    <x v="3"/>
    <x v="0"/>
    <x v="0"/>
  </r>
  <r>
    <s v="ORD02444"/>
    <s v="2023-08-16"/>
    <x v="13"/>
    <x v="26"/>
    <x v="3"/>
    <s v="Paper Ream"/>
    <n v="15"/>
    <n v="39740"/>
    <n v="0.1"/>
    <n v="536490"/>
    <n v="116900.33"/>
    <x v="3"/>
    <x v="8"/>
    <x v="1"/>
  </r>
  <r>
    <s v="ORD02445"/>
    <s v="2024-07-24"/>
    <x v="6"/>
    <x v="18"/>
    <x v="0"/>
    <s v="Table"/>
    <n v="3"/>
    <n v="5553"/>
    <n v="0.05"/>
    <n v="15826.05"/>
    <n v="2087.15"/>
    <x v="0"/>
    <x v="1"/>
    <x v="0"/>
  </r>
  <r>
    <s v="ORD02446"/>
    <s v="2023-02-17"/>
    <x v="39"/>
    <x v="8"/>
    <x v="2"/>
    <s v="Sweater"/>
    <n v="7"/>
    <n v="6406"/>
    <n v="0.1"/>
    <n v="40357.800000000003"/>
    <n v="10852.77"/>
    <x v="1"/>
    <x v="11"/>
    <x v="1"/>
  </r>
  <r>
    <s v="ORD02447"/>
    <s v="2024-02-08"/>
    <x v="44"/>
    <x v="17"/>
    <x v="1"/>
    <s v="Power Bank"/>
    <n v="13"/>
    <n v="43463"/>
    <n v="0.2"/>
    <n v="452015.2"/>
    <n v="130110.19"/>
    <x v="3"/>
    <x v="11"/>
    <x v="0"/>
  </r>
  <r>
    <s v="ORD02448"/>
    <s v="2024-02-24"/>
    <x v="42"/>
    <x v="2"/>
    <x v="2"/>
    <s v="Shoes"/>
    <n v="15"/>
    <n v="55944"/>
    <n v="0"/>
    <n v="839160"/>
    <n v="69241.539999999994"/>
    <x v="2"/>
    <x v="11"/>
    <x v="0"/>
  </r>
  <r>
    <s v="ORD02449"/>
    <s v="2024-09-04"/>
    <x v="25"/>
    <x v="17"/>
    <x v="1"/>
    <s v="Power Bank"/>
    <n v="11"/>
    <n v="19041"/>
    <n v="0.2"/>
    <n v="167560.79999999999"/>
    <n v="29410.55"/>
    <x v="0"/>
    <x v="10"/>
    <x v="0"/>
  </r>
  <r>
    <s v="ORD02450"/>
    <s v="2023-10-11"/>
    <x v="45"/>
    <x v="13"/>
    <x v="2"/>
    <s v="Jacket"/>
    <n v="15"/>
    <n v="33169"/>
    <n v="0"/>
    <n v="497535"/>
    <n v="120863.62"/>
    <x v="0"/>
    <x v="0"/>
    <x v="1"/>
  </r>
  <r>
    <s v="ORD02451"/>
    <s v="2024-02-25"/>
    <x v="41"/>
    <x v="8"/>
    <x v="2"/>
    <s v="Sweater"/>
    <n v="12"/>
    <n v="39900"/>
    <n v="0.05"/>
    <n v="454860"/>
    <n v="51522.66"/>
    <x v="3"/>
    <x v="11"/>
    <x v="0"/>
  </r>
  <r>
    <s v="ORD02452"/>
    <s v="2023-05-30"/>
    <x v="1"/>
    <x v="16"/>
    <x v="3"/>
    <s v="Pen"/>
    <n v="4"/>
    <n v="56235"/>
    <n v="0"/>
    <n v="224940"/>
    <n v="52149.93"/>
    <x v="0"/>
    <x v="6"/>
    <x v="1"/>
  </r>
  <r>
    <s v="ORD02453"/>
    <s v="2024-06-28"/>
    <x v="32"/>
    <x v="3"/>
    <x v="3"/>
    <s v="Stapler"/>
    <n v="5"/>
    <n v="42246"/>
    <n v="0.15"/>
    <n v="179545.5"/>
    <n v="48644.54"/>
    <x v="0"/>
    <x v="5"/>
    <x v="0"/>
  </r>
  <r>
    <s v="ORD02454"/>
    <s v="2023-03-26"/>
    <x v="17"/>
    <x v="22"/>
    <x v="1"/>
    <s v="Camera"/>
    <n v="2"/>
    <n v="31679"/>
    <n v="0.1"/>
    <n v="57022.2"/>
    <n v="8960.41"/>
    <x v="2"/>
    <x v="7"/>
    <x v="1"/>
  </r>
  <r>
    <s v="ORD02455"/>
    <s v="2023-03-06"/>
    <x v="6"/>
    <x v="27"/>
    <x v="3"/>
    <s v="File"/>
    <n v="3"/>
    <n v="46224"/>
    <n v="0.15"/>
    <n v="117871.2"/>
    <n v="29130.63"/>
    <x v="1"/>
    <x v="7"/>
    <x v="1"/>
  </r>
  <r>
    <s v="ORD02456"/>
    <s v="2024-06-11"/>
    <x v="31"/>
    <x v="16"/>
    <x v="3"/>
    <s v="Pen"/>
    <n v="8"/>
    <n v="54455"/>
    <n v="0.1"/>
    <n v="392076"/>
    <n v="83599.3"/>
    <x v="1"/>
    <x v="5"/>
    <x v="0"/>
  </r>
  <r>
    <s v="ORD02457"/>
    <s v="2024-05-03"/>
    <x v="25"/>
    <x v="14"/>
    <x v="2"/>
    <s v="Dress"/>
    <n v="14"/>
    <n v="14031"/>
    <n v="0.2"/>
    <n v="157147.20000000001"/>
    <n v="21954.52"/>
    <x v="2"/>
    <x v="6"/>
    <x v="0"/>
  </r>
  <r>
    <s v="ORD02458"/>
    <s v="2023-06-01"/>
    <x v="43"/>
    <x v="23"/>
    <x v="0"/>
    <s v="Desk"/>
    <n v="13"/>
    <n v="59056"/>
    <n v="0"/>
    <n v="767728"/>
    <n v="95372.71"/>
    <x v="2"/>
    <x v="5"/>
    <x v="1"/>
  </r>
  <r>
    <s v="ORD02459"/>
    <s v="2024-07-07"/>
    <x v="0"/>
    <x v="17"/>
    <x v="1"/>
    <s v="Power Bank"/>
    <n v="5"/>
    <n v="52683"/>
    <n v="0"/>
    <n v="263415"/>
    <n v="53345.18"/>
    <x v="1"/>
    <x v="1"/>
    <x v="0"/>
  </r>
  <r>
    <s v="ORD02460"/>
    <s v="2023-09-25"/>
    <x v="11"/>
    <x v="27"/>
    <x v="3"/>
    <s v="File"/>
    <n v="10"/>
    <n v="50049"/>
    <n v="0.15"/>
    <n v="425416.5"/>
    <n v="120348.83"/>
    <x v="0"/>
    <x v="10"/>
    <x v="1"/>
  </r>
  <r>
    <s v="ORD02461"/>
    <s v="2024-02-07"/>
    <x v="21"/>
    <x v="8"/>
    <x v="2"/>
    <s v="Sweater"/>
    <n v="10"/>
    <n v="49517"/>
    <n v="0.15"/>
    <n v="420894.5"/>
    <n v="50914.59"/>
    <x v="0"/>
    <x v="11"/>
    <x v="0"/>
  </r>
  <r>
    <s v="ORD02462"/>
    <s v="2023-03-12"/>
    <x v="1"/>
    <x v="27"/>
    <x v="3"/>
    <s v="File"/>
    <n v="14"/>
    <n v="47011"/>
    <n v="0.2"/>
    <n v="526523.19999999995"/>
    <n v="111103.98"/>
    <x v="0"/>
    <x v="7"/>
    <x v="1"/>
  </r>
  <r>
    <s v="ORD02463"/>
    <s v="2024-01-05"/>
    <x v="33"/>
    <x v="3"/>
    <x v="3"/>
    <s v="Stapler"/>
    <n v="8"/>
    <n v="44218"/>
    <n v="0.2"/>
    <n v="282995.20000000001"/>
    <n v="64548.06"/>
    <x v="2"/>
    <x v="3"/>
    <x v="0"/>
  </r>
  <r>
    <s v="ORD02464"/>
    <s v="2023-11-08"/>
    <x v="44"/>
    <x v="27"/>
    <x v="3"/>
    <s v="File"/>
    <n v="2"/>
    <n v="46346"/>
    <n v="0"/>
    <n v="92692"/>
    <n v="27432.18"/>
    <x v="3"/>
    <x v="4"/>
    <x v="1"/>
  </r>
  <r>
    <s v="ORD02465"/>
    <s v="2023-02-04"/>
    <x v="18"/>
    <x v="12"/>
    <x v="1"/>
    <s v="Headphones"/>
    <n v="3"/>
    <n v="8675"/>
    <n v="0.15"/>
    <n v="22121.25"/>
    <n v="2027.11"/>
    <x v="0"/>
    <x v="11"/>
    <x v="1"/>
  </r>
  <r>
    <s v="ORD02466"/>
    <s v="2023-04-28"/>
    <x v="35"/>
    <x v="8"/>
    <x v="2"/>
    <s v="Sweater"/>
    <n v="10"/>
    <n v="51931"/>
    <n v="0"/>
    <n v="519310"/>
    <n v="130350.08"/>
    <x v="2"/>
    <x v="2"/>
    <x v="1"/>
  </r>
  <r>
    <s v="ORD02467"/>
    <s v="2024-05-27"/>
    <x v="19"/>
    <x v="18"/>
    <x v="0"/>
    <s v="Table"/>
    <n v="3"/>
    <n v="7815"/>
    <n v="0"/>
    <n v="23445"/>
    <n v="5301.99"/>
    <x v="2"/>
    <x v="6"/>
    <x v="0"/>
  </r>
  <r>
    <s v="ORD02468"/>
    <s v="2024-02-19"/>
    <x v="27"/>
    <x v="8"/>
    <x v="2"/>
    <s v="Sweater"/>
    <n v="7"/>
    <n v="59695"/>
    <n v="0"/>
    <n v="417865"/>
    <n v="119025.5"/>
    <x v="0"/>
    <x v="11"/>
    <x v="0"/>
  </r>
  <r>
    <s v="ORD02469"/>
    <s v="2023-04-08"/>
    <x v="36"/>
    <x v="6"/>
    <x v="2"/>
    <s v="Jeans"/>
    <n v="12"/>
    <n v="28123"/>
    <n v="0"/>
    <n v="337476"/>
    <n v="91916.84"/>
    <x v="2"/>
    <x v="2"/>
    <x v="1"/>
  </r>
  <r>
    <s v="ORD02470"/>
    <s v="2023-08-11"/>
    <x v="33"/>
    <x v="4"/>
    <x v="0"/>
    <s v="Stool"/>
    <n v="13"/>
    <n v="51787"/>
    <n v="0"/>
    <n v="673231"/>
    <n v="201345.48"/>
    <x v="0"/>
    <x v="8"/>
    <x v="1"/>
  </r>
  <r>
    <s v="ORD02471"/>
    <s v="2024-01-01"/>
    <x v="4"/>
    <x v="8"/>
    <x v="2"/>
    <s v="Sweater"/>
    <n v="3"/>
    <n v="3802"/>
    <n v="0"/>
    <n v="11406"/>
    <n v="1580.48"/>
    <x v="2"/>
    <x v="3"/>
    <x v="0"/>
  </r>
  <r>
    <s v="ORD02472"/>
    <s v="2024-10-19"/>
    <x v="8"/>
    <x v="18"/>
    <x v="0"/>
    <s v="Table"/>
    <n v="2"/>
    <n v="51038"/>
    <n v="0.05"/>
    <n v="96972.2"/>
    <n v="14117.62"/>
    <x v="2"/>
    <x v="0"/>
    <x v="0"/>
  </r>
  <r>
    <s v="ORD02473"/>
    <s v="2023-07-26"/>
    <x v="31"/>
    <x v="20"/>
    <x v="1"/>
    <s v="Tablet"/>
    <n v="3"/>
    <n v="22030"/>
    <n v="0"/>
    <n v="66090"/>
    <n v="12238.83"/>
    <x v="2"/>
    <x v="1"/>
    <x v="1"/>
  </r>
  <r>
    <s v="ORD02474"/>
    <s v="2024-01-30"/>
    <x v="16"/>
    <x v="5"/>
    <x v="0"/>
    <s v="Cupboard"/>
    <n v="10"/>
    <n v="58790"/>
    <n v="0.1"/>
    <n v="529110"/>
    <n v="96554.89"/>
    <x v="0"/>
    <x v="3"/>
    <x v="0"/>
  </r>
  <r>
    <s v="ORD02475"/>
    <s v="2023-02-23"/>
    <x v="21"/>
    <x v="2"/>
    <x v="2"/>
    <s v="Shoes"/>
    <n v="12"/>
    <n v="25269"/>
    <n v="0.15"/>
    <n v="257743.8"/>
    <n v="21372.92"/>
    <x v="3"/>
    <x v="11"/>
    <x v="1"/>
  </r>
  <r>
    <s v="ORD02476"/>
    <s v="2024-02-20"/>
    <x v="46"/>
    <x v="1"/>
    <x v="1"/>
    <s v="Mobile"/>
    <n v="5"/>
    <n v="46683"/>
    <n v="0.15"/>
    <n v="198402.75"/>
    <n v="22535.9"/>
    <x v="1"/>
    <x v="11"/>
    <x v="0"/>
  </r>
  <r>
    <s v="ORD02477"/>
    <s v="2023-02-06"/>
    <x v="3"/>
    <x v="2"/>
    <x v="2"/>
    <s v="Shoes"/>
    <n v="8"/>
    <n v="21824"/>
    <n v="0.1"/>
    <n v="157132.79999999999"/>
    <n v="29841.69"/>
    <x v="1"/>
    <x v="11"/>
    <x v="1"/>
  </r>
  <r>
    <s v="ORD02478"/>
    <s v="2023-01-23"/>
    <x v="37"/>
    <x v="21"/>
    <x v="1"/>
    <s v="Laptop"/>
    <n v="3"/>
    <n v="24388"/>
    <n v="0.15"/>
    <n v="62189.4"/>
    <n v="13647.57"/>
    <x v="0"/>
    <x v="3"/>
    <x v="1"/>
  </r>
  <r>
    <s v="ORD02479"/>
    <s v="2023-06-24"/>
    <x v="1"/>
    <x v="22"/>
    <x v="1"/>
    <s v="Camera"/>
    <n v="15"/>
    <n v="4824"/>
    <n v="0.2"/>
    <n v="57888"/>
    <n v="5973.34"/>
    <x v="0"/>
    <x v="5"/>
    <x v="1"/>
  </r>
  <r>
    <s v="ORD02480"/>
    <s v="2023-05-19"/>
    <x v="16"/>
    <x v="16"/>
    <x v="3"/>
    <s v="Pen"/>
    <n v="10"/>
    <n v="9625"/>
    <n v="0"/>
    <n v="96250"/>
    <n v="24810.03"/>
    <x v="2"/>
    <x v="6"/>
    <x v="1"/>
  </r>
  <r>
    <s v="ORD02481"/>
    <s v="2023-06-25"/>
    <x v="15"/>
    <x v="5"/>
    <x v="0"/>
    <s v="Cupboard"/>
    <n v="12"/>
    <n v="50455"/>
    <n v="0.05"/>
    <n v="575187"/>
    <n v="92896.12"/>
    <x v="3"/>
    <x v="5"/>
    <x v="1"/>
  </r>
  <r>
    <s v="ORD02482"/>
    <s v="2023-01-08"/>
    <x v="16"/>
    <x v="11"/>
    <x v="3"/>
    <s v="Printer"/>
    <n v="10"/>
    <n v="2984"/>
    <n v="0.05"/>
    <n v="28348"/>
    <n v="2437.9499999999998"/>
    <x v="0"/>
    <x v="3"/>
    <x v="1"/>
  </r>
  <r>
    <s v="ORD02483"/>
    <s v="2024-01-01"/>
    <x v="11"/>
    <x v="18"/>
    <x v="0"/>
    <s v="Table"/>
    <n v="14"/>
    <n v="24265"/>
    <n v="0.1"/>
    <n v="305739"/>
    <n v="24631.79"/>
    <x v="3"/>
    <x v="3"/>
    <x v="0"/>
  </r>
  <r>
    <s v="ORD02484"/>
    <s v="2023-08-02"/>
    <x v="45"/>
    <x v="9"/>
    <x v="1"/>
    <s v="Keyboard"/>
    <n v="3"/>
    <n v="58087"/>
    <n v="0.1"/>
    <n v="156834.9"/>
    <n v="15887.89"/>
    <x v="3"/>
    <x v="8"/>
    <x v="1"/>
  </r>
  <r>
    <s v="ORD02485"/>
    <s v="2023-03-14"/>
    <x v="9"/>
    <x v="7"/>
    <x v="0"/>
    <s v="Bed"/>
    <n v="9"/>
    <n v="25642"/>
    <n v="0.05"/>
    <n v="219239.1"/>
    <n v="24941.66"/>
    <x v="0"/>
    <x v="7"/>
    <x v="1"/>
  </r>
  <r>
    <s v="ORD02486"/>
    <s v="2023-06-28"/>
    <x v="3"/>
    <x v="22"/>
    <x v="1"/>
    <s v="Camera"/>
    <n v="5"/>
    <n v="50569"/>
    <n v="0.15"/>
    <n v="214918.25"/>
    <n v="64400.77"/>
    <x v="1"/>
    <x v="5"/>
    <x v="1"/>
  </r>
  <r>
    <s v="ORD02487"/>
    <s v="2024-04-18"/>
    <x v="19"/>
    <x v="7"/>
    <x v="0"/>
    <s v="Bed"/>
    <n v="5"/>
    <n v="18471"/>
    <n v="0"/>
    <n v="92355"/>
    <n v="8343.07"/>
    <x v="3"/>
    <x v="2"/>
    <x v="0"/>
  </r>
  <r>
    <s v="ORD02488"/>
    <s v="2024-06-18"/>
    <x v="16"/>
    <x v="1"/>
    <x v="1"/>
    <s v="Mobile"/>
    <n v="14"/>
    <n v="45164"/>
    <n v="0.2"/>
    <n v="505836.79999999999"/>
    <n v="67261.03"/>
    <x v="1"/>
    <x v="5"/>
    <x v="0"/>
  </r>
  <r>
    <s v="ORD02489"/>
    <s v="2023-05-26"/>
    <x v="4"/>
    <x v="26"/>
    <x v="3"/>
    <s v="Paper Ream"/>
    <n v="1"/>
    <n v="41624"/>
    <n v="0.2"/>
    <n v="33299.199999999997"/>
    <n v="9455.99"/>
    <x v="2"/>
    <x v="6"/>
    <x v="1"/>
  </r>
  <r>
    <s v="ORD02490"/>
    <s v="2023-06-07"/>
    <x v="28"/>
    <x v="6"/>
    <x v="2"/>
    <s v="Jeans"/>
    <n v="11"/>
    <n v="25403"/>
    <n v="0.2"/>
    <n v="223546.4"/>
    <n v="35334.400000000001"/>
    <x v="3"/>
    <x v="5"/>
    <x v="1"/>
  </r>
  <r>
    <s v="ORD02491"/>
    <s v="2023-03-04"/>
    <x v="31"/>
    <x v="12"/>
    <x v="1"/>
    <s v="Headphones"/>
    <n v="8"/>
    <n v="26402"/>
    <n v="0"/>
    <n v="211216"/>
    <n v="23714.92"/>
    <x v="3"/>
    <x v="7"/>
    <x v="1"/>
  </r>
  <r>
    <s v="ORD02492"/>
    <s v="2023-05-30"/>
    <x v="30"/>
    <x v="19"/>
    <x v="1"/>
    <s v="Smartwatch"/>
    <n v="13"/>
    <n v="7899"/>
    <n v="0.2"/>
    <n v="82149.600000000006"/>
    <n v="23003.68"/>
    <x v="2"/>
    <x v="6"/>
    <x v="1"/>
  </r>
  <r>
    <s v="ORD02493"/>
    <s v="2023-11-30"/>
    <x v="8"/>
    <x v="21"/>
    <x v="1"/>
    <s v="Laptop"/>
    <n v="3"/>
    <n v="39784"/>
    <n v="0"/>
    <n v="119352"/>
    <n v="18822.27"/>
    <x v="3"/>
    <x v="4"/>
    <x v="1"/>
  </r>
  <r>
    <s v="ORD02494"/>
    <s v="2023-03-01"/>
    <x v="42"/>
    <x v="2"/>
    <x v="2"/>
    <s v="Shoes"/>
    <n v="6"/>
    <n v="7538"/>
    <n v="0.15"/>
    <n v="38443.800000000003"/>
    <n v="4869.7299999999996"/>
    <x v="2"/>
    <x v="7"/>
    <x v="1"/>
  </r>
  <r>
    <s v="ORD02495"/>
    <s v="2023-11-19"/>
    <x v="18"/>
    <x v="11"/>
    <x v="3"/>
    <s v="Printer"/>
    <n v="11"/>
    <n v="49090"/>
    <n v="0.1"/>
    <n v="485991"/>
    <n v="61709.83"/>
    <x v="0"/>
    <x v="4"/>
    <x v="1"/>
  </r>
  <r>
    <s v="ORD02496"/>
    <s v="2024-02-27"/>
    <x v="48"/>
    <x v="26"/>
    <x v="3"/>
    <s v="Paper Ream"/>
    <n v="10"/>
    <n v="34289"/>
    <n v="0.15"/>
    <n v="291456.5"/>
    <n v="35850.57"/>
    <x v="2"/>
    <x v="11"/>
    <x v="0"/>
  </r>
  <r>
    <s v="ORD02497"/>
    <s v="2023-03-04"/>
    <x v="19"/>
    <x v="18"/>
    <x v="0"/>
    <s v="Table"/>
    <n v="11"/>
    <n v="54245"/>
    <n v="0.2"/>
    <n v="477356"/>
    <n v="58499.14"/>
    <x v="2"/>
    <x v="7"/>
    <x v="1"/>
  </r>
  <r>
    <s v="ORD02498"/>
    <s v="2023-02-28"/>
    <x v="11"/>
    <x v="3"/>
    <x v="3"/>
    <s v="Stapler"/>
    <n v="10"/>
    <n v="41971"/>
    <n v="0.1"/>
    <n v="377739"/>
    <n v="39921.75"/>
    <x v="0"/>
    <x v="11"/>
    <x v="1"/>
  </r>
  <r>
    <s v="ORD02499"/>
    <s v="2023-01-17"/>
    <x v="42"/>
    <x v="2"/>
    <x v="2"/>
    <s v="Shoes"/>
    <n v="4"/>
    <n v="42749"/>
    <n v="0.15"/>
    <n v="145346.6"/>
    <n v="27464.82"/>
    <x v="1"/>
    <x v="3"/>
    <x v="1"/>
  </r>
  <r>
    <s v="ORD02500"/>
    <s v="2024-05-25"/>
    <x v="26"/>
    <x v="8"/>
    <x v="2"/>
    <s v="Sweater"/>
    <n v="12"/>
    <n v="27818"/>
    <n v="0.1"/>
    <n v="300434.40000000002"/>
    <n v="60743.01"/>
    <x v="0"/>
    <x v="6"/>
    <x v="0"/>
  </r>
  <r>
    <s v="ORD02501"/>
    <s v="2024-08-06"/>
    <x v="16"/>
    <x v="23"/>
    <x v="0"/>
    <s v="Desk"/>
    <n v="1"/>
    <n v="41227"/>
    <n v="0.05"/>
    <n v="39165.65"/>
    <n v="10879.29"/>
    <x v="1"/>
    <x v="8"/>
    <x v="0"/>
  </r>
  <r>
    <s v="ORD02502"/>
    <s v="2023-05-27"/>
    <x v="25"/>
    <x v="3"/>
    <x v="3"/>
    <s v="Stapler"/>
    <n v="1"/>
    <n v="25462"/>
    <n v="0.2"/>
    <n v="20369.599999999999"/>
    <n v="4761.7"/>
    <x v="2"/>
    <x v="6"/>
    <x v="1"/>
  </r>
  <r>
    <s v="ORD02503"/>
    <s v="2023-05-12"/>
    <x v="26"/>
    <x v="24"/>
    <x v="2"/>
    <s v="T-Shirt"/>
    <n v="4"/>
    <n v="38404"/>
    <n v="0.1"/>
    <n v="138254.39999999999"/>
    <n v="16540.32"/>
    <x v="2"/>
    <x v="6"/>
    <x v="1"/>
  </r>
  <r>
    <s v="ORD02504"/>
    <s v="2023-10-14"/>
    <x v="17"/>
    <x v="10"/>
    <x v="3"/>
    <s v="Marker"/>
    <n v="13"/>
    <n v="50472"/>
    <n v="0.2"/>
    <n v="524908.80000000005"/>
    <n v="74420.56"/>
    <x v="0"/>
    <x v="0"/>
    <x v="1"/>
  </r>
  <r>
    <s v="ORD02505"/>
    <s v="2024-07-03"/>
    <x v="21"/>
    <x v="26"/>
    <x v="3"/>
    <s v="Paper Ream"/>
    <n v="8"/>
    <n v="3257"/>
    <n v="0.15"/>
    <n v="22147.599999999999"/>
    <n v="2315.5700000000002"/>
    <x v="0"/>
    <x v="1"/>
    <x v="0"/>
  </r>
  <r>
    <s v="ORD02506"/>
    <s v="2024-08-23"/>
    <x v="36"/>
    <x v="2"/>
    <x v="2"/>
    <s v="Shoes"/>
    <n v="15"/>
    <n v="16788"/>
    <n v="0.15"/>
    <n v="214047"/>
    <n v="35757.07"/>
    <x v="3"/>
    <x v="8"/>
    <x v="0"/>
  </r>
  <r>
    <s v="ORD02507"/>
    <s v="2023-12-02"/>
    <x v="46"/>
    <x v="20"/>
    <x v="1"/>
    <s v="Tablet"/>
    <n v="15"/>
    <n v="43496"/>
    <n v="0.15"/>
    <n v="554574"/>
    <n v="75541.86"/>
    <x v="3"/>
    <x v="9"/>
    <x v="1"/>
  </r>
  <r>
    <s v="ORD02508"/>
    <s v="2023-02-07"/>
    <x v="38"/>
    <x v="20"/>
    <x v="1"/>
    <s v="Tablet"/>
    <n v="8"/>
    <n v="22745"/>
    <n v="0.05"/>
    <n v="172862"/>
    <n v="23536.55"/>
    <x v="1"/>
    <x v="11"/>
    <x v="1"/>
  </r>
  <r>
    <s v="ORD02509"/>
    <s v="2024-04-23"/>
    <x v="11"/>
    <x v="14"/>
    <x v="2"/>
    <s v="Dress"/>
    <n v="15"/>
    <n v="36555"/>
    <n v="0"/>
    <n v="548325"/>
    <n v="98635.58"/>
    <x v="1"/>
    <x v="2"/>
    <x v="0"/>
  </r>
  <r>
    <s v="ORD02510"/>
    <s v="2023-06-17"/>
    <x v="14"/>
    <x v="1"/>
    <x v="1"/>
    <s v="Mobile"/>
    <n v="6"/>
    <n v="11729"/>
    <n v="0"/>
    <n v="70374"/>
    <n v="19904.41"/>
    <x v="3"/>
    <x v="5"/>
    <x v="1"/>
  </r>
  <r>
    <s v="ORD02511"/>
    <s v="2023-10-10"/>
    <x v="25"/>
    <x v="27"/>
    <x v="3"/>
    <s v="File"/>
    <n v="1"/>
    <n v="23447"/>
    <n v="0"/>
    <n v="23447"/>
    <n v="4600.47"/>
    <x v="1"/>
    <x v="0"/>
    <x v="1"/>
  </r>
  <r>
    <s v="ORD02512"/>
    <s v="2023-08-01"/>
    <x v="22"/>
    <x v="26"/>
    <x v="3"/>
    <s v="Paper Ream"/>
    <n v="8"/>
    <n v="50061"/>
    <n v="0.2"/>
    <n v="320390.40000000002"/>
    <n v="71202.820000000007"/>
    <x v="1"/>
    <x v="8"/>
    <x v="1"/>
  </r>
  <r>
    <s v="ORD02513"/>
    <s v="2024-02-16"/>
    <x v="2"/>
    <x v="6"/>
    <x v="2"/>
    <s v="Jeans"/>
    <n v="15"/>
    <n v="39354"/>
    <n v="0.05"/>
    <n v="560794.5"/>
    <n v="160809.01999999999"/>
    <x v="3"/>
    <x v="11"/>
    <x v="0"/>
  </r>
  <r>
    <s v="ORD02514"/>
    <s v="2023-08-15"/>
    <x v="3"/>
    <x v="20"/>
    <x v="1"/>
    <s v="Tablet"/>
    <n v="3"/>
    <n v="12267"/>
    <n v="0.05"/>
    <n v="34960.949999999997"/>
    <n v="5944.23"/>
    <x v="2"/>
    <x v="8"/>
    <x v="1"/>
  </r>
  <r>
    <s v="ORD02515"/>
    <s v="2023-11-29"/>
    <x v="32"/>
    <x v="3"/>
    <x v="3"/>
    <s v="Stapler"/>
    <n v="6"/>
    <n v="26477"/>
    <n v="0.05"/>
    <n v="150918.9"/>
    <n v="17100.490000000002"/>
    <x v="1"/>
    <x v="4"/>
    <x v="1"/>
  </r>
  <r>
    <s v="ORD02516"/>
    <s v="2024-07-04"/>
    <x v="36"/>
    <x v="11"/>
    <x v="3"/>
    <s v="Printer"/>
    <n v="5"/>
    <n v="3909"/>
    <n v="0.2"/>
    <n v="15636"/>
    <n v="4449.46"/>
    <x v="0"/>
    <x v="1"/>
    <x v="0"/>
  </r>
  <r>
    <s v="ORD02517"/>
    <s v="2024-04-20"/>
    <x v="13"/>
    <x v="1"/>
    <x v="1"/>
    <s v="Mobile"/>
    <n v="12"/>
    <n v="39916"/>
    <n v="0.15"/>
    <n v="407143.2"/>
    <n v="54335.16"/>
    <x v="2"/>
    <x v="2"/>
    <x v="0"/>
  </r>
  <r>
    <s v="ORD02518"/>
    <s v="2024-02-24"/>
    <x v="42"/>
    <x v="21"/>
    <x v="1"/>
    <s v="Laptop"/>
    <n v="10"/>
    <n v="30788"/>
    <n v="0.1"/>
    <n v="277092"/>
    <n v="63147.69"/>
    <x v="0"/>
    <x v="11"/>
    <x v="0"/>
  </r>
  <r>
    <s v="ORD02519"/>
    <s v="2024-11-12"/>
    <x v="44"/>
    <x v="14"/>
    <x v="2"/>
    <s v="Dress"/>
    <n v="15"/>
    <n v="23618"/>
    <n v="0"/>
    <n v="354270"/>
    <n v="57811.41"/>
    <x v="3"/>
    <x v="4"/>
    <x v="0"/>
  </r>
  <r>
    <s v="ORD02520"/>
    <s v="2023-10-18"/>
    <x v="37"/>
    <x v="16"/>
    <x v="3"/>
    <s v="Pen"/>
    <n v="14"/>
    <n v="16989"/>
    <n v="0.15"/>
    <n v="202169.1"/>
    <n v="59268.72"/>
    <x v="0"/>
    <x v="0"/>
    <x v="1"/>
  </r>
  <r>
    <s v="ORD02521"/>
    <s v="2024-02-23"/>
    <x v="35"/>
    <x v="18"/>
    <x v="0"/>
    <s v="Table"/>
    <n v="9"/>
    <n v="40360"/>
    <n v="0.15"/>
    <n v="308754"/>
    <n v="49833.43"/>
    <x v="1"/>
    <x v="11"/>
    <x v="0"/>
  </r>
  <r>
    <s v="ORD02522"/>
    <s v="2024-05-06"/>
    <x v="39"/>
    <x v="17"/>
    <x v="1"/>
    <s v="Power Bank"/>
    <n v="3"/>
    <n v="6576"/>
    <n v="0.05"/>
    <n v="18741.599999999999"/>
    <n v="1576.55"/>
    <x v="2"/>
    <x v="6"/>
    <x v="0"/>
  </r>
  <r>
    <s v="ORD02523"/>
    <s v="2024-09-18"/>
    <x v="21"/>
    <x v="26"/>
    <x v="3"/>
    <s v="Paper Ream"/>
    <n v="1"/>
    <n v="16190"/>
    <n v="0.1"/>
    <n v="14571"/>
    <n v="2902.53"/>
    <x v="3"/>
    <x v="10"/>
    <x v="0"/>
  </r>
  <r>
    <s v="ORD02524"/>
    <s v="2023-05-18"/>
    <x v="25"/>
    <x v="23"/>
    <x v="0"/>
    <s v="Desk"/>
    <n v="10"/>
    <n v="12587"/>
    <n v="0.15"/>
    <n v="106989.5"/>
    <n v="31078.35"/>
    <x v="2"/>
    <x v="6"/>
    <x v="1"/>
  </r>
  <r>
    <s v="ORD02525"/>
    <s v="2024-09-20"/>
    <x v="44"/>
    <x v="2"/>
    <x v="2"/>
    <s v="Shoes"/>
    <n v="8"/>
    <n v="23555"/>
    <n v="0.05"/>
    <n v="179018"/>
    <n v="45920.31"/>
    <x v="2"/>
    <x v="10"/>
    <x v="0"/>
  </r>
  <r>
    <s v="ORD02526"/>
    <s v="2023-06-23"/>
    <x v="22"/>
    <x v="1"/>
    <x v="1"/>
    <s v="Mobile"/>
    <n v="14"/>
    <n v="43797"/>
    <n v="0.05"/>
    <n v="582500.1"/>
    <n v="94341"/>
    <x v="1"/>
    <x v="5"/>
    <x v="1"/>
  </r>
  <r>
    <s v="ORD02527"/>
    <s v="2023-02-11"/>
    <x v="9"/>
    <x v="3"/>
    <x v="3"/>
    <s v="Stapler"/>
    <n v="4"/>
    <n v="3337"/>
    <n v="0"/>
    <n v="13348"/>
    <n v="3340.16"/>
    <x v="3"/>
    <x v="11"/>
    <x v="1"/>
  </r>
  <r>
    <s v="ORD02528"/>
    <s v="2023-07-27"/>
    <x v="43"/>
    <x v="3"/>
    <x v="3"/>
    <s v="Stapler"/>
    <n v="15"/>
    <n v="27428"/>
    <n v="0"/>
    <n v="411420"/>
    <n v="34179.160000000003"/>
    <x v="0"/>
    <x v="1"/>
    <x v="1"/>
  </r>
  <r>
    <s v="ORD02529"/>
    <s v="2024-07-19"/>
    <x v="19"/>
    <x v="7"/>
    <x v="0"/>
    <s v="Bed"/>
    <n v="6"/>
    <n v="57016"/>
    <n v="0"/>
    <n v="342096"/>
    <n v="94019.07"/>
    <x v="2"/>
    <x v="1"/>
    <x v="0"/>
  </r>
  <r>
    <s v="ORD02530"/>
    <s v="2024-05-31"/>
    <x v="25"/>
    <x v="4"/>
    <x v="0"/>
    <s v="Stool"/>
    <n v="2"/>
    <n v="34359"/>
    <n v="0"/>
    <n v="68718"/>
    <n v="9922.1299999999992"/>
    <x v="3"/>
    <x v="6"/>
    <x v="0"/>
  </r>
  <r>
    <s v="ORD02531"/>
    <s v="2023-05-27"/>
    <x v="16"/>
    <x v="27"/>
    <x v="3"/>
    <s v="File"/>
    <n v="4"/>
    <n v="59048"/>
    <n v="0.1"/>
    <n v="212572.79999999999"/>
    <n v="36011.1"/>
    <x v="3"/>
    <x v="6"/>
    <x v="1"/>
  </r>
  <r>
    <s v="ORD02532"/>
    <s v="2023-01-22"/>
    <x v="29"/>
    <x v="17"/>
    <x v="1"/>
    <s v="Power Bank"/>
    <n v="10"/>
    <n v="4428"/>
    <n v="0.2"/>
    <n v="35424"/>
    <n v="5977.85"/>
    <x v="0"/>
    <x v="3"/>
    <x v="1"/>
  </r>
  <r>
    <s v="ORD02533"/>
    <s v="2024-08-03"/>
    <x v="29"/>
    <x v="4"/>
    <x v="0"/>
    <s v="Stool"/>
    <n v="8"/>
    <n v="42848"/>
    <n v="0.1"/>
    <n v="308505.59999999998"/>
    <n v="52864.36"/>
    <x v="0"/>
    <x v="8"/>
    <x v="0"/>
  </r>
  <r>
    <s v="ORD02534"/>
    <s v="2024-02-02"/>
    <x v="27"/>
    <x v="5"/>
    <x v="0"/>
    <s v="Cupboard"/>
    <n v="6"/>
    <n v="31400"/>
    <n v="0"/>
    <n v="188400"/>
    <n v="43850.11"/>
    <x v="1"/>
    <x v="11"/>
    <x v="0"/>
  </r>
  <r>
    <s v="ORD02535"/>
    <s v="2023-03-24"/>
    <x v="40"/>
    <x v="5"/>
    <x v="0"/>
    <s v="Cupboard"/>
    <n v="8"/>
    <n v="58344"/>
    <n v="0.05"/>
    <n v="443414.4"/>
    <n v="52944.04"/>
    <x v="2"/>
    <x v="7"/>
    <x v="1"/>
  </r>
  <r>
    <s v="ORD02536"/>
    <s v="2024-08-24"/>
    <x v="23"/>
    <x v="21"/>
    <x v="1"/>
    <s v="Laptop"/>
    <n v="12"/>
    <n v="59963"/>
    <n v="0.05"/>
    <n v="683578.2"/>
    <n v="76688.83"/>
    <x v="1"/>
    <x v="8"/>
    <x v="0"/>
  </r>
  <r>
    <s v="ORD02537"/>
    <s v="2023-12-11"/>
    <x v="17"/>
    <x v="15"/>
    <x v="0"/>
    <s v="Sofa"/>
    <n v="15"/>
    <n v="27772"/>
    <n v="0.1"/>
    <n v="374922"/>
    <n v="92113.9"/>
    <x v="0"/>
    <x v="9"/>
    <x v="1"/>
  </r>
  <r>
    <s v="ORD02538"/>
    <s v="2023-02-04"/>
    <x v="5"/>
    <x v="8"/>
    <x v="2"/>
    <s v="Sweater"/>
    <n v="12"/>
    <n v="48529"/>
    <n v="0.1"/>
    <n v="524113.2"/>
    <n v="64003.9"/>
    <x v="0"/>
    <x v="11"/>
    <x v="1"/>
  </r>
  <r>
    <s v="ORD02539"/>
    <s v="2023-08-21"/>
    <x v="35"/>
    <x v="11"/>
    <x v="3"/>
    <s v="Printer"/>
    <n v="8"/>
    <n v="35664"/>
    <n v="0.2"/>
    <n v="228249.60000000001"/>
    <n v="47291.9"/>
    <x v="2"/>
    <x v="8"/>
    <x v="1"/>
  </r>
  <r>
    <s v="ORD02540"/>
    <s v="2023-01-15"/>
    <x v="29"/>
    <x v="7"/>
    <x v="0"/>
    <s v="Bed"/>
    <n v="5"/>
    <n v="10265"/>
    <n v="0.15"/>
    <n v="43626.25"/>
    <n v="6253.74"/>
    <x v="0"/>
    <x v="3"/>
    <x v="1"/>
  </r>
  <r>
    <s v="ORD02541"/>
    <s v="2024-10-04"/>
    <x v="35"/>
    <x v="21"/>
    <x v="1"/>
    <s v="Laptop"/>
    <n v="5"/>
    <n v="20043"/>
    <n v="0.15"/>
    <n v="85182.75"/>
    <n v="11335.71"/>
    <x v="0"/>
    <x v="0"/>
    <x v="0"/>
  </r>
  <r>
    <s v="ORD02542"/>
    <s v="2024-08-13"/>
    <x v="27"/>
    <x v="20"/>
    <x v="1"/>
    <s v="Tablet"/>
    <n v="5"/>
    <n v="22841"/>
    <n v="0.15"/>
    <n v="97074.25"/>
    <n v="21457.17"/>
    <x v="0"/>
    <x v="8"/>
    <x v="0"/>
  </r>
  <r>
    <s v="ORD02543"/>
    <s v="2024-02-21"/>
    <x v="42"/>
    <x v="22"/>
    <x v="1"/>
    <s v="Camera"/>
    <n v="12"/>
    <n v="32923"/>
    <n v="0"/>
    <n v="395076"/>
    <n v="58484.7"/>
    <x v="1"/>
    <x v="11"/>
    <x v="0"/>
  </r>
  <r>
    <s v="ORD02544"/>
    <s v="2023-09-17"/>
    <x v="23"/>
    <x v="4"/>
    <x v="0"/>
    <s v="Stool"/>
    <n v="6"/>
    <n v="19678"/>
    <n v="0.05"/>
    <n v="112164.6"/>
    <n v="24305.99"/>
    <x v="0"/>
    <x v="10"/>
    <x v="1"/>
  </r>
  <r>
    <s v="ORD02545"/>
    <s v="2024-05-22"/>
    <x v="17"/>
    <x v="10"/>
    <x v="3"/>
    <s v="Marker"/>
    <n v="4"/>
    <n v="42875"/>
    <n v="0"/>
    <n v="171500"/>
    <n v="40510.339999999997"/>
    <x v="3"/>
    <x v="6"/>
    <x v="0"/>
  </r>
  <r>
    <s v="ORD02546"/>
    <s v="2023-11-01"/>
    <x v="48"/>
    <x v="27"/>
    <x v="3"/>
    <s v="File"/>
    <n v="12"/>
    <n v="56438"/>
    <n v="0.1"/>
    <n v="609530.4"/>
    <n v="56787.57"/>
    <x v="3"/>
    <x v="4"/>
    <x v="1"/>
  </r>
  <r>
    <s v="ORD02547"/>
    <s v="2023-08-15"/>
    <x v="46"/>
    <x v="4"/>
    <x v="0"/>
    <s v="Stool"/>
    <n v="9"/>
    <n v="30275"/>
    <n v="0.15"/>
    <n v="231603.75"/>
    <n v="59458.61"/>
    <x v="2"/>
    <x v="8"/>
    <x v="1"/>
  </r>
  <r>
    <s v="ORD02548"/>
    <s v="2024-09-18"/>
    <x v="6"/>
    <x v="27"/>
    <x v="3"/>
    <s v="File"/>
    <n v="4"/>
    <n v="47863"/>
    <n v="0.2"/>
    <n v="153161.60000000001"/>
    <n v="22867.23"/>
    <x v="0"/>
    <x v="10"/>
    <x v="0"/>
  </r>
  <r>
    <s v="ORD02549"/>
    <s v="2023-11-28"/>
    <x v="47"/>
    <x v="7"/>
    <x v="0"/>
    <s v="Bed"/>
    <n v="7"/>
    <n v="1449"/>
    <n v="0.2"/>
    <n v="8114.4"/>
    <n v="1579.97"/>
    <x v="2"/>
    <x v="4"/>
    <x v="1"/>
  </r>
  <r>
    <s v="ORD02550"/>
    <s v="2023-10-23"/>
    <x v="27"/>
    <x v="2"/>
    <x v="2"/>
    <s v="Shoes"/>
    <n v="4"/>
    <n v="12780"/>
    <n v="0.15"/>
    <n v="43452"/>
    <n v="11332.65"/>
    <x v="0"/>
    <x v="0"/>
    <x v="1"/>
  </r>
  <r>
    <s v="ORD02551"/>
    <s v="2024-08-11"/>
    <x v="32"/>
    <x v="18"/>
    <x v="0"/>
    <s v="Table"/>
    <n v="11"/>
    <n v="23841"/>
    <n v="0.2"/>
    <n v="209800.8"/>
    <n v="25997.62"/>
    <x v="1"/>
    <x v="8"/>
    <x v="0"/>
  </r>
  <r>
    <s v="ORD02552"/>
    <s v="2024-10-09"/>
    <x v="36"/>
    <x v="9"/>
    <x v="1"/>
    <s v="Keyboard"/>
    <n v="4"/>
    <n v="40716"/>
    <n v="0.1"/>
    <n v="146577.60000000001"/>
    <n v="32875.96"/>
    <x v="3"/>
    <x v="0"/>
    <x v="0"/>
  </r>
  <r>
    <s v="ORD02553"/>
    <s v="2023-12-02"/>
    <x v="27"/>
    <x v="27"/>
    <x v="3"/>
    <s v="File"/>
    <n v="8"/>
    <n v="21071"/>
    <n v="0.2"/>
    <n v="134854.39999999999"/>
    <n v="36796.769999999997"/>
    <x v="1"/>
    <x v="9"/>
    <x v="1"/>
  </r>
  <r>
    <s v="ORD02554"/>
    <s v="2023-01-01"/>
    <x v="27"/>
    <x v="15"/>
    <x v="0"/>
    <s v="Sofa"/>
    <n v="5"/>
    <n v="42523"/>
    <n v="0.05"/>
    <n v="201984.25"/>
    <n v="25736.04"/>
    <x v="1"/>
    <x v="3"/>
    <x v="1"/>
  </r>
  <r>
    <s v="ORD02555"/>
    <s v="2024-05-07"/>
    <x v="44"/>
    <x v="12"/>
    <x v="1"/>
    <s v="Headphones"/>
    <n v="7"/>
    <n v="26458"/>
    <n v="0"/>
    <n v="185206"/>
    <n v="40997.49"/>
    <x v="0"/>
    <x v="6"/>
    <x v="0"/>
  </r>
  <r>
    <s v="ORD02556"/>
    <s v="2023-02-21"/>
    <x v="27"/>
    <x v="9"/>
    <x v="1"/>
    <s v="Keyboard"/>
    <n v="6"/>
    <n v="49022"/>
    <n v="0"/>
    <n v="294132"/>
    <n v="43351.12"/>
    <x v="2"/>
    <x v="11"/>
    <x v="1"/>
  </r>
  <r>
    <s v="ORD02557"/>
    <s v="2024-09-13"/>
    <x v="16"/>
    <x v="11"/>
    <x v="3"/>
    <s v="Printer"/>
    <n v="5"/>
    <n v="12442"/>
    <n v="0.05"/>
    <n v="59099.5"/>
    <n v="7693.59"/>
    <x v="2"/>
    <x v="10"/>
    <x v="0"/>
  </r>
  <r>
    <s v="ORD02558"/>
    <s v="2023-12-24"/>
    <x v="0"/>
    <x v="16"/>
    <x v="3"/>
    <s v="Pen"/>
    <n v="6"/>
    <n v="51383"/>
    <n v="0"/>
    <n v="308298"/>
    <n v="71350.73"/>
    <x v="0"/>
    <x v="9"/>
    <x v="1"/>
  </r>
  <r>
    <s v="ORD02559"/>
    <s v="2023-12-05"/>
    <x v="47"/>
    <x v="26"/>
    <x v="3"/>
    <s v="Paper Ream"/>
    <n v="3"/>
    <n v="33284"/>
    <n v="0.15"/>
    <n v="84874.2"/>
    <n v="22807.06"/>
    <x v="1"/>
    <x v="9"/>
    <x v="1"/>
  </r>
  <r>
    <s v="ORD02560"/>
    <s v="2023-04-27"/>
    <x v="29"/>
    <x v="10"/>
    <x v="3"/>
    <s v="Marker"/>
    <n v="5"/>
    <n v="59532"/>
    <n v="0.1"/>
    <n v="267894"/>
    <n v="56664.12"/>
    <x v="1"/>
    <x v="2"/>
    <x v="1"/>
  </r>
  <r>
    <s v="ORD02561"/>
    <s v="2024-01-06"/>
    <x v="36"/>
    <x v="13"/>
    <x v="2"/>
    <s v="Jacket"/>
    <n v="12"/>
    <n v="55907"/>
    <n v="0.1"/>
    <n v="603795.6"/>
    <n v="132225.79999999999"/>
    <x v="3"/>
    <x v="3"/>
    <x v="0"/>
  </r>
  <r>
    <s v="ORD02562"/>
    <s v="2023-11-30"/>
    <x v="39"/>
    <x v="11"/>
    <x v="3"/>
    <s v="Printer"/>
    <n v="12"/>
    <n v="32863"/>
    <n v="0.1"/>
    <n v="354920.4"/>
    <n v="94150.66"/>
    <x v="2"/>
    <x v="4"/>
    <x v="1"/>
  </r>
  <r>
    <s v="ORD02563"/>
    <s v="2023-02-28"/>
    <x v="23"/>
    <x v="6"/>
    <x v="2"/>
    <s v="Jeans"/>
    <n v="14"/>
    <n v="54138"/>
    <n v="0.1"/>
    <n v="682138.8"/>
    <n v="193028.11"/>
    <x v="1"/>
    <x v="11"/>
    <x v="1"/>
  </r>
  <r>
    <s v="ORD02564"/>
    <s v="2024-07-14"/>
    <x v="43"/>
    <x v="20"/>
    <x v="1"/>
    <s v="Tablet"/>
    <n v="1"/>
    <n v="43750"/>
    <n v="0"/>
    <n v="43750"/>
    <n v="6182.02"/>
    <x v="0"/>
    <x v="1"/>
    <x v="0"/>
  </r>
  <r>
    <s v="ORD02565"/>
    <s v="2024-03-29"/>
    <x v="39"/>
    <x v="13"/>
    <x v="2"/>
    <s v="Jacket"/>
    <n v="5"/>
    <n v="56061"/>
    <n v="0.15"/>
    <n v="238259.25"/>
    <n v="47651.29"/>
    <x v="1"/>
    <x v="7"/>
    <x v="0"/>
  </r>
  <r>
    <s v="ORD02566"/>
    <s v="2024-08-24"/>
    <x v="44"/>
    <x v="20"/>
    <x v="1"/>
    <s v="Tablet"/>
    <n v="7"/>
    <n v="39381"/>
    <n v="0.05"/>
    <n v="261883.65"/>
    <n v="26912.52"/>
    <x v="0"/>
    <x v="8"/>
    <x v="0"/>
  </r>
  <r>
    <s v="ORD02567"/>
    <s v="2024-10-08"/>
    <x v="22"/>
    <x v="6"/>
    <x v="2"/>
    <s v="Jeans"/>
    <n v="9"/>
    <n v="4611"/>
    <n v="0.05"/>
    <n v="39424.050000000003"/>
    <n v="3613.29"/>
    <x v="3"/>
    <x v="0"/>
    <x v="0"/>
  </r>
  <r>
    <s v="ORD02568"/>
    <s v="2023-09-20"/>
    <x v="48"/>
    <x v="27"/>
    <x v="3"/>
    <s v="File"/>
    <n v="7"/>
    <n v="58066"/>
    <n v="0.2"/>
    <n v="325169.59999999998"/>
    <n v="35692.75"/>
    <x v="1"/>
    <x v="10"/>
    <x v="1"/>
  </r>
  <r>
    <s v="ORD02569"/>
    <s v="2023-08-12"/>
    <x v="39"/>
    <x v="4"/>
    <x v="0"/>
    <s v="Stool"/>
    <n v="4"/>
    <n v="54224"/>
    <n v="0.2"/>
    <n v="173516.79999999999"/>
    <n v="46946.37"/>
    <x v="1"/>
    <x v="8"/>
    <x v="1"/>
  </r>
  <r>
    <s v="ORD02570"/>
    <s v="2023-04-28"/>
    <x v="15"/>
    <x v="4"/>
    <x v="0"/>
    <s v="Stool"/>
    <n v="1"/>
    <n v="38826"/>
    <n v="0.05"/>
    <n v="36884.699999999997"/>
    <n v="6683.72"/>
    <x v="0"/>
    <x v="2"/>
    <x v="1"/>
  </r>
  <r>
    <s v="ORD02571"/>
    <s v="2023-07-23"/>
    <x v="0"/>
    <x v="18"/>
    <x v="0"/>
    <s v="Table"/>
    <n v="10"/>
    <n v="44543"/>
    <n v="0.05"/>
    <n v="423158.5"/>
    <n v="118798.66"/>
    <x v="3"/>
    <x v="1"/>
    <x v="1"/>
  </r>
  <r>
    <s v="ORD02572"/>
    <s v="2024-10-11"/>
    <x v="33"/>
    <x v="24"/>
    <x v="2"/>
    <s v="T-Shirt"/>
    <n v="5"/>
    <n v="52787"/>
    <n v="0.05"/>
    <n v="250738.25"/>
    <n v="60456.11"/>
    <x v="1"/>
    <x v="0"/>
    <x v="0"/>
  </r>
  <r>
    <s v="ORD02573"/>
    <s v="2023-07-08"/>
    <x v="15"/>
    <x v="10"/>
    <x v="3"/>
    <s v="Marker"/>
    <n v="13"/>
    <n v="58336"/>
    <n v="0.15"/>
    <n v="644612.80000000005"/>
    <n v="173279.46"/>
    <x v="3"/>
    <x v="1"/>
    <x v="1"/>
  </r>
  <r>
    <s v="ORD02574"/>
    <s v="2024-01-22"/>
    <x v="42"/>
    <x v="22"/>
    <x v="1"/>
    <s v="Camera"/>
    <n v="1"/>
    <n v="40329"/>
    <n v="0.15"/>
    <n v="34279.65"/>
    <n v="4817.8900000000003"/>
    <x v="0"/>
    <x v="3"/>
    <x v="0"/>
  </r>
  <r>
    <s v="ORD02575"/>
    <s v="2024-05-20"/>
    <x v="48"/>
    <x v="6"/>
    <x v="2"/>
    <s v="Jeans"/>
    <n v="4"/>
    <n v="53294"/>
    <n v="0.05"/>
    <n v="202517.2"/>
    <n v="60210.27"/>
    <x v="0"/>
    <x v="6"/>
    <x v="0"/>
  </r>
  <r>
    <s v="ORD02576"/>
    <s v="2024-11-15"/>
    <x v="20"/>
    <x v="6"/>
    <x v="2"/>
    <s v="Jeans"/>
    <n v="8"/>
    <n v="9969"/>
    <n v="0.2"/>
    <n v="63801.599999999999"/>
    <n v="12560.32"/>
    <x v="2"/>
    <x v="4"/>
    <x v="0"/>
  </r>
  <r>
    <s v="ORD02577"/>
    <s v="2023-04-20"/>
    <x v="3"/>
    <x v="27"/>
    <x v="3"/>
    <s v="File"/>
    <n v="12"/>
    <n v="54368"/>
    <n v="0.1"/>
    <n v="587174.40000000002"/>
    <n v="102384.11"/>
    <x v="2"/>
    <x v="2"/>
    <x v="1"/>
  </r>
  <r>
    <s v="ORD02578"/>
    <s v="2024-03-31"/>
    <x v="42"/>
    <x v="2"/>
    <x v="2"/>
    <s v="Shoes"/>
    <n v="9"/>
    <n v="39990"/>
    <n v="0.15"/>
    <n v="305923.5"/>
    <n v="27209.439999999999"/>
    <x v="3"/>
    <x v="7"/>
    <x v="0"/>
  </r>
  <r>
    <s v="ORD02579"/>
    <s v="2024-01-15"/>
    <x v="11"/>
    <x v="9"/>
    <x v="1"/>
    <s v="Keyboard"/>
    <n v="13"/>
    <n v="37076"/>
    <n v="0.2"/>
    <n v="385590.4"/>
    <n v="75149.77"/>
    <x v="2"/>
    <x v="3"/>
    <x v="0"/>
  </r>
  <r>
    <s v="ORD02580"/>
    <s v="2023-09-24"/>
    <x v="43"/>
    <x v="24"/>
    <x v="2"/>
    <s v="T-Shirt"/>
    <n v="5"/>
    <n v="15741"/>
    <n v="0"/>
    <n v="78705"/>
    <n v="22701.58"/>
    <x v="0"/>
    <x v="10"/>
    <x v="1"/>
  </r>
  <r>
    <s v="ORD02581"/>
    <s v="2023-07-31"/>
    <x v="44"/>
    <x v="9"/>
    <x v="1"/>
    <s v="Keyboard"/>
    <n v="4"/>
    <n v="57926"/>
    <n v="0.1"/>
    <n v="208533.6"/>
    <n v="41247.96"/>
    <x v="0"/>
    <x v="1"/>
    <x v="1"/>
  </r>
  <r>
    <s v="ORD02582"/>
    <s v="2023-01-07"/>
    <x v="34"/>
    <x v="15"/>
    <x v="0"/>
    <s v="Sofa"/>
    <n v="11"/>
    <n v="3309"/>
    <n v="0.1"/>
    <n v="32759.1"/>
    <n v="9298.76"/>
    <x v="3"/>
    <x v="3"/>
    <x v="1"/>
  </r>
  <r>
    <s v="ORD02583"/>
    <s v="2023-10-08"/>
    <x v="48"/>
    <x v="0"/>
    <x v="0"/>
    <s v="Chair"/>
    <n v="10"/>
    <n v="15577"/>
    <n v="0"/>
    <n v="155770"/>
    <n v="12706.94"/>
    <x v="0"/>
    <x v="0"/>
    <x v="1"/>
  </r>
  <r>
    <s v="ORD02584"/>
    <s v="2023-07-03"/>
    <x v="43"/>
    <x v="7"/>
    <x v="0"/>
    <s v="Bed"/>
    <n v="6"/>
    <n v="13463"/>
    <n v="0.2"/>
    <n v="64622.400000000001"/>
    <n v="5215.41"/>
    <x v="3"/>
    <x v="1"/>
    <x v="1"/>
  </r>
  <r>
    <s v="ORD02585"/>
    <s v="2024-11-02"/>
    <x v="14"/>
    <x v="15"/>
    <x v="0"/>
    <s v="Sofa"/>
    <n v="8"/>
    <n v="3016"/>
    <n v="0.05"/>
    <n v="22921.599999999999"/>
    <n v="5869.13"/>
    <x v="3"/>
    <x v="4"/>
    <x v="0"/>
  </r>
  <r>
    <s v="ORD02586"/>
    <s v="2024-10-18"/>
    <x v="35"/>
    <x v="17"/>
    <x v="1"/>
    <s v="Power Bank"/>
    <n v="14"/>
    <n v="44238"/>
    <n v="0"/>
    <n v="619332"/>
    <n v="107261.45"/>
    <x v="3"/>
    <x v="0"/>
    <x v="0"/>
  </r>
  <r>
    <s v="ORD02587"/>
    <s v="2024-11-28"/>
    <x v="48"/>
    <x v="24"/>
    <x v="2"/>
    <s v="T-Shirt"/>
    <n v="12"/>
    <n v="11677"/>
    <n v="0.05"/>
    <n v="133117.79999999999"/>
    <n v="30593.53"/>
    <x v="2"/>
    <x v="4"/>
    <x v="0"/>
  </r>
  <r>
    <s v="ORD02588"/>
    <s v="2023-06-14"/>
    <x v="48"/>
    <x v="19"/>
    <x v="1"/>
    <s v="Smartwatch"/>
    <n v="15"/>
    <n v="56027"/>
    <n v="0.05"/>
    <n v="798384.75"/>
    <n v="104586.01"/>
    <x v="2"/>
    <x v="5"/>
    <x v="1"/>
  </r>
  <r>
    <s v="ORD02589"/>
    <s v="2024-07-20"/>
    <x v="8"/>
    <x v="20"/>
    <x v="1"/>
    <s v="Tablet"/>
    <n v="10"/>
    <n v="57550"/>
    <n v="0.1"/>
    <n v="517950"/>
    <n v="41643.58"/>
    <x v="2"/>
    <x v="1"/>
    <x v="0"/>
  </r>
  <r>
    <s v="ORD02590"/>
    <s v="2024-09-13"/>
    <x v="9"/>
    <x v="14"/>
    <x v="2"/>
    <s v="Dress"/>
    <n v="8"/>
    <n v="21428"/>
    <n v="0.05"/>
    <n v="162852.79999999999"/>
    <n v="25918.3"/>
    <x v="0"/>
    <x v="10"/>
    <x v="0"/>
  </r>
  <r>
    <s v="ORD02591"/>
    <s v="2023-10-10"/>
    <x v="27"/>
    <x v="2"/>
    <x v="2"/>
    <s v="Shoes"/>
    <n v="4"/>
    <n v="29284"/>
    <n v="0.05"/>
    <n v="111279.2"/>
    <n v="14825.35"/>
    <x v="2"/>
    <x v="0"/>
    <x v="1"/>
  </r>
  <r>
    <s v="ORD02592"/>
    <s v="2024-09-10"/>
    <x v="7"/>
    <x v="16"/>
    <x v="3"/>
    <s v="Pen"/>
    <n v="7"/>
    <n v="13797"/>
    <n v="0.15"/>
    <n v="82092.149999999994"/>
    <n v="20664.71"/>
    <x v="2"/>
    <x v="10"/>
    <x v="0"/>
  </r>
  <r>
    <s v="ORD02593"/>
    <s v="2023-08-16"/>
    <x v="32"/>
    <x v="8"/>
    <x v="2"/>
    <s v="Sweater"/>
    <n v="5"/>
    <n v="24960"/>
    <n v="0.2"/>
    <n v="99840"/>
    <n v="24889.23"/>
    <x v="2"/>
    <x v="8"/>
    <x v="1"/>
  </r>
  <r>
    <s v="ORD02594"/>
    <s v="2024-04-01"/>
    <x v="0"/>
    <x v="3"/>
    <x v="3"/>
    <s v="Stapler"/>
    <n v="1"/>
    <n v="6680"/>
    <n v="0.15"/>
    <n v="5678"/>
    <n v="1050.58"/>
    <x v="0"/>
    <x v="2"/>
    <x v="0"/>
  </r>
  <r>
    <s v="ORD02595"/>
    <s v="2023-01-04"/>
    <x v="4"/>
    <x v="20"/>
    <x v="1"/>
    <s v="Tablet"/>
    <n v="1"/>
    <n v="33680"/>
    <n v="0.05"/>
    <n v="31996"/>
    <n v="3579.79"/>
    <x v="0"/>
    <x v="3"/>
    <x v="1"/>
  </r>
  <r>
    <s v="ORD02596"/>
    <s v="2023-05-03"/>
    <x v="9"/>
    <x v="25"/>
    <x v="3"/>
    <s v="Notebook"/>
    <n v="6"/>
    <n v="11866"/>
    <n v="0.1"/>
    <n v="64076.4"/>
    <n v="17300.25"/>
    <x v="2"/>
    <x v="6"/>
    <x v="1"/>
  </r>
  <r>
    <s v="ORD02597"/>
    <s v="2024-03-25"/>
    <x v="5"/>
    <x v="15"/>
    <x v="0"/>
    <s v="Sofa"/>
    <n v="2"/>
    <n v="14742"/>
    <n v="0.05"/>
    <n v="28009.8"/>
    <n v="2871.56"/>
    <x v="3"/>
    <x v="7"/>
    <x v="0"/>
  </r>
  <r>
    <s v="ORD02598"/>
    <s v="2023-03-12"/>
    <x v="12"/>
    <x v="3"/>
    <x v="3"/>
    <s v="Stapler"/>
    <n v="5"/>
    <n v="20262"/>
    <n v="0.15"/>
    <n v="86113.5"/>
    <n v="23349.59"/>
    <x v="1"/>
    <x v="7"/>
    <x v="1"/>
  </r>
  <r>
    <s v="ORD02599"/>
    <s v="2024-05-10"/>
    <x v="39"/>
    <x v="6"/>
    <x v="2"/>
    <s v="Jeans"/>
    <n v="4"/>
    <n v="2521"/>
    <n v="0"/>
    <n v="10084"/>
    <n v="2508.4299999999998"/>
    <x v="3"/>
    <x v="6"/>
    <x v="0"/>
  </r>
  <r>
    <s v="ORD02600"/>
    <s v="2024-06-25"/>
    <x v="21"/>
    <x v="18"/>
    <x v="0"/>
    <s v="Table"/>
    <n v="2"/>
    <n v="3634"/>
    <n v="0.05"/>
    <n v="6904.6"/>
    <n v="813.23"/>
    <x v="1"/>
    <x v="5"/>
    <x v="0"/>
  </r>
  <r>
    <s v="ORD02601"/>
    <s v="2024-06-22"/>
    <x v="9"/>
    <x v="19"/>
    <x v="1"/>
    <s v="Smartwatch"/>
    <n v="15"/>
    <n v="7041"/>
    <n v="0.05"/>
    <n v="100334.25"/>
    <n v="18954.900000000001"/>
    <x v="3"/>
    <x v="5"/>
    <x v="0"/>
  </r>
  <r>
    <s v="ORD02602"/>
    <s v="2023-08-06"/>
    <x v="38"/>
    <x v="22"/>
    <x v="1"/>
    <s v="Camera"/>
    <n v="4"/>
    <n v="34257"/>
    <n v="0.15"/>
    <n v="116473.8"/>
    <n v="20235.98"/>
    <x v="2"/>
    <x v="8"/>
    <x v="1"/>
  </r>
  <r>
    <s v="ORD02603"/>
    <s v="2024-02-12"/>
    <x v="30"/>
    <x v="13"/>
    <x v="2"/>
    <s v="Jacket"/>
    <n v="14"/>
    <n v="55129"/>
    <n v="0"/>
    <n v="771806"/>
    <n v="224523.94"/>
    <x v="0"/>
    <x v="11"/>
    <x v="0"/>
  </r>
  <r>
    <s v="ORD02604"/>
    <s v="2023-12-19"/>
    <x v="47"/>
    <x v="3"/>
    <x v="3"/>
    <s v="Stapler"/>
    <n v="9"/>
    <n v="41019"/>
    <n v="0"/>
    <n v="369171"/>
    <n v="69126.820000000007"/>
    <x v="3"/>
    <x v="9"/>
    <x v="1"/>
  </r>
  <r>
    <s v="ORD02605"/>
    <s v="2024-09-23"/>
    <x v="6"/>
    <x v="26"/>
    <x v="3"/>
    <s v="Paper Ream"/>
    <n v="15"/>
    <n v="39578"/>
    <n v="0.15"/>
    <n v="504619.5"/>
    <n v="45700.1"/>
    <x v="0"/>
    <x v="10"/>
    <x v="0"/>
  </r>
  <r>
    <s v="ORD02606"/>
    <s v="2024-06-15"/>
    <x v="35"/>
    <x v="6"/>
    <x v="2"/>
    <s v="Jeans"/>
    <n v="9"/>
    <n v="51584"/>
    <n v="0"/>
    <n v="464256"/>
    <n v="112122.58"/>
    <x v="0"/>
    <x v="5"/>
    <x v="0"/>
  </r>
  <r>
    <s v="ORD02607"/>
    <s v="2023-05-21"/>
    <x v="39"/>
    <x v="17"/>
    <x v="1"/>
    <s v="Power Bank"/>
    <n v="1"/>
    <n v="1965"/>
    <n v="0.1"/>
    <n v="1768.5"/>
    <n v="397.24"/>
    <x v="1"/>
    <x v="6"/>
    <x v="1"/>
  </r>
  <r>
    <s v="ORD02608"/>
    <s v="2023-02-27"/>
    <x v="10"/>
    <x v="4"/>
    <x v="0"/>
    <s v="Stool"/>
    <n v="13"/>
    <n v="41312"/>
    <n v="0.05"/>
    <n v="510203.2"/>
    <n v="128445.07"/>
    <x v="2"/>
    <x v="11"/>
    <x v="1"/>
  </r>
  <r>
    <s v="ORD02609"/>
    <s v="2024-07-13"/>
    <x v="24"/>
    <x v="19"/>
    <x v="1"/>
    <s v="Smartwatch"/>
    <n v="5"/>
    <n v="4271"/>
    <n v="0.2"/>
    <n v="17084"/>
    <n v="4324.92"/>
    <x v="2"/>
    <x v="1"/>
    <x v="0"/>
  </r>
  <r>
    <s v="ORD02610"/>
    <s v="2023-10-24"/>
    <x v="23"/>
    <x v="11"/>
    <x v="3"/>
    <s v="Printer"/>
    <n v="15"/>
    <n v="28477"/>
    <n v="0"/>
    <n v="427155"/>
    <n v="108399.44"/>
    <x v="2"/>
    <x v="0"/>
    <x v="1"/>
  </r>
  <r>
    <s v="ORD02611"/>
    <s v="2023-05-09"/>
    <x v="25"/>
    <x v="6"/>
    <x v="2"/>
    <s v="Jeans"/>
    <n v="1"/>
    <n v="25464"/>
    <n v="0.2"/>
    <n v="20371.2"/>
    <n v="2782.74"/>
    <x v="2"/>
    <x v="6"/>
    <x v="1"/>
  </r>
  <r>
    <s v="ORD02612"/>
    <s v="2024-04-28"/>
    <x v="18"/>
    <x v="21"/>
    <x v="1"/>
    <s v="Laptop"/>
    <n v="11"/>
    <n v="14895"/>
    <n v="0.2"/>
    <n v="131076"/>
    <n v="33512.83"/>
    <x v="1"/>
    <x v="2"/>
    <x v="0"/>
  </r>
  <r>
    <s v="ORD02613"/>
    <s v="2024-04-25"/>
    <x v="13"/>
    <x v="17"/>
    <x v="1"/>
    <s v="Power Bank"/>
    <n v="15"/>
    <n v="53621"/>
    <n v="0.15"/>
    <n v="683667.75"/>
    <n v="155402.91"/>
    <x v="0"/>
    <x v="2"/>
    <x v="0"/>
  </r>
  <r>
    <s v="ORD02614"/>
    <s v="2023-06-28"/>
    <x v="32"/>
    <x v="17"/>
    <x v="1"/>
    <s v="Power Bank"/>
    <n v="3"/>
    <n v="9108"/>
    <n v="0.2"/>
    <n v="21859.200000000001"/>
    <n v="5524.27"/>
    <x v="0"/>
    <x v="5"/>
    <x v="1"/>
  </r>
  <r>
    <s v="ORD02615"/>
    <s v="2024-11-09"/>
    <x v="42"/>
    <x v="22"/>
    <x v="1"/>
    <s v="Camera"/>
    <n v="13"/>
    <n v="48929"/>
    <n v="0"/>
    <n v="636077"/>
    <n v="62496.67"/>
    <x v="0"/>
    <x v="4"/>
    <x v="0"/>
  </r>
  <r>
    <s v="ORD02616"/>
    <s v="2024-11-09"/>
    <x v="6"/>
    <x v="4"/>
    <x v="0"/>
    <s v="Stool"/>
    <n v="7"/>
    <n v="603"/>
    <n v="0.2"/>
    <n v="3376.8"/>
    <n v="878.17"/>
    <x v="2"/>
    <x v="4"/>
    <x v="0"/>
  </r>
  <r>
    <s v="ORD02617"/>
    <s v="2023-02-18"/>
    <x v="13"/>
    <x v="3"/>
    <x v="3"/>
    <s v="Stapler"/>
    <n v="8"/>
    <n v="22029"/>
    <n v="0.2"/>
    <n v="140985.60000000001"/>
    <n v="19657.310000000001"/>
    <x v="3"/>
    <x v="11"/>
    <x v="1"/>
  </r>
  <r>
    <s v="ORD02618"/>
    <s v="2024-02-29"/>
    <x v="42"/>
    <x v="10"/>
    <x v="3"/>
    <s v="Marker"/>
    <n v="14"/>
    <n v="52740"/>
    <n v="0.15"/>
    <n v="627606"/>
    <n v="143062.82"/>
    <x v="2"/>
    <x v="11"/>
    <x v="0"/>
  </r>
  <r>
    <s v="ORD02619"/>
    <s v="2023-05-28"/>
    <x v="37"/>
    <x v="12"/>
    <x v="1"/>
    <s v="Headphones"/>
    <n v="6"/>
    <n v="44894"/>
    <n v="0.1"/>
    <n v="242427.6"/>
    <n v="55522.85"/>
    <x v="2"/>
    <x v="6"/>
    <x v="1"/>
  </r>
  <r>
    <s v="ORD02620"/>
    <s v="2024-11-05"/>
    <x v="20"/>
    <x v="13"/>
    <x v="2"/>
    <s v="Jacket"/>
    <n v="3"/>
    <n v="13083"/>
    <n v="0.2"/>
    <n v="31399.200000000001"/>
    <n v="8536.6"/>
    <x v="2"/>
    <x v="4"/>
    <x v="0"/>
  </r>
  <r>
    <s v="ORD02621"/>
    <s v="2023-09-02"/>
    <x v="26"/>
    <x v="7"/>
    <x v="0"/>
    <s v="Bed"/>
    <n v="5"/>
    <n v="57412"/>
    <n v="0.05"/>
    <n v="272707"/>
    <n v="74150.259999999995"/>
    <x v="2"/>
    <x v="10"/>
    <x v="1"/>
  </r>
  <r>
    <s v="ORD02622"/>
    <s v="2023-04-03"/>
    <x v="34"/>
    <x v="11"/>
    <x v="3"/>
    <s v="Printer"/>
    <n v="3"/>
    <n v="27380"/>
    <n v="0.05"/>
    <n v="78033"/>
    <n v="12055.49"/>
    <x v="0"/>
    <x v="2"/>
    <x v="1"/>
  </r>
  <r>
    <s v="ORD02623"/>
    <s v="2023-07-21"/>
    <x v="23"/>
    <x v="11"/>
    <x v="3"/>
    <s v="Printer"/>
    <n v="1"/>
    <n v="10869"/>
    <n v="0"/>
    <n v="10869"/>
    <n v="2290.4499999999998"/>
    <x v="3"/>
    <x v="1"/>
    <x v="1"/>
  </r>
  <r>
    <s v="ORD02624"/>
    <s v="2024-08-07"/>
    <x v="29"/>
    <x v="22"/>
    <x v="1"/>
    <s v="Camera"/>
    <n v="4"/>
    <n v="25452"/>
    <n v="0.15"/>
    <n v="86536.8"/>
    <n v="11073"/>
    <x v="1"/>
    <x v="8"/>
    <x v="0"/>
  </r>
  <r>
    <s v="ORD02625"/>
    <s v="2024-06-23"/>
    <x v="46"/>
    <x v="24"/>
    <x v="2"/>
    <s v="T-Shirt"/>
    <n v="4"/>
    <n v="48898"/>
    <n v="0.05"/>
    <n v="185812.4"/>
    <n v="35614.33"/>
    <x v="0"/>
    <x v="5"/>
    <x v="0"/>
  </r>
  <r>
    <s v="ORD02626"/>
    <s v="2023-12-26"/>
    <x v="39"/>
    <x v="9"/>
    <x v="1"/>
    <s v="Keyboard"/>
    <n v="1"/>
    <n v="50916"/>
    <n v="0"/>
    <n v="50916"/>
    <n v="13325.8"/>
    <x v="0"/>
    <x v="9"/>
    <x v="1"/>
  </r>
  <r>
    <s v="ORD02627"/>
    <s v="2024-11-02"/>
    <x v="39"/>
    <x v="16"/>
    <x v="3"/>
    <s v="Pen"/>
    <n v="7"/>
    <n v="41204"/>
    <n v="0"/>
    <n v="288428"/>
    <n v="76998.34"/>
    <x v="3"/>
    <x v="4"/>
    <x v="0"/>
  </r>
  <r>
    <s v="ORD02628"/>
    <s v="2024-04-12"/>
    <x v="44"/>
    <x v="20"/>
    <x v="1"/>
    <s v="Tablet"/>
    <n v="11"/>
    <n v="57253"/>
    <n v="0.05"/>
    <n v="598293.85"/>
    <n v="133996.88"/>
    <x v="0"/>
    <x v="2"/>
    <x v="0"/>
  </r>
  <r>
    <s v="ORD02629"/>
    <s v="2024-04-07"/>
    <x v="10"/>
    <x v="15"/>
    <x v="0"/>
    <s v="Sofa"/>
    <n v="4"/>
    <n v="8102"/>
    <n v="0.1"/>
    <n v="29167.200000000001"/>
    <n v="3122.94"/>
    <x v="1"/>
    <x v="2"/>
    <x v="0"/>
  </r>
  <r>
    <s v="ORD02630"/>
    <s v="2024-06-19"/>
    <x v="22"/>
    <x v="13"/>
    <x v="2"/>
    <s v="Jacket"/>
    <n v="12"/>
    <n v="34662"/>
    <n v="0"/>
    <n v="415944"/>
    <n v="45007.48"/>
    <x v="3"/>
    <x v="5"/>
    <x v="0"/>
  </r>
  <r>
    <s v="ORD02631"/>
    <s v="2024-05-16"/>
    <x v="10"/>
    <x v="19"/>
    <x v="1"/>
    <s v="Smartwatch"/>
    <n v="2"/>
    <n v="1598"/>
    <n v="0"/>
    <n v="3196"/>
    <n v="559.03"/>
    <x v="0"/>
    <x v="6"/>
    <x v="0"/>
  </r>
  <r>
    <s v="ORD02632"/>
    <s v="2024-05-10"/>
    <x v="11"/>
    <x v="9"/>
    <x v="1"/>
    <s v="Keyboard"/>
    <n v="2"/>
    <n v="50584"/>
    <n v="0.2"/>
    <n v="80934.399999999994"/>
    <n v="21155.02"/>
    <x v="2"/>
    <x v="6"/>
    <x v="0"/>
  </r>
  <r>
    <s v="ORD02633"/>
    <s v="2024-10-01"/>
    <x v="27"/>
    <x v="14"/>
    <x v="2"/>
    <s v="Dress"/>
    <n v="5"/>
    <n v="13853"/>
    <n v="0"/>
    <n v="69265"/>
    <n v="15666.87"/>
    <x v="2"/>
    <x v="0"/>
    <x v="0"/>
  </r>
  <r>
    <s v="ORD02634"/>
    <s v="2024-07-30"/>
    <x v="19"/>
    <x v="7"/>
    <x v="0"/>
    <s v="Bed"/>
    <n v="11"/>
    <n v="16116"/>
    <n v="0.1"/>
    <n v="159548.4"/>
    <n v="32587.61"/>
    <x v="3"/>
    <x v="1"/>
    <x v="0"/>
  </r>
  <r>
    <s v="ORD02635"/>
    <s v="2023-11-10"/>
    <x v="49"/>
    <x v="0"/>
    <x v="0"/>
    <s v="Chair"/>
    <n v="9"/>
    <n v="47467"/>
    <n v="0.2"/>
    <n v="341762.4"/>
    <n v="42008.03"/>
    <x v="2"/>
    <x v="4"/>
    <x v="1"/>
  </r>
  <r>
    <s v="ORD02636"/>
    <s v="2023-06-16"/>
    <x v="29"/>
    <x v="22"/>
    <x v="1"/>
    <s v="Camera"/>
    <n v="12"/>
    <n v="16932"/>
    <n v="0.1"/>
    <n v="182865.6"/>
    <n v="25644.66"/>
    <x v="0"/>
    <x v="5"/>
    <x v="1"/>
  </r>
  <r>
    <s v="ORD02637"/>
    <s v="2024-06-28"/>
    <x v="18"/>
    <x v="22"/>
    <x v="1"/>
    <s v="Camera"/>
    <n v="15"/>
    <n v="44321"/>
    <n v="0.1"/>
    <n v="598333.5"/>
    <n v="49435.18"/>
    <x v="1"/>
    <x v="5"/>
    <x v="0"/>
  </r>
  <r>
    <s v="ORD02638"/>
    <s v="2024-05-09"/>
    <x v="28"/>
    <x v="2"/>
    <x v="2"/>
    <s v="Shoes"/>
    <n v="13"/>
    <n v="51021"/>
    <n v="0"/>
    <n v="663273"/>
    <n v="164633.01999999999"/>
    <x v="1"/>
    <x v="6"/>
    <x v="0"/>
  </r>
  <r>
    <s v="ORD02639"/>
    <s v="2023-05-09"/>
    <x v="44"/>
    <x v="10"/>
    <x v="3"/>
    <s v="Marker"/>
    <n v="10"/>
    <n v="24986"/>
    <n v="0.05"/>
    <n v="237367"/>
    <n v="32419.1"/>
    <x v="2"/>
    <x v="6"/>
    <x v="1"/>
  </r>
  <r>
    <s v="ORD02640"/>
    <s v="2024-08-24"/>
    <x v="28"/>
    <x v="9"/>
    <x v="1"/>
    <s v="Keyboard"/>
    <n v="5"/>
    <n v="51342"/>
    <n v="0"/>
    <n v="256710"/>
    <n v="73093.36"/>
    <x v="2"/>
    <x v="8"/>
    <x v="0"/>
  </r>
  <r>
    <s v="ORD02641"/>
    <s v="2024-05-30"/>
    <x v="31"/>
    <x v="17"/>
    <x v="1"/>
    <s v="Power Bank"/>
    <n v="13"/>
    <n v="7553"/>
    <n v="0.1"/>
    <n v="88370.1"/>
    <n v="7986.06"/>
    <x v="0"/>
    <x v="6"/>
    <x v="0"/>
  </r>
  <r>
    <s v="ORD02642"/>
    <s v="2023-05-25"/>
    <x v="24"/>
    <x v="11"/>
    <x v="3"/>
    <s v="Printer"/>
    <n v="15"/>
    <n v="3234"/>
    <n v="0"/>
    <n v="48510"/>
    <n v="4444.46"/>
    <x v="2"/>
    <x v="6"/>
    <x v="1"/>
  </r>
  <r>
    <s v="ORD02643"/>
    <s v="2024-09-08"/>
    <x v="40"/>
    <x v="7"/>
    <x v="0"/>
    <s v="Bed"/>
    <n v="12"/>
    <n v="3831"/>
    <n v="0"/>
    <n v="45972"/>
    <n v="9462.02"/>
    <x v="3"/>
    <x v="10"/>
    <x v="0"/>
  </r>
  <r>
    <s v="ORD02644"/>
    <s v="2023-10-26"/>
    <x v="31"/>
    <x v="15"/>
    <x v="0"/>
    <s v="Sofa"/>
    <n v="8"/>
    <n v="55468"/>
    <n v="0"/>
    <n v="443744"/>
    <n v="88022.1"/>
    <x v="2"/>
    <x v="0"/>
    <x v="1"/>
  </r>
  <r>
    <s v="ORD02645"/>
    <s v="2024-08-28"/>
    <x v="17"/>
    <x v="14"/>
    <x v="2"/>
    <s v="Dress"/>
    <n v="9"/>
    <n v="43165"/>
    <n v="0"/>
    <n v="388485"/>
    <n v="64473.72"/>
    <x v="2"/>
    <x v="8"/>
    <x v="0"/>
  </r>
  <r>
    <s v="ORD02646"/>
    <s v="2023-05-25"/>
    <x v="1"/>
    <x v="17"/>
    <x v="1"/>
    <s v="Power Bank"/>
    <n v="7"/>
    <n v="4988"/>
    <n v="0.05"/>
    <n v="33170.199999999997"/>
    <n v="7006.13"/>
    <x v="1"/>
    <x v="6"/>
    <x v="1"/>
  </r>
  <r>
    <s v="ORD02647"/>
    <s v="2023-12-18"/>
    <x v="1"/>
    <x v="9"/>
    <x v="1"/>
    <s v="Keyboard"/>
    <n v="13"/>
    <n v="41548"/>
    <n v="0.15"/>
    <n v="459105.4"/>
    <n v="105898.23"/>
    <x v="1"/>
    <x v="9"/>
    <x v="1"/>
  </r>
  <r>
    <s v="ORD02648"/>
    <s v="2023-01-29"/>
    <x v="29"/>
    <x v="23"/>
    <x v="0"/>
    <s v="Desk"/>
    <n v="3"/>
    <n v="32865"/>
    <n v="0"/>
    <n v="98595"/>
    <n v="12349.71"/>
    <x v="2"/>
    <x v="3"/>
    <x v="1"/>
  </r>
  <r>
    <s v="ORD02649"/>
    <s v="2024-02-15"/>
    <x v="21"/>
    <x v="20"/>
    <x v="1"/>
    <s v="Tablet"/>
    <n v="5"/>
    <n v="28921"/>
    <n v="0"/>
    <n v="144605"/>
    <n v="38255.839999999997"/>
    <x v="2"/>
    <x v="11"/>
    <x v="0"/>
  </r>
  <r>
    <s v="ORD02650"/>
    <s v="2024-08-13"/>
    <x v="42"/>
    <x v="9"/>
    <x v="1"/>
    <s v="Keyboard"/>
    <n v="8"/>
    <n v="58223"/>
    <n v="0.05"/>
    <n v="442494.8"/>
    <n v="74850.59"/>
    <x v="1"/>
    <x v="8"/>
    <x v="0"/>
  </r>
  <r>
    <s v="ORD02651"/>
    <s v="2024-06-08"/>
    <x v="28"/>
    <x v="13"/>
    <x v="2"/>
    <s v="Jacket"/>
    <n v="9"/>
    <n v="6821"/>
    <n v="0"/>
    <n v="61389"/>
    <n v="7550.82"/>
    <x v="3"/>
    <x v="5"/>
    <x v="0"/>
  </r>
  <r>
    <s v="ORD02652"/>
    <s v="2023-01-21"/>
    <x v="21"/>
    <x v="2"/>
    <x v="2"/>
    <s v="Shoes"/>
    <n v="5"/>
    <n v="19672"/>
    <n v="0"/>
    <n v="98360"/>
    <n v="29469.52"/>
    <x v="3"/>
    <x v="3"/>
    <x v="1"/>
  </r>
  <r>
    <s v="ORD02653"/>
    <s v="2024-02-10"/>
    <x v="19"/>
    <x v="4"/>
    <x v="0"/>
    <s v="Stool"/>
    <n v="6"/>
    <n v="59893"/>
    <n v="0.15"/>
    <n v="305454.3"/>
    <n v="29548.76"/>
    <x v="1"/>
    <x v="11"/>
    <x v="0"/>
  </r>
  <r>
    <s v="ORD02654"/>
    <s v="2023-11-08"/>
    <x v="21"/>
    <x v="2"/>
    <x v="2"/>
    <s v="Shoes"/>
    <n v="14"/>
    <n v="54817"/>
    <n v="0.05"/>
    <n v="729066.1"/>
    <n v="141668.5"/>
    <x v="1"/>
    <x v="4"/>
    <x v="1"/>
  </r>
  <r>
    <s v="ORD02655"/>
    <s v="2023-05-13"/>
    <x v="40"/>
    <x v="0"/>
    <x v="0"/>
    <s v="Chair"/>
    <n v="3"/>
    <n v="27332"/>
    <n v="0.2"/>
    <n v="65596.800000000003"/>
    <n v="9062.4699999999993"/>
    <x v="3"/>
    <x v="6"/>
    <x v="1"/>
  </r>
  <r>
    <s v="ORD02656"/>
    <s v="2023-08-11"/>
    <x v="3"/>
    <x v="27"/>
    <x v="3"/>
    <s v="File"/>
    <n v="13"/>
    <n v="23794"/>
    <n v="0"/>
    <n v="309322"/>
    <n v="82490.73"/>
    <x v="0"/>
    <x v="8"/>
    <x v="1"/>
  </r>
  <r>
    <s v="ORD02657"/>
    <s v="2024-09-06"/>
    <x v="21"/>
    <x v="15"/>
    <x v="0"/>
    <s v="Sofa"/>
    <n v="13"/>
    <n v="2479"/>
    <n v="0.15"/>
    <n v="27392.95"/>
    <n v="2678.64"/>
    <x v="3"/>
    <x v="10"/>
    <x v="0"/>
  </r>
  <r>
    <s v="ORD02658"/>
    <s v="2024-07-16"/>
    <x v="30"/>
    <x v="9"/>
    <x v="1"/>
    <s v="Keyboard"/>
    <n v="6"/>
    <n v="45909"/>
    <n v="0.1"/>
    <n v="247908.6"/>
    <n v="20919.79"/>
    <x v="1"/>
    <x v="1"/>
    <x v="0"/>
  </r>
  <r>
    <s v="ORD02659"/>
    <s v="2024-07-02"/>
    <x v="13"/>
    <x v="12"/>
    <x v="1"/>
    <s v="Headphones"/>
    <n v="5"/>
    <n v="6479"/>
    <n v="0.2"/>
    <n v="25916"/>
    <n v="4045.46"/>
    <x v="2"/>
    <x v="1"/>
    <x v="0"/>
  </r>
  <r>
    <s v="ORD02660"/>
    <s v="2024-08-01"/>
    <x v="18"/>
    <x v="5"/>
    <x v="0"/>
    <s v="Cupboard"/>
    <n v="10"/>
    <n v="5997"/>
    <n v="0.1"/>
    <n v="53973"/>
    <n v="16171.12"/>
    <x v="0"/>
    <x v="8"/>
    <x v="0"/>
  </r>
  <r>
    <s v="ORD02661"/>
    <s v="2024-07-08"/>
    <x v="39"/>
    <x v="13"/>
    <x v="2"/>
    <s v="Jacket"/>
    <n v="15"/>
    <n v="35116"/>
    <n v="0.05"/>
    <n v="500403"/>
    <n v="147768.21"/>
    <x v="2"/>
    <x v="1"/>
    <x v="0"/>
  </r>
  <r>
    <s v="ORD02662"/>
    <s v="2023-06-28"/>
    <x v="0"/>
    <x v="17"/>
    <x v="1"/>
    <s v="Power Bank"/>
    <n v="12"/>
    <n v="44472"/>
    <n v="0.05"/>
    <n v="506980.8"/>
    <n v="131352.13"/>
    <x v="0"/>
    <x v="5"/>
    <x v="1"/>
  </r>
  <r>
    <s v="ORD02663"/>
    <s v="2023-12-17"/>
    <x v="11"/>
    <x v="0"/>
    <x v="0"/>
    <s v="Chair"/>
    <n v="6"/>
    <n v="32770"/>
    <n v="0.2"/>
    <n v="157296"/>
    <n v="12675.49"/>
    <x v="1"/>
    <x v="9"/>
    <x v="1"/>
  </r>
  <r>
    <s v="ORD02664"/>
    <s v="2023-05-06"/>
    <x v="12"/>
    <x v="8"/>
    <x v="2"/>
    <s v="Sweater"/>
    <n v="3"/>
    <n v="53683"/>
    <n v="0"/>
    <n v="161049"/>
    <n v="42681.06"/>
    <x v="1"/>
    <x v="6"/>
    <x v="1"/>
  </r>
  <r>
    <s v="ORD02665"/>
    <s v="2024-03-08"/>
    <x v="33"/>
    <x v="1"/>
    <x v="1"/>
    <s v="Mobile"/>
    <n v="6"/>
    <n v="42343"/>
    <n v="0.1"/>
    <n v="228652.2"/>
    <n v="48605.2"/>
    <x v="2"/>
    <x v="7"/>
    <x v="0"/>
  </r>
  <r>
    <s v="ORD02666"/>
    <s v="2024-03-26"/>
    <x v="47"/>
    <x v="21"/>
    <x v="1"/>
    <s v="Laptop"/>
    <n v="5"/>
    <n v="54755"/>
    <n v="0.05"/>
    <n v="260086.25"/>
    <n v="59689.5"/>
    <x v="1"/>
    <x v="7"/>
    <x v="0"/>
  </r>
  <r>
    <s v="ORD02667"/>
    <s v="2024-11-02"/>
    <x v="26"/>
    <x v="18"/>
    <x v="0"/>
    <s v="Table"/>
    <n v="3"/>
    <n v="31081"/>
    <n v="0.05"/>
    <n v="88580.85"/>
    <n v="11591.02"/>
    <x v="1"/>
    <x v="4"/>
    <x v="0"/>
  </r>
  <r>
    <s v="ORD02668"/>
    <s v="2024-08-27"/>
    <x v="8"/>
    <x v="2"/>
    <x v="2"/>
    <s v="Shoes"/>
    <n v="1"/>
    <n v="3791"/>
    <n v="0"/>
    <n v="3791"/>
    <n v="713.15"/>
    <x v="2"/>
    <x v="8"/>
    <x v="0"/>
  </r>
  <r>
    <s v="ORD02669"/>
    <s v="2024-06-30"/>
    <x v="9"/>
    <x v="13"/>
    <x v="2"/>
    <s v="Jacket"/>
    <n v="1"/>
    <n v="14276"/>
    <n v="0.05"/>
    <n v="13562.2"/>
    <n v="1896.54"/>
    <x v="0"/>
    <x v="5"/>
    <x v="0"/>
  </r>
  <r>
    <s v="ORD02670"/>
    <s v="2023-04-14"/>
    <x v="4"/>
    <x v="23"/>
    <x v="0"/>
    <s v="Desk"/>
    <n v="6"/>
    <n v="12375"/>
    <n v="0.2"/>
    <n v="59400"/>
    <n v="13297.8"/>
    <x v="1"/>
    <x v="2"/>
    <x v="1"/>
  </r>
  <r>
    <s v="ORD02671"/>
    <s v="2023-05-13"/>
    <x v="33"/>
    <x v="6"/>
    <x v="2"/>
    <s v="Jeans"/>
    <n v="9"/>
    <n v="23549"/>
    <n v="0.1"/>
    <n v="190746.9"/>
    <n v="23980.12"/>
    <x v="3"/>
    <x v="6"/>
    <x v="1"/>
  </r>
  <r>
    <s v="ORD02672"/>
    <s v="2024-10-22"/>
    <x v="45"/>
    <x v="15"/>
    <x v="0"/>
    <s v="Sofa"/>
    <n v="9"/>
    <n v="19699"/>
    <n v="0.05"/>
    <n v="168426.45"/>
    <n v="26803.69"/>
    <x v="2"/>
    <x v="0"/>
    <x v="0"/>
  </r>
  <r>
    <s v="ORD02673"/>
    <s v="2024-08-27"/>
    <x v="48"/>
    <x v="8"/>
    <x v="2"/>
    <s v="Sweater"/>
    <n v="3"/>
    <n v="11233"/>
    <n v="0.15"/>
    <n v="28644.15"/>
    <n v="6980.58"/>
    <x v="1"/>
    <x v="8"/>
    <x v="0"/>
  </r>
  <r>
    <s v="ORD02674"/>
    <s v="2024-07-11"/>
    <x v="37"/>
    <x v="1"/>
    <x v="1"/>
    <s v="Mobile"/>
    <n v="3"/>
    <n v="19967"/>
    <n v="0.2"/>
    <n v="47920.800000000003"/>
    <n v="10860.14"/>
    <x v="1"/>
    <x v="1"/>
    <x v="0"/>
  </r>
  <r>
    <s v="ORD02675"/>
    <s v="2023-09-13"/>
    <x v="49"/>
    <x v="0"/>
    <x v="0"/>
    <s v="Chair"/>
    <n v="15"/>
    <n v="40534"/>
    <n v="0.05"/>
    <n v="577609.5"/>
    <n v="101743.16"/>
    <x v="0"/>
    <x v="10"/>
    <x v="1"/>
  </r>
  <r>
    <s v="ORD02676"/>
    <s v="2023-02-10"/>
    <x v="28"/>
    <x v="2"/>
    <x v="2"/>
    <s v="Shoes"/>
    <n v="5"/>
    <n v="35228"/>
    <n v="0.05"/>
    <n v="167333"/>
    <n v="22455.97"/>
    <x v="2"/>
    <x v="11"/>
    <x v="1"/>
  </r>
  <r>
    <s v="ORD02677"/>
    <s v="2023-10-20"/>
    <x v="31"/>
    <x v="5"/>
    <x v="0"/>
    <s v="Cupboard"/>
    <n v="2"/>
    <n v="36868"/>
    <n v="0"/>
    <n v="73736"/>
    <n v="18535.060000000001"/>
    <x v="3"/>
    <x v="0"/>
    <x v="1"/>
  </r>
  <r>
    <s v="ORD02678"/>
    <s v="2024-01-21"/>
    <x v="36"/>
    <x v="16"/>
    <x v="3"/>
    <s v="Pen"/>
    <n v="1"/>
    <n v="32582"/>
    <n v="0.2"/>
    <n v="26065.599999999999"/>
    <n v="4448.6899999999996"/>
    <x v="3"/>
    <x v="3"/>
    <x v="0"/>
  </r>
  <r>
    <s v="ORD02679"/>
    <s v="2024-01-07"/>
    <x v="43"/>
    <x v="2"/>
    <x v="2"/>
    <s v="Shoes"/>
    <n v="3"/>
    <n v="50268"/>
    <n v="0.2"/>
    <n v="120643.2"/>
    <n v="28993.9"/>
    <x v="1"/>
    <x v="3"/>
    <x v="0"/>
  </r>
  <r>
    <s v="ORD02680"/>
    <s v="2023-11-09"/>
    <x v="40"/>
    <x v="22"/>
    <x v="1"/>
    <s v="Camera"/>
    <n v="9"/>
    <n v="43994"/>
    <n v="0.2"/>
    <n v="316756.8"/>
    <n v="43893.78"/>
    <x v="0"/>
    <x v="4"/>
    <x v="1"/>
  </r>
  <r>
    <s v="ORD02681"/>
    <s v="2024-06-27"/>
    <x v="37"/>
    <x v="23"/>
    <x v="0"/>
    <s v="Desk"/>
    <n v="10"/>
    <n v="13075"/>
    <n v="0"/>
    <n v="130750"/>
    <n v="26197.16"/>
    <x v="0"/>
    <x v="5"/>
    <x v="0"/>
  </r>
  <r>
    <s v="ORD02682"/>
    <s v="2024-03-26"/>
    <x v="5"/>
    <x v="12"/>
    <x v="1"/>
    <s v="Headphones"/>
    <n v="4"/>
    <n v="50010"/>
    <n v="0"/>
    <n v="200040"/>
    <n v="27214.53"/>
    <x v="3"/>
    <x v="7"/>
    <x v="0"/>
  </r>
  <r>
    <s v="ORD02683"/>
    <s v="2024-11-30"/>
    <x v="17"/>
    <x v="22"/>
    <x v="1"/>
    <s v="Camera"/>
    <n v="15"/>
    <n v="27954"/>
    <n v="0.05"/>
    <n v="398344.5"/>
    <n v="118276.01"/>
    <x v="2"/>
    <x v="4"/>
    <x v="0"/>
  </r>
  <r>
    <s v="ORD02684"/>
    <s v="2023-06-20"/>
    <x v="4"/>
    <x v="6"/>
    <x v="2"/>
    <s v="Jeans"/>
    <n v="12"/>
    <n v="5241"/>
    <n v="0.1"/>
    <n v="56602.8"/>
    <n v="16869.650000000001"/>
    <x v="0"/>
    <x v="5"/>
    <x v="1"/>
  </r>
  <r>
    <s v="ORD02685"/>
    <s v="2023-06-11"/>
    <x v="7"/>
    <x v="10"/>
    <x v="3"/>
    <s v="Marker"/>
    <n v="8"/>
    <n v="51670"/>
    <n v="0.15"/>
    <n v="351356"/>
    <n v="91139.27"/>
    <x v="2"/>
    <x v="5"/>
    <x v="1"/>
  </r>
  <r>
    <s v="ORD02686"/>
    <s v="2024-10-29"/>
    <x v="44"/>
    <x v="13"/>
    <x v="2"/>
    <s v="Jacket"/>
    <n v="15"/>
    <n v="986"/>
    <n v="0.05"/>
    <n v="14050.5"/>
    <n v="3346.92"/>
    <x v="3"/>
    <x v="0"/>
    <x v="0"/>
  </r>
  <r>
    <s v="ORD02687"/>
    <s v="2023-08-13"/>
    <x v="18"/>
    <x v="24"/>
    <x v="2"/>
    <s v="T-Shirt"/>
    <n v="4"/>
    <n v="5773"/>
    <n v="0"/>
    <n v="23092"/>
    <n v="3747.48"/>
    <x v="2"/>
    <x v="8"/>
    <x v="1"/>
  </r>
  <r>
    <s v="ORD02688"/>
    <s v="2023-08-16"/>
    <x v="9"/>
    <x v="20"/>
    <x v="1"/>
    <s v="Tablet"/>
    <n v="15"/>
    <n v="56984"/>
    <n v="0.15"/>
    <n v="726546"/>
    <n v="214919.02"/>
    <x v="1"/>
    <x v="8"/>
    <x v="1"/>
  </r>
  <r>
    <s v="ORD02689"/>
    <s v="2023-01-07"/>
    <x v="46"/>
    <x v="14"/>
    <x v="2"/>
    <s v="Dress"/>
    <n v="11"/>
    <n v="12378"/>
    <n v="0.15"/>
    <n v="115734.3"/>
    <n v="22655.38"/>
    <x v="0"/>
    <x v="3"/>
    <x v="1"/>
  </r>
  <r>
    <s v="ORD02690"/>
    <s v="2024-10-16"/>
    <x v="41"/>
    <x v="25"/>
    <x v="3"/>
    <s v="Notebook"/>
    <n v="3"/>
    <n v="24962"/>
    <n v="0.1"/>
    <n v="67397.399999999994"/>
    <n v="18663.73"/>
    <x v="0"/>
    <x v="0"/>
    <x v="0"/>
  </r>
  <r>
    <s v="ORD02691"/>
    <s v="2023-09-10"/>
    <x v="27"/>
    <x v="0"/>
    <x v="0"/>
    <s v="Chair"/>
    <n v="9"/>
    <n v="46909"/>
    <n v="0.2"/>
    <n v="337744.8"/>
    <n v="46225.89"/>
    <x v="0"/>
    <x v="10"/>
    <x v="1"/>
  </r>
  <r>
    <s v="ORD02692"/>
    <s v="2024-07-15"/>
    <x v="23"/>
    <x v="0"/>
    <x v="0"/>
    <s v="Chair"/>
    <n v="6"/>
    <n v="5378"/>
    <n v="0.15"/>
    <n v="27427.8"/>
    <n v="6297.15"/>
    <x v="2"/>
    <x v="1"/>
    <x v="0"/>
  </r>
  <r>
    <s v="ORD02693"/>
    <s v="2023-02-26"/>
    <x v="35"/>
    <x v="20"/>
    <x v="1"/>
    <s v="Tablet"/>
    <n v="12"/>
    <n v="28727"/>
    <n v="0.15"/>
    <n v="293015.40000000002"/>
    <n v="49154.18"/>
    <x v="3"/>
    <x v="11"/>
    <x v="1"/>
  </r>
  <r>
    <s v="ORD02694"/>
    <s v="2023-02-09"/>
    <x v="33"/>
    <x v="13"/>
    <x v="2"/>
    <s v="Jacket"/>
    <n v="15"/>
    <n v="14449"/>
    <n v="0.15"/>
    <n v="184224.75"/>
    <n v="33131.86"/>
    <x v="0"/>
    <x v="11"/>
    <x v="1"/>
  </r>
  <r>
    <s v="ORD02695"/>
    <s v="2024-04-15"/>
    <x v="49"/>
    <x v="21"/>
    <x v="1"/>
    <s v="Laptop"/>
    <n v="5"/>
    <n v="38946"/>
    <n v="0"/>
    <n v="194730"/>
    <n v="47439.71"/>
    <x v="2"/>
    <x v="2"/>
    <x v="0"/>
  </r>
  <r>
    <s v="ORD02696"/>
    <s v="2023-04-11"/>
    <x v="8"/>
    <x v="14"/>
    <x v="2"/>
    <s v="Dress"/>
    <n v="4"/>
    <n v="9387"/>
    <n v="0.1"/>
    <n v="33793.199999999997"/>
    <n v="9259.74"/>
    <x v="0"/>
    <x v="2"/>
    <x v="1"/>
  </r>
  <r>
    <s v="ORD02697"/>
    <s v="2023-03-01"/>
    <x v="32"/>
    <x v="16"/>
    <x v="3"/>
    <s v="Pen"/>
    <n v="6"/>
    <n v="33416"/>
    <n v="0"/>
    <n v="200496"/>
    <n v="55137.97"/>
    <x v="1"/>
    <x v="7"/>
    <x v="1"/>
  </r>
  <r>
    <s v="ORD02698"/>
    <s v="2023-07-24"/>
    <x v="14"/>
    <x v="15"/>
    <x v="0"/>
    <s v="Sofa"/>
    <n v="4"/>
    <n v="48762"/>
    <n v="0"/>
    <n v="195048"/>
    <n v="49824"/>
    <x v="0"/>
    <x v="1"/>
    <x v="1"/>
  </r>
  <r>
    <s v="ORD02699"/>
    <s v="2024-07-19"/>
    <x v="31"/>
    <x v="19"/>
    <x v="1"/>
    <s v="Smartwatch"/>
    <n v="8"/>
    <n v="58395"/>
    <n v="0.05"/>
    <n v="443802"/>
    <n v="110916.54"/>
    <x v="0"/>
    <x v="1"/>
    <x v="0"/>
  </r>
  <r>
    <s v="ORD02700"/>
    <s v="2023-03-23"/>
    <x v="31"/>
    <x v="8"/>
    <x v="2"/>
    <s v="Sweater"/>
    <n v="8"/>
    <n v="48359"/>
    <n v="0.1"/>
    <n v="348184.8"/>
    <n v="28241.91"/>
    <x v="0"/>
    <x v="7"/>
    <x v="1"/>
  </r>
  <r>
    <s v="ORD02701"/>
    <s v="2024-07-29"/>
    <x v="11"/>
    <x v="15"/>
    <x v="0"/>
    <s v="Sofa"/>
    <n v="13"/>
    <n v="50411"/>
    <n v="0.1"/>
    <n v="589808.69999999995"/>
    <n v="75295.92"/>
    <x v="2"/>
    <x v="1"/>
    <x v="0"/>
  </r>
  <r>
    <s v="ORD02702"/>
    <s v="2024-11-09"/>
    <x v="2"/>
    <x v="14"/>
    <x v="2"/>
    <s v="Dress"/>
    <n v="7"/>
    <n v="56927"/>
    <n v="0.1"/>
    <n v="358640.1"/>
    <n v="64106.38"/>
    <x v="3"/>
    <x v="4"/>
    <x v="0"/>
  </r>
  <r>
    <s v="ORD02703"/>
    <s v="2023-09-24"/>
    <x v="14"/>
    <x v="4"/>
    <x v="0"/>
    <s v="Stool"/>
    <n v="2"/>
    <n v="40870"/>
    <n v="0.05"/>
    <n v="77653"/>
    <n v="11475.13"/>
    <x v="0"/>
    <x v="10"/>
    <x v="1"/>
  </r>
  <r>
    <s v="ORD02704"/>
    <s v="2024-02-09"/>
    <x v="6"/>
    <x v="11"/>
    <x v="3"/>
    <s v="Printer"/>
    <n v="1"/>
    <n v="41033"/>
    <n v="0.2"/>
    <n v="32826.400000000001"/>
    <n v="3411.69"/>
    <x v="0"/>
    <x v="11"/>
    <x v="0"/>
  </r>
  <r>
    <s v="ORD02705"/>
    <s v="2024-02-23"/>
    <x v="15"/>
    <x v="24"/>
    <x v="2"/>
    <s v="T-Shirt"/>
    <n v="13"/>
    <n v="9492"/>
    <n v="0.05"/>
    <n v="117226.2"/>
    <n v="30982.65"/>
    <x v="3"/>
    <x v="11"/>
    <x v="0"/>
  </r>
  <r>
    <s v="ORD02706"/>
    <s v="2024-04-14"/>
    <x v="9"/>
    <x v="13"/>
    <x v="2"/>
    <s v="Jacket"/>
    <n v="13"/>
    <n v="44023"/>
    <n v="0.05"/>
    <n v="543684.05000000005"/>
    <n v="45733.53"/>
    <x v="0"/>
    <x v="2"/>
    <x v="0"/>
  </r>
  <r>
    <s v="ORD02707"/>
    <s v="2024-11-11"/>
    <x v="36"/>
    <x v="16"/>
    <x v="3"/>
    <s v="Pen"/>
    <n v="2"/>
    <n v="46260"/>
    <n v="0.15"/>
    <n v="78642"/>
    <n v="16063.21"/>
    <x v="1"/>
    <x v="4"/>
    <x v="0"/>
  </r>
  <r>
    <s v="ORD02708"/>
    <s v="2023-03-19"/>
    <x v="44"/>
    <x v="22"/>
    <x v="1"/>
    <s v="Camera"/>
    <n v="5"/>
    <n v="27123"/>
    <n v="0"/>
    <n v="135615"/>
    <n v="40539.06"/>
    <x v="3"/>
    <x v="7"/>
    <x v="1"/>
  </r>
  <r>
    <s v="ORD02709"/>
    <s v="2023-06-02"/>
    <x v="37"/>
    <x v="12"/>
    <x v="1"/>
    <s v="Headphones"/>
    <n v="7"/>
    <n v="21018"/>
    <n v="0.15"/>
    <n v="125057.1"/>
    <n v="10615.23"/>
    <x v="3"/>
    <x v="5"/>
    <x v="1"/>
  </r>
  <r>
    <s v="ORD02710"/>
    <s v="2024-05-24"/>
    <x v="29"/>
    <x v="4"/>
    <x v="0"/>
    <s v="Stool"/>
    <n v="6"/>
    <n v="19783"/>
    <n v="0.15"/>
    <n v="100893.3"/>
    <n v="20787.349999999999"/>
    <x v="1"/>
    <x v="6"/>
    <x v="0"/>
  </r>
  <r>
    <s v="ORD02711"/>
    <s v="2023-05-24"/>
    <x v="13"/>
    <x v="27"/>
    <x v="3"/>
    <s v="File"/>
    <n v="5"/>
    <n v="57496"/>
    <n v="0.05"/>
    <n v="273106"/>
    <n v="33493.379999999997"/>
    <x v="3"/>
    <x v="6"/>
    <x v="1"/>
  </r>
  <r>
    <s v="ORD02712"/>
    <s v="2024-11-13"/>
    <x v="17"/>
    <x v="13"/>
    <x v="2"/>
    <s v="Jacket"/>
    <n v="10"/>
    <n v="3138"/>
    <n v="0.2"/>
    <n v="25104"/>
    <n v="4156.62"/>
    <x v="2"/>
    <x v="4"/>
    <x v="0"/>
  </r>
  <r>
    <s v="ORD02713"/>
    <s v="2024-02-11"/>
    <x v="47"/>
    <x v="21"/>
    <x v="1"/>
    <s v="Laptop"/>
    <n v="4"/>
    <n v="5689"/>
    <n v="0"/>
    <n v="22756"/>
    <n v="2376.0500000000002"/>
    <x v="3"/>
    <x v="11"/>
    <x v="0"/>
  </r>
  <r>
    <s v="ORD02714"/>
    <s v="2024-09-25"/>
    <x v="41"/>
    <x v="5"/>
    <x v="0"/>
    <s v="Cupboard"/>
    <n v="7"/>
    <n v="56853"/>
    <n v="0"/>
    <n v="397971"/>
    <n v="94775.47"/>
    <x v="0"/>
    <x v="10"/>
    <x v="0"/>
  </r>
  <r>
    <s v="ORD02715"/>
    <s v="2023-06-10"/>
    <x v="20"/>
    <x v="2"/>
    <x v="2"/>
    <s v="Shoes"/>
    <n v="6"/>
    <n v="52074"/>
    <n v="0.2"/>
    <n v="249955.20000000001"/>
    <n v="51110.239999999998"/>
    <x v="1"/>
    <x v="5"/>
    <x v="1"/>
  </r>
  <r>
    <s v="ORD02716"/>
    <s v="2024-04-09"/>
    <x v="27"/>
    <x v="22"/>
    <x v="1"/>
    <s v="Camera"/>
    <n v="1"/>
    <n v="21650"/>
    <n v="0.1"/>
    <n v="19485"/>
    <n v="1681.35"/>
    <x v="3"/>
    <x v="2"/>
    <x v="0"/>
  </r>
  <r>
    <s v="ORD02717"/>
    <s v="2023-11-25"/>
    <x v="24"/>
    <x v="15"/>
    <x v="0"/>
    <s v="Sofa"/>
    <n v="7"/>
    <n v="31720"/>
    <n v="0.2"/>
    <n v="177632"/>
    <n v="18343.34"/>
    <x v="0"/>
    <x v="4"/>
    <x v="1"/>
  </r>
  <r>
    <s v="ORD02718"/>
    <s v="2024-10-30"/>
    <x v="42"/>
    <x v="25"/>
    <x v="3"/>
    <s v="Notebook"/>
    <n v="12"/>
    <n v="18854"/>
    <n v="0.15"/>
    <n v="192310.8"/>
    <n v="28599.05"/>
    <x v="1"/>
    <x v="0"/>
    <x v="0"/>
  </r>
  <r>
    <s v="ORD02719"/>
    <s v="2023-03-24"/>
    <x v="38"/>
    <x v="4"/>
    <x v="0"/>
    <s v="Stool"/>
    <n v="4"/>
    <n v="12854"/>
    <n v="0.05"/>
    <n v="48845.2"/>
    <n v="11075.59"/>
    <x v="3"/>
    <x v="7"/>
    <x v="1"/>
  </r>
  <r>
    <s v="ORD02720"/>
    <s v="2023-12-21"/>
    <x v="17"/>
    <x v="20"/>
    <x v="1"/>
    <s v="Tablet"/>
    <n v="3"/>
    <n v="31003"/>
    <n v="0.1"/>
    <n v="83708.100000000006"/>
    <n v="16711.64"/>
    <x v="0"/>
    <x v="9"/>
    <x v="1"/>
  </r>
  <r>
    <s v="ORD02721"/>
    <s v="2024-04-07"/>
    <x v="27"/>
    <x v="15"/>
    <x v="0"/>
    <s v="Sofa"/>
    <n v="14"/>
    <n v="58101"/>
    <n v="0.05"/>
    <n v="772743.3"/>
    <n v="97664.03"/>
    <x v="0"/>
    <x v="2"/>
    <x v="0"/>
  </r>
  <r>
    <s v="ORD02722"/>
    <s v="2024-09-24"/>
    <x v="6"/>
    <x v="14"/>
    <x v="2"/>
    <s v="Dress"/>
    <n v="4"/>
    <n v="40785"/>
    <n v="0.05"/>
    <n v="154983"/>
    <n v="37009.64"/>
    <x v="1"/>
    <x v="10"/>
    <x v="0"/>
  </r>
  <r>
    <s v="ORD02723"/>
    <s v="2024-07-06"/>
    <x v="18"/>
    <x v="1"/>
    <x v="1"/>
    <s v="Mobile"/>
    <n v="8"/>
    <n v="1011"/>
    <n v="0.15"/>
    <n v="6874.8"/>
    <n v="1910.96"/>
    <x v="1"/>
    <x v="1"/>
    <x v="0"/>
  </r>
  <r>
    <s v="ORD02724"/>
    <s v="2023-05-27"/>
    <x v="2"/>
    <x v="18"/>
    <x v="0"/>
    <s v="Table"/>
    <n v="4"/>
    <n v="10436"/>
    <n v="0.15"/>
    <n v="35482.400000000001"/>
    <n v="4998.87"/>
    <x v="3"/>
    <x v="6"/>
    <x v="1"/>
  </r>
  <r>
    <s v="ORD02725"/>
    <s v="2023-08-25"/>
    <x v="29"/>
    <x v="19"/>
    <x v="1"/>
    <s v="Smartwatch"/>
    <n v="9"/>
    <n v="17267"/>
    <n v="0.05"/>
    <n v="147632.85"/>
    <n v="39947.31"/>
    <x v="0"/>
    <x v="8"/>
    <x v="1"/>
  </r>
  <r>
    <s v="ORD02726"/>
    <s v="2023-08-26"/>
    <x v="18"/>
    <x v="26"/>
    <x v="3"/>
    <s v="Paper Ream"/>
    <n v="5"/>
    <n v="14598"/>
    <n v="0.05"/>
    <n v="69340.5"/>
    <n v="16787.37"/>
    <x v="0"/>
    <x v="8"/>
    <x v="1"/>
  </r>
  <r>
    <s v="ORD02727"/>
    <s v="2023-08-07"/>
    <x v="33"/>
    <x v="15"/>
    <x v="0"/>
    <s v="Sofa"/>
    <n v="3"/>
    <n v="1635"/>
    <n v="0.15"/>
    <n v="4169.25"/>
    <n v="1042.76"/>
    <x v="3"/>
    <x v="8"/>
    <x v="1"/>
  </r>
  <r>
    <s v="ORD02728"/>
    <s v="2024-04-22"/>
    <x v="42"/>
    <x v="3"/>
    <x v="3"/>
    <s v="Stapler"/>
    <n v="12"/>
    <n v="16001"/>
    <n v="0.05"/>
    <n v="182411.4"/>
    <n v="51361.15"/>
    <x v="0"/>
    <x v="2"/>
    <x v="0"/>
  </r>
  <r>
    <s v="ORD02729"/>
    <s v="2023-10-15"/>
    <x v="18"/>
    <x v="10"/>
    <x v="3"/>
    <s v="Marker"/>
    <n v="10"/>
    <n v="46331"/>
    <n v="0.1"/>
    <n v="416979"/>
    <n v="83601.649999999994"/>
    <x v="0"/>
    <x v="0"/>
    <x v="1"/>
  </r>
  <r>
    <s v="ORD02730"/>
    <s v="2023-05-16"/>
    <x v="23"/>
    <x v="21"/>
    <x v="1"/>
    <s v="Laptop"/>
    <n v="15"/>
    <n v="50765"/>
    <n v="0"/>
    <n v="761475"/>
    <n v="214177.59"/>
    <x v="3"/>
    <x v="6"/>
    <x v="1"/>
  </r>
  <r>
    <s v="ORD02731"/>
    <s v="2023-06-02"/>
    <x v="13"/>
    <x v="24"/>
    <x v="2"/>
    <s v="T-Shirt"/>
    <n v="2"/>
    <n v="17704"/>
    <n v="0.1"/>
    <n v="31867.200000000001"/>
    <n v="8115.92"/>
    <x v="2"/>
    <x v="5"/>
    <x v="1"/>
  </r>
  <r>
    <s v="ORD02732"/>
    <s v="2023-06-18"/>
    <x v="12"/>
    <x v="19"/>
    <x v="1"/>
    <s v="Smartwatch"/>
    <n v="1"/>
    <n v="47990"/>
    <n v="0.05"/>
    <n v="45590.5"/>
    <n v="10135.44"/>
    <x v="3"/>
    <x v="5"/>
    <x v="1"/>
  </r>
  <r>
    <s v="ORD02733"/>
    <s v="2023-10-20"/>
    <x v="42"/>
    <x v="21"/>
    <x v="1"/>
    <s v="Laptop"/>
    <n v="8"/>
    <n v="25024"/>
    <n v="0.2"/>
    <n v="160153.60000000001"/>
    <n v="19325.060000000001"/>
    <x v="3"/>
    <x v="0"/>
    <x v="1"/>
  </r>
  <r>
    <s v="ORD02734"/>
    <s v="2023-10-02"/>
    <x v="6"/>
    <x v="13"/>
    <x v="2"/>
    <s v="Jacket"/>
    <n v="4"/>
    <n v="4158"/>
    <n v="0"/>
    <n v="16632"/>
    <n v="4935.21"/>
    <x v="2"/>
    <x v="0"/>
    <x v="1"/>
  </r>
  <r>
    <s v="ORD02735"/>
    <s v="2024-07-29"/>
    <x v="32"/>
    <x v="19"/>
    <x v="1"/>
    <s v="Smartwatch"/>
    <n v="12"/>
    <n v="47630"/>
    <n v="0.2"/>
    <n v="457248"/>
    <n v="99123.83"/>
    <x v="3"/>
    <x v="1"/>
    <x v="0"/>
  </r>
  <r>
    <s v="ORD02736"/>
    <s v="2023-01-30"/>
    <x v="2"/>
    <x v="0"/>
    <x v="0"/>
    <s v="Chair"/>
    <n v="13"/>
    <n v="20013"/>
    <n v="0.1"/>
    <n v="234152.1"/>
    <n v="59291.38"/>
    <x v="0"/>
    <x v="3"/>
    <x v="1"/>
  </r>
  <r>
    <s v="ORD02737"/>
    <s v="2024-11-01"/>
    <x v="36"/>
    <x v="3"/>
    <x v="3"/>
    <s v="Stapler"/>
    <n v="11"/>
    <n v="11465"/>
    <n v="0.1"/>
    <n v="113503.5"/>
    <n v="10899.72"/>
    <x v="3"/>
    <x v="4"/>
    <x v="0"/>
  </r>
  <r>
    <s v="ORD02738"/>
    <s v="2023-09-19"/>
    <x v="0"/>
    <x v="15"/>
    <x v="0"/>
    <s v="Sofa"/>
    <n v="12"/>
    <n v="50380"/>
    <n v="0.15"/>
    <n v="513876"/>
    <n v="108267.85"/>
    <x v="0"/>
    <x v="10"/>
    <x v="1"/>
  </r>
  <r>
    <s v="ORD02739"/>
    <s v="2024-07-22"/>
    <x v="15"/>
    <x v="19"/>
    <x v="1"/>
    <s v="Smartwatch"/>
    <n v="15"/>
    <n v="7500"/>
    <n v="0.1"/>
    <n v="101250"/>
    <n v="27268.18"/>
    <x v="2"/>
    <x v="1"/>
    <x v="0"/>
  </r>
  <r>
    <s v="ORD02740"/>
    <s v="2024-07-14"/>
    <x v="15"/>
    <x v="4"/>
    <x v="0"/>
    <s v="Stool"/>
    <n v="8"/>
    <n v="41789"/>
    <n v="0.05"/>
    <n v="317596.40000000002"/>
    <n v="91023.07"/>
    <x v="3"/>
    <x v="1"/>
    <x v="0"/>
  </r>
  <r>
    <s v="ORD02741"/>
    <s v="2024-04-01"/>
    <x v="39"/>
    <x v="3"/>
    <x v="3"/>
    <s v="Stapler"/>
    <n v="15"/>
    <n v="44637"/>
    <n v="0.05"/>
    <n v="636077.25"/>
    <n v="182479.31"/>
    <x v="2"/>
    <x v="2"/>
    <x v="0"/>
  </r>
  <r>
    <s v="ORD02742"/>
    <s v="2024-03-29"/>
    <x v="43"/>
    <x v="24"/>
    <x v="2"/>
    <s v="T-Shirt"/>
    <n v="7"/>
    <n v="18647"/>
    <n v="0.1"/>
    <n v="117476.1"/>
    <n v="21298.9"/>
    <x v="1"/>
    <x v="7"/>
    <x v="0"/>
  </r>
  <r>
    <s v="ORD02743"/>
    <s v="2023-11-05"/>
    <x v="32"/>
    <x v="27"/>
    <x v="3"/>
    <s v="File"/>
    <n v="12"/>
    <n v="12750"/>
    <n v="0.1"/>
    <n v="137700"/>
    <n v="21474.2"/>
    <x v="3"/>
    <x v="4"/>
    <x v="1"/>
  </r>
  <r>
    <s v="ORD02744"/>
    <s v="2024-08-03"/>
    <x v="15"/>
    <x v="26"/>
    <x v="3"/>
    <s v="Paper Ream"/>
    <n v="1"/>
    <n v="59861"/>
    <n v="0.05"/>
    <n v="56867.95"/>
    <n v="4601.5600000000004"/>
    <x v="0"/>
    <x v="8"/>
    <x v="0"/>
  </r>
  <r>
    <s v="ORD02745"/>
    <s v="2024-09-28"/>
    <x v="27"/>
    <x v="6"/>
    <x v="2"/>
    <s v="Jeans"/>
    <n v="7"/>
    <n v="34563"/>
    <n v="0.2"/>
    <n v="193552.8"/>
    <n v="33865.14"/>
    <x v="1"/>
    <x v="10"/>
    <x v="0"/>
  </r>
  <r>
    <s v="ORD02746"/>
    <s v="2023-11-22"/>
    <x v="1"/>
    <x v="27"/>
    <x v="3"/>
    <s v="File"/>
    <n v="3"/>
    <n v="2249"/>
    <n v="0.05"/>
    <n v="6409.65"/>
    <n v="689.31"/>
    <x v="1"/>
    <x v="4"/>
    <x v="1"/>
  </r>
  <r>
    <s v="ORD02747"/>
    <s v="2023-11-13"/>
    <x v="31"/>
    <x v="8"/>
    <x v="2"/>
    <s v="Sweater"/>
    <n v="15"/>
    <n v="43853"/>
    <n v="0"/>
    <n v="657795"/>
    <n v="154003.67000000001"/>
    <x v="2"/>
    <x v="4"/>
    <x v="1"/>
  </r>
  <r>
    <s v="ORD02748"/>
    <s v="2024-07-20"/>
    <x v="37"/>
    <x v="3"/>
    <x v="3"/>
    <s v="Stapler"/>
    <n v="1"/>
    <n v="37048"/>
    <n v="0.05"/>
    <n v="35195.599999999999"/>
    <n v="7927.4"/>
    <x v="1"/>
    <x v="1"/>
    <x v="0"/>
  </r>
  <r>
    <s v="ORD02749"/>
    <s v="2023-04-11"/>
    <x v="42"/>
    <x v="23"/>
    <x v="0"/>
    <s v="Desk"/>
    <n v="15"/>
    <n v="1373"/>
    <n v="0.1"/>
    <n v="18535.5"/>
    <n v="4301.08"/>
    <x v="1"/>
    <x v="2"/>
    <x v="1"/>
  </r>
  <r>
    <s v="ORD02750"/>
    <s v="2023-04-15"/>
    <x v="17"/>
    <x v="4"/>
    <x v="0"/>
    <s v="Stool"/>
    <n v="7"/>
    <n v="42024"/>
    <n v="0.2"/>
    <n v="235334.39999999999"/>
    <n v="28256.85"/>
    <x v="0"/>
    <x v="2"/>
    <x v="1"/>
  </r>
  <r>
    <s v="ORD02751"/>
    <s v="2024-06-07"/>
    <x v="22"/>
    <x v="8"/>
    <x v="2"/>
    <s v="Sweater"/>
    <n v="12"/>
    <n v="12663"/>
    <n v="0.1"/>
    <n v="136760.4"/>
    <n v="36378.31"/>
    <x v="0"/>
    <x v="5"/>
    <x v="0"/>
  </r>
  <r>
    <s v="ORD02752"/>
    <s v="2023-05-24"/>
    <x v="18"/>
    <x v="11"/>
    <x v="3"/>
    <s v="Printer"/>
    <n v="11"/>
    <n v="25997"/>
    <n v="0.1"/>
    <n v="257370.3"/>
    <n v="48693.919999999998"/>
    <x v="1"/>
    <x v="6"/>
    <x v="1"/>
  </r>
  <r>
    <s v="ORD02753"/>
    <s v="2024-09-23"/>
    <x v="11"/>
    <x v="20"/>
    <x v="1"/>
    <s v="Tablet"/>
    <n v="10"/>
    <n v="23566"/>
    <n v="0.15"/>
    <n v="200311"/>
    <n v="52262.42"/>
    <x v="3"/>
    <x v="10"/>
    <x v="0"/>
  </r>
  <r>
    <s v="ORD02754"/>
    <s v="2024-01-17"/>
    <x v="28"/>
    <x v="20"/>
    <x v="1"/>
    <s v="Tablet"/>
    <n v="7"/>
    <n v="50909"/>
    <n v="0.2"/>
    <n v="285090.40000000002"/>
    <n v="45204.47"/>
    <x v="3"/>
    <x v="3"/>
    <x v="0"/>
  </r>
  <r>
    <s v="ORD02755"/>
    <s v="2024-08-09"/>
    <x v="16"/>
    <x v="17"/>
    <x v="1"/>
    <s v="Power Bank"/>
    <n v="4"/>
    <n v="28024"/>
    <n v="0.2"/>
    <n v="89676.800000000003"/>
    <n v="19627.91"/>
    <x v="2"/>
    <x v="8"/>
    <x v="0"/>
  </r>
  <r>
    <s v="ORD02756"/>
    <s v="2024-02-15"/>
    <x v="47"/>
    <x v="8"/>
    <x v="2"/>
    <s v="Sweater"/>
    <n v="5"/>
    <n v="30133"/>
    <n v="0.2"/>
    <n v="120532"/>
    <n v="24855.06"/>
    <x v="1"/>
    <x v="11"/>
    <x v="0"/>
  </r>
  <r>
    <s v="ORD02757"/>
    <s v="2023-03-04"/>
    <x v="47"/>
    <x v="18"/>
    <x v="0"/>
    <s v="Table"/>
    <n v="13"/>
    <n v="59122"/>
    <n v="0.15"/>
    <n v="653298.1"/>
    <n v="64145.05"/>
    <x v="3"/>
    <x v="7"/>
    <x v="1"/>
  </r>
  <r>
    <s v="ORD02758"/>
    <s v="2023-02-17"/>
    <x v="14"/>
    <x v="20"/>
    <x v="1"/>
    <s v="Tablet"/>
    <n v="12"/>
    <n v="49722"/>
    <n v="0.2"/>
    <n v="477331.20000000001"/>
    <n v="142701.13"/>
    <x v="2"/>
    <x v="11"/>
    <x v="1"/>
  </r>
  <r>
    <s v="ORD02759"/>
    <s v="2024-08-16"/>
    <x v="36"/>
    <x v="4"/>
    <x v="0"/>
    <s v="Stool"/>
    <n v="10"/>
    <n v="34905"/>
    <n v="0"/>
    <n v="349050"/>
    <n v="59547.09"/>
    <x v="3"/>
    <x v="8"/>
    <x v="0"/>
  </r>
  <r>
    <s v="ORD02760"/>
    <s v="2023-02-04"/>
    <x v="42"/>
    <x v="4"/>
    <x v="0"/>
    <s v="Stool"/>
    <n v="9"/>
    <n v="37270"/>
    <n v="0.1"/>
    <n v="301887"/>
    <n v="65243.68"/>
    <x v="2"/>
    <x v="11"/>
    <x v="1"/>
  </r>
  <r>
    <s v="ORD02761"/>
    <s v="2024-01-24"/>
    <x v="32"/>
    <x v="3"/>
    <x v="3"/>
    <s v="Stapler"/>
    <n v="6"/>
    <n v="45350"/>
    <n v="0.2"/>
    <n v="217680"/>
    <n v="21879.5"/>
    <x v="2"/>
    <x v="3"/>
    <x v="0"/>
  </r>
  <r>
    <s v="ORD02762"/>
    <s v="2023-07-22"/>
    <x v="16"/>
    <x v="26"/>
    <x v="3"/>
    <s v="Paper Ream"/>
    <n v="1"/>
    <n v="25112"/>
    <n v="0.15"/>
    <n v="21345.200000000001"/>
    <n v="2372.1999999999998"/>
    <x v="3"/>
    <x v="1"/>
    <x v="1"/>
  </r>
  <r>
    <s v="ORD02763"/>
    <s v="2024-03-16"/>
    <x v="21"/>
    <x v="27"/>
    <x v="3"/>
    <s v="File"/>
    <n v="8"/>
    <n v="29871"/>
    <n v="0.05"/>
    <n v="227019.6"/>
    <n v="58216.67"/>
    <x v="3"/>
    <x v="7"/>
    <x v="0"/>
  </r>
  <r>
    <s v="ORD02764"/>
    <s v="2023-09-19"/>
    <x v="43"/>
    <x v="24"/>
    <x v="2"/>
    <s v="T-Shirt"/>
    <n v="11"/>
    <n v="35025"/>
    <n v="0.2"/>
    <n v="308220"/>
    <n v="26656.14"/>
    <x v="2"/>
    <x v="10"/>
    <x v="1"/>
  </r>
  <r>
    <s v="ORD02765"/>
    <s v="2023-03-25"/>
    <x v="12"/>
    <x v="24"/>
    <x v="2"/>
    <s v="T-Shirt"/>
    <n v="5"/>
    <n v="55269"/>
    <n v="0.1"/>
    <n v="248710.5"/>
    <n v="65300.47"/>
    <x v="1"/>
    <x v="7"/>
    <x v="1"/>
  </r>
  <r>
    <s v="ORD02766"/>
    <s v="2023-02-16"/>
    <x v="11"/>
    <x v="13"/>
    <x v="2"/>
    <s v="Jacket"/>
    <n v="14"/>
    <n v="45456"/>
    <n v="0"/>
    <n v="636384"/>
    <n v="93185.85"/>
    <x v="3"/>
    <x v="11"/>
    <x v="1"/>
  </r>
  <r>
    <s v="ORD02767"/>
    <s v="2023-10-10"/>
    <x v="10"/>
    <x v="26"/>
    <x v="3"/>
    <s v="Paper Ream"/>
    <n v="7"/>
    <n v="44331"/>
    <n v="0.2"/>
    <n v="248253.6"/>
    <n v="32087.09"/>
    <x v="3"/>
    <x v="0"/>
    <x v="1"/>
  </r>
  <r>
    <s v="ORD02768"/>
    <s v="2023-12-27"/>
    <x v="13"/>
    <x v="2"/>
    <x v="2"/>
    <s v="Shoes"/>
    <n v="1"/>
    <n v="31873"/>
    <n v="0"/>
    <n v="31873"/>
    <n v="3090.22"/>
    <x v="0"/>
    <x v="9"/>
    <x v="1"/>
  </r>
  <r>
    <s v="ORD02769"/>
    <s v="2024-05-21"/>
    <x v="28"/>
    <x v="11"/>
    <x v="3"/>
    <s v="Printer"/>
    <n v="10"/>
    <n v="12775"/>
    <n v="0.1"/>
    <n v="114975"/>
    <n v="18510.54"/>
    <x v="2"/>
    <x v="6"/>
    <x v="0"/>
  </r>
  <r>
    <s v="ORD02770"/>
    <s v="2023-08-09"/>
    <x v="9"/>
    <x v="5"/>
    <x v="0"/>
    <s v="Cupboard"/>
    <n v="15"/>
    <n v="56404"/>
    <n v="0"/>
    <n v="846060"/>
    <n v="248622.24"/>
    <x v="3"/>
    <x v="8"/>
    <x v="1"/>
  </r>
  <r>
    <s v="ORD02771"/>
    <s v="2024-06-19"/>
    <x v="17"/>
    <x v="21"/>
    <x v="1"/>
    <s v="Laptop"/>
    <n v="10"/>
    <n v="19820"/>
    <n v="0.05"/>
    <n v="188290"/>
    <n v="16660.36"/>
    <x v="2"/>
    <x v="5"/>
    <x v="0"/>
  </r>
  <r>
    <s v="ORD02772"/>
    <s v="2024-01-13"/>
    <x v="42"/>
    <x v="15"/>
    <x v="0"/>
    <s v="Sofa"/>
    <n v="8"/>
    <n v="28365"/>
    <n v="0"/>
    <n v="226920"/>
    <n v="52580.28"/>
    <x v="1"/>
    <x v="3"/>
    <x v="0"/>
  </r>
  <r>
    <s v="ORD02773"/>
    <s v="2023-02-25"/>
    <x v="15"/>
    <x v="14"/>
    <x v="2"/>
    <s v="Dress"/>
    <n v="6"/>
    <n v="4966"/>
    <n v="0.1"/>
    <n v="26816.400000000001"/>
    <n v="5825.08"/>
    <x v="0"/>
    <x v="11"/>
    <x v="1"/>
  </r>
  <r>
    <s v="ORD02774"/>
    <s v="2023-05-12"/>
    <x v="41"/>
    <x v="27"/>
    <x v="3"/>
    <s v="File"/>
    <n v="5"/>
    <n v="6830"/>
    <n v="0.15"/>
    <n v="29027.5"/>
    <n v="2762.79"/>
    <x v="1"/>
    <x v="6"/>
    <x v="1"/>
  </r>
  <r>
    <s v="ORD02775"/>
    <s v="2023-10-02"/>
    <x v="42"/>
    <x v="22"/>
    <x v="1"/>
    <s v="Camera"/>
    <n v="1"/>
    <n v="47985"/>
    <n v="0.2"/>
    <n v="38388"/>
    <n v="6483.03"/>
    <x v="0"/>
    <x v="0"/>
    <x v="1"/>
  </r>
  <r>
    <s v="ORD02776"/>
    <s v="2023-11-24"/>
    <x v="10"/>
    <x v="6"/>
    <x v="2"/>
    <s v="Jeans"/>
    <n v="14"/>
    <n v="1684"/>
    <n v="0.15"/>
    <n v="20039.599999999999"/>
    <n v="5540.73"/>
    <x v="1"/>
    <x v="4"/>
    <x v="1"/>
  </r>
  <r>
    <s v="ORD02777"/>
    <s v="2023-08-28"/>
    <x v="12"/>
    <x v="17"/>
    <x v="1"/>
    <s v="Power Bank"/>
    <n v="10"/>
    <n v="20974"/>
    <n v="0"/>
    <n v="209740"/>
    <n v="48825.65"/>
    <x v="3"/>
    <x v="8"/>
    <x v="1"/>
  </r>
  <r>
    <s v="ORD02778"/>
    <s v="2024-05-29"/>
    <x v="0"/>
    <x v="27"/>
    <x v="3"/>
    <s v="File"/>
    <n v="7"/>
    <n v="50050"/>
    <n v="0"/>
    <n v="350350"/>
    <n v="47633.47"/>
    <x v="3"/>
    <x v="6"/>
    <x v="0"/>
  </r>
  <r>
    <s v="ORD02779"/>
    <s v="2023-05-19"/>
    <x v="35"/>
    <x v="5"/>
    <x v="0"/>
    <s v="Cupboard"/>
    <n v="6"/>
    <n v="1670"/>
    <n v="0.15"/>
    <n v="8517"/>
    <n v="2315.58"/>
    <x v="1"/>
    <x v="6"/>
    <x v="1"/>
  </r>
  <r>
    <s v="ORD02780"/>
    <s v="2024-01-08"/>
    <x v="28"/>
    <x v="9"/>
    <x v="1"/>
    <s v="Keyboard"/>
    <n v="3"/>
    <n v="36832"/>
    <n v="0.2"/>
    <n v="88396.800000000003"/>
    <n v="20458.16"/>
    <x v="3"/>
    <x v="3"/>
    <x v="0"/>
  </r>
  <r>
    <s v="ORD02781"/>
    <s v="2024-03-10"/>
    <x v="8"/>
    <x v="22"/>
    <x v="1"/>
    <s v="Camera"/>
    <n v="2"/>
    <n v="13110"/>
    <n v="0.15"/>
    <n v="22287"/>
    <n v="3147.85"/>
    <x v="2"/>
    <x v="7"/>
    <x v="0"/>
  </r>
  <r>
    <s v="ORD02782"/>
    <s v="2023-05-13"/>
    <x v="48"/>
    <x v="13"/>
    <x v="2"/>
    <s v="Jacket"/>
    <n v="5"/>
    <n v="50484"/>
    <n v="0.05"/>
    <n v="239799"/>
    <n v="55493.35"/>
    <x v="3"/>
    <x v="6"/>
    <x v="1"/>
  </r>
  <r>
    <s v="ORD02783"/>
    <s v="2024-02-16"/>
    <x v="5"/>
    <x v="0"/>
    <x v="0"/>
    <s v="Chair"/>
    <n v="15"/>
    <n v="25773"/>
    <n v="0"/>
    <n v="386595"/>
    <n v="83794.3"/>
    <x v="3"/>
    <x v="11"/>
    <x v="0"/>
  </r>
  <r>
    <s v="ORD02784"/>
    <s v="2024-10-13"/>
    <x v="3"/>
    <x v="11"/>
    <x v="3"/>
    <s v="Printer"/>
    <n v="15"/>
    <n v="55687"/>
    <n v="0"/>
    <n v="835305"/>
    <n v="231060.17"/>
    <x v="1"/>
    <x v="0"/>
    <x v="0"/>
  </r>
  <r>
    <s v="ORD02785"/>
    <s v="2024-07-02"/>
    <x v="9"/>
    <x v="3"/>
    <x v="3"/>
    <s v="Stapler"/>
    <n v="3"/>
    <n v="37570"/>
    <n v="0"/>
    <n v="112710"/>
    <n v="30948.31"/>
    <x v="1"/>
    <x v="1"/>
    <x v="0"/>
  </r>
  <r>
    <s v="ORD02786"/>
    <s v="2024-08-04"/>
    <x v="42"/>
    <x v="26"/>
    <x v="3"/>
    <s v="Paper Ream"/>
    <n v="5"/>
    <n v="35246"/>
    <n v="0"/>
    <n v="176230"/>
    <n v="52591.78"/>
    <x v="3"/>
    <x v="8"/>
    <x v="0"/>
  </r>
  <r>
    <s v="ORD02787"/>
    <s v="2023-10-29"/>
    <x v="42"/>
    <x v="11"/>
    <x v="3"/>
    <s v="Printer"/>
    <n v="2"/>
    <n v="27542"/>
    <n v="0.15"/>
    <n v="46821.4"/>
    <n v="6636.2"/>
    <x v="0"/>
    <x v="0"/>
    <x v="1"/>
  </r>
  <r>
    <s v="ORD02788"/>
    <s v="2024-07-29"/>
    <x v="5"/>
    <x v="4"/>
    <x v="0"/>
    <s v="Stool"/>
    <n v="9"/>
    <n v="5705"/>
    <n v="0.2"/>
    <n v="41076"/>
    <n v="6992.92"/>
    <x v="2"/>
    <x v="1"/>
    <x v="0"/>
  </r>
  <r>
    <s v="ORD02789"/>
    <s v="2024-03-07"/>
    <x v="9"/>
    <x v="14"/>
    <x v="2"/>
    <s v="Dress"/>
    <n v="12"/>
    <n v="18327"/>
    <n v="0"/>
    <n v="219924"/>
    <n v="40370.559999999998"/>
    <x v="3"/>
    <x v="7"/>
    <x v="0"/>
  </r>
  <r>
    <s v="ORD02790"/>
    <s v="2024-03-05"/>
    <x v="48"/>
    <x v="15"/>
    <x v="0"/>
    <s v="Sofa"/>
    <n v="9"/>
    <n v="5281"/>
    <n v="0.2"/>
    <n v="38023.199999999997"/>
    <n v="10202.59"/>
    <x v="1"/>
    <x v="7"/>
    <x v="0"/>
  </r>
  <r>
    <s v="ORD02791"/>
    <s v="2024-03-29"/>
    <x v="21"/>
    <x v="14"/>
    <x v="2"/>
    <s v="Dress"/>
    <n v="6"/>
    <n v="25117"/>
    <n v="0.1"/>
    <n v="135631.79999999999"/>
    <n v="35852.22"/>
    <x v="1"/>
    <x v="7"/>
    <x v="0"/>
  </r>
  <r>
    <s v="ORD02792"/>
    <s v="2023-12-05"/>
    <x v="28"/>
    <x v="19"/>
    <x v="1"/>
    <s v="Smartwatch"/>
    <n v="15"/>
    <n v="48921"/>
    <n v="0"/>
    <n v="733815"/>
    <n v="93579.27"/>
    <x v="1"/>
    <x v="9"/>
    <x v="1"/>
  </r>
  <r>
    <s v="ORD02793"/>
    <s v="2023-02-06"/>
    <x v="1"/>
    <x v="8"/>
    <x v="2"/>
    <s v="Sweater"/>
    <n v="11"/>
    <n v="46402"/>
    <n v="0.15"/>
    <n v="433858.7"/>
    <n v="66551.83"/>
    <x v="1"/>
    <x v="11"/>
    <x v="1"/>
  </r>
  <r>
    <s v="ORD02794"/>
    <s v="2024-09-23"/>
    <x v="9"/>
    <x v="21"/>
    <x v="1"/>
    <s v="Laptop"/>
    <n v="4"/>
    <n v="58205"/>
    <n v="0.1"/>
    <n v="209538"/>
    <n v="26623.08"/>
    <x v="2"/>
    <x v="10"/>
    <x v="0"/>
  </r>
  <r>
    <s v="ORD02795"/>
    <s v="2024-07-08"/>
    <x v="16"/>
    <x v="5"/>
    <x v="0"/>
    <s v="Cupboard"/>
    <n v="11"/>
    <n v="15677"/>
    <n v="0.05"/>
    <n v="163824.65"/>
    <n v="21221.59"/>
    <x v="2"/>
    <x v="1"/>
    <x v="0"/>
  </r>
  <r>
    <s v="ORD02796"/>
    <s v="2024-05-24"/>
    <x v="13"/>
    <x v="14"/>
    <x v="2"/>
    <s v="Dress"/>
    <n v="5"/>
    <n v="43218"/>
    <n v="0.1"/>
    <n v="194481"/>
    <n v="34383.07"/>
    <x v="0"/>
    <x v="6"/>
    <x v="0"/>
  </r>
  <r>
    <s v="ORD02797"/>
    <s v="2023-09-16"/>
    <x v="25"/>
    <x v="14"/>
    <x v="2"/>
    <s v="Dress"/>
    <n v="13"/>
    <n v="33968"/>
    <n v="0.15"/>
    <n v="375346.4"/>
    <n v="55015.94"/>
    <x v="0"/>
    <x v="10"/>
    <x v="1"/>
  </r>
  <r>
    <s v="ORD02798"/>
    <s v="2023-10-06"/>
    <x v="17"/>
    <x v="15"/>
    <x v="0"/>
    <s v="Sofa"/>
    <n v="7"/>
    <n v="37398"/>
    <n v="0.2"/>
    <n v="209428.8"/>
    <n v="23599.52"/>
    <x v="1"/>
    <x v="0"/>
    <x v="1"/>
  </r>
  <r>
    <s v="ORD02799"/>
    <s v="2024-07-04"/>
    <x v="7"/>
    <x v="11"/>
    <x v="3"/>
    <s v="Printer"/>
    <n v="12"/>
    <n v="39305"/>
    <n v="0.1"/>
    <n v="424494"/>
    <n v="74270.210000000006"/>
    <x v="0"/>
    <x v="1"/>
    <x v="0"/>
  </r>
  <r>
    <s v="ORD02800"/>
    <s v="2024-09-23"/>
    <x v="17"/>
    <x v="25"/>
    <x v="3"/>
    <s v="Notebook"/>
    <n v="8"/>
    <n v="39769"/>
    <n v="0.05"/>
    <n v="302244.40000000002"/>
    <n v="61157.3"/>
    <x v="2"/>
    <x v="10"/>
    <x v="0"/>
  </r>
  <r>
    <s v="ORD02801"/>
    <s v="2024-02-05"/>
    <x v="34"/>
    <x v="21"/>
    <x v="1"/>
    <s v="Laptop"/>
    <n v="3"/>
    <n v="43732"/>
    <n v="0.1"/>
    <n v="118076.4"/>
    <n v="30719.72"/>
    <x v="3"/>
    <x v="11"/>
    <x v="0"/>
  </r>
  <r>
    <s v="ORD02802"/>
    <s v="2023-05-29"/>
    <x v="14"/>
    <x v="2"/>
    <x v="2"/>
    <s v="Shoes"/>
    <n v="13"/>
    <n v="16702"/>
    <n v="0.15"/>
    <n v="184557.1"/>
    <n v="23799.79"/>
    <x v="3"/>
    <x v="6"/>
    <x v="1"/>
  </r>
  <r>
    <s v="ORD02803"/>
    <s v="2024-11-02"/>
    <x v="23"/>
    <x v="23"/>
    <x v="0"/>
    <s v="Desk"/>
    <n v="12"/>
    <n v="32980"/>
    <n v="0.15"/>
    <n v="336396"/>
    <n v="50197.47"/>
    <x v="3"/>
    <x v="4"/>
    <x v="0"/>
  </r>
  <r>
    <s v="ORD02804"/>
    <s v="2023-09-21"/>
    <x v="6"/>
    <x v="4"/>
    <x v="0"/>
    <s v="Stool"/>
    <n v="10"/>
    <n v="37779"/>
    <n v="0.1"/>
    <n v="340011"/>
    <n v="89435.24"/>
    <x v="1"/>
    <x v="10"/>
    <x v="1"/>
  </r>
  <r>
    <s v="ORD02805"/>
    <s v="2024-04-18"/>
    <x v="10"/>
    <x v="1"/>
    <x v="1"/>
    <s v="Mobile"/>
    <n v="14"/>
    <n v="34628"/>
    <n v="0.1"/>
    <n v="436312.8"/>
    <n v="56325.71"/>
    <x v="2"/>
    <x v="2"/>
    <x v="0"/>
  </r>
  <r>
    <s v="ORD02806"/>
    <s v="2024-09-22"/>
    <x v="13"/>
    <x v="10"/>
    <x v="3"/>
    <s v="Marker"/>
    <n v="8"/>
    <n v="24084"/>
    <n v="0.15"/>
    <n v="163771.20000000001"/>
    <n v="34261.22"/>
    <x v="0"/>
    <x v="10"/>
    <x v="0"/>
  </r>
  <r>
    <s v="ORD02807"/>
    <s v="2023-07-15"/>
    <x v="13"/>
    <x v="27"/>
    <x v="3"/>
    <s v="File"/>
    <n v="12"/>
    <n v="750"/>
    <n v="0.05"/>
    <n v="8550"/>
    <n v="1048.74"/>
    <x v="3"/>
    <x v="1"/>
    <x v="1"/>
  </r>
  <r>
    <s v="ORD02808"/>
    <s v="2023-06-30"/>
    <x v="22"/>
    <x v="22"/>
    <x v="1"/>
    <s v="Camera"/>
    <n v="1"/>
    <n v="32196"/>
    <n v="0.1"/>
    <n v="28976.400000000001"/>
    <n v="7772.08"/>
    <x v="2"/>
    <x v="5"/>
    <x v="1"/>
  </r>
  <r>
    <s v="ORD02809"/>
    <s v="2024-08-17"/>
    <x v="0"/>
    <x v="21"/>
    <x v="1"/>
    <s v="Laptop"/>
    <n v="6"/>
    <n v="47961"/>
    <n v="0"/>
    <n v="287766"/>
    <n v="57771.47"/>
    <x v="0"/>
    <x v="8"/>
    <x v="0"/>
  </r>
  <r>
    <s v="ORD02810"/>
    <s v="2023-04-24"/>
    <x v="39"/>
    <x v="26"/>
    <x v="3"/>
    <s v="Paper Ream"/>
    <n v="15"/>
    <n v="28479"/>
    <n v="0.05"/>
    <n v="405825.75"/>
    <n v="69890.570000000007"/>
    <x v="1"/>
    <x v="2"/>
    <x v="1"/>
  </r>
  <r>
    <s v="ORD02811"/>
    <s v="2024-07-16"/>
    <x v="11"/>
    <x v="1"/>
    <x v="1"/>
    <s v="Mobile"/>
    <n v="6"/>
    <n v="34820"/>
    <n v="0.15"/>
    <n v="177582"/>
    <n v="24944.18"/>
    <x v="0"/>
    <x v="1"/>
    <x v="0"/>
  </r>
  <r>
    <s v="ORD02812"/>
    <s v="2024-09-15"/>
    <x v="8"/>
    <x v="3"/>
    <x v="3"/>
    <s v="Stapler"/>
    <n v="10"/>
    <n v="18301"/>
    <n v="0.05"/>
    <n v="173859.5"/>
    <n v="16566.55"/>
    <x v="0"/>
    <x v="10"/>
    <x v="0"/>
  </r>
  <r>
    <s v="ORD02813"/>
    <s v="2024-06-01"/>
    <x v="31"/>
    <x v="26"/>
    <x v="3"/>
    <s v="Paper Ream"/>
    <n v="11"/>
    <n v="47396"/>
    <n v="0.2"/>
    <n v="417084.8"/>
    <n v="73834.14"/>
    <x v="1"/>
    <x v="5"/>
    <x v="0"/>
  </r>
  <r>
    <s v="ORD02814"/>
    <s v="2023-07-03"/>
    <x v="29"/>
    <x v="15"/>
    <x v="0"/>
    <s v="Sofa"/>
    <n v="4"/>
    <n v="59540"/>
    <n v="0.05"/>
    <n v="226252"/>
    <n v="50198.79"/>
    <x v="0"/>
    <x v="1"/>
    <x v="1"/>
  </r>
  <r>
    <s v="ORD02815"/>
    <s v="2024-07-23"/>
    <x v="31"/>
    <x v="0"/>
    <x v="0"/>
    <s v="Chair"/>
    <n v="7"/>
    <n v="8214"/>
    <n v="0"/>
    <n v="57498"/>
    <n v="10144.84"/>
    <x v="3"/>
    <x v="1"/>
    <x v="0"/>
  </r>
  <r>
    <s v="ORD02816"/>
    <s v="2023-08-19"/>
    <x v="6"/>
    <x v="6"/>
    <x v="2"/>
    <s v="Jeans"/>
    <n v="3"/>
    <n v="45198"/>
    <n v="0.1"/>
    <n v="122034.6"/>
    <n v="20879.79"/>
    <x v="2"/>
    <x v="8"/>
    <x v="1"/>
  </r>
  <r>
    <s v="ORD02817"/>
    <s v="2023-11-18"/>
    <x v="14"/>
    <x v="26"/>
    <x v="3"/>
    <s v="Paper Ream"/>
    <n v="10"/>
    <n v="16820"/>
    <n v="0.1"/>
    <n v="151380"/>
    <n v="25494.45"/>
    <x v="1"/>
    <x v="4"/>
    <x v="1"/>
  </r>
  <r>
    <s v="ORD02818"/>
    <s v="2023-04-11"/>
    <x v="18"/>
    <x v="19"/>
    <x v="1"/>
    <s v="Smartwatch"/>
    <n v="12"/>
    <n v="8386"/>
    <n v="0.15"/>
    <n v="85537.2"/>
    <n v="22200.85"/>
    <x v="3"/>
    <x v="2"/>
    <x v="1"/>
  </r>
  <r>
    <s v="ORD02819"/>
    <s v="2024-07-11"/>
    <x v="15"/>
    <x v="20"/>
    <x v="1"/>
    <s v="Tablet"/>
    <n v="5"/>
    <n v="2936"/>
    <n v="0.2"/>
    <n v="11744"/>
    <n v="1899.96"/>
    <x v="0"/>
    <x v="1"/>
    <x v="0"/>
  </r>
  <r>
    <s v="ORD02820"/>
    <s v="2024-02-10"/>
    <x v="28"/>
    <x v="13"/>
    <x v="2"/>
    <s v="Jacket"/>
    <n v="7"/>
    <n v="55797"/>
    <n v="0.2"/>
    <n v="312463.2"/>
    <n v="56040.959999999999"/>
    <x v="1"/>
    <x v="11"/>
    <x v="0"/>
  </r>
  <r>
    <s v="ORD02821"/>
    <s v="2023-02-26"/>
    <x v="18"/>
    <x v="1"/>
    <x v="1"/>
    <s v="Mobile"/>
    <n v="14"/>
    <n v="14437"/>
    <n v="0.1"/>
    <n v="181906.2"/>
    <n v="16915.63"/>
    <x v="2"/>
    <x v="11"/>
    <x v="1"/>
  </r>
  <r>
    <s v="ORD02822"/>
    <s v="2024-05-22"/>
    <x v="47"/>
    <x v="15"/>
    <x v="0"/>
    <s v="Sofa"/>
    <n v="8"/>
    <n v="40959"/>
    <n v="0.1"/>
    <n v="294904.8"/>
    <n v="67219.87"/>
    <x v="2"/>
    <x v="6"/>
    <x v="0"/>
  </r>
  <r>
    <s v="ORD02823"/>
    <s v="2024-09-13"/>
    <x v="32"/>
    <x v="2"/>
    <x v="2"/>
    <s v="Shoes"/>
    <n v="9"/>
    <n v="19585"/>
    <n v="0.15"/>
    <n v="149825.25"/>
    <n v="32109.62"/>
    <x v="2"/>
    <x v="10"/>
    <x v="0"/>
  </r>
  <r>
    <s v="ORD02824"/>
    <s v="2023-12-17"/>
    <x v="7"/>
    <x v="22"/>
    <x v="1"/>
    <s v="Camera"/>
    <n v="10"/>
    <n v="31337"/>
    <n v="0.05"/>
    <n v="297701.5"/>
    <n v="39138.639999999999"/>
    <x v="3"/>
    <x v="9"/>
    <x v="1"/>
  </r>
  <r>
    <s v="ORD02825"/>
    <s v="2023-04-08"/>
    <x v="6"/>
    <x v="15"/>
    <x v="0"/>
    <s v="Sofa"/>
    <n v="8"/>
    <n v="5808"/>
    <n v="0"/>
    <n v="46464"/>
    <n v="7192.14"/>
    <x v="0"/>
    <x v="2"/>
    <x v="1"/>
  </r>
  <r>
    <s v="ORD02826"/>
    <s v="2024-01-05"/>
    <x v="11"/>
    <x v="2"/>
    <x v="2"/>
    <s v="Shoes"/>
    <n v="14"/>
    <n v="38754"/>
    <n v="0"/>
    <n v="542556"/>
    <n v="105534.9"/>
    <x v="2"/>
    <x v="3"/>
    <x v="0"/>
  </r>
  <r>
    <s v="ORD02827"/>
    <s v="2023-01-30"/>
    <x v="31"/>
    <x v="8"/>
    <x v="2"/>
    <s v="Sweater"/>
    <n v="12"/>
    <n v="33237"/>
    <n v="0.1"/>
    <n v="358959.6"/>
    <n v="76483.83"/>
    <x v="2"/>
    <x v="3"/>
    <x v="1"/>
  </r>
  <r>
    <s v="ORD02828"/>
    <s v="2023-09-06"/>
    <x v="41"/>
    <x v="2"/>
    <x v="2"/>
    <s v="Shoes"/>
    <n v="2"/>
    <n v="45233"/>
    <n v="0.05"/>
    <n v="85942.7"/>
    <n v="20036.009999999998"/>
    <x v="2"/>
    <x v="10"/>
    <x v="1"/>
  </r>
  <r>
    <s v="ORD02829"/>
    <s v="2024-10-30"/>
    <x v="8"/>
    <x v="1"/>
    <x v="1"/>
    <s v="Mobile"/>
    <n v="6"/>
    <n v="38691"/>
    <n v="0.15"/>
    <n v="197324.1"/>
    <n v="50063.91"/>
    <x v="1"/>
    <x v="0"/>
    <x v="0"/>
  </r>
  <r>
    <s v="ORD02830"/>
    <s v="2023-10-21"/>
    <x v="25"/>
    <x v="8"/>
    <x v="2"/>
    <s v="Sweater"/>
    <n v="1"/>
    <n v="10559"/>
    <n v="0.15"/>
    <n v="8975.15"/>
    <n v="1107.05"/>
    <x v="3"/>
    <x v="0"/>
    <x v="1"/>
  </r>
  <r>
    <s v="ORD02831"/>
    <s v="2024-03-23"/>
    <x v="46"/>
    <x v="22"/>
    <x v="1"/>
    <s v="Camera"/>
    <n v="8"/>
    <n v="19632"/>
    <n v="0.05"/>
    <n v="149203.20000000001"/>
    <n v="21156.84"/>
    <x v="3"/>
    <x v="7"/>
    <x v="0"/>
  </r>
  <r>
    <s v="ORD02832"/>
    <s v="2024-05-11"/>
    <x v="35"/>
    <x v="2"/>
    <x v="2"/>
    <s v="Shoes"/>
    <n v="13"/>
    <n v="35320"/>
    <n v="0.15"/>
    <n v="390286"/>
    <n v="89842.03"/>
    <x v="2"/>
    <x v="6"/>
    <x v="0"/>
  </r>
  <r>
    <s v="ORD02833"/>
    <s v="2023-08-22"/>
    <x v="24"/>
    <x v="24"/>
    <x v="2"/>
    <s v="T-Shirt"/>
    <n v="4"/>
    <n v="15312"/>
    <n v="0.05"/>
    <n v="58185.599999999999"/>
    <n v="6160.17"/>
    <x v="1"/>
    <x v="8"/>
    <x v="1"/>
  </r>
  <r>
    <s v="ORD02834"/>
    <s v="2024-01-15"/>
    <x v="45"/>
    <x v="24"/>
    <x v="2"/>
    <s v="T-Shirt"/>
    <n v="11"/>
    <n v="27550"/>
    <n v="0.1"/>
    <n v="272745"/>
    <n v="73905.03"/>
    <x v="0"/>
    <x v="3"/>
    <x v="0"/>
  </r>
  <r>
    <s v="ORD02835"/>
    <s v="2023-06-16"/>
    <x v="7"/>
    <x v="21"/>
    <x v="1"/>
    <s v="Laptop"/>
    <n v="3"/>
    <n v="10194"/>
    <n v="0"/>
    <n v="30582"/>
    <n v="9112.5"/>
    <x v="2"/>
    <x v="5"/>
    <x v="1"/>
  </r>
  <r>
    <s v="ORD02836"/>
    <s v="2024-08-24"/>
    <x v="0"/>
    <x v="12"/>
    <x v="1"/>
    <s v="Headphones"/>
    <n v="10"/>
    <n v="31964"/>
    <n v="0"/>
    <n v="319640"/>
    <n v="83450.34"/>
    <x v="3"/>
    <x v="8"/>
    <x v="0"/>
  </r>
  <r>
    <s v="ORD02837"/>
    <s v="2023-10-31"/>
    <x v="1"/>
    <x v="0"/>
    <x v="0"/>
    <s v="Chair"/>
    <n v="13"/>
    <n v="45349"/>
    <n v="0.05"/>
    <n v="560060.15"/>
    <n v="86457.42"/>
    <x v="1"/>
    <x v="0"/>
    <x v="1"/>
  </r>
  <r>
    <s v="ORD02838"/>
    <s v="2023-09-25"/>
    <x v="34"/>
    <x v="18"/>
    <x v="0"/>
    <s v="Table"/>
    <n v="5"/>
    <n v="14586"/>
    <n v="0.2"/>
    <n v="58344"/>
    <n v="12623.91"/>
    <x v="1"/>
    <x v="10"/>
    <x v="1"/>
  </r>
  <r>
    <s v="ORD02839"/>
    <s v="2023-08-14"/>
    <x v="31"/>
    <x v="10"/>
    <x v="3"/>
    <s v="Marker"/>
    <n v="1"/>
    <n v="45259"/>
    <n v="0.15"/>
    <n v="38470.15"/>
    <n v="7473.92"/>
    <x v="2"/>
    <x v="8"/>
    <x v="1"/>
  </r>
  <r>
    <s v="ORD02840"/>
    <s v="2024-02-09"/>
    <x v="29"/>
    <x v="18"/>
    <x v="0"/>
    <s v="Table"/>
    <n v="6"/>
    <n v="41677"/>
    <n v="0.15"/>
    <n v="212552.7"/>
    <n v="35525.83"/>
    <x v="3"/>
    <x v="11"/>
    <x v="0"/>
  </r>
  <r>
    <s v="ORD02841"/>
    <s v="2023-11-08"/>
    <x v="38"/>
    <x v="24"/>
    <x v="2"/>
    <s v="T-Shirt"/>
    <n v="3"/>
    <n v="12187"/>
    <n v="0.1"/>
    <n v="32904.9"/>
    <n v="4897.6899999999996"/>
    <x v="3"/>
    <x v="4"/>
    <x v="1"/>
  </r>
  <r>
    <s v="ORD02842"/>
    <s v="2024-09-05"/>
    <x v="6"/>
    <x v="14"/>
    <x v="2"/>
    <s v="Dress"/>
    <n v="6"/>
    <n v="7866"/>
    <n v="0.2"/>
    <n v="37756.800000000003"/>
    <n v="8006.17"/>
    <x v="0"/>
    <x v="10"/>
    <x v="0"/>
  </r>
  <r>
    <s v="ORD02843"/>
    <s v="2024-03-16"/>
    <x v="21"/>
    <x v="0"/>
    <x v="0"/>
    <s v="Chair"/>
    <n v="7"/>
    <n v="33858"/>
    <n v="0.2"/>
    <n v="189604.8"/>
    <n v="25589"/>
    <x v="2"/>
    <x v="7"/>
    <x v="0"/>
  </r>
  <r>
    <s v="ORD02844"/>
    <s v="2024-04-08"/>
    <x v="41"/>
    <x v="12"/>
    <x v="1"/>
    <s v="Headphones"/>
    <n v="4"/>
    <n v="51024"/>
    <n v="0.15"/>
    <n v="173481.60000000001"/>
    <n v="24343.33"/>
    <x v="2"/>
    <x v="2"/>
    <x v="0"/>
  </r>
  <r>
    <s v="ORD02845"/>
    <s v="2024-11-03"/>
    <x v="24"/>
    <x v="10"/>
    <x v="3"/>
    <s v="Marker"/>
    <n v="1"/>
    <n v="20138"/>
    <n v="0.15"/>
    <n v="17117.3"/>
    <n v="1969.04"/>
    <x v="2"/>
    <x v="4"/>
    <x v="0"/>
  </r>
  <r>
    <s v="ORD02846"/>
    <s v="2023-12-24"/>
    <x v="41"/>
    <x v="23"/>
    <x v="0"/>
    <s v="Desk"/>
    <n v="10"/>
    <n v="30445"/>
    <n v="0.2"/>
    <n v="243560"/>
    <n v="62655.46"/>
    <x v="2"/>
    <x v="9"/>
    <x v="1"/>
  </r>
  <r>
    <s v="ORD02847"/>
    <s v="2023-12-11"/>
    <x v="0"/>
    <x v="13"/>
    <x v="2"/>
    <s v="Jacket"/>
    <n v="9"/>
    <n v="53725"/>
    <n v="0.1"/>
    <n v="435172.5"/>
    <n v="66449.990000000005"/>
    <x v="2"/>
    <x v="9"/>
    <x v="1"/>
  </r>
  <r>
    <s v="ORD02848"/>
    <s v="2023-08-31"/>
    <x v="32"/>
    <x v="2"/>
    <x v="2"/>
    <s v="Shoes"/>
    <n v="9"/>
    <n v="47649"/>
    <n v="0.2"/>
    <n v="343072.8"/>
    <n v="35945.5"/>
    <x v="1"/>
    <x v="8"/>
    <x v="1"/>
  </r>
  <r>
    <s v="ORD02849"/>
    <s v="2024-03-10"/>
    <x v="15"/>
    <x v="22"/>
    <x v="1"/>
    <s v="Camera"/>
    <n v="7"/>
    <n v="58098"/>
    <n v="0.05"/>
    <n v="386351.7"/>
    <n v="31808.59"/>
    <x v="2"/>
    <x v="7"/>
    <x v="0"/>
  </r>
  <r>
    <s v="ORD02850"/>
    <s v="2023-05-29"/>
    <x v="21"/>
    <x v="3"/>
    <x v="3"/>
    <s v="Stapler"/>
    <n v="11"/>
    <n v="56095"/>
    <n v="0.1"/>
    <n v="555340.5"/>
    <n v="127259.16"/>
    <x v="0"/>
    <x v="6"/>
    <x v="1"/>
  </r>
  <r>
    <s v="ORD02851"/>
    <s v="2023-02-19"/>
    <x v="9"/>
    <x v="17"/>
    <x v="1"/>
    <s v="Power Bank"/>
    <n v="10"/>
    <n v="32979"/>
    <n v="0"/>
    <n v="329790"/>
    <n v="83929.9"/>
    <x v="1"/>
    <x v="11"/>
    <x v="1"/>
  </r>
  <r>
    <s v="ORD02852"/>
    <s v="2023-05-24"/>
    <x v="39"/>
    <x v="15"/>
    <x v="0"/>
    <s v="Sofa"/>
    <n v="8"/>
    <n v="51675"/>
    <n v="0.15"/>
    <n v="351390"/>
    <n v="33856.15"/>
    <x v="2"/>
    <x v="6"/>
    <x v="1"/>
  </r>
  <r>
    <s v="ORD02853"/>
    <s v="2024-11-29"/>
    <x v="47"/>
    <x v="15"/>
    <x v="0"/>
    <s v="Sofa"/>
    <n v="6"/>
    <n v="24786"/>
    <n v="0.05"/>
    <n v="141280.20000000001"/>
    <n v="14300.77"/>
    <x v="3"/>
    <x v="4"/>
    <x v="0"/>
  </r>
  <r>
    <s v="ORD02854"/>
    <s v="2023-01-16"/>
    <x v="17"/>
    <x v="21"/>
    <x v="1"/>
    <s v="Laptop"/>
    <n v="13"/>
    <n v="51788"/>
    <n v="0.15"/>
    <n v="572257.4"/>
    <n v="118392.97"/>
    <x v="2"/>
    <x v="3"/>
    <x v="1"/>
  </r>
  <r>
    <s v="ORD02855"/>
    <s v="2024-10-25"/>
    <x v="21"/>
    <x v="27"/>
    <x v="3"/>
    <s v="File"/>
    <n v="5"/>
    <n v="33864"/>
    <n v="0.15"/>
    <n v="143922"/>
    <n v="37048.769999999997"/>
    <x v="0"/>
    <x v="0"/>
    <x v="0"/>
  </r>
  <r>
    <s v="ORD02856"/>
    <s v="2024-02-28"/>
    <x v="48"/>
    <x v="17"/>
    <x v="1"/>
    <s v="Power Bank"/>
    <n v="7"/>
    <n v="25517"/>
    <n v="0"/>
    <n v="178619"/>
    <n v="44103.37"/>
    <x v="2"/>
    <x v="11"/>
    <x v="0"/>
  </r>
  <r>
    <s v="ORD02857"/>
    <s v="2024-03-11"/>
    <x v="9"/>
    <x v="4"/>
    <x v="0"/>
    <s v="Stool"/>
    <n v="3"/>
    <n v="54494"/>
    <n v="0"/>
    <n v="163482"/>
    <n v="26124.7"/>
    <x v="0"/>
    <x v="7"/>
    <x v="0"/>
  </r>
  <r>
    <s v="ORD02858"/>
    <s v="2024-05-04"/>
    <x v="31"/>
    <x v="7"/>
    <x v="0"/>
    <s v="Bed"/>
    <n v="9"/>
    <n v="7044"/>
    <n v="0.2"/>
    <n v="50716.800000000003"/>
    <n v="15097.16"/>
    <x v="3"/>
    <x v="6"/>
    <x v="0"/>
  </r>
  <r>
    <s v="ORD02859"/>
    <s v="2024-04-14"/>
    <x v="29"/>
    <x v="4"/>
    <x v="0"/>
    <s v="Stool"/>
    <n v="15"/>
    <n v="29635"/>
    <n v="0.1"/>
    <n v="400072.5"/>
    <n v="43376.53"/>
    <x v="0"/>
    <x v="2"/>
    <x v="0"/>
  </r>
  <r>
    <s v="ORD02860"/>
    <s v="2023-02-24"/>
    <x v="2"/>
    <x v="22"/>
    <x v="1"/>
    <s v="Camera"/>
    <n v="12"/>
    <n v="27917"/>
    <n v="0.15"/>
    <n v="284753.40000000002"/>
    <n v="62061.89"/>
    <x v="3"/>
    <x v="11"/>
    <x v="1"/>
  </r>
  <r>
    <s v="ORD02861"/>
    <s v="2023-05-15"/>
    <x v="41"/>
    <x v="25"/>
    <x v="3"/>
    <s v="Notebook"/>
    <n v="15"/>
    <n v="22158"/>
    <n v="0"/>
    <n v="332370"/>
    <n v="78301.62"/>
    <x v="2"/>
    <x v="6"/>
    <x v="1"/>
  </r>
  <r>
    <s v="ORD02862"/>
    <s v="2023-11-21"/>
    <x v="6"/>
    <x v="1"/>
    <x v="1"/>
    <s v="Mobile"/>
    <n v="1"/>
    <n v="31299"/>
    <n v="0.15"/>
    <n v="26604.15"/>
    <n v="6825.37"/>
    <x v="1"/>
    <x v="4"/>
    <x v="1"/>
  </r>
  <r>
    <s v="ORD02863"/>
    <s v="2024-05-28"/>
    <x v="20"/>
    <x v="15"/>
    <x v="0"/>
    <s v="Sofa"/>
    <n v="3"/>
    <n v="3611"/>
    <n v="0"/>
    <n v="10833"/>
    <n v="1210.0999999999999"/>
    <x v="1"/>
    <x v="6"/>
    <x v="0"/>
  </r>
  <r>
    <s v="ORD02864"/>
    <s v="2023-04-08"/>
    <x v="28"/>
    <x v="1"/>
    <x v="1"/>
    <s v="Mobile"/>
    <n v="2"/>
    <n v="50826"/>
    <n v="0"/>
    <n v="101652"/>
    <n v="10619.96"/>
    <x v="3"/>
    <x v="2"/>
    <x v="1"/>
  </r>
  <r>
    <s v="ORD02865"/>
    <s v="2024-03-22"/>
    <x v="47"/>
    <x v="18"/>
    <x v="0"/>
    <s v="Table"/>
    <n v="10"/>
    <n v="15424"/>
    <n v="0.05"/>
    <n v="146528"/>
    <n v="26960.65"/>
    <x v="1"/>
    <x v="7"/>
    <x v="0"/>
  </r>
  <r>
    <s v="ORD02866"/>
    <s v="2024-08-10"/>
    <x v="35"/>
    <x v="15"/>
    <x v="0"/>
    <s v="Sofa"/>
    <n v="1"/>
    <n v="8920"/>
    <n v="0.15"/>
    <n v="7582"/>
    <n v="1779.47"/>
    <x v="1"/>
    <x v="8"/>
    <x v="0"/>
  </r>
  <r>
    <s v="ORD02867"/>
    <s v="2023-10-28"/>
    <x v="18"/>
    <x v="26"/>
    <x v="3"/>
    <s v="Paper Ream"/>
    <n v="7"/>
    <n v="10766"/>
    <n v="0.2"/>
    <n v="60289.599999999999"/>
    <n v="16244.85"/>
    <x v="3"/>
    <x v="0"/>
    <x v="1"/>
  </r>
  <r>
    <s v="ORD02868"/>
    <s v="2023-01-20"/>
    <x v="17"/>
    <x v="3"/>
    <x v="3"/>
    <s v="Stapler"/>
    <n v="2"/>
    <n v="11804"/>
    <n v="0.1"/>
    <n v="21247.200000000001"/>
    <n v="2061.0700000000002"/>
    <x v="1"/>
    <x v="3"/>
    <x v="1"/>
  </r>
  <r>
    <s v="ORD02869"/>
    <s v="2023-09-05"/>
    <x v="34"/>
    <x v="4"/>
    <x v="0"/>
    <s v="Stool"/>
    <n v="8"/>
    <n v="18264"/>
    <n v="0"/>
    <n v="146112"/>
    <n v="18560.2"/>
    <x v="0"/>
    <x v="10"/>
    <x v="1"/>
  </r>
  <r>
    <s v="ORD02870"/>
    <s v="2024-10-20"/>
    <x v="10"/>
    <x v="23"/>
    <x v="0"/>
    <s v="Desk"/>
    <n v="11"/>
    <n v="42108"/>
    <n v="0"/>
    <n v="463188"/>
    <n v="47154.14"/>
    <x v="1"/>
    <x v="0"/>
    <x v="0"/>
  </r>
  <r>
    <s v="ORD02871"/>
    <s v="2023-09-12"/>
    <x v="11"/>
    <x v="10"/>
    <x v="3"/>
    <s v="Marker"/>
    <n v="5"/>
    <n v="3999"/>
    <n v="0.2"/>
    <n v="15996"/>
    <n v="4798.37"/>
    <x v="2"/>
    <x v="10"/>
    <x v="1"/>
  </r>
  <r>
    <s v="ORD02872"/>
    <s v="2024-08-31"/>
    <x v="36"/>
    <x v="3"/>
    <x v="3"/>
    <s v="Stapler"/>
    <n v="13"/>
    <n v="59055"/>
    <n v="0"/>
    <n v="767715"/>
    <n v="159803.31"/>
    <x v="3"/>
    <x v="8"/>
    <x v="0"/>
  </r>
  <r>
    <s v="ORD02873"/>
    <s v="2024-09-16"/>
    <x v="33"/>
    <x v="18"/>
    <x v="0"/>
    <s v="Table"/>
    <n v="1"/>
    <n v="49097"/>
    <n v="0.05"/>
    <n v="46642.15"/>
    <n v="7128.52"/>
    <x v="0"/>
    <x v="10"/>
    <x v="0"/>
  </r>
  <r>
    <s v="ORD02874"/>
    <s v="2023-05-25"/>
    <x v="7"/>
    <x v="24"/>
    <x v="2"/>
    <s v="T-Shirt"/>
    <n v="9"/>
    <n v="25892"/>
    <n v="0"/>
    <n v="233028"/>
    <n v="35886.81"/>
    <x v="1"/>
    <x v="6"/>
    <x v="1"/>
  </r>
  <r>
    <s v="ORD02875"/>
    <s v="2024-07-17"/>
    <x v="25"/>
    <x v="10"/>
    <x v="3"/>
    <s v="Marker"/>
    <n v="8"/>
    <n v="2127"/>
    <n v="0"/>
    <n v="17016"/>
    <n v="1644.8"/>
    <x v="1"/>
    <x v="1"/>
    <x v="0"/>
  </r>
  <r>
    <s v="ORD02876"/>
    <s v="2024-01-17"/>
    <x v="11"/>
    <x v="22"/>
    <x v="1"/>
    <s v="Camera"/>
    <n v="8"/>
    <n v="30141"/>
    <n v="0.15"/>
    <n v="204958.8"/>
    <n v="17183.330000000002"/>
    <x v="2"/>
    <x v="3"/>
    <x v="0"/>
  </r>
  <r>
    <s v="ORD02877"/>
    <s v="2024-04-23"/>
    <x v="48"/>
    <x v="24"/>
    <x v="2"/>
    <s v="T-Shirt"/>
    <n v="11"/>
    <n v="35682"/>
    <n v="0.15"/>
    <n v="333626.7"/>
    <n v="86758.720000000001"/>
    <x v="1"/>
    <x v="2"/>
    <x v="0"/>
  </r>
  <r>
    <s v="ORD02878"/>
    <s v="2023-07-07"/>
    <x v="22"/>
    <x v="2"/>
    <x v="2"/>
    <s v="Shoes"/>
    <n v="13"/>
    <n v="38522"/>
    <n v="0.1"/>
    <n v="450707.4"/>
    <n v="104092.31"/>
    <x v="0"/>
    <x v="1"/>
    <x v="1"/>
  </r>
  <r>
    <s v="ORD02879"/>
    <s v="2023-11-22"/>
    <x v="39"/>
    <x v="3"/>
    <x v="3"/>
    <s v="Stapler"/>
    <n v="11"/>
    <n v="27288"/>
    <n v="0.15"/>
    <n v="255142.8"/>
    <n v="33700.720000000001"/>
    <x v="1"/>
    <x v="4"/>
    <x v="1"/>
  </r>
  <r>
    <s v="ORD02880"/>
    <s v="2023-08-02"/>
    <x v="22"/>
    <x v="22"/>
    <x v="1"/>
    <s v="Camera"/>
    <n v="3"/>
    <n v="33522"/>
    <n v="0.2"/>
    <n v="80452.800000000003"/>
    <n v="8340.8799999999992"/>
    <x v="0"/>
    <x v="8"/>
    <x v="1"/>
  </r>
  <r>
    <s v="ORD02881"/>
    <s v="2024-05-27"/>
    <x v="41"/>
    <x v="7"/>
    <x v="0"/>
    <s v="Bed"/>
    <n v="1"/>
    <n v="48132"/>
    <n v="0.05"/>
    <n v="45725.4"/>
    <n v="6791.58"/>
    <x v="3"/>
    <x v="6"/>
    <x v="0"/>
  </r>
  <r>
    <s v="ORD02882"/>
    <s v="2023-03-12"/>
    <x v="29"/>
    <x v="8"/>
    <x v="2"/>
    <s v="Sweater"/>
    <n v="13"/>
    <n v="34910"/>
    <n v="0.2"/>
    <n v="363064"/>
    <n v="32449.38"/>
    <x v="3"/>
    <x v="7"/>
    <x v="1"/>
  </r>
  <r>
    <s v="ORD02883"/>
    <s v="2024-03-27"/>
    <x v="0"/>
    <x v="14"/>
    <x v="2"/>
    <s v="Dress"/>
    <n v="15"/>
    <n v="8043"/>
    <n v="0.2"/>
    <n v="96516"/>
    <n v="27383.33"/>
    <x v="2"/>
    <x v="7"/>
    <x v="0"/>
  </r>
  <r>
    <s v="ORD02884"/>
    <s v="2023-03-19"/>
    <x v="3"/>
    <x v="17"/>
    <x v="1"/>
    <s v="Power Bank"/>
    <n v="6"/>
    <n v="28456"/>
    <n v="0.05"/>
    <n v="162199.20000000001"/>
    <n v="46515.87"/>
    <x v="2"/>
    <x v="7"/>
    <x v="1"/>
  </r>
  <r>
    <s v="ORD02885"/>
    <s v="2024-03-04"/>
    <x v="35"/>
    <x v="17"/>
    <x v="1"/>
    <s v="Power Bank"/>
    <n v="11"/>
    <n v="32988"/>
    <n v="0.15"/>
    <n v="308437.8"/>
    <n v="76845.19"/>
    <x v="2"/>
    <x v="7"/>
    <x v="0"/>
  </r>
  <r>
    <s v="ORD02886"/>
    <s v="2024-11-18"/>
    <x v="26"/>
    <x v="5"/>
    <x v="0"/>
    <s v="Cupboard"/>
    <n v="2"/>
    <n v="10281"/>
    <n v="0"/>
    <n v="20562"/>
    <n v="3656.53"/>
    <x v="1"/>
    <x v="4"/>
    <x v="0"/>
  </r>
  <r>
    <s v="ORD02887"/>
    <s v="2024-07-31"/>
    <x v="31"/>
    <x v="22"/>
    <x v="1"/>
    <s v="Camera"/>
    <n v="4"/>
    <n v="39390"/>
    <n v="0.1"/>
    <n v="141804"/>
    <n v="26345.72"/>
    <x v="3"/>
    <x v="1"/>
    <x v="0"/>
  </r>
  <r>
    <s v="ORD02888"/>
    <s v="2024-01-12"/>
    <x v="44"/>
    <x v="2"/>
    <x v="2"/>
    <s v="Shoes"/>
    <n v="11"/>
    <n v="45822"/>
    <n v="0"/>
    <n v="504042"/>
    <n v="67330.11"/>
    <x v="2"/>
    <x v="3"/>
    <x v="0"/>
  </r>
  <r>
    <s v="ORD02889"/>
    <s v="2023-12-22"/>
    <x v="2"/>
    <x v="16"/>
    <x v="3"/>
    <s v="Pen"/>
    <n v="6"/>
    <n v="54373"/>
    <n v="0.1"/>
    <n v="293614.2"/>
    <n v="48111.65"/>
    <x v="1"/>
    <x v="9"/>
    <x v="1"/>
  </r>
  <r>
    <s v="ORD02890"/>
    <s v="2023-02-27"/>
    <x v="9"/>
    <x v="6"/>
    <x v="2"/>
    <s v="Jeans"/>
    <n v="2"/>
    <n v="39411"/>
    <n v="0.2"/>
    <n v="63057.599999999999"/>
    <n v="11194.5"/>
    <x v="2"/>
    <x v="11"/>
    <x v="1"/>
  </r>
  <r>
    <s v="ORD02891"/>
    <s v="2024-07-21"/>
    <x v="37"/>
    <x v="6"/>
    <x v="2"/>
    <s v="Jeans"/>
    <n v="2"/>
    <n v="44445"/>
    <n v="0.05"/>
    <n v="84445.5"/>
    <n v="17610.28"/>
    <x v="1"/>
    <x v="1"/>
    <x v="0"/>
  </r>
  <r>
    <s v="ORD02892"/>
    <s v="2024-09-16"/>
    <x v="7"/>
    <x v="7"/>
    <x v="0"/>
    <s v="Bed"/>
    <n v="4"/>
    <n v="9556"/>
    <n v="0.2"/>
    <n v="30579.200000000001"/>
    <n v="5396.38"/>
    <x v="0"/>
    <x v="10"/>
    <x v="0"/>
  </r>
  <r>
    <s v="ORD02893"/>
    <s v="2023-08-29"/>
    <x v="39"/>
    <x v="27"/>
    <x v="3"/>
    <s v="File"/>
    <n v="9"/>
    <n v="7883"/>
    <n v="0.05"/>
    <n v="67399.649999999994"/>
    <n v="6692.18"/>
    <x v="3"/>
    <x v="8"/>
    <x v="1"/>
  </r>
  <r>
    <s v="ORD02894"/>
    <s v="2024-07-04"/>
    <x v="41"/>
    <x v="11"/>
    <x v="3"/>
    <s v="Printer"/>
    <n v="11"/>
    <n v="41828"/>
    <n v="0.1"/>
    <n v="414097.2"/>
    <n v="67399.75"/>
    <x v="1"/>
    <x v="1"/>
    <x v="0"/>
  </r>
  <r>
    <s v="ORD02895"/>
    <s v="2023-12-15"/>
    <x v="17"/>
    <x v="11"/>
    <x v="3"/>
    <s v="Printer"/>
    <n v="5"/>
    <n v="10399"/>
    <n v="0.05"/>
    <n v="49395.25"/>
    <n v="7547.43"/>
    <x v="3"/>
    <x v="9"/>
    <x v="1"/>
  </r>
  <r>
    <s v="ORD02896"/>
    <s v="2023-07-15"/>
    <x v="30"/>
    <x v="25"/>
    <x v="3"/>
    <s v="Notebook"/>
    <n v="5"/>
    <n v="21235"/>
    <n v="0.1"/>
    <n v="95557.5"/>
    <n v="27971.8"/>
    <x v="1"/>
    <x v="1"/>
    <x v="1"/>
  </r>
  <r>
    <s v="ORD02897"/>
    <s v="2024-08-14"/>
    <x v="19"/>
    <x v="19"/>
    <x v="1"/>
    <s v="Smartwatch"/>
    <n v="13"/>
    <n v="24262"/>
    <n v="0.15"/>
    <n v="268095.09999999998"/>
    <n v="45289.38"/>
    <x v="3"/>
    <x v="8"/>
    <x v="0"/>
  </r>
  <r>
    <s v="ORD02898"/>
    <s v="2024-02-20"/>
    <x v="49"/>
    <x v="23"/>
    <x v="0"/>
    <s v="Desk"/>
    <n v="5"/>
    <n v="11810"/>
    <n v="0.1"/>
    <n v="53145"/>
    <n v="8481.5499999999993"/>
    <x v="0"/>
    <x v="11"/>
    <x v="0"/>
  </r>
  <r>
    <s v="ORD02899"/>
    <s v="2024-01-15"/>
    <x v="7"/>
    <x v="8"/>
    <x v="2"/>
    <s v="Sweater"/>
    <n v="8"/>
    <n v="52830"/>
    <n v="0.2"/>
    <n v="338112"/>
    <n v="99337.41"/>
    <x v="1"/>
    <x v="3"/>
    <x v="0"/>
  </r>
  <r>
    <s v="ORD02900"/>
    <s v="2023-05-05"/>
    <x v="2"/>
    <x v="13"/>
    <x v="2"/>
    <s v="Jacket"/>
    <n v="11"/>
    <n v="43047"/>
    <n v="0.15"/>
    <n v="402489.45"/>
    <n v="90363.96"/>
    <x v="0"/>
    <x v="6"/>
    <x v="1"/>
  </r>
  <r>
    <s v="ORD02901"/>
    <s v="2023-11-28"/>
    <x v="5"/>
    <x v="15"/>
    <x v="0"/>
    <s v="Sofa"/>
    <n v="8"/>
    <n v="15482"/>
    <n v="0.2"/>
    <n v="99084.800000000003"/>
    <n v="10604.5"/>
    <x v="0"/>
    <x v="4"/>
    <x v="1"/>
  </r>
  <r>
    <s v="ORD02902"/>
    <s v="2024-03-03"/>
    <x v="35"/>
    <x v="24"/>
    <x v="2"/>
    <s v="T-Shirt"/>
    <n v="5"/>
    <n v="8361"/>
    <n v="0"/>
    <n v="41805"/>
    <n v="10897.76"/>
    <x v="2"/>
    <x v="7"/>
    <x v="0"/>
  </r>
  <r>
    <s v="ORD02903"/>
    <s v="2024-07-01"/>
    <x v="6"/>
    <x v="18"/>
    <x v="0"/>
    <s v="Table"/>
    <n v="4"/>
    <n v="42046"/>
    <n v="0.2"/>
    <n v="134547.20000000001"/>
    <n v="14799"/>
    <x v="0"/>
    <x v="1"/>
    <x v="0"/>
  </r>
  <r>
    <s v="ORD02904"/>
    <s v="2023-12-15"/>
    <x v="1"/>
    <x v="25"/>
    <x v="3"/>
    <s v="Notebook"/>
    <n v="5"/>
    <n v="54445"/>
    <n v="0.05"/>
    <n v="258613.75"/>
    <n v="47282.21"/>
    <x v="1"/>
    <x v="9"/>
    <x v="1"/>
  </r>
  <r>
    <s v="ORD02905"/>
    <s v="2024-10-14"/>
    <x v="18"/>
    <x v="27"/>
    <x v="3"/>
    <s v="File"/>
    <n v="7"/>
    <n v="59171"/>
    <n v="0.15"/>
    <n v="352067.45"/>
    <n v="86904.17"/>
    <x v="1"/>
    <x v="0"/>
    <x v="0"/>
  </r>
  <r>
    <s v="ORD02906"/>
    <s v="2024-05-30"/>
    <x v="0"/>
    <x v="26"/>
    <x v="3"/>
    <s v="Paper Ream"/>
    <n v="11"/>
    <n v="40050"/>
    <n v="0.1"/>
    <n v="396495"/>
    <n v="111575.97"/>
    <x v="0"/>
    <x v="6"/>
    <x v="0"/>
  </r>
  <r>
    <s v="ORD02907"/>
    <s v="2023-06-24"/>
    <x v="10"/>
    <x v="16"/>
    <x v="3"/>
    <s v="Pen"/>
    <n v="10"/>
    <n v="24327"/>
    <n v="0.1"/>
    <n v="218943"/>
    <n v="29771.32"/>
    <x v="2"/>
    <x v="5"/>
    <x v="1"/>
  </r>
  <r>
    <s v="ORD02908"/>
    <s v="2024-11-28"/>
    <x v="22"/>
    <x v="17"/>
    <x v="1"/>
    <s v="Power Bank"/>
    <n v="13"/>
    <n v="40848"/>
    <n v="0.2"/>
    <n v="424819.20000000001"/>
    <n v="87588.79"/>
    <x v="2"/>
    <x v="4"/>
    <x v="0"/>
  </r>
  <r>
    <s v="ORD02909"/>
    <s v="2024-01-03"/>
    <x v="0"/>
    <x v="13"/>
    <x v="2"/>
    <s v="Jacket"/>
    <n v="7"/>
    <n v="32616"/>
    <n v="0"/>
    <n v="228312"/>
    <n v="57239.65"/>
    <x v="1"/>
    <x v="3"/>
    <x v="0"/>
  </r>
  <r>
    <s v="ORD02910"/>
    <s v="2023-05-16"/>
    <x v="1"/>
    <x v="11"/>
    <x v="3"/>
    <s v="Printer"/>
    <n v="7"/>
    <n v="46065"/>
    <n v="0.15"/>
    <n v="274086.75"/>
    <n v="52235.87"/>
    <x v="1"/>
    <x v="6"/>
    <x v="1"/>
  </r>
  <r>
    <s v="ORD02911"/>
    <s v="2024-02-12"/>
    <x v="45"/>
    <x v="19"/>
    <x v="1"/>
    <s v="Smartwatch"/>
    <n v="1"/>
    <n v="8465"/>
    <n v="0.1"/>
    <n v="7618.5"/>
    <n v="1135.1300000000001"/>
    <x v="2"/>
    <x v="11"/>
    <x v="0"/>
  </r>
  <r>
    <s v="ORD02912"/>
    <s v="2024-02-07"/>
    <x v="23"/>
    <x v="23"/>
    <x v="0"/>
    <s v="Desk"/>
    <n v="2"/>
    <n v="24389"/>
    <n v="0.1"/>
    <n v="43900.2"/>
    <n v="11706.81"/>
    <x v="3"/>
    <x v="11"/>
    <x v="0"/>
  </r>
  <r>
    <s v="ORD02913"/>
    <s v="2024-06-25"/>
    <x v="3"/>
    <x v="2"/>
    <x v="2"/>
    <s v="Shoes"/>
    <n v="9"/>
    <n v="20425"/>
    <n v="0.05"/>
    <n v="174633.75"/>
    <n v="49099.360000000001"/>
    <x v="2"/>
    <x v="5"/>
    <x v="0"/>
  </r>
  <r>
    <s v="ORD02914"/>
    <s v="2023-09-20"/>
    <x v="5"/>
    <x v="12"/>
    <x v="1"/>
    <s v="Headphones"/>
    <n v="8"/>
    <n v="41353"/>
    <n v="0.15"/>
    <n v="281200.40000000002"/>
    <n v="73870.17"/>
    <x v="3"/>
    <x v="10"/>
    <x v="1"/>
  </r>
  <r>
    <s v="ORD02915"/>
    <s v="2023-03-29"/>
    <x v="7"/>
    <x v="10"/>
    <x v="3"/>
    <s v="Marker"/>
    <n v="1"/>
    <n v="11478"/>
    <n v="0.2"/>
    <n v="9182.4"/>
    <n v="859.08"/>
    <x v="3"/>
    <x v="7"/>
    <x v="1"/>
  </r>
  <r>
    <s v="ORD02916"/>
    <s v="2024-10-25"/>
    <x v="41"/>
    <x v="1"/>
    <x v="1"/>
    <s v="Mobile"/>
    <n v="14"/>
    <n v="46190"/>
    <n v="0.05"/>
    <n v="614327"/>
    <n v="111295.82"/>
    <x v="1"/>
    <x v="0"/>
    <x v="0"/>
  </r>
  <r>
    <s v="ORD02917"/>
    <s v="2023-12-22"/>
    <x v="42"/>
    <x v="14"/>
    <x v="2"/>
    <s v="Dress"/>
    <n v="15"/>
    <n v="56294"/>
    <n v="0.1"/>
    <n v="759969"/>
    <n v="130004.18"/>
    <x v="2"/>
    <x v="9"/>
    <x v="1"/>
  </r>
  <r>
    <s v="ORD02918"/>
    <s v="2023-10-29"/>
    <x v="22"/>
    <x v="0"/>
    <x v="0"/>
    <s v="Chair"/>
    <n v="2"/>
    <n v="20564"/>
    <n v="0"/>
    <n v="41128"/>
    <n v="7537.28"/>
    <x v="3"/>
    <x v="0"/>
    <x v="1"/>
  </r>
  <r>
    <s v="ORD02919"/>
    <s v="2023-11-12"/>
    <x v="48"/>
    <x v="5"/>
    <x v="0"/>
    <s v="Cupboard"/>
    <n v="7"/>
    <n v="19931"/>
    <n v="0.05"/>
    <n v="132541.15"/>
    <n v="27785.71"/>
    <x v="1"/>
    <x v="4"/>
    <x v="1"/>
  </r>
  <r>
    <s v="ORD02920"/>
    <s v="2024-01-26"/>
    <x v="41"/>
    <x v="17"/>
    <x v="1"/>
    <s v="Power Bank"/>
    <n v="9"/>
    <n v="36817"/>
    <n v="0.2"/>
    <n v="265082.40000000002"/>
    <n v="66005.87"/>
    <x v="3"/>
    <x v="3"/>
    <x v="0"/>
  </r>
  <r>
    <s v="ORD02921"/>
    <s v="2024-08-06"/>
    <x v="5"/>
    <x v="19"/>
    <x v="1"/>
    <s v="Smartwatch"/>
    <n v="5"/>
    <n v="16425"/>
    <n v="0.2"/>
    <n v="65700"/>
    <n v="7729.61"/>
    <x v="2"/>
    <x v="8"/>
    <x v="0"/>
  </r>
  <r>
    <s v="ORD02922"/>
    <s v="2024-04-10"/>
    <x v="48"/>
    <x v="1"/>
    <x v="1"/>
    <s v="Mobile"/>
    <n v="15"/>
    <n v="39454"/>
    <n v="0"/>
    <n v="591810"/>
    <n v="124000.81"/>
    <x v="3"/>
    <x v="2"/>
    <x v="0"/>
  </r>
  <r>
    <s v="ORD02923"/>
    <s v="2023-11-25"/>
    <x v="7"/>
    <x v="7"/>
    <x v="0"/>
    <s v="Bed"/>
    <n v="7"/>
    <n v="34586"/>
    <n v="0.1"/>
    <n v="217891.8"/>
    <n v="49917.84"/>
    <x v="0"/>
    <x v="4"/>
    <x v="1"/>
  </r>
  <r>
    <s v="ORD02924"/>
    <s v="2024-07-30"/>
    <x v="5"/>
    <x v="10"/>
    <x v="3"/>
    <s v="Marker"/>
    <n v="13"/>
    <n v="30620"/>
    <n v="0"/>
    <n v="398060"/>
    <n v="34810.15"/>
    <x v="1"/>
    <x v="1"/>
    <x v="0"/>
  </r>
  <r>
    <s v="ORD02925"/>
    <s v="2024-09-16"/>
    <x v="29"/>
    <x v="18"/>
    <x v="0"/>
    <s v="Table"/>
    <n v="15"/>
    <n v="5643"/>
    <n v="0"/>
    <n v="84645"/>
    <n v="23120.5"/>
    <x v="3"/>
    <x v="10"/>
    <x v="0"/>
  </r>
  <r>
    <s v="ORD02926"/>
    <s v="2023-08-30"/>
    <x v="10"/>
    <x v="26"/>
    <x v="3"/>
    <s v="Paper Ream"/>
    <n v="10"/>
    <n v="33400"/>
    <n v="0.05"/>
    <n v="317300"/>
    <n v="43207.47"/>
    <x v="2"/>
    <x v="8"/>
    <x v="1"/>
  </r>
  <r>
    <s v="ORD02927"/>
    <s v="2024-02-08"/>
    <x v="3"/>
    <x v="23"/>
    <x v="0"/>
    <s v="Desk"/>
    <n v="5"/>
    <n v="26812"/>
    <n v="0.05"/>
    <n v="127357"/>
    <n v="20536.46"/>
    <x v="3"/>
    <x v="11"/>
    <x v="0"/>
  </r>
  <r>
    <s v="ORD02928"/>
    <s v="2023-04-20"/>
    <x v="12"/>
    <x v="23"/>
    <x v="0"/>
    <s v="Desk"/>
    <n v="2"/>
    <n v="7273"/>
    <n v="0.15"/>
    <n v="12364.1"/>
    <n v="1077.1500000000001"/>
    <x v="3"/>
    <x v="2"/>
    <x v="1"/>
  </r>
  <r>
    <s v="ORD02929"/>
    <s v="2024-07-18"/>
    <x v="42"/>
    <x v="15"/>
    <x v="0"/>
    <s v="Sofa"/>
    <n v="9"/>
    <n v="44012"/>
    <n v="0.1"/>
    <n v="356497.2"/>
    <n v="51491.24"/>
    <x v="0"/>
    <x v="1"/>
    <x v="0"/>
  </r>
  <r>
    <s v="ORD02930"/>
    <s v="2023-08-15"/>
    <x v="24"/>
    <x v="26"/>
    <x v="3"/>
    <s v="Paper Ream"/>
    <n v="3"/>
    <n v="59052"/>
    <n v="0.2"/>
    <n v="141724.79999999999"/>
    <n v="18696.73"/>
    <x v="1"/>
    <x v="8"/>
    <x v="1"/>
  </r>
  <r>
    <s v="ORD02931"/>
    <s v="2023-02-23"/>
    <x v="31"/>
    <x v="11"/>
    <x v="3"/>
    <s v="Printer"/>
    <n v="4"/>
    <n v="54482"/>
    <n v="0.1"/>
    <n v="196135.2"/>
    <n v="23183.59"/>
    <x v="0"/>
    <x v="11"/>
    <x v="1"/>
  </r>
  <r>
    <s v="ORD02932"/>
    <s v="2023-08-27"/>
    <x v="10"/>
    <x v="0"/>
    <x v="0"/>
    <s v="Chair"/>
    <n v="14"/>
    <n v="16762"/>
    <n v="0"/>
    <n v="234668"/>
    <n v="43713.59"/>
    <x v="1"/>
    <x v="8"/>
    <x v="1"/>
  </r>
  <r>
    <s v="ORD02933"/>
    <s v="2023-08-28"/>
    <x v="22"/>
    <x v="4"/>
    <x v="0"/>
    <s v="Stool"/>
    <n v="9"/>
    <n v="6619"/>
    <n v="0.15"/>
    <n v="50635.35"/>
    <n v="4957"/>
    <x v="3"/>
    <x v="8"/>
    <x v="1"/>
  </r>
  <r>
    <s v="ORD02934"/>
    <s v="2023-12-07"/>
    <x v="21"/>
    <x v="7"/>
    <x v="0"/>
    <s v="Bed"/>
    <n v="3"/>
    <n v="52605"/>
    <n v="0.1"/>
    <n v="142033.5"/>
    <n v="36855.47"/>
    <x v="3"/>
    <x v="9"/>
    <x v="1"/>
  </r>
  <r>
    <s v="ORD02935"/>
    <s v="2023-08-10"/>
    <x v="28"/>
    <x v="17"/>
    <x v="1"/>
    <s v="Power Bank"/>
    <n v="15"/>
    <n v="35022"/>
    <n v="0.15"/>
    <n v="446530.5"/>
    <n v="98174.93"/>
    <x v="3"/>
    <x v="8"/>
    <x v="1"/>
  </r>
  <r>
    <s v="ORD02936"/>
    <s v="2023-04-16"/>
    <x v="11"/>
    <x v="5"/>
    <x v="0"/>
    <s v="Cupboard"/>
    <n v="12"/>
    <n v="1364"/>
    <n v="0"/>
    <n v="16368"/>
    <n v="3960.81"/>
    <x v="1"/>
    <x v="2"/>
    <x v="1"/>
  </r>
  <r>
    <s v="ORD02937"/>
    <s v="2024-08-22"/>
    <x v="49"/>
    <x v="6"/>
    <x v="2"/>
    <s v="Jeans"/>
    <n v="2"/>
    <n v="2654"/>
    <n v="0"/>
    <n v="5308"/>
    <n v="541.41999999999996"/>
    <x v="2"/>
    <x v="8"/>
    <x v="0"/>
  </r>
  <r>
    <s v="ORD02938"/>
    <s v="2023-09-11"/>
    <x v="22"/>
    <x v="8"/>
    <x v="2"/>
    <s v="Sweater"/>
    <n v="10"/>
    <n v="52269"/>
    <n v="0.2"/>
    <n v="418152"/>
    <n v="117311"/>
    <x v="1"/>
    <x v="10"/>
    <x v="1"/>
  </r>
  <r>
    <s v="ORD02939"/>
    <s v="2024-06-26"/>
    <x v="17"/>
    <x v="15"/>
    <x v="0"/>
    <s v="Sofa"/>
    <n v="9"/>
    <n v="14880"/>
    <n v="0.05"/>
    <n v="127224"/>
    <n v="20349.28"/>
    <x v="0"/>
    <x v="5"/>
    <x v="0"/>
  </r>
  <r>
    <s v="ORD02940"/>
    <s v="2024-05-22"/>
    <x v="29"/>
    <x v="15"/>
    <x v="0"/>
    <s v="Sofa"/>
    <n v="10"/>
    <n v="13451"/>
    <n v="0.15"/>
    <n v="114333.5"/>
    <n v="28784.01"/>
    <x v="1"/>
    <x v="6"/>
    <x v="0"/>
  </r>
  <r>
    <s v="ORD02941"/>
    <s v="2024-08-16"/>
    <x v="35"/>
    <x v="21"/>
    <x v="1"/>
    <s v="Laptop"/>
    <n v="6"/>
    <n v="32233"/>
    <n v="0.2"/>
    <n v="154718.39999999999"/>
    <n v="29132.53"/>
    <x v="1"/>
    <x v="8"/>
    <x v="0"/>
  </r>
  <r>
    <s v="ORD02942"/>
    <s v="2023-12-18"/>
    <x v="48"/>
    <x v="1"/>
    <x v="1"/>
    <s v="Mobile"/>
    <n v="9"/>
    <n v="37106"/>
    <n v="0.2"/>
    <n v="267163.2"/>
    <n v="41347.61"/>
    <x v="0"/>
    <x v="9"/>
    <x v="1"/>
  </r>
  <r>
    <s v="ORD02943"/>
    <s v="2023-06-17"/>
    <x v="13"/>
    <x v="25"/>
    <x v="3"/>
    <s v="Notebook"/>
    <n v="12"/>
    <n v="53149"/>
    <n v="0.15"/>
    <n v="542119.80000000005"/>
    <n v="108709.26"/>
    <x v="3"/>
    <x v="5"/>
    <x v="1"/>
  </r>
  <r>
    <s v="ORD02944"/>
    <s v="2023-06-11"/>
    <x v="9"/>
    <x v="4"/>
    <x v="0"/>
    <s v="Stool"/>
    <n v="2"/>
    <n v="47594"/>
    <n v="0.1"/>
    <n v="85669.2"/>
    <n v="25307.919999999998"/>
    <x v="2"/>
    <x v="5"/>
    <x v="1"/>
  </r>
  <r>
    <s v="ORD02945"/>
    <s v="2024-07-26"/>
    <x v="12"/>
    <x v="7"/>
    <x v="0"/>
    <s v="Bed"/>
    <n v="7"/>
    <n v="41282"/>
    <n v="0.2"/>
    <n v="231179.2"/>
    <n v="43154.95"/>
    <x v="0"/>
    <x v="1"/>
    <x v="0"/>
  </r>
  <r>
    <s v="ORD02946"/>
    <s v="2024-04-05"/>
    <x v="32"/>
    <x v="25"/>
    <x v="3"/>
    <s v="Notebook"/>
    <n v="15"/>
    <n v="30864"/>
    <n v="0.15"/>
    <n v="393516"/>
    <n v="72057.27"/>
    <x v="3"/>
    <x v="2"/>
    <x v="0"/>
  </r>
  <r>
    <s v="ORD02947"/>
    <s v="2024-07-11"/>
    <x v="34"/>
    <x v="24"/>
    <x v="2"/>
    <s v="T-Shirt"/>
    <n v="2"/>
    <n v="4807"/>
    <n v="0"/>
    <n v="9614"/>
    <n v="1372.69"/>
    <x v="0"/>
    <x v="1"/>
    <x v="0"/>
  </r>
  <r>
    <s v="ORD02948"/>
    <s v="2024-01-03"/>
    <x v="25"/>
    <x v="20"/>
    <x v="1"/>
    <s v="Tablet"/>
    <n v="15"/>
    <n v="15704"/>
    <n v="0.2"/>
    <n v="188448"/>
    <n v="16812.509999999998"/>
    <x v="0"/>
    <x v="3"/>
    <x v="0"/>
  </r>
  <r>
    <s v="ORD02949"/>
    <s v="2024-06-03"/>
    <x v="32"/>
    <x v="25"/>
    <x v="3"/>
    <s v="Notebook"/>
    <n v="13"/>
    <n v="18431"/>
    <n v="0.2"/>
    <n v="191682.4"/>
    <n v="34558.699999999997"/>
    <x v="1"/>
    <x v="5"/>
    <x v="0"/>
  </r>
  <r>
    <s v="ORD02950"/>
    <s v="2024-04-08"/>
    <x v="27"/>
    <x v="5"/>
    <x v="0"/>
    <s v="Cupboard"/>
    <n v="6"/>
    <n v="9975"/>
    <n v="0.15"/>
    <n v="50872.5"/>
    <n v="12265.62"/>
    <x v="1"/>
    <x v="2"/>
    <x v="0"/>
  </r>
  <r>
    <s v="ORD02951"/>
    <s v="2024-08-02"/>
    <x v="25"/>
    <x v="9"/>
    <x v="1"/>
    <s v="Keyboard"/>
    <n v="10"/>
    <n v="16689"/>
    <n v="0.15"/>
    <n v="141856.5"/>
    <n v="42443.56"/>
    <x v="2"/>
    <x v="8"/>
    <x v="0"/>
  </r>
  <r>
    <s v="ORD02952"/>
    <s v="2024-11-09"/>
    <x v="48"/>
    <x v="3"/>
    <x v="3"/>
    <s v="Stapler"/>
    <n v="9"/>
    <n v="6589"/>
    <n v="0"/>
    <n v="59301"/>
    <n v="14326.85"/>
    <x v="3"/>
    <x v="4"/>
    <x v="0"/>
  </r>
  <r>
    <s v="ORD02953"/>
    <s v="2024-07-21"/>
    <x v="21"/>
    <x v="14"/>
    <x v="2"/>
    <s v="Dress"/>
    <n v="12"/>
    <n v="42247"/>
    <n v="0.2"/>
    <n v="405571.2"/>
    <n v="47991.07"/>
    <x v="3"/>
    <x v="1"/>
    <x v="0"/>
  </r>
  <r>
    <s v="ORD02954"/>
    <s v="2024-04-04"/>
    <x v="32"/>
    <x v="1"/>
    <x v="1"/>
    <s v="Mobile"/>
    <n v="7"/>
    <n v="2337"/>
    <n v="0.1"/>
    <n v="14723.1"/>
    <n v="4395.82"/>
    <x v="0"/>
    <x v="2"/>
    <x v="0"/>
  </r>
  <r>
    <s v="ORD02955"/>
    <s v="2024-05-06"/>
    <x v="31"/>
    <x v="2"/>
    <x v="2"/>
    <s v="Shoes"/>
    <n v="4"/>
    <n v="28935"/>
    <n v="0.15"/>
    <n v="98379"/>
    <n v="19160.009999999998"/>
    <x v="1"/>
    <x v="6"/>
    <x v="0"/>
  </r>
  <r>
    <s v="ORD02956"/>
    <s v="2023-02-14"/>
    <x v="27"/>
    <x v="1"/>
    <x v="1"/>
    <s v="Mobile"/>
    <n v="14"/>
    <n v="30395"/>
    <n v="0.2"/>
    <n v="340424"/>
    <n v="58707.97"/>
    <x v="1"/>
    <x v="11"/>
    <x v="1"/>
  </r>
  <r>
    <s v="ORD02957"/>
    <s v="2024-06-29"/>
    <x v="47"/>
    <x v="24"/>
    <x v="2"/>
    <s v="T-Shirt"/>
    <n v="6"/>
    <n v="19891"/>
    <n v="0.1"/>
    <n v="107411.4"/>
    <n v="24611.85"/>
    <x v="1"/>
    <x v="5"/>
    <x v="0"/>
  </r>
  <r>
    <s v="ORD02958"/>
    <s v="2024-04-22"/>
    <x v="6"/>
    <x v="5"/>
    <x v="0"/>
    <s v="Cupboard"/>
    <n v="10"/>
    <n v="7483"/>
    <n v="0"/>
    <n v="74830"/>
    <n v="9500.27"/>
    <x v="3"/>
    <x v="2"/>
    <x v="0"/>
  </r>
  <r>
    <s v="ORD02959"/>
    <s v="2024-09-07"/>
    <x v="34"/>
    <x v="6"/>
    <x v="2"/>
    <s v="Jeans"/>
    <n v="4"/>
    <n v="12913"/>
    <n v="0.2"/>
    <n v="41321.599999999999"/>
    <n v="9803.73"/>
    <x v="0"/>
    <x v="10"/>
    <x v="0"/>
  </r>
  <r>
    <s v="ORD02960"/>
    <s v="2023-03-16"/>
    <x v="49"/>
    <x v="6"/>
    <x v="2"/>
    <s v="Jeans"/>
    <n v="2"/>
    <n v="40197"/>
    <n v="0.1"/>
    <n v="72354.600000000006"/>
    <n v="20324.830000000002"/>
    <x v="1"/>
    <x v="7"/>
    <x v="1"/>
  </r>
  <r>
    <s v="ORD02961"/>
    <s v="2024-11-14"/>
    <x v="1"/>
    <x v="10"/>
    <x v="3"/>
    <s v="Marker"/>
    <n v="12"/>
    <n v="24176"/>
    <n v="0.15"/>
    <n v="246595.20000000001"/>
    <n v="27646"/>
    <x v="2"/>
    <x v="4"/>
    <x v="0"/>
  </r>
  <r>
    <s v="ORD02962"/>
    <s v="2023-01-27"/>
    <x v="5"/>
    <x v="2"/>
    <x v="2"/>
    <s v="Shoes"/>
    <n v="5"/>
    <n v="54231"/>
    <n v="0.15"/>
    <n v="230481.75"/>
    <n v="65157.74"/>
    <x v="3"/>
    <x v="3"/>
    <x v="1"/>
  </r>
  <r>
    <s v="ORD02963"/>
    <s v="2024-08-26"/>
    <x v="10"/>
    <x v="2"/>
    <x v="2"/>
    <s v="Shoes"/>
    <n v="15"/>
    <n v="43795"/>
    <n v="0.2"/>
    <n v="525540"/>
    <n v="61409.52"/>
    <x v="2"/>
    <x v="8"/>
    <x v="0"/>
  </r>
  <r>
    <s v="ORD02964"/>
    <s v="2024-11-21"/>
    <x v="46"/>
    <x v="13"/>
    <x v="2"/>
    <s v="Jacket"/>
    <n v="13"/>
    <n v="50322"/>
    <n v="0"/>
    <n v="654186"/>
    <n v="114619.64"/>
    <x v="3"/>
    <x v="4"/>
    <x v="0"/>
  </r>
  <r>
    <s v="ORD02965"/>
    <s v="2024-08-09"/>
    <x v="39"/>
    <x v="24"/>
    <x v="2"/>
    <s v="T-Shirt"/>
    <n v="4"/>
    <n v="36664"/>
    <n v="0.1"/>
    <n v="131990.39999999999"/>
    <n v="37704.03"/>
    <x v="0"/>
    <x v="8"/>
    <x v="0"/>
  </r>
  <r>
    <s v="ORD02966"/>
    <s v="2023-05-10"/>
    <x v="12"/>
    <x v="18"/>
    <x v="0"/>
    <s v="Table"/>
    <n v="14"/>
    <n v="57632"/>
    <n v="0"/>
    <n v="806848"/>
    <n v="219627.22"/>
    <x v="1"/>
    <x v="6"/>
    <x v="1"/>
  </r>
  <r>
    <s v="ORD02967"/>
    <s v="2023-07-19"/>
    <x v="34"/>
    <x v="13"/>
    <x v="2"/>
    <s v="Jacket"/>
    <n v="2"/>
    <n v="51106"/>
    <n v="0.2"/>
    <n v="81769.600000000006"/>
    <n v="8041.94"/>
    <x v="1"/>
    <x v="1"/>
    <x v="1"/>
  </r>
  <r>
    <s v="ORD02968"/>
    <s v="2024-11-17"/>
    <x v="38"/>
    <x v="16"/>
    <x v="3"/>
    <s v="Pen"/>
    <n v="7"/>
    <n v="35660"/>
    <n v="0.05"/>
    <n v="237139"/>
    <n v="21873.58"/>
    <x v="2"/>
    <x v="4"/>
    <x v="0"/>
  </r>
  <r>
    <s v="ORD02969"/>
    <s v="2024-08-24"/>
    <x v="0"/>
    <x v="16"/>
    <x v="3"/>
    <s v="Pen"/>
    <n v="4"/>
    <n v="49969"/>
    <n v="0.15"/>
    <n v="169894.6"/>
    <n v="16946.91"/>
    <x v="2"/>
    <x v="8"/>
    <x v="0"/>
  </r>
  <r>
    <s v="ORD02970"/>
    <s v="2024-03-10"/>
    <x v="18"/>
    <x v="21"/>
    <x v="1"/>
    <s v="Laptop"/>
    <n v="4"/>
    <n v="57236"/>
    <n v="0.1"/>
    <n v="206049.6"/>
    <n v="44519.65"/>
    <x v="3"/>
    <x v="7"/>
    <x v="0"/>
  </r>
  <r>
    <s v="ORD02971"/>
    <s v="2023-03-21"/>
    <x v="44"/>
    <x v="17"/>
    <x v="1"/>
    <s v="Power Bank"/>
    <n v="11"/>
    <n v="11924"/>
    <n v="0"/>
    <n v="131164"/>
    <n v="23680.62"/>
    <x v="1"/>
    <x v="7"/>
    <x v="1"/>
  </r>
  <r>
    <s v="ORD02972"/>
    <s v="2024-03-17"/>
    <x v="0"/>
    <x v="15"/>
    <x v="0"/>
    <s v="Sofa"/>
    <n v="8"/>
    <n v="45697"/>
    <n v="0.05"/>
    <n v="347297.2"/>
    <n v="45191.9"/>
    <x v="2"/>
    <x v="7"/>
    <x v="0"/>
  </r>
  <r>
    <s v="ORD02973"/>
    <s v="2023-04-04"/>
    <x v="2"/>
    <x v="13"/>
    <x v="2"/>
    <s v="Jacket"/>
    <n v="4"/>
    <n v="2016"/>
    <n v="0.15"/>
    <n v="6854.4"/>
    <n v="1665.48"/>
    <x v="0"/>
    <x v="2"/>
    <x v="1"/>
  </r>
  <r>
    <s v="ORD02974"/>
    <s v="2023-11-15"/>
    <x v="40"/>
    <x v="21"/>
    <x v="1"/>
    <s v="Laptop"/>
    <n v="6"/>
    <n v="3495"/>
    <n v="0.2"/>
    <n v="16776"/>
    <n v="2194.15"/>
    <x v="1"/>
    <x v="4"/>
    <x v="1"/>
  </r>
  <r>
    <s v="ORD02975"/>
    <s v="2023-04-20"/>
    <x v="23"/>
    <x v="4"/>
    <x v="0"/>
    <s v="Stool"/>
    <n v="3"/>
    <n v="32214"/>
    <n v="0.1"/>
    <n v="86977.8"/>
    <n v="11740.14"/>
    <x v="0"/>
    <x v="2"/>
    <x v="1"/>
  </r>
  <r>
    <s v="ORD02976"/>
    <s v="2023-02-28"/>
    <x v="8"/>
    <x v="27"/>
    <x v="3"/>
    <s v="File"/>
    <n v="5"/>
    <n v="59094"/>
    <n v="0.15"/>
    <n v="251149.5"/>
    <n v="40388.82"/>
    <x v="2"/>
    <x v="11"/>
    <x v="1"/>
  </r>
  <r>
    <s v="ORD02977"/>
    <s v="2023-02-12"/>
    <x v="37"/>
    <x v="6"/>
    <x v="2"/>
    <s v="Jeans"/>
    <n v="5"/>
    <n v="56640"/>
    <n v="0"/>
    <n v="283200"/>
    <n v="43962"/>
    <x v="3"/>
    <x v="11"/>
    <x v="1"/>
  </r>
  <r>
    <s v="ORD02978"/>
    <s v="2024-01-03"/>
    <x v="7"/>
    <x v="24"/>
    <x v="2"/>
    <s v="T-Shirt"/>
    <n v="14"/>
    <n v="19431"/>
    <n v="0"/>
    <n v="272034"/>
    <n v="67730.89"/>
    <x v="1"/>
    <x v="3"/>
    <x v="0"/>
  </r>
  <r>
    <s v="ORD02979"/>
    <s v="2024-09-05"/>
    <x v="45"/>
    <x v="26"/>
    <x v="3"/>
    <s v="Paper Ream"/>
    <n v="4"/>
    <n v="13203"/>
    <n v="0.05"/>
    <n v="50171.4"/>
    <n v="6986.53"/>
    <x v="3"/>
    <x v="10"/>
    <x v="0"/>
  </r>
  <r>
    <s v="ORD02980"/>
    <s v="2023-10-30"/>
    <x v="6"/>
    <x v="17"/>
    <x v="1"/>
    <s v="Power Bank"/>
    <n v="2"/>
    <n v="7414"/>
    <n v="0.05"/>
    <n v="14086.6"/>
    <n v="1810.18"/>
    <x v="0"/>
    <x v="0"/>
    <x v="1"/>
  </r>
  <r>
    <s v="ORD02981"/>
    <s v="2023-03-29"/>
    <x v="35"/>
    <x v="4"/>
    <x v="0"/>
    <s v="Stool"/>
    <n v="2"/>
    <n v="51827"/>
    <n v="0.05"/>
    <n v="98471.3"/>
    <n v="26551.58"/>
    <x v="1"/>
    <x v="7"/>
    <x v="1"/>
  </r>
  <r>
    <s v="ORD02982"/>
    <s v="2024-11-27"/>
    <x v="25"/>
    <x v="3"/>
    <x v="3"/>
    <s v="Stapler"/>
    <n v="7"/>
    <n v="9211"/>
    <n v="0.2"/>
    <n v="51581.599999999999"/>
    <n v="9769.9"/>
    <x v="0"/>
    <x v="4"/>
    <x v="0"/>
  </r>
  <r>
    <s v="ORD02983"/>
    <s v="2023-06-10"/>
    <x v="25"/>
    <x v="24"/>
    <x v="2"/>
    <s v="T-Shirt"/>
    <n v="2"/>
    <n v="15151"/>
    <n v="0.2"/>
    <n v="24241.599999999999"/>
    <n v="3982.35"/>
    <x v="1"/>
    <x v="5"/>
    <x v="1"/>
  </r>
  <r>
    <s v="ORD02984"/>
    <s v="2024-07-21"/>
    <x v="9"/>
    <x v="13"/>
    <x v="2"/>
    <s v="Jacket"/>
    <n v="3"/>
    <n v="20069"/>
    <n v="0.15"/>
    <n v="51175.95"/>
    <n v="13219.66"/>
    <x v="1"/>
    <x v="1"/>
    <x v="0"/>
  </r>
  <r>
    <s v="ORD02985"/>
    <s v="2023-09-17"/>
    <x v="49"/>
    <x v="5"/>
    <x v="0"/>
    <s v="Cupboard"/>
    <n v="9"/>
    <n v="13482"/>
    <n v="0"/>
    <n v="121338"/>
    <n v="31355.21"/>
    <x v="3"/>
    <x v="10"/>
    <x v="1"/>
  </r>
  <r>
    <s v="ORD02986"/>
    <s v="2024-11-16"/>
    <x v="32"/>
    <x v="22"/>
    <x v="1"/>
    <s v="Camera"/>
    <n v="15"/>
    <n v="50452"/>
    <n v="0.2"/>
    <n v="605424"/>
    <n v="179345.18"/>
    <x v="3"/>
    <x v="4"/>
    <x v="0"/>
  </r>
  <r>
    <s v="ORD02987"/>
    <s v="2023-05-15"/>
    <x v="23"/>
    <x v="4"/>
    <x v="0"/>
    <s v="Stool"/>
    <n v="10"/>
    <n v="14873"/>
    <n v="0"/>
    <n v="148730"/>
    <n v="32709.08"/>
    <x v="1"/>
    <x v="6"/>
    <x v="1"/>
  </r>
  <r>
    <s v="ORD02988"/>
    <s v="2024-11-04"/>
    <x v="49"/>
    <x v="19"/>
    <x v="1"/>
    <s v="Smartwatch"/>
    <n v="9"/>
    <n v="13313"/>
    <n v="0.1"/>
    <n v="107835.3"/>
    <n v="13354.67"/>
    <x v="2"/>
    <x v="4"/>
    <x v="0"/>
  </r>
  <r>
    <s v="ORD02989"/>
    <s v="2024-08-06"/>
    <x v="37"/>
    <x v="9"/>
    <x v="1"/>
    <s v="Keyboard"/>
    <n v="4"/>
    <n v="51091"/>
    <n v="0.2"/>
    <n v="163491.20000000001"/>
    <n v="25179.15"/>
    <x v="0"/>
    <x v="8"/>
    <x v="0"/>
  </r>
  <r>
    <s v="ORD02990"/>
    <s v="2023-02-25"/>
    <x v="21"/>
    <x v="25"/>
    <x v="3"/>
    <s v="Notebook"/>
    <n v="8"/>
    <n v="52342"/>
    <n v="0.15"/>
    <n v="355925.6"/>
    <n v="43122.49"/>
    <x v="3"/>
    <x v="11"/>
    <x v="1"/>
  </r>
  <r>
    <s v="ORD02991"/>
    <s v="2023-06-20"/>
    <x v="39"/>
    <x v="2"/>
    <x v="2"/>
    <s v="Shoes"/>
    <n v="12"/>
    <n v="43891"/>
    <n v="0.15"/>
    <n v="447688.2"/>
    <n v="70580.87"/>
    <x v="0"/>
    <x v="5"/>
    <x v="1"/>
  </r>
  <r>
    <s v="ORD02992"/>
    <s v="2023-08-28"/>
    <x v="19"/>
    <x v="23"/>
    <x v="0"/>
    <s v="Desk"/>
    <n v="12"/>
    <n v="40034"/>
    <n v="0.2"/>
    <n v="384326.40000000002"/>
    <n v="82041.820000000007"/>
    <x v="1"/>
    <x v="8"/>
    <x v="1"/>
  </r>
  <r>
    <s v="ORD02993"/>
    <s v="2024-11-11"/>
    <x v="38"/>
    <x v="22"/>
    <x v="1"/>
    <s v="Camera"/>
    <n v="4"/>
    <n v="13451"/>
    <n v="0.2"/>
    <n v="43043.199999999997"/>
    <n v="11909.86"/>
    <x v="1"/>
    <x v="4"/>
    <x v="0"/>
  </r>
  <r>
    <s v="ORD02994"/>
    <s v="2023-01-01"/>
    <x v="15"/>
    <x v="26"/>
    <x v="3"/>
    <s v="Paper Ream"/>
    <n v="10"/>
    <n v="10673"/>
    <n v="0.15"/>
    <n v="90720.5"/>
    <n v="7563.56"/>
    <x v="3"/>
    <x v="3"/>
    <x v="1"/>
  </r>
  <r>
    <s v="ORD02995"/>
    <s v="2023-04-07"/>
    <x v="33"/>
    <x v="10"/>
    <x v="3"/>
    <s v="Marker"/>
    <n v="7"/>
    <n v="31421"/>
    <n v="0.1"/>
    <n v="197952.3"/>
    <n v="51562.26"/>
    <x v="2"/>
    <x v="2"/>
    <x v="1"/>
  </r>
  <r>
    <s v="ORD02996"/>
    <s v="2023-04-23"/>
    <x v="30"/>
    <x v="24"/>
    <x v="2"/>
    <s v="T-Shirt"/>
    <n v="3"/>
    <n v="9151"/>
    <n v="0.2"/>
    <n v="21962.400000000001"/>
    <n v="1885.56"/>
    <x v="2"/>
    <x v="2"/>
    <x v="1"/>
  </r>
  <r>
    <s v="ORD02997"/>
    <s v="2024-04-22"/>
    <x v="5"/>
    <x v="24"/>
    <x v="2"/>
    <s v="T-Shirt"/>
    <n v="6"/>
    <n v="20890"/>
    <n v="0.2"/>
    <n v="100272"/>
    <n v="14579.2"/>
    <x v="3"/>
    <x v="2"/>
    <x v="0"/>
  </r>
  <r>
    <s v="ORD02998"/>
    <s v="2023-06-19"/>
    <x v="31"/>
    <x v="23"/>
    <x v="0"/>
    <s v="Desk"/>
    <n v="7"/>
    <n v="8202"/>
    <n v="0"/>
    <n v="57414"/>
    <n v="12154.71"/>
    <x v="3"/>
    <x v="5"/>
    <x v="1"/>
  </r>
  <r>
    <s v="ORD02999"/>
    <s v="2024-06-04"/>
    <x v="27"/>
    <x v="7"/>
    <x v="0"/>
    <s v="Bed"/>
    <n v="10"/>
    <n v="23855"/>
    <n v="0.1"/>
    <n v="214695"/>
    <n v="45007.83"/>
    <x v="1"/>
    <x v="5"/>
    <x v="0"/>
  </r>
  <r>
    <s v="ORD03000"/>
    <s v="2023-08-03"/>
    <x v="45"/>
    <x v="25"/>
    <x v="3"/>
    <s v="Notebook"/>
    <n v="13"/>
    <n v="42466"/>
    <n v="0.15"/>
    <n v="469249.3"/>
    <n v="125867.8"/>
    <x v="1"/>
    <x v="8"/>
    <x v="1"/>
  </r>
  <r>
    <s v="ORD03001"/>
    <s v="2024-11-30"/>
    <x v="49"/>
    <x v="26"/>
    <x v="3"/>
    <s v="Paper Ream"/>
    <n v="5"/>
    <n v="51307"/>
    <n v="0"/>
    <n v="256535"/>
    <n v="54519.96"/>
    <x v="0"/>
    <x v="4"/>
    <x v="0"/>
  </r>
  <r>
    <s v="ORD03002"/>
    <s v="2024-10-07"/>
    <x v="45"/>
    <x v="11"/>
    <x v="3"/>
    <s v="Printer"/>
    <n v="13"/>
    <n v="39525"/>
    <n v="0.05"/>
    <n v="488133.75"/>
    <n v="62955.94"/>
    <x v="1"/>
    <x v="0"/>
    <x v="0"/>
  </r>
  <r>
    <s v="ORD03003"/>
    <s v="2023-05-25"/>
    <x v="39"/>
    <x v="24"/>
    <x v="2"/>
    <s v="T-Shirt"/>
    <n v="2"/>
    <n v="14446"/>
    <n v="0.05"/>
    <n v="27447.4"/>
    <n v="2364.8000000000002"/>
    <x v="2"/>
    <x v="6"/>
    <x v="1"/>
  </r>
  <r>
    <s v="ORD03004"/>
    <s v="2024-02-19"/>
    <x v="25"/>
    <x v="16"/>
    <x v="3"/>
    <s v="Pen"/>
    <n v="6"/>
    <n v="37711"/>
    <n v="0"/>
    <n v="226266"/>
    <n v="46447.25"/>
    <x v="1"/>
    <x v="11"/>
    <x v="0"/>
  </r>
  <r>
    <s v="ORD03005"/>
    <s v="2024-04-05"/>
    <x v="33"/>
    <x v="6"/>
    <x v="2"/>
    <s v="Jeans"/>
    <n v="9"/>
    <n v="3324"/>
    <n v="0.1"/>
    <n v="26924.400000000001"/>
    <n v="7620.1"/>
    <x v="1"/>
    <x v="2"/>
    <x v="0"/>
  </r>
  <r>
    <s v="ORD03006"/>
    <s v="2023-03-27"/>
    <x v="18"/>
    <x v="16"/>
    <x v="3"/>
    <s v="Pen"/>
    <n v="13"/>
    <n v="32379"/>
    <n v="0.1"/>
    <n v="378834.3"/>
    <n v="110398.6"/>
    <x v="1"/>
    <x v="7"/>
    <x v="1"/>
  </r>
  <r>
    <s v="ORD03007"/>
    <s v="2023-12-30"/>
    <x v="43"/>
    <x v="22"/>
    <x v="1"/>
    <s v="Camera"/>
    <n v="9"/>
    <n v="58956"/>
    <n v="0.05"/>
    <n v="504073.8"/>
    <n v="106926.96"/>
    <x v="1"/>
    <x v="9"/>
    <x v="1"/>
  </r>
  <r>
    <s v="ORD03008"/>
    <s v="2024-07-06"/>
    <x v="21"/>
    <x v="10"/>
    <x v="3"/>
    <s v="Marker"/>
    <n v="15"/>
    <n v="41335"/>
    <n v="0.2"/>
    <n v="496020"/>
    <n v="44177.08"/>
    <x v="0"/>
    <x v="1"/>
    <x v="0"/>
  </r>
  <r>
    <s v="ORD03009"/>
    <s v="2023-02-20"/>
    <x v="10"/>
    <x v="24"/>
    <x v="2"/>
    <s v="T-Shirt"/>
    <n v="10"/>
    <n v="45955"/>
    <n v="0.2"/>
    <n v="367640"/>
    <n v="79849.119999999995"/>
    <x v="2"/>
    <x v="11"/>
    <x v="1"/>
  </r>
  <r>
    <s v="ORD03010"/>
    <s v="2024-04-09"/>
    <x v="40"/>
    <x v="19"/>
    <x v="1"/>
    <s v="Smartwatch"/>
    <n v="6"/>
    <n v="15245"/>
    <n v="0"/>
    <n v="91470"/>
    <n v="20122.66"/>
    <x v="0"/>
    <x v="2"/>
    <x v="0"/>
  </r>
  <r>
    <s v="ORD03011"/>
    <s v="2024-04-09"/>
    <x v="12"/>
    <x v="22"/>
    <x v="1"/>
    <s v="Camera"/>
    <n v="11"/>
    <n v="59890"/>
    <n v="0.05"/>
    <n v="625850.5"/>
    <n v="88985.11"/>
    <x v="1"/>
    <x v="2"/>
    <x v="0"/>
  </r>
  <r>
    <s v="ORD03012"/>
    <s v="2023-12-01"/>
    <x v="17"/>
    <x v="6"/>
    <x v="2"/>
    <s v="Jeans"/>
    <n v="3"/>
    <n v="44514"/>
    <n v="0.2"/>
    <n v="106833.60000000001"/>
    <n v="13277.62"/>
    <x v="3"/>
    <x v="9"/>
    <x v="1"/>
  </r>
  <r>
    <s v="ORD03013"/>
    <s v="2023-06-16"/>
    <x v="44"/>
    <x v="23"/>
    <x v="0"/>
    <s v="Desk"/>
    <n v="4"/>
    <n v="38296"/>
    <n v="0.1"/>
    <n v="137865.60000000001"/>
    <n v="31098.66"/>
    <x v="0"/>
    <x v="5"/>
    <x v="1"/>
  </r>
  <r>
    <s v="ORD03014"/>
    <s v="2024-11-26"/>
    <x v="25"/>
    <x v="23"/>
    <x v="0"/>
    <s v="Desk"/>
    <n v="2"/>
    <n v="12368"/>
    <n v="0.1"/>
    <n v="22262.400000000001"/>
    <n v="3208.9"/>
    <x v="2"/>
    <x v="4"/>
    <x v="0"/>
  </r>
  <r>
    <s v="ORD03015"/>
    <s v="2023-01-03"/>
    <x v="0"/>
    <x v="6"/>
    <x v="2"/>
    <s v="Jeans"/>
    <n v="9"/>
    <n v="2475"/>
    <n v="0.2"/>
    <n v="17820"/>
    <n v="4076.37"/>
    <x v="1"/>
    <x v="3"/>
    <x v="1"/>
  </r>
  <r>
    <s v="ORD03016"/>
    <s v="2024-09-14"/>
    <x v="40"/>
    <x v="12"/>
    <x v="1"/>
    <s v="Headphones"/>
    <n v="8"/>
    <n v="57235"/>
    <n v="0.05"/>
    <n v="434986"/>
    <n v="123854.04"/>
    <x v="2"/>
    <x v="10"/>
    <x v="0"/>
  </r>
  <r>
    <s v="ORD03017"/>
    <s v="2024-05-23"/>
    <x v="39"/>
    <x v="14"/>
    <x v="2"/>
    <s v="Dress"/>
    <n v="13"/>
    <n v="26253"/>
    <n v="0.05"/>
    <n v="324224.55"/>
    <n v="82485.070000000007"/>
    <x v="1"/>
    <x v="6"/>
    <x v="0"/>
  </r>
  <r>
    <s v="ORD03018"/>
    <s v="2023-12-26"/>
    <x v="44"/>
    <x v="13"/>
    <x v="2"/>
    <s v="Jacket"/>
    <n v="11"/>
    <n v="1960"/>
    <n v="0.2"/>
    <n v="17248"/>
    <n v="2332.9499999999998"/>
    <x v="2"/>
    <x v="9"/>
    <x v="1"/>
  </r>
  <r>
    <s v="ORD03019"/>
    <s v="2023-05-03"/>
    <x v="49"/>
    <x v="12"/>
    <x v="1"/>
    <s v="Headphones"/>
    <n v="4"/>
    <n v="28862"/>
    <n v="0.15"/>
    <n v="98130.8"/>
    <n v="17541.22"/>
    <x v="2"/>
    <x v="6"/>
    <x v="1"/>
  </r>
  <r>
    <s v="ORD03020"/>
    <s v="2024-02-08"/>
    <x v="31"/>
    <x v="7"/>
    <x v="0"/>
    <s v="Bed"/>
    <n v="2"/>
    <n v="57988"/>
    <n v="0"/>
    <n v="115976"/>
    <n v="31871.62"/>
    <x v="1"/>
    <x v="11"/>
    <x v="0"/>
  </r>
  <r>
    <s v="ORD03021"/>
    <s v="2024-08-03"/>
    <x v="49"/>
    <x v="23"/>
    <x v="0"/>
    <s v="Desk"/>
    <n v="5"/>
    <n v="59410"/>
    <n v="0.2"/>
    <n v="237640"/>
    <n v="41731.279999999999"/>
    <x v="3"/>
    <x v="8"/>
    <x v="0"/>
  </r>
  <r>
    <s v="ORD03022"/>
    <s v="2024-10-17"/>
    <x v="12"/>
    <x v="27"/>
    <x v="3"/>
    <s v="File"/>
    <n v="14"/>
    <n v="59244"/>
    <n v="0.1"/>
    <n v="746474.4"/>
    <n v="156383.04000000001"/>
    <x v="0"/>
    <x v="0"/>
    <x v="0"/>
  </r>
  <r>
    <s v="ORD03023"/>
    <s v="2023-12-27"/>
    <x v="28"/>
    <x v="24"/>
    <x v="2"/>
    <s v="T-Shirt"/>
    <n v="3"/>
    <n v="29706"/>
    <n v="0.1"/>
    <n v="80206.2"/>
    <n v="18574.88"/>
    <x v="2"/>
    <x v="9"/>
    <x v="1"/>
  </r>
  <r>
    <s v="ORD03024"/>
    <s v="2024-07-13"/>
    <x v="0"/>
    <x v="10"/>
    <x v="3"/>
    <s v="Marker"/>
    <n v="9"/>
    <n v="13404"/>
    <n v="0"/>
    <n v="120636"/>
    <n v="19532.11"/>
    <x v="0"/>
    <x v="1"/>
    <x v="0"/>
  </r>
  <r>
    <s v="ORD03025"/>
    <s v="2023-11-16"/>
    <x v="21"/>
    <x v="22"/>
    <x v="1"/>
    <s v="Camera"/>
    <n v="5"/>
    <n v="27107"/>
    <n v="0.1"/>
    <n v="121981.5"/>
    <n v="35265.83"/>
    <x v="2"/>
    <x v="4"/>
    <x v="1"/>
  </r>
  <r>
    <s v="ORD03026"/>
    <s v="2023-08-29"/>
    <x v="30"/>
    <x v="3"/>
    <x v="3"/>
    <s v="Stapler"/>
    <n v="3"/>
    <n v="40033"/>
    <n v="0.2"/>
    <n v="96079.2"/>
    <n v="28009.85"/>
    <x v="2"/>
    <x v="8"/>
    <x v="1"/>
  </r>
  <r>
    <s v="ORD03027"/>
    <s v="2023-04-28"/>
    <x v="29"/>
    <x v="8"/>
    <x v="2"/>
    <s v="Sweater"/>
    <n v="11"/>
    <n v="49104"/>
    <n v="0.1"/>
    <n v="486129.6"/>
    <n v="123852.31"/>
    <x v="1"/>
    <x v="2"/>
    <x v="1"/>
  </r>
  <r>
    <s v="ORD03028"/>
    <s v="2023-08-27"/>
    <x v="22"/>
    <x v="23"/>
    <x v="0"/>
    <s v="Desk"/>
    <n v="3"/>
    <n v="51706"/>
    <n v="0.05"/>
    <n v="147362.1"/>
    <n v="39821.83"/>
    <x v="0"/>
    <x v="8"/>
    <x v="1"/>
  </r>
  <r>
    <s v="ORD03029"/>
    <s v="2023-05-23"/>
    <x v="41"/>
    <x v="27"/>
    <x v="3"/>
    <s v="File"/>
    <n v="3"/>
    <n v="16927"/>
    <n v="0.15"/>
    <n v="43163.85"/>
    <n v="10442.84"/>
    <x v="1"/>
    <x v="6"/>
    <x v="1"/>
  </r>
  <r>
    <s v="ORD03030"/>
    <s v="2023-10-27"/>
    <x v="13"/>
    <x v="13"/>
    <x v="2"/>
    <s v="Jacket"/>
    <n v="7"/>
    <n v="37670"/>
    <n v="0.1"/>
    <n v="237321"/>
    <n v="51345.16"/>
    <x v="2"/>
    <x v="0"/>
    <x v="1"/>
  </r>
  <r>
    <s v="ORD03031"/>
    <s v="2024-09-28"/>
    <x v="42"/>
    <x v="6"/>
    <x v="2"/>
    <s v="Jeans"/>
    <n v="3"/>
    <n v="16842"/>
    <n v="0.15"/>
    <n v="42947.1"/>
    <n v="8204.31"/>
    <x v="1"/>
    <x v="10"/>
    <x v="0"/>
  </r>
  <r>
    <s v="ORD03032"/>
    <s v="2023-12-18"/>
    <x v="3"/>
    <x v="14"/>
    <x v="2"/>
    <s v="Dress"/>
    <n v="9"/>
    <n v="21069"/>
    <n v="0.2"/>
    <n v="151696.79999999999"/>
    <n v="44545.17"/>
    <x v="0"/>
    <x v="9"/>
    <x v="1"/>
  </r>
  <r>
    <s v="ORD03033"/>
    <s v="2023-09-21"/>
    <x v="2"/>
    <x v="25"/>
    <x v="3"/>
    <s v="Notebook"/>
    <n v="9"/>
    <n v="10896"/>
    <n v="0.1"/>
    <n v="88257.600000000006"/>
    <n v="21491.54"/>
    <x v="3"/>
    <x v="10"/>
    <x v="1"/>
  </r>
  <r>
    <s v="ORD03034"/>
    <s v="2024-11-27"/>
    <x v="1"/>
    <x v="4"/>
    <x v="0"/>
    <s v="Stool"/>
    <n v="5"/>
    <n v="11802"/>
    <n v="0.1"/>
    <n v="53109"/>
    <n v="8510.41"/>
    <x v="3"/>
    <x v="4"/>
    <x v="0"/>
  </r>
  <r>
    <s v="ORD03035"/>
    <s v="2024-06-09"/>
    <x v="3"/>
    <x v="5"/>
    <x v="0"/>
    <s v="Cupboard"/>
    <n v="8"/>
    <n v="30645"/>
    <n v="0.2"/>
    <n v="196128"/>
    <n v="20776.23"/>
    <x v="1"/>
    <x v="5"/>
    <x v="0"/>
  </r>
  <r>
    <s v="ORD03036"/>
    <s v="2024-04-13"/>
    <x v="26"/>
    <x v="22"/>
    <x v="1"/>
    <s v="Camera"/>
    <n v="15"/>
    <n v="49310"/>
    <n v="0.15"/>
    <n v="628702.5"/>
    <n v="71685.97"/>
    <x v="2"/>
    <x v="2"/>
    <x v="0"/>
  </r>
  <r>
    <s v="ORD03037"/>
    <s v="2023-02-06"/>
    <x v="41"/>
    <x v="13"/>
    <x v="2"/>
    <s v="Jacket"/>
    <n v="5"/>
    <n v="22454"/>
    <n v="0.05"/>
    <n v="106656.5"/>
    <n v="20476.34"/>
    <x v="1"/>
    <x v="11"/>
    <x v="1"/>
  </r>
  <r>
    <s v="ORD03038"/>
    <s v="2023-05-26"/>
    <x v="47"/>
    <x v="1"/>
    <x v="1"/>
    <s v="Mobile"/>
    <n v="4"/>
    <n v="45668"/>
    <n v="0.15"/>
    <n v="155271.20000000001"/>
    <n v="35339.86"/>
    <x v="0"/>
    <x v="6"/>
    <x v="1"/>
  </r>
  <r>
    <s v="ORD03039"/>
    <s v="2024-04-19"/>
    <x v="17"/>
    <x v="25"/>
    <x v="3"/>
    <s v="Notebook"/>
    <n v="2"/>
    <n v="21739"/>
    <n v="0"/>
    <n v="43478"/>
    <n v="8222.19"/>
    <x v="0"/>
    <x v="2"/>
    <x v="0"/>
  </r>
  <r>
    <s v="ORD03040"/>
    <s v="2024-10-16"/>
    <x v="39"/>
    <x v="12"/>
    <x v="1"/>
    <s v="Headphones"/>
    <n v="7"/>
    <n v="40053"/>
    <n v="0.15"/>
    <n v="238315.35"/>
    <n v="32863.65"/>
    <x v="1"/>
    <x v="0"/>
    <x v="0"/>
  </r>
  <r>
    <s v="ORD03041"/>
    <s v="2024-02-02"/>
    <x v="14"/>
    <x v="24"/>
    <x v="2"/>
    <s v="T-Shirt"/>
    <n v="8"/>
    <n v="50869"/>
    <n v="0.05"/>
    <n v="386604.4"/>
    <n v="43701.34"/>
    <x v="1"/>
    <x v="11"/>
    <x v="0"/>
  </r>
  <r>
    <s v="ORD03042"/>
    <s v="2023-02-04"/>
    <x v="36"/>
    <x v="11"/>
    <x v="3"/>
    <s v="Printer"/>
    <n v="9"/>
    <n v="19332"/>
    <n v="0.05"/>
    <n v="165288.6"/>
    <n v="20850.03"/>
    <x v="2"/>
    <x v="11"/>
    <x v="1"/>
  </r>
  <r>
    <s v="ORD03043"/>
    <s v="2023-04-20"/>
    <x v="20"/>
    <x v="13"/>
    <x v="2"/>
    <s v="Jacket"/>
    <n v="9"/>
    <n v="18355"/>
    <n v="0"/>
    <n v="165195"/>
    <n v="37095.39"/>
    <x v="3"/>
    <x v="2"/>
    <x v="1"/>
  </r>
  <r>
    <s v="ORD03044"/>
    <s v="2024-10-26"/>
    <x v="29"/>
    <x v="9"/>
    <x v="1"/>
    <s v="Keyboard"/>
    <n v="14"/>
    <n v="10772"/>
    <n v="0.05"/>
    <n v="143267.6"/>
    <n v="14748.13"/>
    <x v="2"/>
    <x v="0"/>
    <x v="0"/>
  </r>
  <r>
    <s v="ORD03045"/>
    <s v="2023-08-28"/>
    <x v="37"/>
    <x v="11"/>
    <x v="3"/>
    <s v="Printer"/>
    <n v="6"/>
    <n v="51428"/>
    <n v="0"/>
    <n v="308568"/>
    <n v="35805.480000000003"/>
    <x v="0"/>
    <x v="8"/>
    <x v="1"/>
  </r>
  <r>
    <s v="ORD03046"/>
    <s v="2024-10-03"/>
    <x v="15"/>
    <x v="18"/>
    <x v="0"/>
    <s v="Table"/>
    <n v="9"/>
    <n v="39956"/>
    <n v="0.15"/>
    <n v="305663.40000000002"/>
    <n v="27006.92"/>
    <x v="1"/>
    <x v="0"/>
    <x v="0"/>
  </r>
  <r>
    <s v="ORD03047"/>
    <s v="2024-04-04"/>
    <x v="27"/>
    <x v="8"/>
    <x v="2"/>
    <s v="Sweater"/>
    <n v="1"/>
    <n v="38605"/>
    <n v="0.15"/>
    <n v="32814.25"/>
    <n v="5614.62"/>
    <x v="1"/>
    <x v="2"/>
    <x v="0"/>
  </r>
  <r>
    <s v="ORD03048"/>
    <s v="2023-04-22"/>
    <x v="9"/>
    <x v="6"/>
    <x v="2"/>
    <s v="Jeans"/>
    <n v="10"/>
    <n v="14300"/>
    <n v="0.1"/>
    <n v="128700"/>
    <n v="33077.129999999997"/>
    <x v="1"/>
    <x v="2"/>
    <x v="1"/>
  </r>
  <r>
    <s v="ORD03049"/>
    <s v="2024-09-15"/>
    <x v="0"/>
    <x v="14"/>
    <x v="2"/>
    <s v="Dress"/>
    <n v="10"/>
    <n v="23054"/>
    <n v="0.05"/>
    <n v="219013"/>
    <n v="30495.9"/>
    <x v="1"/>
    <x v="10"/>
    <x v="0"/>
  </r>
  <r>
    <s v="ORD03050"/>
    <s v="2024-05-13"/>
    <x v="1"/>
    <x v="13"/>
    <x v="2"/>
    <s v="Jacket"/>
    <n v="6"/>
    <n v="22019"/>
    <n v="0.1"/>
    <n v="118902.6"/>
    <n v="23999.439999999999"/>
    <x v="0"/>
    <x v="6"/>
    <x v="0"/>
  </r>
  <r>
    <s v="ORD03051"/>
    <s v="2023-03-25"/>
    <x v="4"/>
    <x v="13"/>
    <x v="2"/>
    <s v="Jacket"/>
    <n v="5"/>
    <n v="18462"/>
    <n v="0.05"/>
    <n v="87694.5"/>
    <n v="12957.61"/>
    <x v="2"/>
    <x v="7"/>
    <x v="1"/>
  </r>
  <r>
    <s v="ORD03052"/>
    <s v="2023-05-02"/>
    <x v="12"/>
    <x v="16"/>
    <x v="3"/>
    <s v="Pen"/>
    <n v="12"/>
    <n v="3330"/>
    <n v="0.15"/>
    <n v="33966"/>
    <n v="8673.17"/>
    <x v="0"/>
    <x v="6"/>
    <x v="1"/>
  </r>
  <r>
    <s v="ORD03053"/>
    <s v="2024-07-11"/>
    <x v="1"/>
    <x v="10"/>
    <x v="3"/>
    <s v="Marker"/>
    <n v="13"/>
    <n v="43784"/>
    <n v="0"/>
    <n v="569192"/>
    <n v="143692.04"/>
    <x v="1"/>
    <x v="1"/>
    <x v="0"/>
  </r>
  <r>
    <s v="ORD03054"/>
    <s v="2024-08-20"/>
    <x v="39"/>
    <x v="5"/>
    <x v="0"/>
    <s v="Cupboard"/>
    <n v="1"/>
    <n v="16864"/>
    <n v="0.05"/>
    <n v="16020.8"/>
    <n v="2930.87"/>
    <x v="2"/>
    <x v="8"/>
    <x v="0"/>
  </r>
  <r>
    <s v="ORD03055"/>
    <s v="2024-07-06"/>
    <x v="42"/>
    <x v="1"/>
    <x v="1"/>
    <s v="Mobile"/>
    <n v="8"/>
    <n v="56789"/>
    <n v="0.1"/>
    <n v="408880.8"/>
    <n v="38665.51"/>
    <x v="0"/>
    <x v="1"/>
    <x v="0"/>
  </r>
  <r>
    <s v="ORD03056"/>
    <s v="2023-09-03"/>
    <x v="30"/>
    <x v="10"/>
    <x v="3"/>
    <s v="Marker"/>
    <n v="3"/>
    <n v="40601"/>
    <n v="0.1"/>
    <n v="109622.7"/>
    <n v="28955.29"/>
    <x v="0"/>
    <x v="10"/>
    <x v="1"/>
  </r>
  <r>
    <s v="ORD03057"/>
    <s v="2024-07-07"/>
    <x v="14"/>
    <x v="2"/>
    <x v="2"/>
    <s v="Shoes"/>
    <n v="8"/>
    <n v="27646"/>
    <n v="0.1"/>
    <n v="199051.2"/>
    <n v="41091.21"/>
    <x v="2"/>
    <x v="1"/>
    <x v="0"/>
  </r>
  <r>
    <s v="ORD03058"/>
    <s v="2024-11-26"/>
    <x v="37"/>
    <x v="0"/>
    <x v="0"/>
    <s v="Chair"/>
    <n v="14"/>
    <n v="35390"/>
    <n v="0"/>
    <n v="495460"/>
    <n v="82712.070000000007"/>
    <x v="0"/>
    <x v="4"/>
    <x v="0"/>
  </r>
  <r>
    <s v="ORD03059"/>
    <s v="2023-07-16"/>
    <x v="48"/>
    <x v="3"/>
    <x v="3"/>
    <s v="Stapler"/>
    <n v="8"/>
    <n v="4583"/>
    <n v="0.1"/>
    <n v="32997.599999999999"/>
    <n v="3350.45"/>
    <x v="2"/>
    <x v="1"/>
    <x v="1"/>
  </r>
  <r>
    <s v="ORD03060"/>
    <s v="2023-07-15"/>
    <x v="39"/>
    <x v="23"/>
    <x v="0"/>
    <s v="Desk"/>
    <n v="9"/>
    <n v="13781"/>
    <n v="0"/>
    <n v="124029"/>
    <n v="36295.019999999997"/>
    <x v="3"/>
    <x v="1"/>
    <x v="1"/>
  </r>
  <r>
    <s v="ORD03061"/>
    <s v="2023-07-26"/>
    <x v="0"/>
    <x v="2"/>
    <x v="2"/>
    <s v="Shoes"/>
    <n v="11"/>
    <n v="19928"/>
    <n v="0.15"/>
    <n v="186326.8"/>
    <n v="35907.910000000003"/>
    <x v="1"/>
    <x v="1"/>
    <x v="1"/>
  </r>
  <r>
    <s v="ORD03062"/>
    <s v="2023-03-20"/>
    <x v="17"/>
    <x v="0"/>
    <x v="0"/>
    <s v="Chair"/>
    <n v="11"/>
    <n v="19600"/>
    <n v="0.1"/>
    <n v="194040"/>
    <n v="17012.22"/>
    <x v="2"/>
    <x v="7"/>
    <x v="1"/>
  </r>
  <r>
    <s v="ORD03063"/>
    <s v="2024-02-17"/>
    <x v="41"/>
    <x v="20"/>
    <x v="1"/>
    <s v="Tablet"/>
    <n v="7"/>
    <n v="10780"/>
    <n v="0.2"/>
    <n v="60368"/>
    <n v="5828.95"/>
    <x v="2"/>
    <x v="11"/>
    <x v="0"/>
  </r>
  <r>
    <s v="ORD03064"/>
    <s v="2023-04-22"/>
    <x v="11"/>
    <x v="27"/>
    <x v="3"/>
    <s v="File"/>
    <n v="15"/>
    <n v="55882"/>
    <n v="0.15"/>
    <n v="712495.5"/>
    <n v="61750.01"/>
    <x v="1"/>
    <x v="2"/>
    <x v="1"/>
  </r>
  <r>
    <s v="ORD03065"/>
    <s v="2024-07-10"/>
    <x v="44"/>
    <x v="6"/>
    <x v="2"/>
    <s v="Jeans"/>
    <n v="3"/>
    <n v="27483"/>
    <n v="0.1"/>
    <n v="74204.100000000006"/>
    <n v="21178.58"/>
    <x v="0"/>
    <x v="1"/>
    <x v="0"/>
  </r>
  <r>
    <s v="ORD03066"/>
    <s v="2023-08-26"/>
    <x v="44"/>
    <x v="2"/>
    <x v="2"/>
    <s v="Shoes"/>
    <n v="1"/>
    <n v="35759"/>
    <n v="0.05"/>
    <n v="33971.050000000003"/>
    <n v="6054.72"/>
    <x v="0"/>
    <x v="8"/>
    <x v="1"/>
  </r>
  <r>
    <s v="ORD03067"/>
    <s v="2024-03-23"/>
    <x v="13"/>
    <x v="8"/>
    <x v="2"/>
    <s v="Sweater"/>
    <n v="12"/>
    <n v="13109"/>
    <n v="0.1"/>
    <n v="141577.20000000001"/>
    <n v="22737.49"/>
    <x v="2"/>
    <x v="7"/>
    <x v="0"/>
  </r>
  <r>
    <s v="ORD03068"/>
    <s v="2023-09-13"/>
    <x v="1"/>
    <x v="15"/>
    <x v="0"/>
    <s v="Sofa"/>
    <n v="1"/>
    <n v="25595"/>
    <n v="0.05"/>
    <n v="24315.25"/>
    <n v="1958.78"/>
    <x v="1"/>
    <x v="10"/>
    <x v="1"/>
  </r>
  <r>
    <s v="ORD03069"/>
    <s v="2024-02-07"/>
    <x v="3"/>
    <x v="10"/>
    <x v="3"/>
    <s v="Marker"/>
    <n v="8"/>
    <n v="32077"/>
    <n v="0.05"/>
    <n v="243785.2"/>
    <n v="40911.53"/>
    <x v="0"/>
    <x v="11"/>
    <x v="0"/>
  </r>
  <r>
    <s v="ORD03070"/>
    <s v="2024-01-05"/>
    <x v="16"/>
    <x v="11"/>
    <x v="3"/>
    <s v="Printer"/>
    <n v="10"/>
    <n v="7757"/>
    <n v="0.05"/>
    <n v="73691.5"/>
    <n v="10112.31"/>
    <x v="1"/>
    <x v="3"/>
    <x v="0"/>
  </r>
  <r>
    <s v="ORD03071"/>
    <s v="2023-08-10"/>
    <x v="39"/>
    <x v="18"/>
    <x v="0"/>
    <s v="Table"/>
    <n v="7"/>
    <n v="40774"/>
    <n v="0.2"/>
    <n v="228334.4"/>
    <n v="36840.06"/>
    <x v="3"/>
    <x v="8"/>
    <x v="1"/>
  </r>
  <r>
    <s v="ORD03072"/>
    <s v="2023-12-24"/>
    <x v="35"/>
    <x v="21"/>
    <x v="1"/>
    <s v="Laptop"/>
    <n v="1"/>
    <n v="47195"/>
    <n v="0.05"/>
    <n v="44835.25"/>
    <n v="6885.98"/>
    <x v="0"/>
    <x v="9"/>
    <x v="1"/>
  </r>
  <r>
    <s v="ORD03073"/>
    <s v="2023-08-19"/>
    <x v="2"/>
    <x v="26"/>
    <x v="3"/>
    <s v="Paper Ream"/>
    <n v="2"/>
    <n v="6731"/>
    <n v="0"/>
    <n v="13462"/>
    <n v="1887.55"/>
    <x v="1"/>
    <x v="8"/>
    <x v="1"/>
  </r>
  <r>
    <s v="ORD03074"/>
    <s v="2023-06-11"/>
    <x v="41"/>
    <x v="11"/>
    <x v="3"/>
    <s v="Printer"/>
    <n v="4"/>
    <n v="31997"/>
    <n v="0.2"/>
    <n v="102390.39999999999"/>
    <n v="21348.93"/>
    <x v="2"/>
    <x v="5"/>
    <x v="1"/>
  </r>
  <r>
    <s v="ORD03075"/>
    <s v="2024-02-21"/>
    <x v="42"/>
    <x v="26"/>
    <x v="3"/>
    <s v="Paper Ream"/>
    <n v="9"/>
    <n v="42084"/>
    <n v="0.1"/>
    <n v="340880.4"/>
    <n v="69664.570000000007"/>
    <x v="1"/>
    <x v="11"/>
    <x v="0"/>
  </r>
  <r>
    <s v="ORD03076"/>
    <s v="2024-08-13"/>
    <x v="3"/>
    <x v="11"/>
    <x v="3"/>
    <s v="Printer"/>
    <n v="2"/>
    <n v="34068"/>
    <n v="0.1"/>
    <n v="61322.400000000001"/>
    <n v="9968.1299999999992"/>
    <x v="3"/>
    <x v="8"/>
    <x v="0"/>
  </r>
  <r>
    <s v="ORD03077"/>
    <s v="2023-10-19"/>
    <x v="29"/>
    <x v="25"/>
    <x v="3"/>
    <s v="Notebook"/>
    <n v="14"/>
    <n v="37159"/>
    <n v="0.15"/>
    <n v="442192.1"/>
    <n v="98686.93"/>
    <x v="0"/>
    <x v="0"/>
    <x v="1"/>
  </r>
  <r>
    <s v="ORD03078"/>
    <s v="2024-08-28"/>
    <x v="26"/>
    <x v="21"/>
    <x v="1"/>
    <s v="Laptop"/>
    <n v="2"/>
    <n v="48758"/>
    <n v="0.05"/>
    <n v="92640.2"/>
    <n v="21403.43"/>
    <x v="0"/>
    <x v="8"/>
    <x v="0"/>
  </r>
  <r>
    <s v="ORD03079"/>
    <s v="2023-10-29"/>
    <x v="20"/>
    <x v="1"/>
    <x v="1"/>
    <s v="Mobile"/>
    <n v="4"/>
    <n v="51912"/>
    <n v="0.15"/>
    <n v="176500.8"/>
    <n v="26625.95"/>
    <x v="2"/>
    <x v="0"/>
    <x v="1"/>
  </r>
  <r>
    <s v="ORD03080"/>
    <s v="2024-11-12"/>
    <x v="17"/>
    <x v="10"/>
    <x v="3"/>
    <s v="Marker"/>
    <n v="9"/>
    <n v="46822"/>
    <n v="0"/>
    <n v="421398"/>
    <n v="98272.14"/>
    <x v="3"/>
    <x v="4"/>
    <x v="0"/>
  </r>
  <r>
    <s v="ORD03081"/>
    <s v="2024-11-05"/>
    <x v="36"/>
    <x v="0"/>
    <x v="0"/>
    <s v="Chair"/>
    <n v="11"/>
    <n v="44912"/>
    <n v="0.15"/>
    <n v="419927.2"/>
    <n v="69370.23"/>
    <x v="3"/>
    <x v="4"/>
    <x v="0"/>
  </r>
  <r>
    <s v="ORD03082"/>
    <s v="2024-11-10"/>
    <x v="15"/>
    <x v="21"/>
    <x v="1"/>
    <s v="Laptop"/>
    <n v="7"/>
    <n v="53798"/>
    <n v="0.05"/>
    <n v="357756.7"/>
    <n v="106712.51"/>
    <x v="3"/>
    <x v="4"/>
    <x v="0"/>
  </r>
  <r>
    <s v="ORD03083"/>
    <s v="2024-04-16"/>
    <x v="29"/>
    <x v="1"/>
    <x v="1"/>
    <s v="Mobile"/>
    <n v="8"/>
    <n v="53730"/>
    <n v="0.1"/>
    <n v="386856"/>
    <n v="58273.36"/>
    <x v="3"/>
    <x v="2"/>
    <x v="0"/>
  </r>
  <r>
    <s v="ORD03084"/>
    <s v="2023-05-14"/>
    <x v="8"/>
    <x v="23"/>
    <x v="0"/>
    <s v="Desk"/>
    <n v="9"/>
    <n v="45483"/>
    <n v="0.1"/>
    <n v="368412.3"/>
    <n v="100561.37"/>
    <x v="2"/>
    <x v="6"/>
    <x v="1"/>
  </r>
  <r>
    <s v="ORD03085"/>
    <s v="2024-05-09"/>
    <x v="3"/>
    <x v="24"/>
    <x v="2"/>
    <s v="T-Shirt"/>
    <n v="11"/>
    <n v="20962"/>
    <n v="0.1"/>
    <n v="207523.8"/>
    <n v="21126.03"/>
    <x v="3"/>
    <x v="6"/>
    <x v="0"/>
  </r>
  <r>
    <s v="ORD03086"/>
    <s v="2024-09-09"/>
    <x v="14"/>
    <x v="25"/>
    <x v="3"/>
    <s v="Notebook"/>
    <n v="15"/>
    <n v="26286"/>
    <n v="0.2"/>
    <n v="315432"/>
    <n v="66369.899999999994"/>
    <x v="1"/>
    <x v="10"/>
    <x v="0"/>
  </r>
  <r>
    <s v="ORD03087"/>
    <s v="2024-03-22"/>
    <x v="36"/>
    <x v="16"/>
    <x v="3"/>
    <s v="Pen"/>
    <n v="8"/>
    <n v="58901"/>
    <n v="0.2"/>
    <n v="376966.40000000002"/>
    <n v="93470.67"/>
    <x v="3"/>
    <x v="7"/>
    <x v="0"/>
  </r>
  <r>
    <s v="ORD03088"/>
    <s v="2023-11-19"/>
    <x v="43"/>
    <x v="19"/>
    <x v="1"/>
    <s v="Smartwatch"/>
    <n v="7"/>
    <n v="43295"/>
    <n v="0.2"/>
    <n v="242452"/>
    <n v="22837.81"/>
    <x v="2"/>
    <x v="4"/>
    <x v="1"/>
  </r>
  <r>
    <s v="ORD03089"/>
    <s v="2023-11-20"/>
    <x v="23"/>
    <x v="9"/>
    <x v="1"/>
    <s v="Keyboard"/>
    <n v="1"/>
    <n v="27741"/>
    <n v="0.1"/>
    <n v="24966.9"/>
    <n v="4720.45"/>
    <x v="2"/>
    <x v="4"/>
    <x v="1"/>
  </r>
  <r>
    <s v="ORD03090"/>
    <s v="2024-03-31"/>
    <x v="25"/>
    <x v="26"/>
    <x v="3"/>
    <s v="Paper Ream"/>
    <n v="13"/>
    <n v="56315"/>
    <n v="0"/>
    <n v="732095"/>
    <n v="87969.86"/>
    <x v="3"/>
    <x v="7"/>
    <x v="0"/>
  </r>
  <r>
    <s v="ORD03091"/>
    <s v="2023-05-11"/>
    <x v="20"/>
    <x v="9"/>
    <x v="1"/>
    <s v="Keyboard"/>
    <n v="9"/>
    <n v="32890"/>
    <n v="0.1"/>
    <n v="266409"/>
    <n v="56035.64"/>
    <x v="3"/>
    <x v="6"/>
    <x v="1"/>
  </r>
  <r>
    <s v="ORD03092"/>
    <s v="2023-10-21"/>
    <x v="20"/>
    <x v="4"/>
    <x v="0"/>
    <s v="Stool"/>
    <n v="13"/>
    <n v="58947"/>
    <n v="0"/>
    <n v="766311"/>
    <n v="102197.93"/>
    <x v="2"/>
    <x v="0"/>
    <x v="1"/>
  </r>
  <r>
    <s v="ORD03093"/>
    <s v="2023-01-14"/>
    <x v="42"/>
    <x v="9"/>
    <x v="1"/>
    <s v="Keyboard"/>
    <n v="12"/>
    <n v="58663"/>
    <n v="0"/>
    <n v="703956"/>
    <n v="206652.89"/>
    <x v="2"/>
    <x v="3"/>
    <x v="1"/>
  </r>
  <r>
    <s v="ORD03094"/>
    <s v="2023-10-15"/>
    <x v="39"/>
    <x v="5"/>
    <x v="0"/>
    <s v="Cupboard"/>
    <n v="1"/>
    <n v="13444"/>
    <n v="0"/>
    <n v="13444"/>
    <n v="1423.72"/>
    <x v="2"/>
    <x v="0"/>
    <x v="1"/>
  </r>
  <r>
    <s v="ORD03095"/>
    <s v="2023-10-25"/>
    <x v="30"/>
    <x v="25"/>
    <x v="3"/>
    <s v="Notebook"/>
    <n v="5"/>
    <n v="17658"/>
    <n v="0.15"/>
    <n v="75046.5"/>
    <n v="8206.84"/>
    <x v="1"/>
    <x v="0"/>
    <x v="1"/>
  </r>
  <r>
    <s v="ORD03096"/>
    <s v="2023-03-27"/>
    <x v="18"/>
    <x v="6"/>
    <x v="2"/>
    <s v="Jeans"/>
    <n v="5"/>
    <n v="19289"/>
    <n v="0.1"/>
    <n v="86800.5"/>
    <n v="7344.09"/>
    <x v="1"/>
    <x v="7"/>
    <x v="1"/>
  </r>
  <r>
    <s v="ORD03097"/>
    <s v="2023-01-28"/>
    <x v="3"/>
    <x v="14"/>
    <x v="2"/>
    <s v="Dress"/>
    <n v="7"/>
    <n v="59502"/>
    <n v="0.2"/>
    <n v="333211.2"/>
    <n v="94861.92"/>
    <x v="2"/>
    <x v="3"/>
    <x v="1"/>
  </r>
  <r>
    <s v="ORD03098"/>
    <s v="2024-05-30"/>
    <x v="5"/>
    <x v="6"/>
    <x v="2"/>
    <s v="Jeans"/>
    <n v="11"/>
    <n v="9919"/>
    <n v="0.15"/>
    <n v="92742.65"/>
    <n v="9488.01"/>
    <x v="2"/>
    <x v="6"/>
    <x v="0"/>
  </r>
  <r>
    <s v="ORD03099"/>
    <s v="2023-10-27"/>
    <x v="28"/>
    <x v="24"/>
    <x v="2"/>
    <s v="T-Shirt"/>
    <n v="3"/>
    <n v="46015"/>
    <n v="0"/>
    <n v="138045"/>
    <n v="38922.379999999997"/>
    <x v="0"/>
    <x v="0"/>
    <x v="1"/>
  </r>
  <r>
    <s v="ORD03100"/>
    <s v="2023-08-22"/>
    <x v="49"/>
    <x v="1"/>
    <x v="1"/>
    <s v="Mobile"/>
    <n v="9"/>
    <n v="52911"/>
    <n v="0.15"/>
    <n v="404769.15"/>
    <n v="49904.95"/>
    <x v="1"/>
    <x v="8"/>
    <x v="1"/>
  </r>
  <r>
    <s v="ORD03101"/>
    <s v="2024-03-12"/>
    <x v="27"/>
    <x v="17"/>
    <x v="1"/>
    <s v="Power Bank"/>
    <n v="15"/>
    <n v="58565"/>
    <n v="0.1"/>
    <n v="790627.5"/>
    <n v="202103.77"/>
    <x v="3"/>
    <x v="7"/>
    <x v="0"/>
  </r>
  <r>
    <s v="ORD03102"/>
    <s v="2023-01-22"/>
    <x v="13"/>
    <x v="14"/>
    <x v="2"/>
    <s v="Dress"/>
    <n v="5"/>
    <n v="20597"/>
    <n v="0"/>
    <n v="102985"/>
    <n v="23359.45"/>
    <x v="0"/>
    <x v="3"/>
    <x v="1"/>
  </r>
  <r>
    <s v="ORD03103"/>
    <s v="2024-10-20"/>
    <x v="37"/>
    <x v="7"/>
    <x v="0"/>
    <s v="Bed"/>
    <n v="13"/>
    <n v="45667"/>
    <n v="0.15"/>
    <n v="504620.35"/>
    <n v="55490.45"/>
    <x v="2"/>
    <x v="0"/>
    <x v="0"/>
  </r>
  <r>
    <s v="ORD03104"/>
    <s v="2024-06-05"/>
    <x v="19"/>
    <x v="24"/>
    <x v="2"/>
    <s v="T-Shirt"/>
    <n v="10"/>
    <n v="12465"/>
    <n v="0"/>
    <n v="124650"/>
    <n v="17297.669999999998"/>
    <x v="3"/>
    <x v="5"/>
    <x v="0"/>
  </r>
  <r>
    <s v="ORD03105"/>
    <s v="2024-06-01"/>
    <x v="47"/>
    <x v="11"/>
    <x v="3"/>
    <s v="Printer"/>
    <n v="4"/>
    <n v="34815"/>
    <n v="0.1"/>
    <n v="125334"/>
    <n v="30829.06"/>
    <x v="3"/>
    <x v="5"/>
    <x v="0"/>
  </r>
  <r>
    <s v="ORD03106"/>
    <s v="2024-04-17"/>
    <x v="19"/>
    <x v="4"/>
    <x v="0"/>
    <s v="Stool"/>
    <n v="3"/>
    <n v="4694"/>
    <n v="0.1"/>
    <n v="12673.8"/>
    <n v="3520.31"/>
    <x v="2"/>
    <x v="2"/>
    <x v="0"/>
  </r>
  <r>
    <s v="ORD03107"/>
    <s v="2023-06-28"/>
    <x v="45"/>
    <x v="3"/>
    <x v="3"/>
    <s v="Stapler"/>
    <n v="1"/>
    <n v="47171"/>
    <n v="0.2"/>
    <n v="37736.800000000003"/>
    <n v="4146.8"/>
    <x v="0"/>
    <x v="5"/>
    <x v="1"/>
  </r>
  <r>
    <s v="ORD03108"/>
    <s v="2023-04-21"/>
    <x v="31"/>
    <x v="6"/>
    <x v="2"/>
    <s v="Jeans"/>
    <n v="9"/>
    <n v="31756"/>
    <n v="0.15"/>
    <n v="242933.4"/>
    <n v="41162.449999999997"/>
    <x v="3"/>
    <x v="2"/>
    <x v="1"/>
  </r>
  <r>
    <s v="ORD03109"/>
    <s v="2024-06-18"/>
    <x v="4"/>
    <x v="14"/>
    <x v="2"/>
    <s v="Dress"/>
    <n v="3"/>
    <n v="59367"/>
    <n v="0.2"/>
    <n v="142480.79999999999"/>
    <n v="24002.1"/>
    <x v="0"/>
    <x v="5"/>
    <x v="0"/>
  </r>
  <r>
    <s v="ORD03110"/>
    <s v="2023-03-25"/>
    <x v="17"/>
    <x v="20"/>
    <x v="1"/>
    <s v="Tablet"/>
    <n v="10"/>
    <n v="23692"/>
    <n v="0.15"/>
    <n v="201382"/>
    <n v="59216.99"/>
    <x v="0"/>
    <x v="7"/>
    <x v="1"/>
  </r>
  <r>
    <s v="ORD03111"/>
    <s v="2023-08-21"/>
    <x v="32"/>
    <x v="24"/>
    <x v="2"/>
    <s v="T-Shirt"/>
    <n v="12"/>
    <n v="51738"/>
    <n v="0"/>
    <n v="620856"/>
    <n v="155747.94"/>
    <x v="2"/>
    <x v="8"/>
    <x v="1"/>
  </r>
  <r>
    <s v="ORD03112"/>
    <s v="2024-02-22"/>
    <x v="26"/>
    <x v="15"/>
    <x v="0"/>
    <s v="Sofa"/>
    <n v="2"/>
    <n v="10332"/>
    <n v="0"/>
    <n v="20664"/>
    <n v="2452.31"/>
    <x v="1"/>
    <x v="11"/>
    <x v="0"/>
  </r>
  <r>
    <s v="ORD03113"/>
    <s v="2023-07-25"/>
    <x v="10"/>
    <x v="19"/>
    <x v="1"/>
    <s v="Smartwatch"/>
    <n v="14"/>
    <n v="24409"/>
    <n v="0"/>
    <n v="341726"/>
    <n v="88462.88"/>
    <x v="1"/>
    <x v="1"/>
    <x v="1"/>
  </r>
  <r>
    <s v="ORD03114"/>
    <s v="2024-10-02"/>
    <x v="46"/>
    <x v="16"/>
    <x v="3"/>
    <s v="Pen"/>
    <n v="11"/>
    <n v="2159"/>
    <n v="0.15"/>
    <n v="20186.650000000001"/>
    <n v="3236.18"/>
    <x v="1"/>
    <x v="0"/>
    <x v="0"/>
  </r>
  <r>
    <s v="ORD03115"/>
    <s v="2024-01-25"/>
    <x v="35"/>
    <x v="4"/>
    <x v="0"/>
    <s v="Stool"/>
    <n v="3"/>
    <n v="31309"/>
    <n v="0.05"/>
    <n v="89230.65"/>
    <n v="7368.58"/>
    <x v="2"/>
    <x v="3"/>
    <x v="0"/>
  </r>
  <r>
    <s v="ORD03116"/>
    <s v="2024-08-21"/>
    <x v="25"/>
    <x v="13"/>
    <x v="2"/>
    <s v="Jacket"/>
    <n v="10"/>
    <n v="55263"/>
    <n v="0.05"/>
    <n v="524998.5"/>
    <n v="87173.93"/>
    <x v="3"/>
    <x v="8"/>
    <x v="0"/>
  </r>
  <r>
    <s v="ORD03117"/>
    <s v="2024-11-20"/>
    <x v="18"/>
    <x v="15"/>
    <x v="0"/>
    <s v="Sofa"/>
    <n v="8"/>
    <n v="39242"/>
    <n v="0.1"/>
    <n v="282542.40000000002"/>
    <n v="80885.56"/>
    <x v="2"/>
    <x v="4"/>
    <x v="0"/>
  </r>
  <r>
    <s v="ORD03118"/>
    <s v="2023-07-06"/>
    <x v="38"/>
    <x v="2"/>
    <x v="2"/>
    <s v="Shoes"/>
    <n v="5"/>
    <n v="35674"/>
    <n v="0.15"/>
    <n v="151614.5"/>
    <n v="38971.68"/>
    <x v="2"/>
    <x v="1"/>
    <x v="1"/>
  </r>
  <r>
    <s v="ORD03119"/>
    <s v="2023-09-24"/>
    <x v="32"/>
    <x v="11"/>
    <x v="3"/>
    <s v="Printer"/>
    <n v="9"/>
    <n v="10149"/>
    <n v="0.15"/>
    <n v="77639.850000000006"/>
    <n v="10332.370000000001"/>
    <x v="3"/>
    <x v="10"/>
    <x v="1"/>
  </r>
  <r>
    <s v="ORD03120"/>
    <s v="2023-08-21"/>
    <x v="32"/>
    <x v="13"/>
    <x v="2"/>
    <s v="Jacket"/>
    <n v="6"/>
    <n v="33138"/>
    <n v="0"/>
    <n v="198828"/>
    <n v="22016.71"/>
    <x v="3"/>
    <x v="8"/>
    <x v="1"/>
  </r>
  <r>
    <s v="ORD03121"/>
    <s v="2023-08-13"/>
    <x v="35"/>
    <x v="27"/>
    <x v="3"/>
    <s v="File"/>
    <n v="1"/>
    <n v="28356"/>
    <n v="0.05"/>
    <n v="26938.2"/>
    <n v="4860.5600000000004"/>
    <x v="2"/>
    <x v="8"/>
    <x v="1"/>
  </r>
  <r>
    <s v="ORD03122"/>
    <s v="2023-10-09"/>
    <x v="36"/>
    <x v="6"/>
    <x v="2"/>
    <s v="Jeans"/>
    <n v="6"/>
    <n v="7379"/>
    <n v="0.1"/>
    <n v="39846.6"/>
    <n v="3800.46"/>
    <x v="0"/>
    <x v="0"/>
    <x v="1"/>
  </r>
  <r>
    <s v="ORD03123"/>
    <s v="2023-07-05"/>
    <x v="37"/>
    <x v="14"/>
    <x v="2"/>
    <s v="Dress"/>
    <n v="5"/>
    <n v="25051"/>
    <n v="0.15"/>
    <n v="106466.75"/>
    <n v="23293.39"/>
    <x v="0"/>
    <x v="1"/>
    <x v="1"/>
  </r>
  <r>
    <s v="ORD03124"/>
    <s v="2023-08-22"/>
    <x v="16"/>
    <x v="8"/>
    <x v="2"/>
    <s v="Sweater"/>
    <n v="7"/>
    <n v="26625"/>
    <n v="0.15"/>
    <n v="158418.75"/>
    <n v="29814.94"/>
    <x v="2"/>
    <x v="8"/>
    <x v="1"/>
  </r>
  <r>
    <s v="ORD03125"/>
    <s v="2024-10-10"/>
    <x v="47"/>
    <x v="18"/>
    <x v="0"/>
    <s v="Table"/>
    <n v="8"/>
    <n v="14604"/>
    <n v="0.05"/>
    <n v="110990.39999999999"/>
    <n v="11575.88"/>
    <x v="1"/>
    <x v="0"/>
    <x v="0"/>
  </r>
  <r>
    <s v="ORD03126"/>
    <s v="2023-12-04"/>
    <x v="22"/>
    <x v="4"/>
    <x v="0"/>
    <s v="Stool"/>
    <n v="11"/>
    <n v="32797"/>
    <n v="0.2"/>
    <n v="288613.59999999998"/>
    <n v="79778.39"/>
    <x v="0"/>
    <x v="9"/>
    <x v="1"/>
  </r>
  <r>
    <s v="ORD03127"/>
    <s v="2023-08-23"/>
    <x v="15"/>
    <x v="9"/>
    <x v="1"/>
    <s v="Keyboard"/>
    <n v="7"/>
    <n v="38288"/>
    <n v="0"/>
    <n v="268016"/>
    <n v="48941.91"/>
    <x v="2"/>
    <x v="8"/>
    <x v="1"/>
  </r>
  <r>
    <s v="ORD03128"/>
    <s v="2023-01-29"/>
    <x v="36"/>
    <x v="2"/>
    <x v="2"/>
    <s v="Shoes"/>
    <n v="15"/>
    <n v="21530"/>
    <n v="0.15"/>
    <n v="274507.5"/>
    <n v="81471.17"/>
    <x v="3"/>
    <x v="3"/>
    <x v="1"/>
  </r>
  <r>
    <s v="ORD03129"/>
    <s v="2023-02-15"/>
    <x v="17"/>
    <x v="8"/>
    <x v="2"/>
    <s v="Sweater"/>
    <n v="13"/>
    <n v="3309"/>
    <n v="0.1"/>
    <n v="38715.300000000003"/>
    <n v="8513.4"/>
    <x v="2"/>
    <x v="11"/>
    <x v="1"/>
  </r>
  <r>
    <s v="ORD03130"/>
    <s v="2024-05-19"/>
    <x v="43"/>
    <x v="27"/>
    <x v="3"/>
    <s v="File"/>
    <n v="9"/>
    <n v="36254"/>
    <n v="0"/>
    <n v="326286"/>
    <n v="45486.3"/>
    <x v="1"/>
    <x v="6"/>
    <x v="0"/>
  </r>
  <r>
    <s v="ORD03131"/>
    <s v="2024-09-05"/>
    <x v="46"/>
    <x v="14"/>
    <x v="2"/>
    <s v="Dress"/>
    <n v="4"/>
    <n v="20118"/>
    <n v="0.1"/>
    <n v="72424.800000000003"/>
    <n v="18195.599999999999"/>
    <x v="0"/>
    <x v="10"/>
    <x v="0"/>
  </r>
  <r>
    <s v="ORD03132"/>
    <s v="2024-09-06"/>
    <x v="32"/>
    <x v="14"/>
    <x v="2"/>
    <s v="Dress"/>
    <n v="15"/>
    <n v="40283"/>
    <n v="0"/>
    <n v="604245"/>
    <n v="55161.17"/>
    <x v="1"/>
    <x v="10"/>
    <x v="0"/>
  </r>
  <r>
    <s v="ORD03133"/>
    <s v="2023-03-23"/>
    <x v="10"/>
    <x v="15"/>
    <x v="0"/>
    <s v="Sofa"/>
    <n v="9"/>
    <n v="5710"/>
    <n v="0.1"/>
    <n v="46251"/>
    <n v="11238.92"/>
    <x v="0"/>
    <x v="7"/>
    <x v="1"/>
  </r>
  <r>
    <s v="ORD03134"/>
    <s v="2023-02-04"/>
    <x v="9"/>
    <x v="23"/>
    <x v="0"/>
    <s v="Desk"/>
    <n v="13"/>
    <n v="37632"/>
    <n v="0.15"/>
    <n v="415833.59999999998"/>
    <n v="90896.07"/>
    <x v="3"/>
    <x v="11"/>
    <x v="1"/>
  </r>
  <r>
    <s v="ORD03135"/>
    <s v="2023-12-04"/>
    <x v="27"/>
    <x v="1"/>
    <x v="1"/>
    <s v="Mobile"/>
    <n v="10"/>
    <n v="16224"/>
    <n v="0.2"/>
    <n v="129792"/>
    <n v="18002.419999999998"/>
    <x v="1"/>
    <x v="9"/>
    <x v="1"/>
  </r>
  <r>
    <s v="ORD03136"/>
    <s v="2023-10-11"/>
    <x v="49"/>
    <x v="19"/>
    <x v="1"/>
    <s v="Smartwatch"/>
    <n v="10"/>
    <n v="4329"/>
    <n v="0.1"/>
    <n v="38961"/>
    <n v="5650.34"/>
    <x v="2"/>
    <x v="0"/>
    <x v="1"/>
  </r>
  <r>
    <s v="ORD03137"/>
    <s v="2024-01-25"/>
    <x v="22"/>
    <x v="25"/>
    <x v="3"/>
    <s v="Notebook"/>
    <n v="8"/>
    <n v="50571"/>
    <n v="0.15"/>
    <n v="343882.8"/>
    <n v="58005.07"/>
    <x v="0"/>
    <x v="3"/>
    <x v="0"/>
  </r>
  <r>
    <s v="ORD03138"/>
    <s v="2023-05-27"/>
    <x v="37"/>
    <x v="18"/>
    <x v="0"/>
    <s v="Table"/>
    <n v="2"/>
    <n v="3932"/>
    <n v="0.1"/>
    <n v="7077.6"/>
    <n v="1742.81"/>
    <x v="2"/>
    <x v="6"/>
    <x v="1"/>
  </r>
  <r>
    <s v="ORD03139"/>
    <s v="2024-08-02"/>
    <x v="10"/>
    <x v="10"/>
    <x v="3"/>
    <s v="Marker"/>
    <n v="3"/>
    <n v="1442"/>
    <n v="0.2"/>
    <n v="3460.8"/>
    <n v="895.28"/>
    <x v="3"/>
    <x v="8"/>
    <x v="0"/>
  </r>
  <r>
    <s v="ORD03140"/>
    <s v="2024-02-24"/>
    <x v="37"/>
    <x v="25"/>
    <x v="3"/>
    <s v="Notebook"/>
    <n v="2"/>
    <n v="29404"/>
    <n v="0.2"/>
    <n v="47046.400000000001"/>
    <n v="13614.45"/>
    <x v="1"/>
    <x v="11"/>
    <x v="0"/>
  </r>
  <r>
    <s v="ORD03141"/>
    <s v="2024-03-06"/>
    <x v="30"/>
    <x v="7"/>
    <x v="0"/>
    <s v="Bed"/>
    <n v="15"/>
    <n v="43450"/>
    <n v="0"/>
    <n v="651750"/>
    <n v="122987.94"/>
    <x v="0"/>
    <x v="7"/>
    <x v="0"/>
  </r>
  <r>
    <s v="ORD03142"/>
    <s v="2023-10-04"/>
    <x v="33"/>
    <x v="27"/>
    <x v="3"/>
    <s v="File"/>
    <n v="15"/>
    <n v="38493"/>
    <n v="0"/>
    <n v="577395"/>
    <n v="122737.5"/>
    <x v="1"/>
    <x v="0"/>
    <x v="1"/>
  </r>
  <r>
    <s v="ORD03143"/>
    <s v="2023-06-01"/>
    <x v="39"/>
    <x v="4"/>
    <x v="0"/>
    <s v="Stool"/>
    <n v="5"/>
    <n v="1037"/>
    <n v="0"/>
    <n v="5185"/>
    <n v="997.94"/>
    <x v="1"/>
    <x v="5"/>
    <x v="1"/>
  </r>
  <r>
    <s v="ORD03144"/>
    <s v="2023-03-21"/>
    <x v="35"/>
    <x v="11"/>
    <x v="3"/>
    <s v="Printer"/>
    <n v="9"/>
    <n v="19260"/>
    <n v="0.15"/>
    <n v="147339"/>
    <n v="43882.36"/>
    <x v="2"/>
    <x v="7"/>
    <x v="1"/>
  </r>
  <r>
    <s v="ORD03145"/>
    <s v="2024-05-02"/>
    <x v="13"/>
    <x v="25"/>
    <x v="3"/>
    <s v="Notebook"/>
    <n v="5"/>
    <n v="9373"/>
    <n v="0.2"/>
    <n v="37492"/>
    <n v="6073.22"/>
    <x v="3"/>
    <x v="6"/>
    <x v="0"/>
  </r>
  <r>
    <s v="ORD03146"/>
    <s v="2024-02-06"/>
    <x v="20"/>
    <x v="14"/>
    <x v="2"/>
    <s v="Dress"/>
    <n v="13"/>
    <n v="2757"/>
    <n v="0.2"/>
    <n v="28672.799999999999"/>
    <n v="4821.13"/>
    <x v="0"/>
    <x v="11"/>
    <x v="0"/>
  </r>
  <r>
    <s v="ORD03147"/>
    <s v="2023-10-04"/>
    <x v="27"/>
    <x v="7"/>
    <x v="0"/>
    <s v="Bed"/>
    <n v="14"/>
    <n v="52269"/>
    <n v="0.15"/>
    <n v="622001.1"/>
    <n v="179518.05"/>
    <x v="1"/>
    <x v="0"/>
    <x v="1"/>
  </r>
  <r>
    <s v="ORD03148"/>
    <s v="2023-05-27"/>
    <x v="35"/>
    <x v="9"/>
    <x v="1"/>
    <s v="Keyboard"/>
    <n v="6"/>
    <n v="23802"/>
    <n v="0"/>
    <n v="142812"/>
    <n v="25292.97"/>
    <x v="1"/>
    <x v="6"/>
    <x v="1"/>
  </r>
  <r>
    <s v="ORD03149"/>
    <s v="2023-12-21"/>
    <x v="44"/>
    <x v="12"/>
    <x v="1"/>
    <s v="Headphones"/>
    <n v="6"/>
    <n v="25601"/>
    <n v="0.05"/>
    <n v="145925.70000000001"/>
    <n v="26653.88"/>
    <x v="2"/>
    <x v="9"/>
    <x v="1"/>
  </r>
  <r>
    <s v="ORD03150"/>
    <s v="2023-12-20"/>
    <x v="0"/>
    <x v="10"/>
    <x v="3"/>
    <s v="Marker"/>
    <n v="5"/>
    <n v="18387"/>
    <n v="0.2"/>
    <n v="73548"/>
    <n v="12671.58"/>
    <x v="1"/>
    <x v="9"/>
    <x v="1"/>
  </r>
  <r>
    <s v="ORD03151"/>
    <s v="2024-07-15"/>
    <x v="30"/>
    <x v="8"/>
    <x v="2"/>
    <s v="Sweater"/>
    <n v="4"/>
    <n v="7764"/>
    <n v="0.05"/>
    <n v="29503.200000000001"/>
    <n v="3461.66"/>
    <x v="2"/>
    <x v="1"/>
    <x v="0"/>
  </r>
  <r>
    <s v="ORD03152"/>
    <s v="2023-04-01"/>
    <x v="11"/>
    <x v="22"/>
    <x v="1"/>
    <s v="Camera"/>
    <n v="1"/>
    <n v="58913"/>
    <n v="0"/>
    <n v="58913"/>
    <n v="14806.05"/>
    <x v="3"/>
    <x v="2"/>
    <x v="1"/>
  </r>
  <r>
    <s v="ORD03153"/>
    <s v="2024-11-27"/>
    <x v="14"/>
    <x v="6"/>
    <x v="2"/>
    <s v="Jeans"/>
    <n v="13"/>
    <n v="9674"/>
    <n v="0.05"/>
    <n v="119473.9"/>
    <n v="31115.53"/>
    <x v="1"/>
    <x v="4"/>
    <x v="0"/>
  </r>
  <r>
    <s v="ORD03154"/>
    <s v="2023-03-10"/>
    <x v="4"/>
    <x v="17"/>
    <x v="1"/>
    <s v="Power Bank"/>
    <n v="3"/>
    <n v="29968"/>
    <n v="0.1"/>
    <n v="80913.600000000006"/>
    <n v="13822.58"/>
    <x v="3"/>
    <x v="7"/>
    <x v="1"/>
  </r>
  <r>
    <s v="ORD03155"/>
    <s v="2024-07-04"/>
    <x v="7"/>
    <x v="23"/>
    <x v="0"/>
    <s v="Desk"/>
    <n v="14"/>
    <n v="29813"/>
    <n v="0.1"/>
    <n v="375643.8"/>
    <n v="90381.18"/>
    <x v="2"/>
    <x v="1"/>
    <x v="0"/>
  </r>
  <r>
    <s v="ORD03156"/>
    <s v="2023-02-10"/>
    <x v="1"/>
    <x v="18"/>
    <x v="0"/>
    <s v="Table"/>
    <n v="14"/>
    <n v="37796"/>
    <n v="0"/>
    <n v="529144"/>
    <n v="153045.31"/>
    <x v="1"/>
    <x v="11"/>
    <x v="1"/>
  </r>
  <r>
    <s v="ORD03157"/>
    <s v="2024-01-19"/>
    <x v="49"/>
    <x v="22"/>
    <x v="1"/>
    <s v="Camera"/>
    <n v="11"/>
    <n v="50325"/>
    <n v="0.1"/>
    <n v="498217.5"/>
    <n v="144584"/>
    <x v="2"/>
    <x v="3"/>
    <x v="0"/>
  </r>
  <r>
    <s v="ORD03158"/>
    <s v="2023-02-25"/>
    <x v="48"/>
    <x v="2"/>
    <x v="2"/>
    <s v="Shoes"/>
    <n v="10"/>
    <n v="29999"/>
    <n v="0.1"/>
    <n v="269991"/>
    <n v="35519.33"/>
    <x v="2"/>
    <x v="11"/>
    <x v="1"/>
  </r>
  <r>
    <s v="ORD03159"/>
    <s v="2023-04-08"/>
    <x v="37"/>
    <x v="19"/>
    <x v="1"/>
    <s v="Smartwatch"/>
    <n v="12"/>
    <n v="25250"/>
    <n v="0.1"/>
    <n v="272700"/>
    <n v="73455.98"/>
    <x v="3"/>
    <x v="2"/>
    <x v="1"/>
  </r>
  <r>
    <s v="ORD03160"/>
    <s v="2024-05-18"/>
    <x v="22"/>
    <x v="5"/>
    <x v="0"/>
    <s v="Cupboard"/>
    <n v="9"/>
    <n v="44471"/>
    <n v="0"/>
    <n v="400239"/>
    <n v="95353.04"/>
    <x v="0"/>
    <x v="6"/>
    <x v="0"/>
  </r>
  <r>
    <s v="ORD03161"/>
    <s v="2024-07-04"/>
    <x v="12"/>
    <x v="26"/>
    <x v="3"/>
    <s v="Paper Ream"/>
    <n v="8"/>
    <n v="27636"/>
    <n v="0.05"/>
    <n v="210033.6"/>
    <n v="17655.91"/>
    <x v="0"/>
    <x v="1"/>
    <x v="0"/>
  </r>
  <r>
    <s v="ORD03162"/>
    <s v="2023-11-26"/>
    <x v="7"/>
    <x v="15"/>
    <x v="0"/>
    <s v="Sofa"/>
    <n v="6"/>
    <n v="35448"/>
    <n v="0"/>
    <n v="212688"/>
    <n v="45364.99"/>
    <x v="1"/>
    <x v="4"/>
    <x v="1"/>
  </r>
  <r>
    <s v="ORD03163"/>
    <s v="2023-10-07"/>
    <x v="29"/>
    <x v="2"/>
    <x v="2"/>
    <s v="Shoes"/>
    <n v="10"/>
    <n v="57981"/>
    <n v="0.1"/>
    <n v="521829"/>
    <n v="52456.56"/>
    <x v="2"/>
    <x v="0"/>
    <x v="1"/>
  </r>
  <r>
    <s v="ORD03164"/>
    <s v="2024-01-26"/>
    <x v="41"/>
    <x v="5"/>
    <x v="0"/>
    <s v="Cupboard"/>
    <n v="11"/>
    <n v="29620"/>
    <n v="0"/>
    <n v="325820"/>
    <n v="45964.61"/>
    <x v="3"/>
    <x v="3"/>
    <x v="0"/>
  </r>
  <r>
    <s v="ORD03165"/>
    <s v="2024-05-20"/>
    <x v="15"/>
    <x v="10"/>
    <x v="3"/>
    <s v="Marker"/>
    <n v="10"/>
    <n v="4505"/>
    <n v="0"/>
    <n v="45050"/>
    <n v="11693.93"/>
    <x v="2"/>
    <x v="6"/>
    <x v="0"/>
  </r>
  <r>
    <s v="ORD03166"/>
    <s v="2023-12-18"/>
    <x v="14"/>
    <x v="12"/>
    <x v="1"/>
    <s v="Headphones"/>
    <n v="8"/>
    <n v="1768"/>
    <n v="0"/>
    <n v="14144"/>
    <n v="2858.83"/>
    <x v="1"/>
    <x v="9"/>
    <x v="1"/>
  </r>
  <r>
    <s v="ORD03167"/>
    <s v="2024-08-20"/>
    <x v="38"/>
    <x v="13"/>
    <x v="2"/>
    <s v="Jacket"/>
    <n v="14"/>
    <n v="23382"/>
    <n v="0.1"/>
    <n v="294613.2"/>
    <n v="48868.84"/>
    <x v="0"/>
    <x v="8"/>
    <x v="0"/>
  </r>
  <r>
    <s v="ORD03168"/>
    <s v="2024-01-30"/>
    <x v="24"/>
    <x v="22"/>
    <x v="1"/>
    <s v="Camera"/>
    <n v="11"/>
    <n v="376"/>
    <n v="0.2"/>
    <n v="3308.8"/>
    <n v="380.26"/>
    <x v="3"/>
    <x v="3"/>
    <x v="0"/>
  </r>
  <r>
    <s v="ORD03169"/>
    <s v="2024-02-21"/>
    <x v="42"/>
    <x v="14"/>
    <x v="2"/>
    <s v="Dress"/>
    <n v="8"/>
    <n v="762"/>
    <n v="0.1"/>
    <n v="5486.4"/>
    <n v="1474.36"/>
    <x v="1"/>
    <x v="11"/>
    <x v="0"/>
  </r>
  <r>
    <s v="ORD03170"/>
    <s v="2024-08-28"/>
    <x v="49"/>
    <x v="7"/>
    <x v="0"/>
    <s v="Bed"/>
    <n v="4"/>
    <n v="16221"/>
    <n v="0.2"/>
    <n v="51907.199999999997"/>
    <n v="14326.67"/>
    <x v="3"/>
    <x v="8"/>
    <x v="0"/>
  </r>
  <r>
    <s v="ORD03171"/>
    <s v="2024-04-18"/>
    <x v="37"/>
    <x v="4"/>
    <x v="0"/>
    <s v="Stool"/>
    <n v="9"/>
    <n v="28716"/>
    <n v="0.05"/>
    <n v="245521.8"/>
    <n v="67780.12"/>
    <x v="2"/>
    <x v="2"/>
    <x v="0"/>
  </r>
  <r>
    <s v="ORD03172"/>
    <s v="2024-09-29"/>
    <x v="23"/>
    <x v="14"/>
    <x v="2"/>
    <s v="Dress"/>
    <n v="5"/>
    <n v="7482"/>
    <n v="0.05"/>
    <n v="35539.5"/>
    <n v="4601.72"/>
    <x v="3"/>
    <x v="10"/>
    <x v="0"/>
  </r>
  <r>
    <s v="ORD03173"/>
    <s v="2024-09-25"/>
    <x v="40"/>
    <x v="22"/>
    <x v="1"/>
    <s v="Camera"/>
    <n v="9"/>
    <n v="53893"/>
    <n v="0.1"/>
    <n v="436533.3"/>
    <n v="83044.11"/>
    <x v="0"/>
    <x v="10"/>
    <x v="0"/>
  </r>
  <r>
    <s v="ORD03174"/>
    <s v="2023-04-18"/>
    <x v="25"/>
    <x v="6"/>
    <x v="2"/>
    <s v="Jeans"/>
    <n v="4"/>
    <n v="26901"/>
    <n v="0.2"/>
    <n v="86083.199999999997"/>
    <n v="7787.53"/>
    <x v="3"/>
    <x v="2"/>
    <x v="1"/>
  </r>
  <r>
    <s v="ORD03175"/>
    <s v="2023-07-23"/>
    <x v="27"/>
    <x v="7"/>
    <x v="0"/>
    <s v="Bed"/>
    <n v="10"/>
    <n v="12714"/>
    <n v="0.05"/>
    <n v="120783"/>
    <n v="10403.35"/>
    <x v="1"/>
    <x v="1"/>
    <x v="1"/>
  </r>
  <r>
    <s v="ORD03176"/>
    <s v="2024-01-25"/>
    <x v="7"/>
    <x v="5"/>
    <x v="0"/>
    <s v="Cupboard"/>
    <n v="14"/>
    <n v="20316"/>
    <n v="0.2"/>
    <n v="227539.20000000001"/>
    <n v="65735.960000000006"/>
    <x v="3"/>
    <x v="3"/>
    <x v="0"/>
  </r>
  <r>
    <s v="ORD03177"/>
    <s v="2024-11-29"/>
    <x v="48"/>
    <x v="10"/>
    <x v="3"/>
    <s v="Marker"/>
    <n v="14"/>
    <n v="3098"/>
    <n v="0.1"/>
    <n v="39034.800000000003"/>
    <n v="11598.25"/>
    <x v="3"/>
    <x v="4"/>
    <x v="0"/>
  </r>
  <r>
    <s v="ORD03178"/>
    <s v="2024-02-13"/>
    <x v="33"/>
    <x v="24"/>
    <x v="2"/>
    <s v="T-Shirt"/>
    <n v="2"/>
    <n v="3995"/>
    <n v="0"/>
    <n v="7990"/>
    <n v="1405.15"/>
    <x v="0"/>
    <x v="11"/>
    <x v="0"/>
  </r>
  <r>
    <s v="ORD03179"/>
    <s v="2024-04-14"/>
    <x v="8"/>
    <x v="21"/>
    <x v="1"/>
    <s v="Laptop"/>
    <n v="10"/>
    <n v="53915"/>
    <n v="0.05"/>
    <n v="512192.5"/>
    <n v="78505.14"/>
    <x v="0"/>
    <x v="2"/>
    <x v="0"/>
  </r>
  <r>
    <s v="ORD03180"/>
    <s v="2024-06-02"/>
    <x v="1"/>
    <x v="21"/>
    <x v="1"/>
    <s v="Laptop"/>
    <n v="2"/>
    <n v="4449"/>
    <n v="0.05"/>
    <n v="8453.1"/>
    <n v="2012.44"/>
    <x v="3"/>
    <x v="5"/>
    <x v="0"/>
  </r>
  <r>
    <s v="ORD03181"/>
    <s v="2024-09-27"/>
    <x v="5"/>
    <x v="15"/>
    <x v="0"/>
    <s v="Sofa"/>
    <n v="10"/>
    <n v="31201"/>
    <n v="0"/>
    <n v="312010"/>
    <n v="44477.71"/>
    <x v="3"/>
    <x v="10"/>
    <x v="0"/>
  </r>
  <r>
    <s v="ORD03182"/>
    <s v="2023-05-05"/>
    <x v="44"/>
    <x v="5"/>
    <x v="0"/>
    <s v="Cupboard"/>
    <n v="8"/>
    <n v="14454"/>
    <n v="0.05"/>
    <n v="109850.4"/>
    <n v="32885.199999999997"/>
    <x v="0"/>
    <x v="6"/>
    <x v="1"/>
  </r>
  <r>
    <s v="ORD03183"/>
    <s v="2024-01-01"/>
    <x v="43"/>
    <x v="24"/>
    <x v="2"/>
    <s v="T-Shirt"/>
    <n v="13"/>
    <n v="43832"/>
    <n v="0"/>
    <n v="569816"/>
    <n v="99368.54"/>
    <x v="0"/>
    <x v="3"/>
    <x v="0"/>
  </r>
  <r>
    <s v="ORD03184"/>
    <s v="2024-05-16"/>
    <x v="35"/>
    <x v="24"/>
    <x v="2"/>
    <s v="T-Shirt"/>
    <n v="1"/>
    <n v="42524"/>
    <n v="0"/>
    <n v="42524"/>
    <n v="4684.42"/>
    <x v="3"/>
    <x v="6"/>
    <x v="0"/>
  </r>
  <r>
    <s v="ORD03185"/>
    <s v="2024-03-12"/>
    <x v="22"/>
    <x v="8"/>
    <x v="2"/>
    <s v="Sweater"/>
    <n v="2"/>
    <n v="40490"/>
    <n v="0.2"/>
    <n v="64784"/>
    <n v="16454.43"/>
    <x v="0"/>
    <x v="7"/>
    <x v="0"/>
  </r>
  <r>
    <s v="ORD03186"/>
    <s v="2023-09-06"/>
    <x v="19"/>
    <x v="3"/>
    <x v="3"/>
    <s v="Stapler"/>
    <n v="15"/>
    <n v="48753"/>
    <n v="0.1"/>
    <n v="658165.5"/>
    <n v="141994.39000000001"/>
    <x v="0"/>
    <x v="10"/>
    <x v="1"/>
  </r>
  <r>
    <s v="ORD03187"/>
    <s v="2023-08-01"/>
    <x v="21"/>
    <x v="24"/>
    <x v="2"/>
    <s v="T-Shirt"/>
    <n v="4"/>
    <n v="28949"/>
    <n v="0.05"/>
    <n v="110006.2"/>
    <n v="32602.82"/>
    <x v="0"/>
    <x v="8"/>
    <x v="1"/>
  </r>
  <r>
    <s v="ORD03188"/>
    <s v="2024-08-06"/>
    <x v="23"/>
    <x v="4"/>
    <x v="0"/>
    <s v="Stool"/>
    <n v="9"/>
    <n v="40869"/>
    <n v="0.05"/>
    <n v="349429.95"/>
    <n v="83524.33"/>
    <x v="0"/>
    <x v="8"/>
    <x v="0"/>
  </r>
  <r>
    <s v="ORD03189"/>
    <s v="2024-09-28"/>
    <x v="3"/>
    <x v="2"/>
    <x v="2"/>
    <s v="Shoes"/>
    <n v="13"/>
    <n v="27656"/>
    <n v="0.1"/>
    <n v="323575.2"/>
    <n v="27192.53"/>
    <x v="1"/>
    <x v="10"/>
    <x v="0"/>
  </r>
  <r>
    <s v="ORD03190"/>
    <s v="2023-08-27"/>
    <x v="41"/>
    <x v="20"/>
    <x v="1"/>
    <s v="Tablet"/>
    <n v="6"/>
    <n v="41224"/>
    <n v="0.2"/>
    <n v="197875.20000000001"/>
    <n v="25293.26"/>
    <x v="1"/>
    <x v="8"/>
    <x v="1"/>
  </r>
  <r>
    <s v="ORD03191"/>
    <s v="2024-06-13"/>
    <x v="16"/>
    <x v="27"/>
    <x v="3"/>
    <s v="File"/>
    <n v="4"/>
    <n v="34997"/>
    <n v="0"/>
    <n v="139988"/>
    <n v="32165.72"/>
    <x v="1"/>
    <x v="5"/>
    <x v="0"/>
  </r>
  <r>
    <s v="ORD03192"/>
    <s v="2024-08-06"/>
    <x v="37"/>
    <x v="26"/>
    <x v="3"/>
    <s v="Paper Ream"/>
    <n v="7"/>
    <n v="44113"/>
    <n v="0.05"/>
    <n v="293351.45"/>
    <n v="27814.82"/>
    <x v="2"/>
    <x v="8"/>
    <x v="0"/>
  </r>
  <r>
    <s v="ORD03193"/>
    <s v="2024-04-21"/>
    <x v="9"/>
    <x v="7"/>
    <x v="0"/>
    <s v="Bed"/>
    <n v="13"/>
    <n v="3483"/>
    <n v="0.05"/>
    <n v="43015.05"/>
    <n v="4508.1099999999997"/>
    <x v="0"/>
    <x v="2"/>
    <x v="0"/>
  </r>
  <r>
    <s v="ORD03194"/>
    <s v="2024-01-14"/>
    <x v="32"/>
    <x v="26"/>
    <x v="3"/>
    <s v="Paper Ream"/>
    <n v="5"/>
    <n v="1917"/>
    <n v="0.05"/>
    <n v="9105.75"/>
    <n v="811.81"/>
    <x v="3"/>
    <x v="3"/>
    <x v="0"/>
  </r>
  <r>
    <s v="ORD03195"/>
    <s v="2024-01-16"/>
    <x v="15"/>
    <x v="2"/>
    <x v="2"/>
    <s v="Shoes"/>
    <n v="13"/>
    <n v="26638"/>
    <n v="0.1"/>
    <n v="311664.59999999998"/>
    <n v="44152.63"/>
    <x v="0"/>
    <x v="3"/>
    <x v="0"/>
  </r>
  <r>
    <s v="ORD03196"/>
    <s v="2024-10-02"/>
    <x v="27"/>
    <x v="4"/>
    <x v="0"/>
    <s v="Stool"/>
    <n v="15"/>
    <n v="27893"/>
    <n v="0"/>
    <n v="418395"/>
    <n v="100522.41"/>
    <x v="0"/>
    <x v="0"/>
    <x v="0"/>
  </r>
  <r>
    <s v="ORD03197"/>
    <s v="2023-04-26"/>
    <x v="4"/>
    <x v="17"/>
    <x v="1"/>
    <s v="Power Bank"/>
    <n v="6"/>
    <n v="30614"/>
    <n v="0.2"/>
    <n v="146947.20000000001"/>
    <n v="26399.16"/>
    <x v="1"/>
    <x v="2"/>
    <x v="1"/>
  </r>
  <r>
    <s v="ORD03198"/>
    <s v="2023-09-19"/>
    <x v="36"/>
    <x v="0"/>
    <x v="0"/>
    <s v="Chair"/>
    <n v="2"/>
    <n v="20985"/>
    <n v="0"/>
    <n v="41970"/>
    <n v="8781.2900000000009"/>
    <x v="1"/>
    <x v="10"/>
    <x v="1"/>
  </r>
  <r>
    <s v="ORD03199"/>
    <s v="2024-04-07"/>
    <x v="43"/>
    <x v="14"/>
    <x v="2"/>
    <s v="Dress"/>
    <n v="12"/>
    <n v="49305"/>
    <n v="0"/>
    <n v="591660"/>
    <n v="61806.12"/>
    <x v="1"/>
    <x v="2"/>
    <x v="0"/>
  </r>
  <r>
    <s v="ORD03200"/>
    <s v="2023-09-11"/>
    <x v="47"/>
    <x v="6"/>
    <x v="2"/>
    <s v="Jeans"/>
    <n v="11"/>
    <n v="58064"/>
    <n v="0.2"/>
    <n v="510963.20000000001"/>
    <n v="78405.460000000006"/>
    <x v="2"/>
    <x v="10"/>
    <x v="1"/>
  </r>
  <r>
    <s v="ORD03201"/>
    <s v="2024-03-15"/>
    <x v="34"/>
    <x v="8"/>
    <x v="2"/>
    <s v="Sweater"/>
    <n v="1"/>
    <n v="40544"/>
    <n v="0.15"/>
    <n v="34462.400000000001"/>
    <n v="3677.85"/>
    <x v="3"/>
    <x v="7"/>
    <x v="0"/>
  </r>
  <r>
    <s v="ORD03202"/>
    <s v="2024-10-29"/>
    <x v="47"/>
    <x v="2"/>
    <x v="2"/>
    <s v="Shoes"/>
    <n v="3"/>
    <n v="18272"/>
    <n v="0.1"/>
    <n v="49334.400000000001"/>
    <n v="6370.29"/>
    <x v="3"/>
    <x v="0"/>
    <x v="0"/>
  </r>
  <r>
    <s v="ORD03203"/>
    <s v="2023-09-17"/>
    <x v="10"/>
    <x v="24"/>
    <x v="2"/>
    <s v="T-Shirt"/>
    <n v="8"/>
    <n v="46241"/>
    <n v="0.2"/>
    <n v="295942.40000000002"/>
    <n v="63119.35"/>
    <x v="0"/>
    <x v="10"/>
    <x v="1"/>
  </r>
  <r>
    <s v="ORD03204"/>
    <s v="2023-04-24"/>
    <x v="29"/>
    <x v="2"/>
    <x v="2"/>
    <s v="Shoes"/>
    <n v="14"/>
    <n v="13804"/>
    <n v="0"/>
    <n v="193256"/>
    <n v="16314.1"/>
    <x v="1"/>
    <x v="2"/>
    <x v="1"/>
  </r>
  <r>
    <s v="ORD03205"/>
    <s v="2023-02-27"/>
    <x v="47"/>
    <x v="4"/>
    <x v="0"/>
    <s v="Stool"/>
    <n v="4"/>
    <n v="22613"/>
    <n v="0.05"/>
    <n v="85929.4"/>
    <n v="12926.41"/>
    <x v="2"/>
    <x v="11"/>
    <x v="1"/>
  </r>
  <r>
    <s v="ORD03206"/>
    <s v="2023-08-25"/>
    <x v="12"/>
    <x v="24"/>
    <x v="2"/>
    <s v="T-Shirt"/>
    <n v="6"/>
    <n v="25442"/>
    <n v="0.1"/>
    <n v="137386.79999999999"/>
    <n v="38793.839999999997"/>
    <x v="1"/>
    <x v="8"/>
    <x v="1"/>
  </r>
  <r>
    <s v="ORD03207"/>
    <s v="2023-01-22"/>
    <x v="30"/>
    <x v="10"/>
    <x v="3"/>
    <s v="Marker"/>
    <n v="14"/>
    <n v="8434"/>
    <n v="0"/>
    <n v="118076"/>
    <n v="15454.19"/>
    <x v="3"/>
    <x v="3"/>
    <x v="1"/>
  </r>
  <r>
    <s v="ORD03208"/>
    <s v="2023-08-02"/>
    <x v="25"/>
    <x v="4"/>
    <x v="0"/>
    <s v="Stool"/>
    <n v="9"/>
    <n v="14522"/>
    <n v="0.05"/>
    <n v="124163.1"/>
    <n v="22789.63"/>
    <x v="1"/>
    <x v="8"/>
    <x v="1"/>
  </r>
  <r>
    <s v="ORD03209"/>
    <s v="2024-02-21"/>
    <x v="16"/>
    <x v="0"/>
    <x v="0"/>
    <s v="Chair"/>
    <n v="1"/>
    <n v="38284"/>
    <n v="0.15"/>
    <n v="32541.4"/>
    <n v="6133.9"/>
    <x v="2"/>
    <x v="11"/>
    <x v="0"/>
  </r>
  <r>
    <s v="ORD03210"/>
    <s v="2023-12-18"/>
    <x v="41"/>
    <x v="26"/>
    <x v="3"/>
    <s v="Paper Ream"/>
    <n v="5"/>
    <n v="4446"/>
    <n v="0"/>
    <n v="22230"/>
    <n v="6540.01"/>
    <x v="3"/>
    <x v="9"/>
    <x v="1"/>
  </r>
  <r>
    <s v="ORD03211"/>
    <s v="2024-07-04"/>
    <x v="41"/>
    <x v="16"/>
    <x v="3"/>
    <s v="Pen"/>
    <n v="12"/>
    <n v="13530"/>
    <n v="0.1"/>
    <n v="146124"/>
    <n v="40172.74"/>
    <x v="3"/>
    <x v="1"/>
    <x v="0"/>
  </r>
  <r>
    <s v="ORD03212"/>
    <s v="2024-10-21"/>
    <x v="49"/>
    <x v="27"/>
    <x v="3"/>
    <s v="File"/>
    <n v="13"/>
    <n v="43385"/>
    <n v="0"/>
    <n v="564005"/>
    <n v="60484.05"/>
    <x v="3"/>
    <x v="0"/>
    <x v="0"/>
  </r>
  <r>
    <s v="ORD03213"/>
    <s v="2023-12-12"/>
    <x v="15"/>
    <x v="11"/>
    <x v="3"/>
    <s v="Printer"/>
    <n v="2"/>
    <n v="38085"/>
    <n v="0.2"/>
    <n v="60936"/>
    <n v="14851.68"/>
    <x v="2"/>
    <x v="9"/>
    <x v="1"/>
  </r>
  <r>
    <s v="ORD03214"/>
    <s v="2023-07-10"/>
    <x v="31"/>
    <x v="18"/>
    <x v="0"/>
    <s v="Table"/>
    <n v="5"/>
    <n v="47377"/>
    <n v="0"/>
    <n v="236885"/>
    <n v="37177.14"/>
    <x v="3"/>
    <x v="1"/>
    <x v="1"/>
  </r>
  <r>
    <s v="ORD03215"/>
    <s v="2024-10-06"/>
    <x v="36"/>
    <x v="12"/>
    <x v="1"/>
    <s v="Headphones"/>
    <n v="3"/>
    <n v="48666"/>
    <n v="0.1"/>
    <n v="131398.20000000001"/>
    <n v="13810.63"/>
    <x v="0"/>
    <x v="0"/>
    <x v="0"/>
  </r>
  <r>
    <s v="ORD03216"/>
    <s v="2023-12-05"/>
    <x v="2"/>
    <x v="5"/>
    <x v="0"/>
    <s v="Cupboard"/>
    <n v="8"/>
    <n v="18517"/>
    <n v="0.1"/>
    <n v="133322.4"/>
    <n v="14080.83"/>
    <x v="1"/>
    <x v="9"/>
    <x v="1"/>
  </r>
  <r>
    <s v="ORD03217"/>
    <s v="2023-06-16"/>
    <x v="47"/>
    <x v="4"/>
    <x v="0"/>
    <s v="Stool"/>
    <n v="11"/>
    <n v="40489"/>
    <n v="0.15"/>
    <n v="378572.15"/>
    <n v="94959.74"/>
    <x v="1"/>
    <x v="5"/>
    <x v="1"/>
  </r>
  <r>
    <s v="ORD03218"/>
    <s v="2024-07-21"/>
    <x v="46"/>
    <x v="9"/>
    <x v="1"/>
    <s v="Keyboard"/>
    <n v="12"/>
    <n v="31067"/>
    <n v="0.15"/>
    <n v="316883.40000000002"/>
    <n v="31649.05"/>
    <x v="3"/>
    <x v="1"/>
    <x v="0"/>
  </r>
  <r>
    <s v="ORD03219"/>
    <s v="2024-02-03"/>
    <x v="30"/>
    <x v="10"/>
    <x v="3"/>
    <s v="Marker"/>
    <n v="2"/>
    <n v="22128"/>
    <n v="0.1"/>
    <n v="39830.400000000001"/>
    <n v="8140.02"/>
    <x v="0"/>
    <x v="11"/>
    <x v="0"/>
  </r>
  <r>
    <s v="ORD03220"/>
    <s v="2023-01-02"/>
    <x v="27"/>
    <x v="2"/>
    <x v="2"/>
    <s v="Shoes"/>
    <n v="2"/>
    <n v="24352"/>
    <n v="0.05"/>
    <n v="46268.800000000003"/>
    <n v="8317.59"/>
    <x v="0"/>
    <x v="3"/>
    <x v="1"/>
  </r>
  <r>
    <s v="ORD03221"/>
    <s v="2023-09-27"/>
    <x v="36"/>
    <x v="4"/>
    <x v="0"/>
    <s v="Stool"/>
    <n v="11"/>
    <n v="1098"/>
    <n v="0.2"/>
    <n v="9662.4"/>
    <n v="2471.6"/>
    <x v="2"/>
    <x v="10"/>
    <x v="1"/>
  </r>
  <r>
    <s v="ORD03222"/>
    <s v="2023-06-02"/>
    <x v="5"/>
    <x v="7"/>
    <x v="0"/>
    <s v="Bed"/>
    <n v="10"/>
    <n v="1385"/>
    <n v="0.15"/>
    <n v="11772.5"/>
    <n v="1766.97"/>
    <x v="2"/>
    <x v="5"/>
    <x v="1"/>
  </r>
  <r>
    <s v="ORD03223"/>
    <s v="2024-08-25"/>
    <x v="2"/>
    <x v="20"/>
    <x v="1"/>
    <s v="Tablet"/>
    <n v="6"/>
    <n v="36290"/>
    <n v="0.2"/>
    <n v="174192"/>
    <n v="26588.44"/>
    <x v="0"/>
    <x v="8"/>
    <x v="0"/>
  </r>
  <r>
    <s v="ORD03224"/>
    <s v="2024-11-10"/>
    <x v="20"/>
    <x v="0"/>
    <x v="0"/>
    <s v="Chair"/>
    <n v="9"/>
    <n v="28471"/>
    <n v="0"/>
    <n v="256239"/>
    <n v="58745.43"/>
    <x v="2"/>
    <x v="4"/>
    <x v="0"/>
  </r>
  <r>
    <s v="ORD03225"/>
    <s v="2023-08-02"/>
    <x v="26"/>
    <x v="9"/>
    <x v="1"/>
    <s v="Keyboard"/>
    <n v="13"/>
    <n v="18618"/>
    <n v="0.15"/>
    <n v="205728.9"/>
    <n v="28492.6"/>
    <x v="1"/>
    <x v="8"/>
    <x v="1"/>
  </r>
  <r>
    <s v="ORD03226"/>
    <s v="2023-06-09"/>
    <x v="21"/>
    <x v="18"/>
    <x v="0"/>
    <s v="Table"/>
    <n v="15"/>
    <n v="47606"/>
    <n v="0.1"/>
    <n v="642681"/>
    <n v="116258.02"/>
    <x v="3"/>
    <x v="5"/>
    <x v="1"/>
  </r>
  <r>
    <s v="ORD03227"/>
    <s v="2024-08-01"/>
    <x v="2"/>
    <x v="0"/>
    <x v="0"/>
    <s v="Chair"/>
    <n v="2"/>
    <n v="43409"/>
    <n v="0"/>
    <n v="86818"/>
    <n v="16944.12"/>
    <x v="1"/>
    <x v="8"/>
    <x v="0"/>
  </r>
  <r>
    <s v="ORD03228"/>
    <s v="2024-06-16"/>
    <x v="35"/>
    <x v="25"/>
    <x v="3"/>
    <s v="Notebook"/>
    <n v="3"/>
    <n v="50513"/>
    <n v="0.2"/>
    <n v="121231.2"/>
    <n v="19913.8"/>
    <x v="0"/>
    <x v="5"/>
    <x v="0"/>
  </r>
  <r>
    <s v="ORD03229"/>
    <s v="2023-11-22"/>
    <x v="25"/>
    <x v="26"/>
    <x v="3"/>
    <s v="Paper Ream"/>
    <n v="13"/>
    <n v="51560"/>
    <n v="0.1"/>
    <n v="603252"/>
    <n v="135684.13"/>
    <x v="3"/>
    <x v="4"/>
    <x v="1"/>
  </r>
  <r>
    <s v="ORD03230"/>
    <s v="2024-01-24"/>
    <x v="29"/>
    <x v="19"/>
    <x v="1"/>
    <s v="Smartwatch"/>
    <n v="3"/>
    <n v="32543"/>
    <n v="0.1"/>
    <n v="87866.1"/>
    <n v="8615"/>
    <x v="0"/>
    <x v="3"/>
    <x v="0"/>
  </r>
  <r>
    <s v="ORD03231"/>
    <s v="2024-07-03"/>
    <x v="31"/>
    <x v="20"/>
    <x v="1"/>
    <s v="Tablet"/>
    <n v="7"/>
    <n v="29911"/>
    <n v="0.2"/>
    <n v="167501.6"/>
    <n v="32259.13"/>
    <x v="3"/>
    <x v="1"/>
    <x v="0"/>
  </r>
  <r>
    <s v="ORD03232"/>
    <s v="2024-07-05"/>
    <x v="9"/>
    <x v="21"/>
    <x v="1"/>
    <s v="Laptop"/>
    <n v="12"/>
    <n v="15904"/>
    <n v="0.2"/>
    <n v="152678.39999999999"/>
    <n v="31402.09"/>
    <x v="2"/>
    <x v="1"/>
    <x v="0"/>
  </r>
  <r>
    <s v="ORD03233"/>
    <s v="2024-01-11"/>
    <x v="36"/>
    <x v="5"/>
    <x v="0"/>
    <s v="Cupboard"/>
    <n v="15"/>
    <n v="18621"/>
    <n v="0"/>
    <n v="279315"/>
    <n v="76678.8"/>
    <x v="0"/>
    <x v="3"/>
    <x v="0"/>
  </r>
  <r>
    <s v="ORD03234"/>
    <s v="2024-05-23"/>
    <x v="33"/>
    <x v="8"/>
    <x v="2"/>
    <s v="Sweater"/>
    <n v="13"/>
    <n v="32557"/>
    <n v="0"/>
    <n v="423241"/>
    <n v="103411.63"/>
    <x v="0"/>
    <x v="6"/>
    <x v="0"/>
  </r>
  <r>
    <s v="ORD03235"/>
    <s v="2024-08-24"/>
    <x v="15"/>
    <x v="25"/>
    <x v="3"/>
    <s v="Notebook"/>
    <n v="1"/>
    <n v="35874"/>
    <n v="0.15"/>
    <n v="30492.9"/>
    <n v="4515.97"/>
    <x v="0"/>
    <x v="8"/>
    <x v="0"/>
  </r>
  <r>
    <s v="ORD03236"/>
    <s v="2024-04-02"/>
    <x v="6"/>
    <x v="22"/>
    <x v="1"/>
    <s v="Camera"/>
    <n v="1"/>
    <n v="26027"/>
    <n v="0"/>
    <n v="26027"/>
    <n v="6033.56"/>
    <x v="3"/>
    <x v="2"/>
    <x v="0"/>
  </r>
  <r>
    <s v="ORD03237"/>
    <s v="2023-05-15"/>
    <x v="30"/>
    <x v="23"/>
    <x v="0"/>
    <s v="Desk"/>
    <n v="3"/>
    <n v="31885"/>
    <n v="0.1"/>
    <n v="86089.5"/>
    <n v="9977.76"/>
    <x v="3"/>
    <x v="6"/>
    <x v="1"/>
  </r>
  <r>
    <s v="ORD03238"/>
    <s v="2024-02-05"/>
    <x v="22"/>
    <x v="19"/>
    <x v="1"/>
    <s v="Smartwatch"/>
    <n v="7"/>
    <n v="38823"/>
    <n v="0.05"/>
    <n v="258172.95"/>
    <n v="54223.59"/>
    <x v="0"/>
    <x v="11"/>
    <x v="0"/>
  </r>
  <r>
    <s v="ORD03239"/>
    <s v="2024-09-26"/>
    <x v="38"/>
    <x v="13"/>
    <x v="2"/>
    <s v="Jacket"/>
    <n v="15"/>
    <n v="10318"/>
    <n v="0.1"/>
    <n v="139293"/>
    <n v="21149.65"/>
    <x v="3"/>
    <x v="10"/>
    <x v="0"/>
  </r>
  <r>
    <s v="ORD03240"/>
    <s v="2024-11-21"/>
    <x v="30"/>
    <x v="22"/>
    <x v="1"/>
    <s v="Camera"/>
    <n v="1"/>
    <n v="49305"/>
    <n v="0"/>
    <n v="49305"/>
    <n v="6466.57"/>
    <x v="0"/>
    <x v="4"/>
    <x v="0"/>
  </r>
  <r>
    <s v="ORD03241"/>
    <s v="2023-11-17"/>
    <x v="4"/>
    <x v="18"/>
    <x v="0"/>
    <s v="Table"/>
    <n v="5"/>
    <n v="43603"/>
    <n v="0.15"/>
    <n v="185312.75"/>
    <n v="32773.58"/>
    <x v="1"/>
    <x v="4"/>
    <x v="1"/>
  </r>
  <r>
    <s v="ORD03242"/>
    <s v="2023-10-14"/>
    <x v="39"/>
    <x v="5"/>
    <x v="0"/>
    <s v="Cupboard"/>
    <n v="13"/>
    <n v="34001"/>
    <n v="0.2"/>
    <n v="353610.4"/>
    <n v="74329.23"/>
    <x v="2"/>
    <x v="0"/>
    <x v="1"/>
  </r>
  <r>
    <s v="ORD03243"/>
    <s v="2024-09-13"/>
    <x v="36"/>
    <x v="25"/>
    <x v="3"/>
    <s v="Notebook"/>
    <n v="8"/>
    <n v="59816"/>
    <n v="0.2"/>
    <n v="382822.40000000002"/>
    <n v="102736.51"/>
    <x v="0"/>
    <x v="10"/>
    <x v="0"/>
  </r>
  <r>
    <s v="ORD03244"/>
    <s v="2023-11-24"/>
    <x v="3"/>
    <x v="2"/>
    <x v="2"/>
    <s v="Shoes"/>
    <n v="14"/>
    <n v="55224"/>
    <n v="0.15"/>
    <n v="657165.6"/>
    <n v="150390.19"/>
    <x v="0"/>
    <x v="4"/>
    <x v="1"/>
  </r>
  <r>
    <s v="ORD03245"/>
    <s v="2023-05-03"/>
    <x v="16"/>
    <x v="25"/>
    <x v="3"/>
    <s v="Notebook"/>
    <n v="5"/>
    <n v="31184"/>
    <n v="0.05"/>
    <n v="148124"/>
    <n v="44084.73"/>
    <x v="0"/>
    <x v="6"/>
    <x v="1"/>
  </r>
  <r>
    <s v="ORD03246"/>
    <s v="2024-03-31"/>
    <x v="13"/>
    <x v="27"/>
    <x v="3"/>
    <s v="File"/>
    <n v="8"/>
    <n v="13257"/>
    <n v="0.15"/>
    <n v="90147.6"/>
    <n v="12702.36"/>
    <x v="1"/>
    <x v="7"/>
    <x v="0"/>
  </r>
  <r>
    <s v="ORD03247"/>
    <s v="2024-05-10"/>
    <x v="18"/>
    <x v="17"/>
    <x v="1"/>
    <s v="Power Bank"/>
    <n v="13"/>
    <n v="27632"/>
    <n v="0.05"/>
    <n v="341255.2"/>
    <n v="101947.06"/>
    <x v="3"/>
    <x v="6"/>
    <x v="0"/>
  </r>
  <r>
    <s v="ORD03248"/>
    <s v="2023-05-17"/>
    <x v="49"/>
    <x v="26"/>
    <x v="3"/>
    <s v="Paper Ream"/>
    <n v="2"/>
    <n v="51158"/>
    <n v="0.1"/>
    <n v="92084.4"/>
    <n v="8034.23"/>
    <x v="0"/>
    <x v="6"/>
    <x v="1"/>
  </r>
  <r>
    <s v="ORD03249"/>
    <s v="2023-03-14"/>
    <x v="27"/>
    <x v="22"/>
    <x v="1"/>
    <s v="Camera"/>
    <n v="8"/>
    <n v="3558"/>
    <n v="0.2"/>
    <n v="22771.200000000001"/>
    <n v="6317.89"/>
    <x v="2"/>
    <x v="7"/>
    <x v="1"/>
  </r>
  <r>
    <s v="ORD03250"/>
    <s v="2024-11-20"/>
    <x v="6"/>
    <x v="25"/>
    <x v="3"/>
    <s v="Notebook"/>
    <n v="14"/>
    <n v="48774"/>
    <n v="0.05"/>
    <n v="648694.19999999995"/>
    <n v="160057.60000000001"/>
    <x v="3"/>
    <x v="4"/>
    <x v="0"/>
  </r>
  <r>
    <s v="ORD03251"/>
    <s v="2024-06-01"/>
    <x v="29"/>
    <x v="20"/>
    <x v="1"/>
    <s v="Tablet"/>
    <n v="14"/>
    <n v="43981"/>
    <n v="0.1"/>
    <n v="554160.6"/>
    <n v="146875.93"/>
    <x v="3"/>
    <x v="5"/>
    <x v="0"/>
  </r>
  <r>
    <s v="ORD03252"/>
    <s v="2023-01-05"/>
    <x v="27"/>
    <x v="20"/>
    <x v="1"/>
    <s v="Tablet"/>
    <n v="12"/>
    <n v="2022"/>
    <n v="0.1"/>
    <n v="21837.599999999999"/>
    <n v="6092.15"/>
    <x v="3"/>
    <x v="3"/>
    <x v="1"/>
  </r>
  <r>
    <s v="ORD03253"/>
    <s v="2023-03-27"/>
    <x v="14"/>
    <x v="1"/>
    <x v="1"/>
    <s v="Mobile"/>
    <n v="10"/>
    <n v="9558"/>
    <n v="0"/>
    <n v="95580"/>
    <n v="20185.52"/>
    <x v="2"/>
    <x v="7"/>
    <x v="1"/>
  </r>
  <r>
    <s v="ORD03254"/>
    <s v="2024-06-28"/>
    <x v="11"/>
    <x v="1"/>
    <x v="1"/>
    <s v="Mobile"/>
    <n v="11"/>
    <n v="52037"/>
    <n v="0.1"/>
    <n v="515166.3"/>
    <n v="58360.3"/>
    <x v="2"/>
    <x v="5"/>
    <x v="0"/>
  </r>
  <r>
    <s v="ORD03255"/>
    <s v="2024-07-03"/>
    <x v="4"/>
    <x v="4"/>
    <x v="0"/>
    <s v="Stool"/>
    <n v="2"/>
    <n v="20614"/>
    <n v="0.15"/>
    <n v="35043.800000000003"/>
    <n v="4351.9799999999996"/>
    <x v="3"/>
    <x v="1"/>
    <x v="0"/>
  </r>
  <r>
    <s v="ORD03256"/>
    <s v="2023-10-03"/>
    <x v="49"/>
    <x v="14"/>
    <x v="2"/>
    <s v="Dress"/>
    <n v="15"/>
    <n v="9143"/>
    <n v="0.1"/>
    <n v="123430.5"/>
    <n v="11992.61"/>
    <x v="0"/>
    <x v="0"/>
    <x v="1"/>
  </r>
  <r>
    <s v="ORD03257"/>
    <s v="2023-09-17"/>
    <x v="17"/>
    <x v="2"/>
    <x v="2"/>
    <s v="Shoes"/>
    <n v="8"/>
    <n v="45875"/>
    <n v="0.2"/>
    <n v="293600"/>
    <n v="78629.34"/>
    <x v="3"/>
    <x v="10"/>
    <x v="1"/>
  </r>
  <r>
    <s v="ORD03258"/>
    <s v="2024-05-03"/>
    <x v="16"/>
    <x v="23"/>
    <x v="0"/>
    <s v="Desk"/>
    <n v="7"/>
    <n v="9680"/>
    <n v="0.1"/>
    <n v="60984"/>
    <n v="14528.89"/>
    <x v="1"/>
    <x v="6"/>
    <x v="0"/>
  </r>
  <r>
    <s v="ORD03259"/>
    <s v="2023-10-28"/>
    <x v="17"/>
    <x v="15"/>
    <x v="0"/>
    <s v="Sofa"/>
    <n v="10"/>
    <n v="34641"/>
    <n v="0"/>
    <n v="346410"/>
    <n v="95984.99"/>
    <x v="2"/>
    <x v="0"/>
    <x v="1"/>
  </r>
  <r>
    <s v="ORD03260"/>
    <s v="2024-09-19"/>
    <x v="42"/>
    <x v="10"/>
    <x v="3"/>
    <s v="Marker"/>
    <n v="11"/>
    <n v="39888"/>
    <n v="0.2"/>
    <n v="351014.40000000002"/>
    <n v="88240.37"/>
    <x v="3"/>
    <x v="10"/>
    <x v="0"/>
  </r>
  <r>
    <s v="ORD03261"/>
    <s v="2024-09-19"/>
    <x v="4"/>
    <x v="26"/>
    <x v="3"/>
    <s v="Paper Ream"/>
    <n v="3"/>
    <n v="11497"/>
    <n v="0.2"/>
    <n v="27592.799999999999"/>
    <n v="7069"/>
    <x v="0"/>
    <x v="10"/>
    <x v="0"/>
  </r>
  <r>
    <s v="ORD03262"/>
    <s v="2023-03-07"/>
    <x v="23"/>
    <x v="23"/>
    <x v="0"/>
    <s v="Desk"/>
    <n v="5"/>
    <n v="491"/>
    <n v="0.15"/>
    <n v="2086.75"/>
    <n v="304.05"/>
    <x v="0"/>
    <x v="7"/>
    <x v="1"/>
  </r>
  <r>
    <s v="ORD03263"/>
    <s v="2024-01-25"/>
    <x v="10"/>
    <x v="5"/>
    <x v="0"/>
    <s v="Cupboard"/>
    <n v="12"/>
    <n v="10802"/>
    <n v="0.2"/>
    <n v="103699.2"/>
    <n v="11997.35"/>
    <x v="1"/>
    <x v="3"/>
    <x v="0"/>
  </r>
  <r>
    <s v="ORD03264"/>
    <s v="2023-01-14"/>
    <x v="15"/>
    <x v="2"/>
    <x v="2"/>
    <s v="Shoes"/>
    <n v="2"/>
    <n v="10083"/>
    <n v="0.1"/>
    <n v="18149.400000000001"/>
    <n v="2477.83"/>
    <x v="1"/>
    <x v="3"/>
    <x v="1"/>
  </r>
  <r>
    <s v="ORD03265"/>
    <s v="2024-10-13"/>
    <x v="26"/>
    <x v="11"/>
    <x v="3"/>
    <s v="Printer"/>
    <n v="5"/>
    <n v="10760"/>
    <n v="0.05"/>
    <n v="51110"/>
    <n v="8227.69"/>
    <x v="0"/>
    <x v="0"/>
    <x v="0"/>
  </r>
  <r>
    <s v="ORD03266"/>
    <s v="2023-04-11"/>
    <x v="0"/>
    <x v="6"/>
    <x v="2"/>
    <s v="Jeans"/>
    <n v="12"/>
    <n v="29264"/>
    <n v="0.05"/>
    <n v="333609.59999999998"/>
    <n v="80594.34"/>
    <x v="2"/>
    <x v="2"/>
    <x v="1"/>
  </r>
  <r>
    <s v="ORD03267"/>
    <s v="2023-04-20"/>
    <x v="41"/>
    <x v="14"/>
    <x v="2"/>
    <s v="Dress"/>
    <n v="8"/>
    <n v="405"/>
    <n v="0.05"/>
    <n v="3078"/>
    <n v="745.06"/>
    <x v="1"/>
    <x v="2"/>
    <x v="1"/>
  </r>
  <r>
    <s v="ORD03268"/>
    <s v="2023-03-20"/>
    <x v="17"/>
    <x v="15"/>
    <x v="0"/>
    <s v="Sofa"/>
    <n v="12"/>
    <n v="40075"/>
    <n v="0"/>
    <n v="480900"/>
    <n v="120724.39"/>
    <x v="1"/>
    <x v="7"/>
    <x v="1"/>
  </r>
  <r>
    <s v="ORD03269"/>
    <s v="2024-06-11"/>
    <x v="39"/>
    <x v="19"/>
    <x v="1"/>
    <s v="Smartwatch"/>
    <n v="1"/>
    <n v="48792"/>
    <n v="0"/>
    <n v="48792"/>
    <n v="5605.07"/>
    <x v="0"/>
    <x v="5"/>
    <x v="0"/>
  </r>
  <r>
    <s v="ORD03270"/>
    <s v="2024-05-05"/>
    <x v="2"/>
    <x v="0"/>
    <x v="0"/>
    <s v="Chair"/>
    <n v="3"/>
    <n v="36123"/>
    <n v="0.05"/>
    <n v="102950.55"/>
    <n v="23174.31"/>
    <x v="2"/>
    <x v="6"/>
    <x v="0"/>
  </r>
  <r>
    <s v="ORD03271"/>
    <s v="2023-11-30"/>
    <x v="1"/>
    <x v="5"/>
    <x v="0"/>
    <s v="Cupboard"/>
    <n v="12"/>
    <n v="3794"/>
    <n v="0.15"/>
    <n v="38698.800000000003"/>
    <n v="4395.46"/>
    <x v="0"/>
    <x v="4"/>
    <x v="1"/>
  </r>
  <r>
    <s v="ORD03272"/>
    <s v="2024-10-24"/>
    <x v="18"/>
    <x v="23"/>
    <x v="0"/>
    <s v="Desk"/>
    <n v="14"/>
    <n v="56428"/>
    <n v="0.1"/>
    <n v="710992.8"/>
    <n v="72398.23"/>
    <x v="3"/>
    <x v="0"/>
    <x v="0"/>
  </r>
  <r>
    <s v="ORD03273"/>
    <s v="2023-07-09"/>
    <x v="28"/>
    <x v="8"/>
    <x v="2"/>
    <s v="Sweater"/>
    <n v="4"/>
    <n v="8393"/>
    <n v="0.05"/>
    <n v="31893.4"/>
    <n v="7338.45"/>
    <x v="3"/>
    <x v="1"/>
    <x v="1"/>
  </r>
  <r>
    <s v="ORD03274"/>
    <s v="2024-04-17"/>
    <x v="38"/>
    <x v="26"/>
    <x v="3"/>
    <s v="Paper Ream"/>
    <n v="3"/>
    <n v="34566"/>
    <n v="0.2"/>
    <n v="82958.399999999994"/>
    <n v="19879.53"/>
    <x v="2"/>
    <x v="2"/>
    <x v="0"/>
  </r>
  <r>
    <s v="ORD03275"/>
    <s v="2024-10-23"/>
    <x v="48"/>
    <x v="21"/>
    <x v="1"/>
    <s v="Laptop"/>
    <n v="3"/>
    <n v="46145"/>
    <n v="0.1"/>
    <n v="124591.5"/>
    <n v="28810.35"/>
    <x v="2"/>
    <x v="0"/>
    <x v="0"/>
  </r>
  <r>
    <s v="ORD03276"/>
    <s v="2024-02-17"/>
    <x v="13"/>
    <x v="7"/>
    <x v="0"/>
    <s v="Bed"/>
    <n v="5"/>
    <n v="7667"/>
    <n v="0.2"/>
    <n v="30668"/>
    <n v="2719.2"/>
    <x v="2"/>
    <x v="11"/>
    <x v="0"/>
  </r>
  <r>
    <s v="ORD03277"/>
    <s v="2024-06-01"/>
    <x v="13"/>
    <x v="26"/>
    <x v="3"/>
    <s v="Paper Ream"/>
    <n v="6"/>
    <n v="8511"/>
    <n v="0.2"/>
    <n v="40852.800000000003"/>
    <n v="5891.56"/>
    <x v="2"/>
    <x v="5"/>
    <x v="0"/>
  </r>
  <r>
    <s v="ORD03278"/>
    <s v="2024-05-01"/>
    <x v="9"/>
    <x v="23"/>
    <x v="0"/>
    <s v="Desk"/>
    <n v="2"/>
    <n v="54100"/>
    <n v="0.15"/>
    <n v="91970"/>
    <n v="13937.3"/>
    <x v="1"/>
    <x v="6"/>
    <x v="0"/>
  </r>
  <r>
    <s v="ORD03279"/>
    <s v="2024-02-13"/>
    <x v="14"/>
    <x v="27"/>
    <x v="3"/>
    <s v="File"/>
    <n v="6"/>
    <n v="30221"/>
    <n v="0.2"/>
    <n v="145060.79999999999"/>
    <n v="24198.39"/>
    <x v="0"/>
    <x v="11"/>
    <x v="0"/>
  </r>
  <r>
    <s v="ORD03280"/>
    <s v="2023-10-24"/>
    <x v="40"/>
    <x v="26"/>
    <x v="3"/>
    <s v="Paper Ream"/>
    <n v="10"/>
    <n v="5035"/>
    <n v="0.2"/>
    <n v="40280"/>
    <n v="7058.67"/>
    <x v="3"/>
    <x v="0"/>
    <x v="1"/>
  </r>
  <r>
    <s v="ORD03281"/>
    <s v="2024-06-10"/>
    <x v="40"/>
    <x v="5"/>
    <x v="0"/>
    <s v="Cupboard"/>
    <n v="2"/>
    <n v="8201"/>
    <n v="0.1"/>
    <n v="14761.8"/>
    <n v="3441.13"/>
    <x v="1"/>
    <x v="5"/>
    <x v="0"/>
  </r>
  <r>
    <s v="ORD03282"/>
    <s v="2023-05-11"/>
    <x v="22"/>
    <x v="4"/>
    <x v="0"/>
    <s v="Stool"/>
    <n v="12"/>
    <n v="21425"/>
    <n v="0"/>
    <n v="257100"/>
    <n v="22580.23"/>
    <x v="2"/>
    <x v="6"/>
    <x v="1"/>
  </r>
  <r>
    <s v="ORD03283"/>
    <s v="2023-05-15"/>
    <x v="18"/>
    <x v="20"/>
    <x v="1"/>
    <s v="Tablet"/>
    <n v="11"/>
    <n v="4810"/>
    <n v="0.2"/>
    <n v="42328"/>
    <n v="9097.34"/>
    <x v="2"/>
    <x v="6"/>
    <x v="1"/>
  </r>
  <r>
    <s v="ORD03284"/>
    <s v="2024-02-03"/>
    <x v="20"/>
    <x v="21"/>
    <x v="1"/>
    <s v="Laptop"/>
    <n v="4"/>
    <n v="5937"/>
    <n v="0.2"/>
    <n v="18998.400000000001"/>
    <n v="2174.62"/>
    <x v="2"/>
    <x v="11"/>
    <x v="0"/>
  </r>
  <r>
    <s v="ORD03285"/>
    <s v="2024-05-30"/>
    <x v="34"/>
    <x v="1"/>
    <x v="1"/>
    <s v="Mobile"/>
    <n v="5"/>
    <n v="29993"/>
    <n v="0.1"/>
    <n v="134968.5"/>
    <n v="35229.71"/>
    <x v="3"/>
    <x v="6"/>
    <x v="0"/>
  </r>
  <r>
    <s v="ORD03286"/>
    <s v="2024-01-09"/>
    <x v="49"/>
    <x v="19"/>
    <x v="1"/>
    <s v="Smartwatch"/>
    <n v="10"/>
    <n v="3186"/>
    <n v="0"/>
    <n v="31860"/>
    <n v="3633.76"/>
    <x v="2"/>
    <x v="3"/>
    <x v="0"/>
  </r>
  <r>
    <s v="ORD03287"/>
    <s v="2023-01-12"/>
    <x v="34"/>
    <x v="12"/>
    <x v="1"/>
    <s v="Headphones"/>
    <n v="5"/>
    <n v="48805"/>
    <n v="0.15"/>
    <n v="207421.25"/>
    <n v="34110.79"/>
    <x v="2"/>
    <x v="3"/>
    <x v="1"/>
  </r>
  <r>
    <s v="ORD03288"/>
    <s v="2024-09-25"/>
    <x v="2"/>
    <x v="13"/>
    <x v="2"/>
    <s v="Jacket"/>
    <n v="8"/>
    <n v="59717"/>
    <n v="0.2"/>
    <n v="382188.79999999999"/>
    <n v="61201.9"/>
    <x v="0"/>
    <x v="10"/>
    <x v="0"/>
  </r>
  <r>
    <s v="ORD03289"/>
    <s v="2023-11-01"/>
    <x v="13"/>
    <x v="11"/>
    <x v="3"/>
    <s v="Printer"/>
    <n v="13"/>
    <n v="55038"/>
    <n v="0.15"/>
    <n v="608169.9"/>
    <n v="132501.85"/>
    <x v="1"/>
    <x v="4"/>
    <x v="1"/>
  </r>
  <r>
    <s v="ORD03290"/>
    <s v="2023-05-09"/>
    <x v="23"/>
    <x v="14"/>
    <x v="2"/>
    <s v="Dress"/>
    <n v="11"/>
    <n v="57814"/>
    <n v="0.2"/>
    <n v="508763.2"/>
    <n v="116899.76"/>
    <x v="2"/>
    <x v="6"/>
    <x v="1"/>
  </r>
  <r>
    <s v="ORD03291"/>
    <s v="2024-08-13"/>
    <x v="22"/>
    <x v="3"/>
    <x v="3"/>
    <s v="Stapler"/>
    <n v="2"/>
    <n v="49981"/>
    <n v="0.15"/>
    <n v="84967.7"/>
    <n v="16782.34"/>
    <x v="3"/>
    <x v="8"/>
    <x v="0"/>
  </r>
  <r>
    <s v="ORD03292"/>
    <s v="2024-05-28"/>
    <x v="25"/>
    <x v="17"/>
    <x v="1"/>
    <s v="Power Bank"/>
    <n v="2"/>
    <n v="41670"/>
    <n v="0.2"/>
    <n v="66672"/>
    <n v="7828.73"/>
    <x v="0"/>
    <x v="6"/>
    <x v="0"/>
  </r>
  <r>
    <s v="ORD03293"/>
    <s v="2023-08-21"/>
    <x v="23"/>
    <x v="6"/>
    <x v="2"/>
    <s v="Jeans"/>
    <n v="4"/>
    <n v="744"/>
    <n v="0.2"/>
    <n v="2380.8000000000002"/>
    <n v="318.48"/>
    <x v="2"/>
    <x v="8"/>
    <x v="1"/>
  </r>
  <r>
    <s v="ORD03294"/>
    <s v="2024-08-26"/>
    <x v="49"/>
    <x v="8"/>
    <x v="2"/>
    <s v="Sweater"/>
    <n v="2"/>
    <n v="17387"/>
    <n v="0.15"/>
    <n v="29557.9"/>
    <n v="8094.58"/>
    <x v="2"/>
    <x v="8"/>
    <x v="0"/>
  </r>
  <r>
    <s v="ORD03295"/>
    <s v="2024-08-18"/>
    <x v="13"/>
    <x v="27"/>
    <x v="3"/>
    <s v="File"/>
    <n v="2"/>
    <n v="49605"/>
    <n v="0.1"/>
    <n v="89289"/>
    <n v="16710.59"/>
    <x v="1"/>
    <x v="8"/>
    <x v="0"/>
  </r>
  <r>
    <s v="ORD03296"/>
    <s v="2023-08-13"/>
    <x v="9"/>
    <x v="9"/>
    <x v="1"/>
    <s v="Keyboard"/>
    <n v="10"/>
    <n v="50704"/>
    <n v="0.05"/>
    <n v="481688"/>
    <n v="92560.6"/>
    <x v="1"/>
    <x v="8"/>
    <x v="1"/>
  </r>
  <r>
    <s v="ORD03297"/>
    <s v="2023-06-02"/>
    <x v="43"/>
    <x v="9"/>
    <x v="1"/>
    <s v="Keyboard"/>
    <n v="3"/>
    <n v="38547"/>
    <n v="0.1"/>
    <n v="104076.9"/>
    <n v="14986.33"/>
    <x v="2"/>
    <x v="5"/>
    <x v="1"/>
  </r>
  <r>
    <s v="ORD03298"/>
    <s v="2024-08-10"/>
    <x v="20"/>
    <x v="13"/>
    <x v="2"/>
    <s v="Jacket"/>
    <n v="5"/>
    <n v="7780"/>
    <n v="0.15"/>
    <n v="33065"/>
    <n v="6887.89"/>
    <x v="0"/>
    <x v="8"/>
    <x v="0"/>
  </r>
  <r>
    <s v="ORD03299"/>
    <s v="2023-08-30"/>
    <x v="35"/>
    <x v="27"/>
    <x v="3"/>
    <s v="File"/>
    <n v="2"/>
    <n v="4859"/>
    <n v="0.1"/>
    <n v="8746.2000000000007"/>
    <n v="1257.6099999999999"/>
    <x v="1"/>
    <x v="8"/>
    <x v="1"/>
  </r>
  <r>
    <s v="ORD03300"/>
    <s v="2023-04-06"/>
    <x v="47"/>
    <x v="14"/>
    <x v="2"/>
    <s v="Dress"/>
    <n v="3"/>
    <n v="17462"/>
    <n v="0.2"/>
    <n v="41908.800000000003"/>
    <n v="4877.6099999999997"/>
    <x v="0"/>
    <x v="2"/>
    <x v="1"/>
  </r>
  <r>
    <s v="ORD03301"/>
    <s v="2024-08-09"/>
    <x v="38"/>
    <x v="17"/>
    <x v="1"/>
    <s v="Power Bank"/>
    <n v="11"/>
    <n v="3952"/>
    <n v="0.1"/>
    <n v="39124.800000000003"/>
    <n v="9577.6200000000008"/>
    <x v="1"/>
    <x v="8"/>
    <x v="0"/>
  </r>
  <r>
    <s v="ORD03302"/>
    <s v="2024-04-22"/>
    <x v="41"/>
    <x v="9"/>
    <x v="1"/>
    <s v="Keyboard"/>
    <n v="3"/>
    <n v="38392"/>
    <n v="0.1"/>
    <n v="103658.4"/>
    <n v="11770.19"/>
    <x v="3"/>
    <x v="2"/>
    <x v="0"/>
  </r>
  <r>
    <s v="ORD03303"/>
    <s v="2024-09-12"/>
    <x v="40"/>
    <x v="0"/>
    <x v="0"/>
    <s v="Chair"/>
    <n v="4"/>
    <n v="22954"/>
    <n v="0.15"/>
    <n v="78043.600000000006"/>
    <n v="14425.29"/>
    <x v="2"/>
    <x v="10"/>
    <x v="0"/>
  </r>
  <r>
    <s v="ORD03304"/>
    <s v="2024-10-31"/>
    <x v="19"/>
    <x v="21"/>
    <x v="1"/>
    <s v="Laptop"/>
    <n v="7"/>
    <n v="20144"/>
    <n v="0.2"/>
    <n v="112806.39999999999"/>
    <n v="9359.25"/>
    <x v="0"/>
    <x v="0"/>
    <x v="0"/>
  </r>
  <r>
    <s v="ORD03305"/>
    <s v="2024-10-20"/>
    <x v="29"/>
    <x v="5"/>
    <x v="0"/>
    <s v="Cupboard"/>
    <n v="2"/>
    <n v="20234"/>
    <n v="0.05"/>
    <n v="38444.6"/>
    <n v="3658.46"/>
    <x v="0"/>
    <x v="0"/>
    <x v="0"/>
  </r>
  <r>
    <s v="ORD03306"/>
    <s v="2024-03-09"/>
    <x v="41"/>
    <x v="7"/>
    <x v="0"/>
    <s v="Bed"/>
    <n v="2"/>
    <n v="25222"/>
    <n v="0.05"/>
    <n v="47921.8"/>
    <n v="11673.83"/>
    <x v="1"/>
    <x v="7"/>
    <x v="0"/>
  </r>
  <r>
    <s v="ORD03307"/>
    <s v="2023-06-16"/>
    <x v="14"/>
    <x v="11"/>
    <x v="3"/>
    <s v="Printer"/>
    <n v="4"/>
    <n v="6644"/>
    <n v="0.05"/>
    <n v="25247.200000000001"/>
    <n v="7024.72"/>
    <x v="1"/>
    <x v="5"/>
    <x v="1"/>
  </r>
  <r>
    <s v="ORD03308"/>
    <s v="2023-07-03"/>
    <x v="41"/>
    <x v="1"/>
    <x v="1"/>
    <s v="Mobile"/>
    <n v="3"/>
    <n v="53759"/>
    <n v="0.1"/>
    <n v="145149.29999999999"/>
    <n v="29980.59"/>
    <x v="2"/>
    <x v="1"/>
    <x v="1"/>
  </r>
  <r>
    <s v="ORD03309"/>
    <s v="2024-05-06"/>
    <x v="15"/>
    <x v="12"/>
    <x v="1"/>
    <s v="Headphones"/>
    <n v="7"/>
    <n v="17865"/>
    <n v="0.15"/>
    <n v="106296.75"/>
    <n v="31193.33"/>
    <x v="2"/>
    <x v="6"/>
    <x v="0"/>
  </r>
  <r>
    <s v="ORD03310"/>
    <s v="2024-03-01"/>
    <x v="27"/>
    <x v="20"/>
    <x v="1"/>
    <s v="Tablet"/>
    <n v="11"/>
    <n v="46050"/>
    <n v="0.2"/>
    <n v="405240"/>
    <n v="64138.73"/>
    <x v="2"/>
    <x v="7"/>
    <x v="0"/>
  </r>
  <r>
    <s v="ORD03311"/>
    <s v="2024-08-18"/>
    <x v="9"/>
    <x v="24"/>
    <x v="2"/>
    <s v="T-Shirt"/>
    <n v="13"/>
    <n v="14275"/>
    <n v="0.15"/>
    <n v="157738.75"/>
    <n v="15328.76"/>
    <x v="3"/>
    <x v="8"/>
    <x v="0"/>
  </r>
  <r>
    <s v="ORD03312"/>
    <s v="2023-02-04"/>
    <x v="13"/>
    <x v="20"/>
    <x v="1"/>
    <s v="Tablet"/>
    <n v="14"/>
    <n v="27720"/>
    <n v="0"/>
    <n v="388080"/>
    <n v="66096.320000000007"/>
    <x v="0"/>
    <x v="11"/>
    <x v="1"/>
  </r>
  <r>
    <s v="ORD03313"/>
    <s v="2023-01-11"/>
    <x v="26"/>
    <x v="8"/>
    <x v="2"/>
    <s v="Sweater"/>
    <n v="13"/>
    <n v="56634"/>
    <n v="0.1"/>
    <n v="662617.80000000005"/>
    <n v="98102.66"/>
    <x v="3"/>
    <x v="3"/>
    <x v="1"/>
  </r>
  <r>
    <s v="ORD03314"/>
    <s v="2024-03-09"/>
    <x v="9"/>
    <x v="10"/>
    <x v="3"/>
    <s v="Marker"/>
    <n v="2"/>
    <n v="39153"/>
    <n v="0.1"/>
    <n v="70475.399999999994"/>
    <n v="8494.51"/>
    <x v="0"/>
    <x v="7"/>
    <x v="0"/>
  </r>
  <r>
    <s v="ORD03315"/>
    <s v="2024-01-18"/>
    <x v="15"/>
    <x v="20"/>
    <x v="1"/>
    <s v="Tablet"/>
    <n v="3"/>
    <n v="20507"/>
    <n v="0"/>
    <n v="61521"/>
    <n v="12936.14"/>
    <x v="0"/>
    <x v="3"/>
    <x v="0"/>
  </r>
  <r>
    <s v="ORD03316"/>
    <s v="2023-08-15"/>
    <x v="18"/>
    <x v="4"/>
    <x v="0"/>
    <s v="Stool"/>
    <n v="3"/>
    <n v="46228"/>
    <n v="0"/>
    <n v="138684"/>
    <n v="25165.29"/>
    <x v="0"/>
    <x v="8"/>
    <x v="1"/>
  </r>
  <r>
    <s v="ORD03317"/>
    <s v="2024-03-17"/>
    <x v="6"/>
    <x v="16"/>
    <x v="3"/>
    <s v="Pen"/>
    <n v="14"/>
    <n v="53642"/>
    <n v="0.1"/>
    <n v="675889.2"/>
    <n v="89376.43"/>
    <x v="1"/>
    <x v="7"/>
    <x v="0"/>
  </r>
  <r>
    <s v="ORD03318"/>
    <s v="2023-12-06"/>
    <x v="40"/>
    <x v="13"/>
    <x v="2"/>
    <s v="Jacket"/>
    <n v="6"/>
    <n v="59644"/>
    <n v="0.2"/>
    <n v="286291.20000000001"/>
    <n v="73869.48"/>
    <x v="1"/>
    <x v="9"/>
    <x v="1"/>
  </r>
  <r>
    <s v="ORD03319"/>
    <s v="2024-01-09"/>
    <x v="47"/>
    <x v="8"/>
    <x v="2"/>
    <s v="Sweater"/>
    <n v="8"/>
    <n v="34853"/>
    <n v="0.05"/>
    <n v="264882.8"/>
    <n v="35839.120000000003"/>
    <x v="1"/>
    <x v="3"/>
    <x v="0"/>
  </r>
  <r>
    <s v="ORD03320"/>
    <s v="2023-08-28"/>
    <x v="5"/>
    <x v="15"/>
    <x v="0"/>
    <s v="Sofa"/>
    <n v="15"/>
    <n v="13819"/>
    <n v="0.05"/>
    <n v="196920.75"/>
    <n v="36917.82"/>
    <x v="2"/>
    <x v="8"/>
    <x v="1"/>
  </r>
  <r>
    <s v="ORD03321"/>
    <s v="2023-05-14"/>
    <x v="10"/>
    <x v="20"/>
    <x v="1"/>
    <s v="Tablet"/>
    <n v="12"/>
    <n v="9621"/>
    <n v="0"/>
    <n v="115452"/>
    <n v="19454.04"/>
    <x v="3"/>
    <x v="6"/>
    <x v="1"/>
  </r>
  <r>
    <s v="ORD03322"/>
    <s v="2023-12-14"/>
    <x v="49"/>
    <x v="24"/>
    <x v="2"/>
    <s v="T-Shirt"/>
    <n v="5"/>
    <n v="31819"/>
    <n v="0.2"/>
    <n v="127276"/>
    <n v="35024.239999999998"/>
    <x v="1"/>
    <x v="9"/>
    <x v="1"/>
  </r>
  <r>
    <s v="ORD03323"/>
    <s v="2023-12-11"/>
    <x v="8"/>
    <x v="15"/>
    <x v="0"/>
    <s v="Sofa"/>
    <n v="2"/>
    <n v="29248"/>
    <n v="0.2"/>
    <n v="46796.800000000003"/>
    <n v="8209.48"/>
    <x v="0"/>
    <x v="9"/>
    <x v="1"/>
  </r>
  <r>
    <s v="ORD03324"/>
    <s v="2023-06-06"/>
    <x v="27"/>
    <x v="4"/>
    <x v="0"/>
    <s v="Stool"/>
    <n v="7"/>
    <n v="25892"/>
    <n v="0.2"/>
    <n v="144995.20000000001"/>
    <n v="34987.74"/>
    <x v="0"/>
    <x v="5"/>
    <x v="1"/>
  </r>
  <r>
    <s v="ORD03325"/>
    <s v="2023-02-10"/>
    <x v="41"/>
    <x v="1"/>
    <x v="1"/>
    <s v="Mobile"/>
    <n v="6"/>
    <n v="18818"/>
    <n v="0"/>
    <n v="112908"/>
    <n v="31758.79"/>
    <x v="0"/>
    <x v="11"/>
    <x v="1"/>
  </r>
  <r>
    <s v="ORD03326"/>
    <s v="2023-04-17"/>
    <x v="0"/>
    <x v="18"/>
    <x v="0"/>
    <s v="Table"/>
    <n v="14"/>
    <n v="27966"/>
    <n v="0.05"/>
    <n v="371947.8"/>
    <n v="103359.05"/>
    <x v="3"/>
    <x v="2"/>
    <x v="1"/>
  </r>
  <r>
    <s v="ORD03327"/>
    <s v="2024-08-21"/>
    <x v="28"/>
    <x v="23"/>
    <x v="0"/>
    <s v="Desk"/>
    <n v="7"/>
    <n v="38196"/>
    <n v="0.15"/>
    <n v="227266.2"/>
    <n v="48781.72"/>
    <x v="2"/>
    <x v="8"/>
    <x v="0"/>
  </r>
  <r>
    <s v="ORD03328"/>
    <s v="2024-10-12"/>
    <x v="24"/>
    <x v="13"/>
    <x v="2"/>
    <s v="Jacket"/>
    <n v="8"/>
    <n v="27063"/>
    <n v="0.1"/>
    <n v="194853.6"/>
    <n v="54223.65"/>
    <x v="3"/>
    <x v="0"/>
    <x v="0"/>
  </r>
  <r>
    <s v="ORD03329"/>
    <s v="2023-03-25"/>
    <x v="48"/>
    <x v="1"/>
    <x v="1"/>
    <s v="Mobile"/>
    <n v="14"/>
    <n v="55525"/>
    <n v="0.2"/>
    <n v="621880"/>
    <n v="49852.81"/>
    <x v="0"/>
    <x v="7"/>
    <x v="1"/>
  </r>
  <r>
    <s v="ORD03330"/>
    <s v="2024-11-17"/>
    <x v="40"/>
    <x v="21"/>
    <x v="1"/>
    <s v="Laptop"/>
    <n v="12"/>
    <n v="35944"/>
    <n v="0.1"/>
    <n v="388195.2"/>
    <n v="32693.58"/>
    <x v="1"/>
    <x v="4"/>
    <x v="0"/>
  </r>
  <r>
    <s v="ORD03331"/>
    <s v="2024-10-18"/>
    <x v="38"/>
    <x v="2"/>
    <x v="2"/>
    <s v="Shoes"/>
    <n v="10"/>
    <n v="41239"/>
    <n v="0.05"/>
    <n v="391770.5"/>
    <n v="45901.120000000003"/>
    <x v="0"/>
    <x v="0"/>
    <x v="0"/>
  </r>
  <r>
    <s v="ORD03332"/>
    <s v="2024-01-02"/>
    <x v="23"/>
    <x v="9"/>
    <x v="1"/>
    <s v="Keyboard"/>
    <n v="2"/>
    <n v="6340"/>
    <n v="0.15"/>
    <n v="10778"/>
    <n v="862.56"/>
    <x v="2"/>
    <x v="3"/>
    <x v="0"/>
  </r>
  <r>
    <s v="ORD03333"/>
    <s v="2024-10-30"/>
    <x v="31"/>
    <x v="24"/>
    <x v="2"/>
    <s v="T-Shirt"/>
    <n v="4"/>
    <n v="41271"/>
    <n v="0.2"/>
    <n v="132067.20000000001"/>
    <n v="26864.080000000002"/>
    <x v="1"/>
    <x v="0"/>
    <x v="0"/>
  </r>
  <r>
    <s v="ORD03334"/>
    <s v="2024-08-29"/>
    <x v="17"/>
    <x v="19"/>
    <x v="1"/>
    <s v="Smartwatch"/>
    <n v="15"/>
    <n v="11335"/>
    <n v="0.1"/>
    <n v="153022.5"/>
    <n v="32706.82"/>
    <x v="1"/>
    <x v="8"/>
    <x v="0"/>
  </r>
  <r>
    <s v="ORD03335"/>
    <s v="2023-12-17"/>
    <x v="40"/>
    <x v="10"/>
    <x v="3"/>
    <s v="Marker"/>
    <n v="12"/>
    <n v="32715"/>
    <n v="0.1"/>
    <n v="353322"/>
    <n v="87812.02"/>
    <x v="0"/>
    <x v="9"/>
    <x v="1"/>
  </r>
  <r>
    <s v="ORD03336"/>
    <s v="2023-11-12"/>
    <x v="10"/>
    <x v="24"/>
    <x v="2"/>
    <s v="T-Shirt"/>
    <n v="11"/>
    <n v="47841"/>
    <n v="0.1"/>
    <n v="473625.9"/>
    <n v="108206.46"/>
    <x v="1"/>
    <x v="4"/>
    <x v="1"/>
  </r>
  <r>
    <s v="ORD03337"/>
    <s v="2023-09-11"/>
    <x v="30"/>
    <x v="0"/>
    <x v="0"/>
    <s v="Chair"/>
    <n v="8"/>
    <n v="52705"/>
    <n v="0.15"/>
    <n v="358394"/>
    <n v="82222.990000000005"/>
    <x v="3"/>
    <x v="10"/>
    <x v="1"/>
  </r>
  <r>
    <s v="ORD03338"/>
    <s v="2023-05-08"/>
    <x v="34"/>
    <x v="1"/>
    <x v="1"/>
    <s v="Mobile"/>
    <n v="9"/>
    <n v="51212"/>
    <n v="0.1"/>
    <n v="414817.2"/>
    <n v="108976.37"/>
    <x v="2"/>
    <x v="6"/>
    <x v="1"/>
  </r>
  <r>
    <s v="ORD03339"/>
    <s v="2023-04-16"/>
    <x v="24"/>
    <x v="23"/>
    <x v="0"/>
    <s v="Desk"/>
    <n v="3"/>
    <n v="35747"/>
    <n v="0.05"/>
    <n v="101878.95"/>
    <n v="11935.92"/>
    <x v="2"/>
    <x v="2"/>
    <x v="1"/>
  </r>
  <r>
    <s v="ORD03340"/>
    <s v="2023-05-23"/>
    <x v="15"/>
    <x v="0"/>
    <x v="0"/>
    <s v="Chair"/>
    <n v="12"/>
    <n v="19215"/>
    <n v="0.15"/>
    <n v="195993"/>
    <n v="55701.59"/>
    <x v="2"/>
    <x v="6"/>
    <x v="1"/>
  </r>
  <r>
    <s v="ORD03341"/>
    <s v="2023-11-29"/>
    <x v="0"/>
    <x v="12"/>
    <x v="1"/>
    <s v="Headphones"/>
    <n v="2"/>
    <n v="36553"/>
    <n v="0.05"/>
    <n v="69450.7"/>
    <n v="16760.5"/>
    <x v="1"/>
    <x v="4"/>
    <x v="1"/>
  </r>
  <r>
    <s v="ORD03342"/>
    <s v="2023-12-23"/>
    <x v="40"/>
    <x v="15"/>
    <x v="0"/>
    <s v="Sofa"/>
    <n v="2"/>
    <n v="30340"/>
    <n v="0.15"/>
    <n v="51578"/>
    <n v="5431.48"/>
    <x v="1"/>
    <x v="9"/>
    <x v="1"/>
  </r>
  <r>
    <s v="ORD03343"/>
    <s v="2024-04-15"/>
    <x v="24"/>
    <x v="1"/>
    <x v="1"/>
    <s v="Mobile"/>
    <n v="4"/>
    <n v="48586"/>
    <n v="0.1"/>
    <n v="174909.6"/>
    <n v="51316.04"/>
    <x v="1"/>
    <x v="2"/>
    <x v="0"/>
  </r>
  <r>
    <s v="ORD03344"/>
    <s v="2023-04-14"/>
    <x v="35"/>
    <x v="7"/>
    <x v="0"/>
    <s v="Bed"/>
    <n v="6"/>
    <n v="22615"/>
    <n v="0"/>
    <n v="135690"/>
    <n v="27120.45"/>
    <x v="3"/>
    <x v="2"/>
    <x v="1"/>
  </r>
  <r>
    <s v="ORD03345"/>
    <s v="2024-10-14"/>
    <x v="36"/>
    <x v="18"/>
    <x v="0"/>
    <s v="Table"/>
    <n v="5"/>
    <n v="35148"/>
    <n v="0.15"/>
    <n v="149379"/>
    <n v="16934"/>
    <x v="1"/>
    <x v="0"/>
    <x v="0"/>
  </r>
  <r>
    <s v="ORD03346"/>
    <s v="2024-08-30"/>
    <x v="35"/>
    <x v="16"/>
    <x v="3"/>
    <s v="Pen"/>
    <n v="11"/>
    <n v="56102"/>
    <n v="0"/>
    <n v="617122"/>
    <n v="110972.06"/>
    <x v="2"/>
    <x v="8"/>
    <x v="0"/>
  </r>
  <r>
    <s v="ORD03347"/>
    <s v="2023-02-03"/>
    <x v="49"/>
    <x v="26"/>
    <x v="3"/>
    <s v="Paper Ream"/>
    <n v="8"/>
    <n v="10664"/>
    <n v="0.1"/>
    <n v="76780.800000000003"/>
    <n v="17472.439999999999"/>
    <x v="0"/>
    <x v="11"/>
    <x v="1"/>
  </r>
  <r>
    <s v="ORD03348"/>
    <s v="2024-05-02"/>
    <x v="7"/>
    <x v="26"/>
    <x v="3"/>
    <s v="Paper Ream"/>
    <n v="4"/>
    <n v="30387"/>
    <n v="0"/>
    <n v="121548"/>
    <n v="22221.79"/>
    <x v="3"/>
    <x v="6"/>
    <x v="0"/>
  </r>
  <r>
    <s v="ORD03349"/>
    <s v="2024-06-30"/>
    <x v="28"/>
    <x v="4"/>
    <x v="0"/>
    <s v="Stool"/>
    <n v="15"/>
    <n v="55449"/>
    <n v="0.05"/>
    <n v="790148.25"/>
    <n v="184934.62"/>
    <x v="2"/>
    <x v="5"/>
    <x v="0"/>
  </r>
  <r>
    <s v="ORD03350"/>
    <s v="2024-11-26"/>
    <x v="12"/>
    <x v="23"/>
    <x v="0"/>
    <s v="Desk"/>
    <n v="14"/>
    <n v="42809"/>
    <n v="0.15"/>
    <n v="509427.1"/>
    <n v="75173.460000000006"/>
    <x v="3"/>
    <x v="4"/>
    <x v="0"/>
  </r>
  <r>
    <s v="ORD03351"/>
    <s v="2023-01-14"/>
    <x v="1"/>
    <x v="4"/>
    <x v="0"/>
    <s v="Stool"/>
    <n v="12"/>
    <n v="32264"/>
    <n v="0.15"/>
    <n v="329092.8"/>
    <n v="67222.58"/>
    <x v="2"/>
    <x v="3"/>
    <x v="1"/>
  </r>
  <r>
    <s v="ORD03352"/>
    <s v="2024-10-05"/>
    <x v="44"/>
    <x v="4"/>
    <x v="0"/>
    <s v="Stool"/>
    <n v="5"/>
    <n v="13650"/>
    <n v="0.15"/>
    <n v="58012.5"/>
    <n v="12716.03"/>
    <x v="0"/>
    <x v="0"/>
    <x v="0"/>
  </r>
  <r>
    <s v="ORD03353"/>
    <s v="2023-12-25"/>
    <x v="12"/>
    <x v="13"/>
    <x v="2"/>
    <s v="Jacket"/>
    <n v="13"/>
    <n v="3753"/>
    <n v="0.05"/>
    <n v="46349.55"/>
    <n v="4392.79"/>
    <x v="3"/>
    <x v="9"/>
    <x v="1"/>
  </r>
  <r>
    <s v="ORD03354"/>
    <s v="2023-03-03"/>
    <x v="14"/>
    <x v="27"/>
    <x v="3"/>
    <s v="File"/>
    <n v="4"/>
    <n v="10004"/>
    <n v="0.15"/>
    <n v="34013.599999999999"/>
    <n v="7211.87"/>
    <x v="2"/>
    <x v="7"/>
    <x v="1"/>
  </r>
  <r>
    <s v="ORD03355"/>
    <s v="2024-07-25"/>
    <x v="26"/>
    <x v="27"/>
    <x v="3"/>
    <s v="File"/>
    <n v="5"/>
    <n v="23645"/>
    <n v="0.15"/>
    <n v="100491.25"/>
    <n v="18546.599999999999"/>
    <x v="0"/>
    <x v="1"/>
    <x v="0"/>
  </r>
  <r>
    <s v="ORD03356"/>
    <s v="2023-05-28"/>
    <x v="6"/>
    <x v="22"/>
    <x v="1"/>
    <s v="Camera"/>
    <n v="1"/>
    <n v="43186"/>
    <n v="0.05"/>
    <n v="41026.699999999997"/>
    <n v="12017.08"/>
    <x v="0"/>
    <x v="6"/>
    <x v="1"/>
  </r>
  <r>
    <s v="ORD03357"/>
    <s v="2023-09-14"/>
    <x v="2"/>
    <x v="7"/>
    <x v="0"/>
    <s v="Bed"/>
    <n v="2"/>
    <n v="37705"/>
    <n v="0.15"/>
    <n v="64098.5"/>
    <n v="12481.51"/>
    <x v="2"/>
    <x v="10"/>
    <x v="1"/>
  </r>
  <r>
    <s v="ORD03358"/>
    <s v="2024-02-09"/>
    <x v="46"/>
    <x v="21"/>
    <x v="1"/>
    <s v="Laptop"/>
    <n v="1"/>
    <n v="14331"/>
    <n v="0.05"/>
    <n v="13614.45"/>
    <n v="3073.29"/>
    <x v="3"/>
    <x v="11"/>
    <x v="0"/>
  </r>
  <r>
    <s v="ORD03359"/>
    <s v="2023-12-28"/>
    <x v="5"/>
    <x v="25"/>
    <x v="3"/>
    <s v="Notebook"/>
    <n v="12"/>
    <n v="6880"/>
    <n v="0.2"/>
    <n v="66048"/>
    <n v="19627.14"/>
    <x v="1"/>
    <x v="9"/>
    <x v="1"/>
  </r>
  <r>
    <s v="ORD03360"/>
    <s v="2024-05-22"/>
    <x v="24"/>
    <x v="25"/>
    <x v="3"/>
    <s v="Notebook"/>
    <n v="11"/>
    <n v="35094"/>
    <n v="0"/>
    <n v="386034"/>
    <n v="66682.3"/>
    <x v="0"/>
    <x v="6"/>
    <x v="0"/>
  </r>
  <r>
    <s v="ORD03361"/>
    <s v="2023-10-28"/>
    <x v="0"/>
    <x v="9"/>
    <x v="1"/>
    <s v="Keyboard"/>
    <n v="1"/>
    <n v="26387"/>
    <n v="0.05"/>
    <n v="25067.65"/>
    <n v="3455.92"/>
    <x v="3"/>
    <x v="0"/>
    <x v="1"/>
  </r>
  <r>
    <s v="ORD03362"/>
    <s v="2023-06-15"/>
    <x v="9"/>
    <x v="26"/>
    <x v="3"/>
    <s v="Paper Ream"/>
    <n v="13"/>
    <n v="30048"/>
    <n v="0.15"/>
    <n v="332030.40000000002"/>
    <n v="92475.93"/>
    <x v="1"/>
    <x v="5"/>
    <x v="1"/>
  </r>
  <r>
    <s v="ORD03363"/>
    <s v="2024-02-23"/>
    <x v="14"/>
    <x v="14"/>
    <x v="2"/>
    <s v="Dress"/>
    <n v="3"/>
    <n v="22054"/>
    <n v="0.2"/>
    <n v="52929.599999999999"/>
    <n v="13155.03"/>
    <x v="1"/>
    <x v="11"/>
    <x v="0"/>
  </r>
  <r>
    <s v="ORD03364"/>
    <s v="2024-08-24"/>
    <x v="49"/>
    <x v="4"/>
    <x v="0"/>
    <s v="Stool"/>
    <n v="1"/>
    <n v="41240"/>
    <n v="0.15"/>
    <n v="35054"/>
    <n v="10380.56"/>
    <x v="0"/>
    <x v="8"/>
    <x v="0"/>
  </r>
  <r>
    <s v="ORD03365"/>
    <s v="2023-04-13"/>
    <x v="20"/>
    <x v="12"/>
    <x v="1"/>
    <s v="Headphones"/>
    <n v="9"/>
    <n v="11803"/>
    <n v="0.05"/>
    <n v="100915.65"/>
    <n v="10623.65"/>
    <x v="2"/>
    <x v="2"/>
    <x v="1"/>
  </r>
  <r>
    <s v="ORD03366"/>
    <s v="2023-05-09"/>
    <x v="41"/>
    <x v="23"/>
    <x v="0"/>
    <s v="Desk"/>
    <n v="2"/>
    <n v="21468"/>
    <n v="0.1"/>
    <n v="38642.400000000001"/>
    <n v="10848.58"/>
    <x v="3"/>
    <x v="6"/>
    <x v="1"/>
  </r>
  <r>
    <s v="ORD03367"/>
    <s v="2024-10-30"/>
    <x v="4"/>
    <x v="22"/>
    <x v="1"/>
    <s v="Camera"/>
    <n v="10"/>
    <n v="50132"/>
    <n v="0"/>
    <n v="501320"/>
    <n v="60174.5"/>
    <x v="1"/>
    <x v="0"/>
    <x v="0"/>
  </r>
  <r>
    <s v="ORD03368"/>
    <s v="2024-09-01"/>
    <x v="8"/>
    <x v="9"/>
    <x v="1"/>
    <s v="Keyboard"/>
    <n v="8"/>
    <n v="21994"/>
    <n v="0"/>
    <n v="175952"/>
    <n v="47494.23"/>
    <x v="2"/>
    <x v="10"/>
    <x v="0"/>
  </r>
  <r>
    <s v="ORD03369"/>
    <s v="2024-01-24"/>
    <x v="40"/>
    <x v="16"/>
    <x v="3"/>
    <s v="Pen"/>
    <n v="9"/>
    <n v="12807"/>
    <n v="0.1"/>
    <n v="103736.7"/>
    <n v="13052.38"/>
    <x v="2"/>
    <x v="3"/>
    <x v="0"/>
  </r>
  <r>
    <s v="ORD03370"/>
    <s v="2023-07-23"/>
    <x v="3"/>
    <x v="15"/>
    <x v="0"/>
    <s v="Sofa"/>
    <n v="7"/>
    <n v="21263"/>
    <n v="0.2"/>
    <n v="119072.8"/>
    <n v="27801.08"/>
    <x v="0"/>
    <x v="1"/>
    <x v="1"/>
  </r>
  <r>
    <s v="ORD03371"/>
    <s v="2023-10-08"/>
    <x v="9"/>
    <x v="4"/>
    <x v="0"/>
    <s v="Stool"/>
    <n v="12"/>
    <n v="4401"/>
    <n v="0.2"/>
    <n v="42249.599999999999"/>
    <n v="7607.37"/>
    <x v="2"/>
    <x v="0"/>
    <x v="1"/>
  </r>
  <r>
    <s v="ORD03372"/>
    <s v="2023-01-13"/>
    <x v="36"/>
    <x v="14"/>
    <x v="2"/>
    <s v="Dress"/>
    <n v="2"/>
    <n v="35778"/>
    <n v="0"/>
    <n v="71556"/>
    <n v="15570.31"/>
    <x v="2"/>
    <x v="3"/>
    <x v="1"/>
  </r>
  <r>
    <s v="ORD03373"/>
    <s v="2024-04-21"/>
    <x v="13"/>
    <x v="0"/>
    <x v="0"/>
    <s v="Chair"/>
    <n v="10"/>
    <n v="12388"/>
    <n v="0.1"/>
    <n v="111492"/>
    <n v="16213.68"/>
    <x v="1"/>
    <x v="2"/>
    <x v="0"/>
  </r>
  <r>
    <s v="ORD03374"/>
    <s v="2024-05-18"/>
    <x v="22"/>
    <x v="10"/>
    <x v="3"/>
    <s v="Marker"/>
    <n v="10"/>
    <n v="25302"/>
    <n v="0.15"/>
    <n v="215067"/>
    <n v="43238.49"/>
    <x v="2"/>
    <x v="6"/>
    <x v="0"/>
  </r>
  <r>
    <s v="ORD03375"/>
    <s v="2023-06-15"/>
    <x v="48"/>
    <x v="16"/>
    <x v="3"/>
    <s v="Pen"/>
    <n v="13"/>
    <n v="37535"/>
    <n v="0.05"/>
    <n v="463557.25"/>
    <n v="114943.53"/>
    <x v="0"/>
    <x v="5"/>
    <x v="1"/>
  </r>
  <r>
    <s v="ORD03376"/>
    <s v="2024-08-09"/>
    <x v="5"/>
    <x v="5"/>
    <x v="0"/>
    <s v="Cupboard"/>
    <n v="9"/>
    <n v="1037"/>
    <n v="0.1"/>
    <n v="8399.7000000000007"/>
    <n v="2187.63"/>
    <x v="0"/>
    <x v="8"/>
    <x v="0"/>
  </r>
  <r>
    <s v="ORD03377"/>
    <s v="2024-08-31"/>
    <x v="48"/>
    <x v="6"/>
    <x v="2"/>
    <s v="Jeans"/>
    <n v="8"/>
    <n v="36438"/>
    <n v="0.1"/>
    <n v="262353.59999999998"/>
    <n v="42700.82"/>
    <x v="0"/>
    <x v="8"/>
    <x v="0"/>
  </r>
  <r>
    <s v="ORD03378"/>
    <s v="2023-08-04"/>
    <x v="48"/>
    <x v="14"/>
    <x v="2"/>
    <s v="Dress"/>
    <n v="9"/>
    <n v="16670"/>
    <n v="0.2"/>
    <n v="120024"/>
    <n v="17958.73"/>
    <x v="0"/>
    <x v="8"/>
    <x v="1"/>
  </r>
  <r>
    <s v="ORD03379"/>
    <s v="2024-05-16"/>
    <x v="44"/>
    <x v="13"/>
    <x v="2"/>
    <s v="Jacket"/>
    <n v="4"/>
    <n v="39679"/>
    <n v="0.15"/>
    <n v="134908.6"/>
    <n v="38609.82"/>
    <x v="3"/>
    <x v="6"/>
    <x v="0"/>
  </r>
  <r>
    <s v="ORD03380"/>
    <s v="2023-11-28"/>
    <x v="3"/>
    <x v="24"/>
    <x v="2"/>
    <s v="T-Shirt"/>
    <n v="9"/>
    <n v="5751"/>
    <n v="0"/>
    <n v="51759"/>
    <n v="11958.65"/>
    <x v="3"/>
    <x v="4"/>
    <x v="1"/>
  </r>
  <r>
    <s v="ORD03381"/>
    <s v="2024-07-18"/>
    <x v="31"/>
    <x v="23"/>
    <x v="0"/>
    <s v="Desk"/>
    <n v="6"/>
    <n v="3769"/>
    <n v="0.15"/>
    <n v="19221.900000000001"/>
    <n v="3062.97"/>
    <x v="2"/>
    <x v="1"/>
    <x v="0"/>
  </r>
  <r>
    <s v="ORD03382"/>
    <s v="2023-02-21"/>
    <x v="30"/>
    <x v="15"/>
    <x v="0"/>
    <s v="Sofa"/>
    <n v="11"/>
    <n v="17013"/>
    <n v="0.15"/>
    <n v="159071.54999999999"/>
    <n v="38469.019999999997"/>
    <x v="0"/>
    <x v="11"/>
    <x v="1"/>
  </r>
  <r>
    <s v="ORD03383"/>
    <s v="2023-03-17"/>
    <x v="43"/>
    <x v="15"/>
    <x v="0"/>
    <s v="Sofa"/>
    <n v="1"/>
    <n v="40732"/>
    <n v="0.2"/>
    <n v="32585.599999999999"/>
    <n v="5777.72"/>
    <x v="1"/>
    <x v="7"/>
    <x v="1"/>
  </r>
  <r>
    <s v="ORD03384"/>
    <s v="2023-08-10"/>
    <x v="7"/>
    <x v="27"/>
    <x v="3"/>
    <s v="File"/>
    <n v="3"/>
    <n v="24375"/>
    <n v="0.1"/>
    <n v="65812.5"/>
    <n v="15900.37"/>
    <x v="1"/>
    <x v="8"/>
    <x v="1"/>
  </r>
  <r>
    <s v="ORD03385"/>
    <s v="2023-01-12"/>
    <x v="7"/>
    <x v="10"/>
    <x v="3"/>
    <s v="Marker"/>
    <n v="4"/>
    <n v="54577"/>
    <n v="0"/>
    <n v="218308"/>
    <n v="44343.15"/>
    <x v="0"/>
    <x v="3"/>
    <x v="1"/>
  </r>
  <r>
    <s v="ORD03386"/>
    <s v="2023-05-14"/>
    <x v="41"/>
    <x v="8"/>
    <x v="2"/>
    <s v="Sweater"/>
    <n v="5"/>
    <n v="23441"/>
    <n v="0.2"/>
    <n v="93764"/>
    <n v="25189.759999999998"/>
    <x v="2"/>
    <x v="6"/>
    <x v="1"/>
  </r>
  <r>
    <s v="ORD03387"/>
    <s v="2023-07-08"/>
    <x v="27"/>
    <x v="5"/>
    <x v="0"/>
    <s v="Cupboard"/>
    <n v="12"/>
    <n v="9612"/>
    <n v="0.15"/>
    <n v="98042.4"/>
    <n v="8817.24"/>
    <x v="3"/>
    <x v="1"/>
    <x v="1"/>
  </r>
  <r>
    <s v="ORD03388"/>
    <s v="2023-04-26"/>
    <x v="31"/>
    <x v="8"/>
    <x v="2"/>
    <s v="Sweater"/>
    <n v="4"/>
    <n v="46510"/>
    <n v="0"/>
    <n v="186040"/>
    <n v="39609"/>
    <x v="2"/>
    <x v="2"/>
    <x v="1"/>
  </r>
  <r>
    <s v="ORD03389"/>
    <s v="2024-04-15"/>
    <x v="11"/>
    <x v="24"/>
    <x v="2"/>
    <s v="T-Shirt"/>
    <n v="13"/>
    <n v="8355"/>
    <n v="0.1"/>
    <n v="97753.5"/>
    <n v="11944.83"/>
    <x v="2"/>
    <x v="2"/>
    <x v="0"/>
  </r>
  <r>
    <s v="ORD03390"/>
    <s v="2023-02-07"/>
    <x v="23"/>
    <x v="1"/>
    <x v="1"/>
    <s v="Mobile"/>
    <n v="6"/>
    <n v="30372"/>
    <n v="0.15"/>
    <n v="154897.20000000001"/>
    <n v="34995.21"/>
    <x v="2"/>
    <x v="11"/>
    <x v="1"/>
  </r>
  <r>
    <s v="ORD03391"/>
    <s v="2024-02-23"/>
    <x v="22"/>
    <x v="0"/>
    <x v="0"/>
    <s v="Chair"/>
    <n v="8"/>
    <n v="49650"/>
    <n v="0.2"/>
    <n v="317760"/>
    <n v="87754.47"/>
    <x v="2"/>
    <x v="11"/>
    <x v="0"/>
  </r>
  <r>
    <s v="ORD03392"/>
    <s v="2024-06-16"/>
    <x v="22"/>
    <x v="13"/>
    <x v="2"/>
    <s v="Jacket"/>
    <n v="9"/>
    <n v="30540"/>
    <n v="0.05"/>
    <n v="261117"/>
    <n v="67953"/>
    <x v="3"/>
    <x v="5"/>
    <x v="0"/>
  </r>
  <r>
    <s v="ORD03393"/>
    <s v="2023-05-09"/>
    <x v="45"/>
    <x v="15"/>
    <x v="0"/>
    <s v="Sofa"/>
    <n v="12"/>
    <n v="18566"/>
    <n v="0"/>
    <n v="222792"/>
    <n v="62829.83"/>
    <x v="2"/>
    <x v="6"/>
    <x v="1"/>
  </r>
  <r>
    <s v="ORD03394"/>
    <s v="2023-11-12"/>
    <x v="2"/>
    <x v="11"/>
    <x v="3"/>
    <s v="Printer"/>
    <n v="10"/>
    <n v="54510"/>
    <n v="0"/>
    <n v="545100"/>
    <n v="135667.07999999999"/>
    <x v="3"/>
    <x v="4"/>
    <x v="1"/>
  </r>
  <r>
    <s v="ORD03395"/>
    <s v="2023-05-09"/>
    <x v="5"/>
    <x v="9"/>
    <x v="1"/>
    <s v="Keyboard"/>
    <n v="13"/>
    <n v="26555"/>
    <n v="0.05"/>
    <n v="327954.25"/>
    <n v="66411.990000000005"/>
    <x v="3"/>
    <x v="6"/>
    <x v="1"/>
  </r>
  <r>
    <s v="ORD03396"/>
    <s v="2024-03-25"/>
    <x v="27"/>
    <x v="25"/>
    <x v="3"/>
    <s v="Notebook"/>
    <n v="15"/>
    <n v="15502"/>
    <n v="0"/>
    <n v="232530"/>
    <n v="59544.29"/>
    <x v="3"/>
    <x v="7"/>
    <x v="0"/>
  </r>
  <r>
    <s v="ORD03397"/>
    <s v="2024-08-18"/>
    <x v="4"/>
    <x v="19"/>
    <x v="1"/>
    <s v="Smartwatch"/>
    <n v="5"/>
    <n v="22131"/>
    <n v="0.05"/>
    <n v="105122.25"/>
    <n v="23898.53"/>
    <x v="3"/>
    <x v="8"/>
    <x v="0"/>
  </r>
  <r>
    <s v="ORD03398"/>
    <s v="2024-05-08"/>
    <x v="26"/>
    <x v="6"/>
    <x v="2"/>
    <s v="Jeans"/>
    <n v="3"/>
    <n v="11318"/>
    <n v="0.1"/>
    <n v="30558.6"/>
    <n v="8784.3700000000008"/>
    <x v="2"/>
    <x v="6"/>
    <x v="0"/>
  </r>
  <r>
    <s v="ORD03399"/>
    <s v="2023-09-08"/>
    <x v="6"/>
    <x v="8"/>
    <x v="2"/>
    <s v="Sweater"/>
    <n v="6"/>
    <n v="2214"/>
    <n v="0.15"/>
    <n v="11291.4"/>
    <n v="1796.83"/>
    <x v="3"/>
    <x v="10"/>
    <x v="1"/>
  </r>
  <r>
    <s v="ORD03400"/>
    <s v="2023-10-05"/>
    <x v="39"/>
    <x v="15"/>
    <x v="0"/>
    <s v="Sofa"/>
    <n v="14"/>
    <n v="30896"/>
    <n v="0.1"/>
    <n v="389289.6"/>
    <n v="63124.18"/>
    <x v="1"/>
    <x v="0"/>
    <x v="1"/>
  </r>
  <r>
    <s v="ORD03401"/>
    <s v="2023-11-28"/>
    <x v="15"/>
    <x v="3"/>
    <x v="3"/>
    <s v="Stapler"/>
    <n v="12"/>
    <n v="34717"/>
    <n v="0.1"/>
    <n v="374943.6"/>
    <n v="38362.370000000003"/>
    <x v="0"/>
    <x v="4"/>
    <x v="1"/>
  </r>
  <r>
    <s v="ORD03402"/>
    <s v="2024-08-28"/>
    <x v="18"/>
    <x v="7"/>
    <x v="0"/>
    <s v="Bed"/>
    <n v="6"/>
    <n v="21918"/>
    <n v="0.2"/>
    <n v="105206.39999999999"/>
    <n v="30103.37"/>
    <x v="3"/>
    <x v="8"/>
    <x v="0"/>
  </r>
  <r>
    <s v="ORD03403"/>
    <s v="2024-10-29"/>
    <x v="26"/>
    <x v="1"/>
    <x v="1"/>
    <s v="Mobile"/>
    <n v="6"/>
    <n v="24208"/>
    <n v="0.1"/>
    <n v="130723.2"/>
    <n v="20147.73"/>
    <x v="1"/>
    <x v="0"/>
    <x v="0"/>
  </r>
  <r>
    <s v="ORD03404"/>
    <s v="2023-05-10"/>
    <x v="45"/>
    <x v="22"/>
    <x v="1"/>
    <s v="Camera"/>
    <n v="14"/>
    <n v="53965"/>
    <n v="0.1"/>
    <n v="679959"/>
    <n v="165963"/>
    <x v="2"/>
    <x v="6"/>
    <x v="1"/>
  </r>
  <r>
    <s v="ORD03405"/>
    <s v="2024-08-09"/>
    <x v="9"/>
    <x v="4"/>
    <x v="0"/>
    <s v="Stool"/>
    <n v="1"/>
    <n v="12400"/>
    <n v="0"/>
    <n v="12400"/>
    <n v="2221.98"/>
    <x v="1"/>
    <x v="8"/>
    <x v="0"/>
  </r>
  <r>
    <s v="ORD03406"/>
    <s v="2023-12-06"/>
    <x v="33"/>
    <x v="20"/>
    <x v="1"/>
    <s v="Tablet"/>
    <n v="10"/>
    <n v="895"/>
    <n v="0"/>
    <n v="8950"/>
    <n v="1190.26"/>
    <x v="0"/>
    <x v="9"/>
    <x v="1"/>
  </r>
  <r>
    <s v="ORD03407"/>
    <s v="2024-11-14"/>
    <x v="47"/>
    <x v="6"/>
    <x v="2"/>
    <s v="Jeans"/>
    <n v="9"/>
    <n v="58550"/>
    <n v="0.2"/>
    <n v="421560"/>
    <n v="108446.58"/>
    <x v="3"/>
    <x v="4"/>
    <x v="0"/>
  </r>
  <r>
    <s v="ORD03408"/>
    <s v="2023-10-07"/>
    <x v="41"/>
    <x v="6"/>
    <x v="2"/>
    <s v="Jeans"/>
    <n v="1"/>
    <n v="36985"/>
    <n v="0.2"/>
    <n v="29588"/>
    <n v="7207.63"/>
    <x v="2"/>
    <x v="0"/>
    <x v="1"/>
  </r>
  <r>
    <s v="ORD03409"/>
    <s v="2024-05-04"/>
    <x v="19"/>
    <x v="15"/>
    <x v="0"/>
    <s v="Sofa"/>
    <n v="12"/>
    <n v="46482"/>
    <n v="0.05"/>
    <n v="529894.80000000005"/>
    <n v="112458.93"/>
    <x v="1"/>
    <x v="6"/>
    <x v="0"/>
  </r>
  <r>
    <s v="ORD03410"/>
    <s v="2024-01-05"/>
    <x v="29"/>
    <x v="6"/>
    <x v="2"/>
    <s v="Jeans"/>
    <n v="7"/>
    <n v="16932"/>
    <n v="0"/>
    <n v="118524"/>
    <n v="20102.87"/>
    <x v="0"/>
    <x v="3"/>
    <x v="0"/>
  </r>
  <r>
    <s v="ORD03411"/>
    <s v="2023-04-16"/>
    <x v="34"/>
    <x v="14"/>
    <x v="2"/>
    <s v="Dress"/>
    <n v="12"/>
    <n v="17770"/>
    <n v="0.05"/>
    <n v="202578"/>
    <n v="19979.55"/>
    <x v="1"/>
    <x v="2"/>
    <x v="1"/>
  </r>
  <r>
    <s v="ORD03412"/>
    <s v="2023-11-18"/>
    <x v="34"/>
    <x v="0"/>
    <x v="0"/>
    <s v="Chair"/>
    <n v="12"/>
    <n v="51439"/>
    <n v="0.1"/>
    <n v="555541.19999999995"/>
    <n v="161406.48000000001"/>
    <x v="2"/>
    <x v="4"/>
    <x v="1"/>
  </r>
  <r>
    <s v="ORD03413"/>
    <s v="2024-02-08"/>
    <x v="12"/>
    <x v="6"/>
    <x v="2"/>
    <s v="Jeans"/>
    <n v="1"/>
    <n v="34475"/>
    <n v="0.2"/>
    <n v="27580"/>
    <n v="6934.94"/>
    <x v="0"/>
    <x v="11"/>
    <x v="0"/>
  </r>
  <r>
    <s v="ORD03414"/>
    <s v="2023-06-22"/>
    <x v="33"/>
    <x v="6"/>
    <x v="2"/>
    <s v="Jeans"/>
    <n v="2"/>
    <n v="25347"/>
    <n v="0.15"/>
    <n v="43089.9"/>
    <n v="8621.58"/>
    <x v="3"/>
    <x v="5"/>
    <x v="1"/>
  </r>
  <r>
    <s v="ORD03415"/>
    <s v="2023-04-23"/>
    <x v="14"/>
    <x v="25"/>
    <x v="3"/>
    <s v="Notebook"/>
    <n v="2"/>
    <n v="19072"/>
    <n v="0"/>
    <n v="38144"/>
    <n v="6211.81"/>
    <x v="1"/>
    <x v="2"/>
    <x v="1"/>
  </r>
  <r>
    <s v="ORD03416"/>
    <s v="2023-07-20"/>
    <x v="35"/>
    <x v="25"/>
    <x v="3"/>
    <s v="Notebook"/>
    <n v="12"/>
    <n v="7343"/>
    <n v="0.2"/>
    <n v="70492.800000000003"/>
    <n v="13911.3"/>
    <x v="1"/>
    <x v="1"/>
    <x v="1"/>
  </r>
  <r>
    <s v="ORD03417"/>
    <s v="2023-11-09"/>
    <x v="36"/>
    <x v="8"/>
    <x v="2"/>
    <s v="Sweater"/>
    <n v="10"/>
    <n v="14703"/>
    <n v="0.05"/>
    <n v="139678.5"/>
    <n v="28041.07"/>
    <x v="1"/>
    <x v="4"/>
    <x v="1"/>
  </r>
  <r>
    <s v="ORD03418"/>
    <s v="2024-01-20"/>
    <x v="33"/>
    <x v="10"/>
    <x v="3"/>
    <s v="Marker"/>
    <n v="1"/>
    <n v="10666"/>
    <n v="0.1"/>
    <n v="9599.4"/>
    <n v="2239.2800000000002"/>
    <x v="1"/>
    <x v="3"/>
    <x v="0"/>
  </r>
  <r>
    <s v="ORD03419"/>
    <s v="2024-10-12"/>
    <x v="0"/>
    <x v="18"/>
    <x v="0"/>
    <s v="Table"/>
    <n v="10"/>
    <n v="5088"/>
    <n v="0"/>
    <n v="50880"/>
    <n v="12913.37"/>
    <x v="0"/>
    <x v="0"/>
    <x v="0"/>
  </r>
  <r>
    <s v="ORD03420"/>
    <s v="2023-02-02"/>
    <x v="46"/>
    <x v="7"/>
    <x v="0"/>
    <s v="Bed"/>
    <n v="11"/>
    <n v="22173"/>
    <n v="0.15"/>
    <n v="207317.55"/>
    <n v="50332.480000000003"/>
    <x v="3"/>
    <x v="11"/>
    <x v="1"/>
  </r>
  <r>
    <s v="ORD03421"/>
    <s v="2023-03-18"/>
    <x v="15"/>
    <x v="9"/>
    <x v="1"/>
    <s v="Keyboard"/>
    <n v="14"/>
    <n v="4246"/>
    <n v="0.2"/>
    <n v="47555.199999999997"/>
    <n v="3991.91"/>
    <x v="1"/>
    <x v="7"/>
    <x v="1"/>
  </r>
  <r>
    <s v="ORD03422"/>
    <s v="2023-09-08"/>
    <x v="3"/>
    <x v="14"/>
    <x v="2"/>
    <s v="Dress"/>
    <n v="3"/>
    <n v="15055"/>
    <n v="0.2"/>
    <n v="36132"/>
    <n v="7486.44"/>
    <x v="1"/>
    <x v="10"/>
    <x v="1"/>
  </r>
  <r>
    <s v="ORD03423"/>
    <s v="2023-06-25"/>
    <x v="2"/>
    <x v="22"/>
    <x v="1"/>
    <s v="Camera"/>
    <n v="13"/>
    <n v="22902"/>
    <n v="0.05"/>
    <n v="282839.7"/>
    <n v="83441.91"/>
    <x v="2"/>
    <x v="5"/>
    <x v="1"/>
  </r>
  <r>
    <s v="ORD03424"/>
    <s v="2024-10-10"/>
    <x v="10"/>
    <x v="7"/>
    <x v="0"/>
    <s v="Bed"/>
    <n v="10"/>
    <n v="7265"/>
    <n v="0.15"/>
    <n v="61752.5"/>
    <n v="16763.75"/>
    <x v="1"/>
    <x v="0"/>
    <x v="0"/>
  </r>
  <r>
    <s v="ORD03425"/>
    <s v="2024-02-20"/>
    <x v="28"/>
    <x v="11"/>
    <x v="3"/>
    <s v="Printer"/>
    <n v="1"/>
    <n v="22554"/>
    <n v="0"/>
    <n v="22554"/>
    <n v="2878.33"/>
    <x v="1"/>
    <x v="11"/>
    <x v="0"/>
  </r>
  <r>
    <s v="ORD03426"/>
    <s v="2023-07-01"/>
    <x v="14"/>
    <x v="19"/>
    <x v="1"/>
    <s v="Smartwatch"/>
    <n v="7"/>
    <n v="56971"/>
    <n v="0.1"/>
    <n v="358917.3"/>
    <n v="70788.95"/>
    <x v="2"/>
    <x v="1"/>
    <x v="1"/>
  </r>
  <r>
    <s v="ORD03427"/>
    <s v="2024-09-01"/>
    <x v="19"/>
    <x v="22"/>
    <x v="1"/>
    <s v="Camera"/>
    <n v="9"/>
    <n v="32780"/>
    <n v="0.05"/>
    <n v="280269"/>
    <n v="70072.460000000006"/>
    <x v="3"/>
    <x v="10"/>
    <x v="0"/>
  </r>
  <r>
    <s v="ORD03428"/>
    <s v="2024-04-15"/>
    <x v="39"/>
    <x v="0"/>
    <x v="0"/>
    <s v="Chair"/>
    <n v="3"/>
    <n v="36164"/>
    <n v="0.2"/>
    <n v="86793.600000000006"/>
    <n v="16904.349999999999"/>
    <x v="0"/>
    <x v="2"/>
    <x v="0"/>
  </r>
  <r>
    <s v="ORD03429"/>
    <s v="2024-03-29"/>
    <x v="33"/>
    <x v="24"/>
    <x v="2"/>
    <s v="T-Shirt"/>
    <n v="2"/>
    <n v="40627"/>
    <n v="0.2"/>
    <n v="65003.199999999997"/>
    <n v="18153.41"/>
    <x v="2"/>
    <x v="7"/>
    <x v="0"/>
  </r>
  <r>
    <s v="ORD03430"/>
    <s v="2024-01-08"/>
    <x v="17"/>
    <x v="3"/>
    <x v="3"/>
    <s v="Stapler"/>
    <n v="12"/>
    <n v="1981"/>
    <n v="0.05"/>
    <n v="22583.4"/>
    <n v="6309.33"/>
    <x v="3"/>
    <x v="3"/>
    <x v="0"/>
  </r>
  <r>
    <s v="ORD03431"/>
    <s v="2023-10-01"/>
    <x v="11"/>
    <x v="27"/>
    <x v="3"/>
    <s v="File"/>
    <n v="3"/>
    <n v="33825"/>
    <n v="0"/>
    <n v="101475"/>
    <n v="16162.33"/>
    <x v="3"/>
    <x v="0"/>
    <x v="1"/>
  </r>
  <r>
    <s v="ORD03432"/>
    <s v="2023-04-24"/>
    <x v="32"/>
    <x v="6"/>
    <x v="2"/>
    <s v="Jeans"/>
    <n v="14"/>
    <n v="27279"/>
    <n v="0"/>
    <n v="381906"/>
    <n v="34905.56"/>
    <x v="2"/>
    <x v="2"/>
    <x v="1"/>
  </r>
  <r>
    <s v="ORD03433"/>
    <s v="2023-04-02"/>
    <x v="47"/>
    <x v="4"/>
    <x v="0"/>
    <s v="Stool"/>
    <n v="3"/>
    <n v="52760"/>
    <n v="0.1"/>
    <n v="142452"/>
    <n v="16769.259999999998"/>
    <x v="0"/>
    <x v="2"/>
    <x v="1"/>
  </r>
  <r>
    <s v="ORD03434"/>
    <s v="2024-11-13"/>
    <x v="37"/>
    <x v="20"/>
    <x v="1"/>
    <s v="Tablet"/>
    <n v="13"/>
    <n v="42279"/>
    <n v="0"/>
    <n v="549627"/>
    <n v="112490.86"/>
    <x v="3"/>
    <x v="4"/>
    <x v="0"/>
  </r>
  <r>
    <s v="ORD03435"/>
    <s v="2023-08-09"/>
    <x v="34"/>
    <x v="17"/>
    <x v="1"/>
    <s v="Power Bank"/>
    <n v="3"/>
    <n v="45056"/>
    <n v="0.2"/>
    <n v="108134.39999999999"/>
    <n v="23363.05"/>
    <x v="3"/>
    <x v="8"/>
    <x v="1"/>
  </r>
  <r>
    <s v="ORD03436"/>
    <s v="2024-07-21"/>
    <x v="27"/>
    <x v="4"/>
    <x v="0"/>
    <s v="Stool"/>
    <n v="1"/>
    <n v="27160"/>
    <n v="0.1"/>
    <n v="24444"/>
    <n v="4024.32"/>
    <x v="1"/>
    <x v="1"/>
    <x v="0"/>
  </r>
  <r>
    <s v="ORD03437"/>
    <s v="2024-05-13"/>
    <x v="8"/>
    <x v="0"/>
    <x v="0"/>
    <s v="Chair"/>
    <n v="4"/>
    <n v="42326"/>
    <n v="0.1"/>
    <n v="152373.6"/>
    <n v="38710.89"/>
    <x v="3"/>
    <x v="6"/>
    <x v="0"/>
  </r>
  <r>
    <s v="ORD03438"/>
    <s v="2023-09-24"/>
    <x v="44"/>
    <x v="9"/>
    <x v="1"/>
    <s v="Keyboard"/>
    <n v="4"/>
    <n v="11626"/>
    <n v="0.05"/>
    <n v="44178.8"/>
    <n v="10081.41"/>
    <x v="3"/>
    <x v="10"/>
    <x v="1"/>
  </r>
  <r>
    <s v="ORD03439"/>
    <s v="2023-11-18"/>
    <x v="14"/>
    <x v="2"/>
    <x v="2"/>
    <s v="Shoes"/>
    <n v="3"/>
    <n v="2536"/>
    <n v="0.15"/>
    <n v="6466.8"/>
    <n v="635.37"/>
    <x v="1"/>
    <x v="4"/>
    <x v="1"/>
  </r>
  <r>
    <s v="ORD03440"/>
    <s v="2024-09-17"/>
    <x v="1"/>
    <x v="24"/>
    <x v="2"/>
    <s v="T-Shirt"/>
    <n v="8"/>
    <n v="20612"/>
    <n v="0.2"/>
    <n v="131916.79999999999"/>
    <n v="17190.05"/>
    <x v="2"/>
    <x v="10"/>
    <x v="0"/>
  </r>
  <r>
    <s v="ORD03441"/>
    <s v="2024-05-11"/>
    <x v="42"/>
    <x v="5"/>
    <x v="0"/>
    <s v="Cupboard"/>
    <n v="13"/>
    <n v="32269"/>
    <n v="0.05"/>
    <n v="398522.15"/>
    <n v="36637.24"/>
    <x v="1"/>
    <x v="6"/>
    <x v="0"/>
  </r>
  <r>
    <s v="ORD03442"/>
    <s v="2024-06-02"/>
    <x v="31"/>
    <x v="4"/>
    <x v="0"/>
    <s v="Stool"/>
    <n v="11"/>
    <n v="4932"/>
    <n v="0.05"/>
    <n v="51539.4"/>
    <n v="5770.96"/>
    <x v="3"/>
    <x v="5"/>
    <x v="0"/>
  </r>
  <r>
    <s v="ORD03443"/>
    <s v="2023-02-11"/>
    <x v="25"/>
    <x v="26"/>
    <x v="3"/>
    <s v="Paper Ream"/>
    <n v="4"/>
    <n v="52020"/>
    <n v="0.15"/>
    <n v="176868"/>
    <n v="21689.06"/>
    <x v="3"/>
    <x v="11"/>
    <x v="1"/>
  </r>
  <r>
    <s v="ORD03444"/>
    <s v="2023-12-21"/>
    <x v="13"/>
    <x v="13"/>
    <x v="2"/>
    <s v="Jacket"/>
    <n v="12"/>
    <n v="28046"/>
    <n v="0.2"/>
    <n v="269241.59999999998"/>
    <n v="44563.71"/>
    <x v="0"/>
    <x v="9"/>
    <x v="1"/>
  </r>
  <r>
    <s v="ORD03445"/>
    <s v="2023-07-31"/>
    <x v="33"/>
    <x v="8"/>
    <x v="2"/>
    <s v="Sweater"/>
    <n v="11"/>
    <n v="58763"/>
    <n v="0.1"/>
    <n v="581753.69999999995"/>
    <n v="60454.05"/>
    <x v="0"/>
    <x v="1"/>
    <x v="1"/>
  </r>
  <r>
    <s v="ORD03446"/>
    <s v="2024-04-08"/>
    <x v="38"/>
    <x v="15"/>
    <x v="0"/>
    <s v="Sofa"/>
    <n v="6"/>
    <n v="28542"/>
    <n v="0.15"/>
    <n v="145564.20000000001"/>
    <n v="23256.59"/>
    <x v="3"/>
    <x v="2"/>
    <x v="0"/>
  </r>
  <r>
    <s v="ORD03447"/>
    <s v="2024-10-22"/>
    <x v="49"/>
    <x v="20"/>
    <x v="1"/>
    <s v="Tablet"/>
    <n v="13"/>
    <n v="26934"/>
    <n v="0.1"/>
    <n v="315127.8"/>
    <n v="45810.86"/>
    <x v="0"/>
    <x v="0"/>
    <x v="0"/>
  </r>
  <r>
    <s v="ORD03448"/>
    <s v="2023-10-08"/>
    <x v="40"/>
    <x v="4"/>
    <x v="0"/>
    <s v="Stool"/>
    <n v="1"/>
    <n v="53581"/>
    <n v="0.2"/>
    <n v="42864.800000000003"/>
    <n v="4108.53"/>
    <x v="3"/>
    <x v="0"/>
    <x v="1"/>
  </r>
  <r>
    <s v="ORD03449"/>
    <s v="2023-03-07"/>
    <x v="35"/>
    <x v="4"/>
    <x v="0"/>
    <s v="Stool"/>
    <n v="13"/>
    <n v="45896"/>
    <n v="0"/>
    <n v="596648"/>
    <n v="82132.009999999995"/>
    <x v="0"/>
    <x v="7"/>
    <x v="1"/>
  </r>
  <r>
    <s v="ORD03450"/>
    <s v="2023-07-06"/>
    <x v="25"/>
    <x v="19"/>
    <x v="1"/>
    <s v="Smartwatch"/>
    <n v="12"/>
    <n v="2044"/>
    <n v="0.05"/>
    <n v="23301.599999999999"/>
    <n v="2474.84"/>
    <x v="3"/>
    <x v="1"/>
    <x v="1"/>
  </r>
  <r>
    <s v="ORD03451"/>
    <s v="2023-08-28"/>
    <x v="8"/>
    <x v="4"/>
    <x v="0"/>
    <s v="Stool"/>
    <n v="12"/>
    <n v="53175"/>
    <n v="0.1"/>
    <n v="574290"/>
    <n v="88780.74"/>
    <x v="2"/>
    <x v="8"/>
    <x v="1"/>
  </r>
  <r>
    <s v="ORD03452"/>
    <s v="2023-06-24"/>
    <x v="30"/>
    <x v="26"/>
    <x v="3"/>
    <s v="Paper Ream"/>
    <n v="2"/>
    <n v="50288"/>
    <n v="0.15"/>
    <n v="85489.600000000006"/>
    <n v="21638.03"/>
    <x v="3"/>
    <x v="5"/>
    <x v="1"/>
  </r>
  <r>
    <s v="ORD03453"/>
    <s v="2023-06-10"/>
    <x v="46"/>
    <x v="18"/>
    <x v="0"/>
    <s v="Table"/>
    <n v="3"/>
    <n v="18552"/>
    <n v="0.05"/>
    <n v="52873.2"/>
    <n v="11340.62"/>
    <x v="0"/>
    <x v="5"/>
    <x v="1"/>
  </r>
  <r>
    <s v="ORD03454"/>
    <s v="2024-04-09"/>
    <x v="16"/>
    <x v="23"/>
    <x v="0"/>
    <s v="Desk"/>
    <n v="15"/>
    <n v="11169"/>
    <n v="0.1"/>
    <n v="150781.5"/>
    <n v="15313.15"/>
    <x v="2"/>
    <x v="2"/>
    <x v="0"/>
  </r>
  <r>
    <s v="ORD03455"/>
    <s v="2024-02-22"/>
    <x v="2"/>
    <x v="24"/>
    <x v="2"/>
    <s v="T-Shirt"/>
    <n v="7"/>
    <n v="49614"/>
    <n v="0.05"/>
    <n v="329933.09999999998"/>
    <n v="93628.52"/>
    <x v="2"/>
    <x v="11"/>
    <x v="0"/>
  </r>
  <r>
    <s v="ORD03456"/>
    <s v="2023-08-09"/>
    <x v="42"/>
    <x v="6"/>
    <x v="2"/>
    <s v="Jeans"/>
    <n v="1"/>
    <n v="37115"/>
    <n v="0.05"/>
    <n v="35259.25"/>
    <n v="6492.32"/>
    <x v="1"/>
    <x v="8"/>
    <x v="1"/>
  </r>
  <r>
    <s v="ORD03457"/>
    <s v="2023-08-13"/>
    <x v="28"/>
    <x v="11"/>
    <x v="3"/>
    <s v="Printer"/>
    <n v="15"/>
    <n v="52186"/>
    <n v="0.2"/>
    <n v="626232"/>
    <n v="173459.3"/>
    <x v="3"/>
    <x v="8"/>
    <x v="1"/>
  </r>
  <r>
    <s v="ORD03458"/>
    <s v="2024-08-17"/>
    <x v="10"/>
    <x v="5"/>
    <x v="0"/>
    <s v="Cupboard"/>
    <n v="9"/>
    <n v="9656"/>
    <n v="0.15"/>
    <n v="73868.399999999994"/>
    <n v="7680.04"/>
    <x v="0"/>
    <x v="8"/>
    <x v="0"/>
  </r>
  <r>
    <s v="ORD03459"/>
    <s v="2023-02-27"/>
    <x v="36"/>
    <x v="2"/>
    <x v="2"/>
    <s v="Shoes"/>
    <n v="10"/>
    <n v="31048"/>
    <n v="0.15"/>
    <n v="263908"/>
    <n v="40533.53"/>
    <x v="0"/>
    <x v="11"/>
    <x v="1"/>
  </r>
  <r>
    <s v="ORD03460"/>
    <s v="2024-03-11"/>
    <x v="29"/>
    <x v="0"/>
    <x v="0"/>
    <s v="Chair"/>
    <n v="6"/>
    <n v="24061"/>
    <n v="0.1"/>
    <n v="129929.4"/>
    <n v="32509.14"/>
    <x v="2"/>
    <x v="7"/>
    <x v="0"/>
  </r>
  <r>
    <s v="ORD03461"/>
    <s v="2023-07-12"/>
    <x v="36"/>
    <x v="8"/>
    <x v="2"/>
    <s v="Sweater"/>
    <n v="13"/>
    <n v="25869"/>
    <n v="0.1"/>
    <n v="302667.3"/>
    <n v="85550.97"/>
    <x v="3"/>
    <x v="1"/>
    <x v="1"/>
  </r>
  <r>
    <s v="ORD03462"/>
    <s v="2023-09-28"/>
    <x v="36"/>
    <x v="12"/>
    <x v="1"/>
    <s v="Headphones"/>
    <n v="15"/>
    <n v="34407"/>
    <n v="0"/>
    <n v="516105"/>
    <n v="78846.97"/>
    <x v="2"/>
    <x v="10"/>
    <x v="1"/>
  </r>
  <r>
    <s v="ORD03463"/>
    <s v="2024-05-20"/>
    <x v="8"/>
    <x v="23"/>
    <x v="0"/>
    <s v="Desk"/>
    <n v="1"/>
    <n v="33703"/>
    <n v="0.15"/>
    <n v="28647.55"/>
    <n v="5861.57"/>
    <x v="0"/>
    <x v="6"/>
    <x v="0"/>
  </r>
  <r>
    <s v="ORD03464"/>
    <s v="2023-01-25"/>
    <x v="11"/>
    <x v="18"/>
    <x v="0"/>
    <s v="Table"/>
    <n v="14"/>
    <n v="26546"/>
    <n v="0"/>
    <n v="371644"/>
    <n v="105869.97"/>
    <x v="3"/>
    <x v="3"/>
    <x v="1"/>
  </r>
  <r>
    <s v="ORD03465"/>
    <s v="2023-02-04"/>
    <x v="28"/>
    <x v="23"/>
    <x v="0"/>
    <s v="Desk"/>
    <n v="3"/>
    <n v="37332"/>
    <n v="0.05"/>
    <n v="106396.2"/>
    <n v="12300.04"/>
    <x v="0"/>
    <x v="11"/>
    <x v="1"/>
  </r>
  <r>
    <s v="ORD03466"/>
    <s v="2023-01-06"/>
    <x v="5"/>
    <x v="25"/>
    <x v="3"/>
    <s v="Notebook"/>
    <n v="1"/>
    <n v="24836"/>
    <n v="0.1"/>
    <n v="22352.400000000001"/>
    <n v="3837.88"/>
    <x v="0"/>
    <x v="3"/>
    <x v="1"/>
  </r>
  <r>
    <s v="ORD03467"/>
    <s v="2023-04-29"/>
    <x v="39"/>
    <x v="24"/>
    <x v="2"/>
    <s v="T-Shirt"/>
    <n v="6"/>
    <n v="54359"/>
    <n v="0.15"/>
    <n v="277230.90000000002"/>
    <n v="31601.39"/>
    <x v="0"/>
    <x v="2"/>
    <x v="1"/>
  </r>
  <r>
    <s v="ORD03468"/>
    <s v="2023-01-19"/>
    <x v="2"/>
    <x v="20"/>
    <x v="1"/>
    <s v="Tablet"/>
    <n v="11"/>
    <n v="10554"/>
    <n v="0.1"/>
    <n v="104484.6"/>
    <n v="15309.5"/>
    <x v="0"/>
    <x v="3"/>
    <x v="1"/>
  </r>
  <r>
    <s v="ORD03469"/>
    <s v="2024-02-09"/>
    <x v="36"/>
    <x v="20"/>
    <x v="1"/>
    <s v="Tablet"/>
    <n v="2"/>
    <n v="32420"/>
    <n v="0.2"/>
    <n v="51872"/>
    <n v="15174.12"/>
    <x v="2"/>
    <x v="11"/>
    <x v="0"/>
  </r>
  <r>
    <s v="ORD03470"/>
    <s v="2023-02-03"/>
    <x v="27"/>
    <x v="19"/>
    <x v="1"/>
    <s v="Smartwatch"/>
    <n v="10"/>
    <n v="56085"/>
    <n v="0.1"/>
    <n v="504765"/>
    <n v="74303.820000000007"/>
    <x v="2"/>
    <x v="11"/>
    <x v="1"/>
  </r>
  <r>
    <s v="ORD03471"/>
    <s v="2024-03-09"/>
    <x v="43"/>
    <x v="14"/>
    <x v="2"/>
    <s v="Dress"/>
    <n v="1"/>
    <n v="16978"/>
    <n v="0.15"/>
    <n v="14431.3"/>
    <n v="4237.87"/>
    <x v="2"/>
    <x v="7"/>
    <x v="0"/>
  </r>
  <r>
    <s v="ORD03472"/>
    <s v="2023-07-19"/>
    <x v="37"/>
    <x v="11"/>
    <x v="3"/>
    <s v="Printer"/>
    <n v="3"/>
    <n v="19702"/>
    <n v="0.05"/>
    <n v="56150.7"/>
    <n v="14602.75"/>
    <x v="0"/>
    <x v="1"/>
    <x v="1"/>
  </r>
  <r>
    <s v="ORD03473"/>
    <s v="2024-08-05"/>
    <x v="1"/>
    <x v="12"/>
    <x v="1"/>
    <s v="Headphones"/>
    <n v="6"/>
    <n v="34928"/>
    <n v="0"/>
    <n v="209568"/>
    <n v="24027.599999999999"/>
    <x v="0"/>
    <x v="8"/>
    <x v="0"/>
  </r>
  <r>
    <s v="ORD03474"/>
    <s v="2023-06-30"/>
    <x v="20"/>
    <x v="9"/>
    <x v="1"/>
    <s v="Keyboard"/>
    <n v="12"/>
    <n v="52523"/>
    <n v="0.05"/>
    <n v="598762.19999999995"/>
    <n v="95916.29"/>
    <x v="3"/>
    <x v="5"/>
    <x v="1"/>
  </r>
  <r>
    <s v="ORD03475"/>
    <s v="2023-05-09"/>
    <x v="34"/>
    <x v="16"/>
    <x v="3"/>
    <s v="Pen"/>
    <n v="12"/>
    <n v="24127"/>
    <n v="0"/>
    <n v="289524"/>
    <n v="55295.06"/>
    <x v="2"/>
    <x v="6"/>
    <x v="1"/>
  </r>
  <r>
    <s v="ORD03476"/>
    <s v="2023-04-08"/>
    <x v="36"/>
    <x v="15"/>
    <x v="0"/>
    <s v="Sofa"/>
    <n v="7"/>
    <n v="15299"/>
    <n v="0"/>
    <n v="107093"/>
    <n v="13622.72"/>
    <x v="2"/>
    <x v="2"/>
    <x v="1"/>
  </r>
  <r>
    <s v="ORD03477"/>
    <s v="2023-05-10"/>
    <x v="7"/>
    <x v="1"/>
    <x v="1"/>
    <s v="Mobile"/>
    <n v="7"/>
    <n v="32587"/>
    <n v="0.1"/>
    <n v="205298.1"/>
    <n v="46282.05"/>
    <x v="0"/>
    <x v="6"/>
    <x v="1"/>
  </r>
  <r>
    <s v="ORD03478"/>
    <s v="2023-09-19"/>
    <x v="34"/>
    <x v="14"/>
    <x v="2"/>
    <s v="Dress"/>
    <n v="7"/>
    <n v="25787"/>
    <n v="0.1"/>
    <n v="162458.1"/>
    <n v="26374.080000000002"/>
    <x v="2"/>
    <x v="10"/>
    <x v="1"/>
  </r>
  <r>
    <s v="ORD03479"/>
    <s v="2023-05-24"/>
    <x v="23"/>
    <x v="2"/>
    <x v="2"/>
    <s v="Shoes"/>
    <n v="7"/>
    <n v="46441"/>
    <n v="0.15"/>
    <n v="276323.95"/>
    <n v="37011.46"/>
    <x v="0"/>
    <x v="6"/>
    <x v="1"/>
  </r>
  <r>
    <s v="ORD03480"/>
    <s v="2024-04-18"/>
    <x v="7"/>
    <x v="22"/>
    <x v="1"/>
    <s v="Camera"/>
    <n v="13"/>
    <n v="32711"/>
    <n v="0.05"/>
    <n v="403980.85"/>
    <n v="90777.87"/>
    <x v="0"/>
    <x v="2"/>
    <x v="0"/>
  </r>
  <r>
    <s v="ORD03481"/>
    <s v="2023-12-29"/>
    <x v="10"/>
    <x v="13"/>
    <x v="2"/>
    <s v="Jacket"/>
    <n v="7"/>
    <n v="41335"/>
    <n v="0.2"/>
    <n v="231476"/>
    <n v="20985.43"/>
    <x v="2"/>
    <x v="9"/>
    <x v="1"/>
  </r>
  <r>
    <s v="ORD03482"/>
    <s v="2023-02-19"/>
    <x v="24"/>
    <x v="17"/>
    <x v="1"/>
    <s v="Power Bank"/>
    <n v="13"/>
    <n v="31616"/>
    <n v="0.1"/>
    <n v="369907.20000000001"/>
    <n v="106350.13"/>
    <x v="2"/>
    <x v="11"/>
    <x v="1"/>
  </r>
  <r>
    <s v="ORD03483"/>
    <s v="2024-05-14"/>
    <x v="22"/>
    <x v="10"/>
    <x v="3"/>
    <s v="Marker"/>
    <n v="7"/>
    <n v="46450"/>
    <n v="0.05"/>
    <n v="308892.5"/>
    <n v="64510.78"/>
    <x v="0"/>
    <x v="6"/>
    <x v="0"/>
  </r>
  <r>
    <s v="ORD03484"/>
    <s v="2023-02-21"/>
    <x v="13"/>
    <x v="23"/>
    <x v="0"/>
    <s v="Desk"/>
    <n v="3"/>
    <n v="39607"/>
    <n v="0.1"/>
    <n v="106938.9"/>
    <n v="16517.45"/>
    <x v="2"/>
    <x v="11"/>
    <x v="1"/>
  </r>
  <r>
    <s v="ORD03485"/>
    <s v="2024-02-11"/>
    <x v="47"/>
    <x v="27"/>
    <x v="3"/>
    <s v="File"/>
    <n v="15"/>
    <n v="3906"/>
    <n v="0.2"/>
    <n v="46872"/>
    <n v="4343.34"/>
    <x v="1"/>
    <x v="11"/>
    <x v="0"/>
  </r>
  <r>
    <s v="ORD03486"/>
    <s v="2023-02-07"/>
    <x v="46"/>
    <x v="20"/>
    <x v="1"/>
    <s v="Tablet"/>
    <n v="3"/>
    <n v="53663"/>
    <n v="0"/>
    <n v="160989"/>
    <n v="28230.21"/>
    <x v="0"/>
    <x v="11"/>
    <x v="1"/>
  </r>
  <r>
    <s v="ORD03487"/>
    <s v="2023-04-21"/>
    <x v="28"/>
    <x v="20"/>
    <x v="1"/>
    <s v="Tablet"/>
    <n v="7"/>
    <n v="46976"/>
    <n v="0.05"/>
    <n v="312390.40000000002"/>
    <n v="84176.91"/>
    <x v="3"/>
    <x v="2"/>
    <x v="1"/>
  </r>
  <r>
    <s v="ORD03488"/>
    <s v="2024-05-19"/>
    <x v="38"/>
    <x v="4"/>
    <x v="0"/>
    <s v="Stool"/>
    <n v="12"/>
    <n v="32233"/>
    <n v="0"/>
    <n v="386796"/>
    <n v="85207.74"/>
    <x v="2"/>
    <x v="6"/>
    <x v="0"/>
  </r>
  <r>
    <s v="ORD03489"/>
    <s v="2023-05-01"/>
    <x v="34"/>
    <x v="19"/>
    <x v="1"/>
    <s v="Smartwatch"/>
    <n v="5"/>
    <n v="11064"/>
    <n v="0"/>
    <n v="55320"/>
    <n v="14147.74"/>
    <x v="1"/>
    <x v="6"/>
    <x v="1"/>
  </r>
  <r>
    <s v="ORD03490"/>
    <s v="2023-04-13"/>
    <x v="46"/>
    <x v="2"/>
    <x v="2"/>
    <s v="Shoes"/>
    <n v="6"/>
    <n v="58355"/>
    <n v="0"/>
    <n v="350130"/>
    <n v="31236.83"/>
    <x v="3"/>
    <x v="2"/>
    <x v="1"/>
  </r>
  <r>
    <s v="ORD03491"/>
    <s v="2023-10-10"/>
    <x v="0"/>
    <x v="16"/>
    <x v="3"/>
    <s v="Pen"/>
    <n v="8"/>
    <n v="9287"/>
    <n v="0"/>
    <n v="74296"/>
    <n v="9405.65"/>
    <x v="3"/>
    <x v="0"/>
    <x v="1"/>
  </r>
  <r>
    <s v="ORD03492"/>
    <s v="2023-06-10"/>
    <x v="37"/>
    <x v="11"/>
    <x v="3"/>
    <s v="Printer"/>
    <n v="13"/>
    <n v="37397"/>
    <n v="0"/>
    <n v="486161"/>
    <n v="54405.72"/>
    <x v="1"/>
    <x v="5"/>
    <x v="1"/>
  </r>
  <r>
    <s v="ORD03493"/>
    <s v="2023-04-20"/>
    <x v="14"/>
    <x v="10"/>
    <x v="3"/>
    <s v="Marker"/>
    <n v="9"/>
    <n v="50601"/>
    <n v="0.15"/>
    <n v="387097.65"/>
    <n v="111516.86"/>
    <x v="2"/>
    <x v="2"/>
    <x v="1"/>
  </r>
  <r>
    <s v="ORD03494"/>
    <s v="2023-06-10"/>
    <x v="24"/>
    <x v="20"/>
    <x v="1"/>
    <s v="Tablet"/>
    <n v="11"/>
    <n v="13233"/>
    <n v="0"/>
    <n v="145563"/>
    <n v="31294.39"/>
    <x v="0"/>
    <x v="5"/>
    <x v="1"/>
  </r>
  <r>
    <s v="ORD03495"/>
    <s v="2024-08-12"/>
    <x v="3"/>
    <x v="22"/>
    <x v="1"/>
    <s v="Camera"/>
    <n v="14"/>
    <n v="26681"/>
    <n v="0.1"/>
    <n v="336180.6"/>
    <n v="57493.85"/>
    <x v="2"/>
    <x v="8"/>
    <x v="0"/>
  </r>
  <r>
    <s v="ORD03496"/>
    <s v="2024-04-09"/>
    <x v="19"/>
    <x v="11"/>
    <x v="3"/>
    <s v="Printer"/>
    <n v="1"/>
    <n v="35140"/>
    <n v="0.05"/>
    <n v="33383"/>
    <n v="8387.2099999999991"/>
    <x v="3"/>
    <x v="2"/>
    <x v="0"/>
  </r>
  <r>
    <s v="ORD03497"/>
    <s v="2023-08-04"/>
    <x v="30"/>
    <x v="27"/>
    <x v="3"/>
    <s v="File"/>
    <n v="14"/>
    <n v="14975"/>
    <n v="0.05"/>
    <n v="199167.5"/>
    <n v="29950.77"/>
    <x v="2"/>
    <x v="8"/>
    <x v="1"/>
  </r>
  <r>
    <s v="ORD03498"/>
    <s v="2023-04-09"/>
    <x v="28"/>
    <x v="20"/>
    <x v="1"/>
    <s v="Tablet"/>
    <n v="8"/>
    <n v="19795"/>
    <n v="0.2"/>
    <n v="126688"/>
    <n v="20484.34"/>
    <x v="2"/>
    <x v="2"/>
    <x v="1"/>
  </r>
  <r>
    <s v="ORD03499"/>
    <s v="2023-03-25"/>
    <x v="48"/>
    <x v="24"/>
    <x v="2"/>
    <s v="T-Shirt"/>
    <n v="8"/>
    <n v="13006"/>
    <n v="0"/>
    <n v="104048"/>
    <n v="28393.84"/>
    <x v="3"/>
    <x v="7"/>
    <x v="1"/>
  </r>
  <r>
    <s v="ORD03500"/>
    <s v="2023-06-23"/>
    <x v="24"/>
    <x v="10"/>
    <x v="3"/>
    <s v="Marker"/>
    <n v="1"/>
    <n v="21984"/>
    <n v="0.2"/>
    <n v="17587.2"/>
    <n v="3470.54"/>
    <x v="0"/>
    <x v="5"/>
    <x v="1"/>
  </r>
  <r>
    <s v="ORD03501"/>
    <s v="2024-07-04"/>
    <x v="43"/>
    <x v="0"/>
    <x v="0"/>
    <s v="Chair"/>
    <n v="10"/>
    <n v="54814"/>
    <n v="0"/>
    <n v="548140"/>
    <n v="75570.710000000006"/>
    <x v="2"/>
    <x v="1"/>
    <x v="0"/>
  </r>
  <r>
    <s v="ORD03502"/>
    <s v="2023-11-26"/>
    <x v="0"/>
    <x v="23"/>
    <x v="0"/>
    <s v="Desk"/>
    <n v="6"/>
    <n v="19437"/>
    <n v="0.05"/>
    <n v="110790.9"/>
    <n v="10633.66"/>
    <x v="3"/>
    <x v="4"/>
    <x v="1"/>
  </r>
  <r>
    <s v="ORD03503"/>
    <s v="2024-09-26"/>
    <x v="1"/>
    <x v="25"/>
    <x v="3"/>
    <s v="Notebook"/>
    <n v="10"/>
    <n v="19661"/>
    <n v="0.15"/>
    <n v="167118.5"/>
    <n v="19827.7"/>
    <x v="2"/>
    <x v="10"/>
    <x v="0"/>
  </r>
  <r>
    <s v="ORD03504"/>
    <s v="2023-01-08"/>
    <x v="6"/>
    <x v="25"/>
    <x v="3"/>
    <s v="Notebook"/>
    <n v="11"/>
    <n v="11196"/>
    <n v="0.05"/>
    <n v="116998.2"/>
    <n v="17377.61"/>
    <x v="1"/>
    <x v="3"/>
    <x v="1"/>
  </r>
  <r>
    <s v="ORD03505"/>
    <s v="2024-02-04"/>
    <x v="33"/>
    <x v="2"/>
    <x v="2"/>
    <s v="Shoes"/>
    <n v="9"/>
    <n v="52099"/>
    <n v="0"/>
    <n v="468891"/>
    <n v="83104.22"/>
    <x v="2"/>
    <x v="11"/>
    <x v="0"/>
  </r>
  <r>
    <s v="ORD03506"/>
    <s v="2024-10-24"/>
    <x v="14"/>
    <x v="20"/>
    <x v="1"/>
    <s v="Tablet"/>
    <n v="6"/>
    <n v="1421"/>
    <n v="0.15"/>
    <n v="7247.1"/>
    <n v="741.91"/>
    <x v="0"/>
    <x v="0"/>
    <x v="0"/>
  </r>
  <r>
    <s v="ORD03507"/>
    <s v="2023-04-04"/>
    <x v="29"/>
    <x v="22"/>
    <x v="1"/>
    <s v="Camera"/>
    <n v="13"/>
    <n v="55086"/>
    <n v="0.05"/>
    <n v="680312.1"/>
    <n v="137444.16"/>
    <x v="1"/>
    <x v="2"/>
    <x v="1"/>
  </r>
  <r>
    <s v="ORD03508"/>
    <s v="2024-06-25"/>
    <x v="13"/>
    <x v="24"/>
    <x v="2"/>
    <s v="T-Shirt"/>
    <n v="4"/>
    <n v="15034"/>
    <n v="0"/>
    <n v="60136"/>
    <n v="15684.07"/>
    <x v="3"/>
    <x v="5"/>
    <x v="0"/>
  </r>
  <r>
    <s v="ORD03509"/>
    <s v="2024-02-24"/>
    <x v="10"/>
    <x v="12"/>
    <x v="1"/>
    <s v="Headphones"/>
    <n v="15"/>
    <n v="53258"/>
    <n v="0.1"/>
    <n v="718983"/>
    <n v="145132.73000000001"/>
    <x v="2"/>
    <x v="11"/>
    <x v="0"/>
  </r>
  <r>
    <s v="ORD03510"/>
    <s v="2023-01-22"/>
    <x v="33"/>
    <x v="2"/>
    <x v="2"/>
    <s v="Shoes"/>
    <n v="3"/>
    <n v="39718"/>
    <n v="0.05"/>
    <n v="113196.3"/>
    <n v="24289.18"/>
    <x v="2"/>
    <x v="3"/>
    <x v="1"/>
  </r>
  <r>
    <s v="ORD03511"/>
    <s v="2024-06-07"/>
    <x v="7"/>
    <x v="5"/>
    <x v="0"/>
    <s v="Cupboard"/>
    <n v="14"/>
    <n v="19799"/>
    <n v="0.05"/>
    <n v="263326.7"/>
    <n v="61131.64"/>
    <x v="3"/>
    <x v="5"/>
    <x v="0"/>
  </r>
  <r>
    <s v="ORD03512"/>
    <s v="2024-11-17"/>
    <x v="6"/>
    <x v="3"/>
    <x v="3"/>
    <s v="Stapler"/>
    <n v="15"/>
    <n v="51000"/>
    <n v="0"/>
    <n v="765000"/>
    <n v="94043.21"/>
    <x v="3"/>
    <x v="4"/>
    <x v="0"/>
  </r>
  <r>
    <s v="ORD03513"/>
    <s v="2023-04-19"/>
    <x v="25"/>
    <x v="5"/>
    <x v="0"/>
    <s v="Cupboard"/>
    <n v="1"/>
    <n v="4971"/>
    <n v="0.05"/>
    <n v="4722.45"/>
    <n v="965.74"/>
    <x v="0"/>
    <x v="2"/>
    <x v="1"/>
  </r>
  <r>
    <s v="ORD03514"/>
    <s v="2023-08-03"/>
    <x v="23"/>
    <x v="3"/>
    <x v="3"/>
    <s v="Stapler"/>
    <n v="13"/>
    <n v="1425"/>
    <n v="0.1"/>
    <n v="16672.5"/>
    <n v="2142.88"/>
    <x v="2"/>
    <x v="8"/>
    <x v="1"/>
  </r>
  <r>
    <s v="ORD03515"/>
    <s v="2024-05-12"/>
    <x v="46"/>
    <x v="11"/>
    <x v="3"/>
    <s v="Printer"/>
    <n v="7"/>
    <n v="38249"/>
    <n v="0.15"/>
    <n v="227581.55"/>
    <n v="31627.33"/>
    <x v="0"/>
    <x v="6"/>
    <x v="0"/>
  </r>
  <r>
    <s v="ORD03516"/>
    <s v="2024-03-31"/>
    <x v="9"/>
    <x v="1"/>
    <x v="1"/>
    <s v="Mobile"/>
    <n v="3"/>
    <n v="47884"/>
    <n v="0.2"/>
    <n v="114921.60000000001"/>
    <n v="11028.76"/>
    <x v="2"/>
    <x v="7"/>
    <x v="0"/>
  </r>
  <r>
    <s v="ORD03517"/>
    <s v="2024-05-16"/>
    <x v="4"/>
    <x v="8"/>
    <x v="2"/>
    <s v="Sweater"/>
    <n v="1"/>
    <n v="40862"/>
    <n v="0.05"/>
    <n v="38818.9"/>
    <n v="3850.32"/>
    <x v="1"/>
    <x v="6"/>
    <x v="0"/>
  </r>
  <r>
    <s v="ORD03518"/>
    <s v="2023-05-31"/>
    <x v="25"/>
    <x v="1"/>
    <x v="1"/>
    <s v="Mobile"/>
    <n v="9"/>
    <n v="27194"/>
    <n v="0.1"/>
    <n v="220271.4"/>
    <n v="53302.38"/>
    <x v="3"/>
    <x v="6"/>
    <x v="1"/>
  </r>
  <r>
    <s v="ORD03519"/>
    <s v="2024-08-28"/>
    <x v="16"/>
    <x v="23"/>
    <x v="0"/>
    <s v="Desk"/>
    <n v="9"/>
    <n v="24814"/>
    <n v="0.15"/>
    <n v="189827.1"/>
    <n v="18195.810000000001"/>
    <x v="0"/>
    <x v="8"/>
    <x v="0"/>
  </r>
  <r>
    <s v="ORD03520"/>
    <s v="2024-08-04"/>
    <x v="47"/>
    <x v="13"/>
    <x v="2"/>
    <s v="Jacket"/>
    <n v="10"/>
    <n v="14029"/>
    <n v="0"/>
    <n v="140290"/>
    <n v="16515.57"/>
    <x v="1"/>
    <x v="8"/>
    <x v="0"/>
  </r>
  <r>
    <s v="ORD03521"/>
    <s v="2023-08-20"/>
    <x v="12"/>
    <x v="9"/>
    <x v="1"/>
    <s v="Keyboard"/>
    <n v="11"/>
    <n v="7103"/>
    <n v="0.15"/>
    <n v="66413.05"/>
    <n v="6597.39"/>
    <x v="3"/>
    <x v="8"/>
    <x v="1"/>
  </r>
  <r>
    <s v="ORD03522"/>
    <s v="2023-11-11"/>
    <x v="38"/>
    <x v="20"/>
    <x v="1"/>
    <s v="Tablet"/>
    <n v="2"/>
    <n v="27228"/>
    <n v="0.05"/>
    <n v="51733.2"/>
    <n v="14747.23"/>
    <x v="2"/>
    <x v="4"/>
    <x v="1"/>
  </r>
  <r>
    <s v="ORD03523"/>
    <s v="2024-05-01"/>
    <x v="7"/>
    <x v="19"/>
    <x v="1"/>
    <s v="Smartwatch"/>
    <n v="13"/>
    <n v="10750"/>
    <n v="0.15"/>
    <n v="118787.5"/>
    <n v="16361.32"/>
    <x v="1"/>
    <x v="6"/>
    <x v="0"/>
  </r>
  <r>
    <s v="ORD03524"/>
    <s v="2024-07-13"/>
    <x v="10"/>
    <x v="2"/>
    <x v="2"/>
    <s v="Shoes"/>
    <n v="3"/>
    <n v="19963"/>
    <n v="0"/>
    <n v="59889"/>
    <n v="11562.29"/>
    <x v="3"/>
    <x v="1"/>
    <x v="0"/>
  </r>
  <r>
    <s v="ORD03525"/>
    <s v="2023-06-29"/>
    <x v="4"/>
    <x v="11"/>
    <x v="3"/>
    <s v="Printer"/>
    <n v="3"/>
    <n v="9307"/>
    <n v="0"/>
    <n v="27921"/>
    <n v="3906.34"/>
    <x v="3"/>
    <x v="5"/>
    <x v="1"/>
  </r>
  <r>
    <s v="ORD03526"/>
    <s v="2023-12-14"/>
    <x v="48"/>
    <x v="8"/>
    <x v="2"/>
    <s v="Sweater"/>
    <n v="3"/>
    <n v="27957"/>
    <n v="0"/>
    <n v="83871"/>
    <n v="10955.06"/>
    <x v="1"/>
    <x v="9"/>
    <x v="1"/>
  </r>
  <r>
    <s v="ORD03527"/>
    <s v="2023-04-17"/>
    <x v="35"/>
    <x v="6"/>
    <x v="2"/>
    <s v="Jeans"/>
    <n v="4"/>
    <n v="57619"/>
    <n v="0.1"/>
    <n v="207428.4"/>
    <n v="23815.42"/>
    <x v="2"/>
    <x v="2"/>
    <x v="1"/>
  </r>
  <r>
    <s v="ORD03528"/>
    <s v="2023-09-30"/>
    <x v="9"/>
    <x v="5"/>
    <x v="0"/>
    <s v="Cupboard"/>
    <n v="9"/>
    <n v="19206"/>
    <n v="0"/>
    <n v="172854"/>
    <n v="22819.45"/>
    <x v="0"/>
    <x v="10"/>
    <x v="1"/>
  </r>
  <r>
    <s v="ORD03529"/>
    <s v="2023-07-16"/>
    <x v="10"/>
    <x v="17"/>
    <x v="1"/>
    <s v="Power Bank"/>
    <n v="11"/>
    <n v="24810"/>
    <n v="0.05"/>
    <n v="259264.5"/>
    <n v="68751.350000000006"/>
    <x v="2"/>
    <x v="1"/>
    <x v="1"/>
  </r>
  <r>
    <s v="ORD03530"/>
    <s v="2023-05-09"/>
    <x v="13"/>
    <x v="22"/>
    <x v="1"/>
    <s v="Camera"/>
    <n v="9"/>
    <n v="26796"/>
    <n v="0.05"/>
    <n v="229105.8"/>
    <n v="52936.41"/>
    <x v="0"/>
    <x v="6"/>
    <x v="1"/>
  </r>
  <r>
    <s v="ORD03531"/>
    <s v="2023-06-24"/>
    <x v="22"/>
    <x v="4"/>
    <x v="0"/>
    <s v="Stool"/>
    <n v="5"/>
    <n v="28123"/>
    <n v="0.1"/>
    <n v="126553.5"/>
    <n v="33930.51"/>
    <x v="1"/>
    <x v="5"/>
    <x v="1"/>
  </r>
  <r>
    <s v="ORD03532"/>
    <s v="2024-02-07"/>
    <x v="26"/>
    <x v="19"/>
    <x v="1"/>
    <s v="Smartwatch"/>
    <n v="8"/>
    <n v="28686"/>
    <n v="0.1"/>
    <n v="206539.2"/>
    <n v="40399.279999999999"/>
    <x v="3"/>
    <x v="11"/>
    <x v="0"/>
  </r>
  <r>
    <s v="ORD03533"/>
    <s v="2024-05-19"/>
    <x v="35"/>
    <x v="21"/>
    <x v="1"/>
    <s v="Laptop"/>
    <n v="11"/>
    <n v="41390"/>
    <n v="0.05"/>
    <n v="432525.5"/>
    <n v="38416.21"/>
    <x v="2"/>
    <x v="6"/>
    <x v="0"/>
  </r>
  <r>
    <s v="ORD03534"/>
    <s v="2023-05-16"/>
    <x v="39"/>
    <x v="20"/>
    <x v="1"/>
    <s v="Tablet"/>
    <n v="11"/>
    <n v="30881"/>
    <n v="0.1"/>
    <n v="305721.90000000002"/>
    <n v="26300.69"/>
    <x v="2"/>
    <x v="6"/>
    <x v="1"/>
  </r>
  <r>
    <s v="ORD03535"/>
    <s v="2024-02-08"/>
    <x v="27"/>
    <x v="13"/>
    <x v="2"/>
    <s v="Jacket"/>
    <n v="7"/>
    <n v="34028"/>
    <n v="0"/>
    <n v="238196"/>
    <n v="25200.03"/>
    <x v="0"/>
    <x v="11"/>
    <x v="0"/>
  </r>
  <r>
    <s v="ORD03536"/>
    <s v="2024-10-04"/>
    <x v="17"/>
    <x v="6"/>
    <x v="2"/>
    <s v="Jeans"/>
    <n v="3"/>
    <n v="3062"/>
    <n v="0.15"/>
    <n v="7808.1"/>
    <n v="1041.9100000000001"/>
    <x v="1"/>
    <x v="0"/>
    <x v="0"/>
  </r>
  <r>
    <s v="ORD03537"/>
    <s v="2023-12-31"/>
    <x v="43"/>
    <x v="1"/>
    <x v="1"/>
    <s v="Mobile"/>
    <n v="12"/>
    <n v="11101"/>
    <n v="0"/>
    <n v="133212"/>
    <n v="20886.48"/>
    <x v="1"/>
    <x v="9"/>
    <x v="1"/>
  </r>
  <r>
    <s v="ORD03538"/>
    <s v="2024-09-30"/>
    <x v="25"/>
    <x v="19"/>
    <x v="1"/>
    <s v="Smartwatch"/>
    <n v="11"/>
    <n v="57011"/>
    <n v="0.15"/>
    <n v="533052.85"/>
    <n v="90399.56"/>
    <x v="2"/>
    <x v="10"/>
    <x v="0"/>
  </r>
  <r>
    <s v="ORD03539"/>
    <s v="2024-11-04"/>
    <x v="41"/>
    <x v="13"/>
    <x v="2"/>
    <s v="Jacket"/>
    <n v="5"/>
    <n v="17096"/>
    <n v="0.05"/>
    <n v="81206"/>
    <n v="12883.23"/>
    <x v="0"/>
    <x v="4"/>
    <x v="0"/>
  </r>
  <r>
    <s v="ORD03540"/>
    <s v="2023-05-06"/>
    <x v="10"/>
    <x v="6"/>
    <x v="2"/>
    <s v="Jeans"/>
    <n v="2"/>
    <n v="39552"/>
    <n v="0.05"/>
    <n v="75148.800000000003"/>
    <n v="17742.2"/>
    <x v="3"/>
    <x v="6"/>
    <x v="1"/>
  </r>
  <r>
    <s v="ORD03541"/>
    <s v="2024-03-25"/>
    <x v="0"/>
    <x v="6"/>
    <x v="2"/>
    <s v="Jeans"/>
    <n v="5"/>
    <n v="49710"/>
    <n v="0.05"/>
    <n v="236122.5"/>
    <n v="64989.49"/>
    <x v="3"/>
    <x v="7"/>
    <x v="0"/>
  </r>
  <r>
    <s v="ORD03542"/>
    <s v="2024-08-20"/>
    <x v="5"/>
    <x v="6"/>
    <x v="2"/>
    <s v="Jeans"/>
    <n v="6"/>
    <n v="7304"/>
    <n v="0.15"/>
    <n v="37250.400000000001"/>
    <n v="9621.44"/>
    <x v="2"/>
    <x v="8"/>
    <x v="0"/>
  </r>
  <r>
    <s v="ORD03543"/>
    <s v="2023-07-20"/>
    <x v="10"/>
    <x v="14"/>
    <x v="2"/>
    <s v="Dress"/>
    <n v="8"/>
    <n v="41468"/>
    <n v="0.2"/>
    <n v="265395.20000000001"/>
    <n v="76047.289999999994"/>
    <x v="3"/>
    <x v="1"/>
    <x v="1"/>
  </r>
  <r>
    <s v="ORD03544"/>
    <s v="2023-10-24"/>
    <x v="18"/>
    <x v="2"/>
    <x v="2"/>
    <s v="Shoes"/>
    <n v="2"/>
    <n v="32217"/>
    <n v="0.2"/>
    <n v="51547.199999999997"/>
    <n v="14435.23"/>
    <x v="3"/>
    <x v="0"/>
    <x v="1"/>
  </r>
  <r>
    <s v="ORD03545"/>
    <s v="2023-01-17"/>
    <x v="27"/>
    <x v="25"/>
    <x v="3"/>
    <s v="Notebook"/>
    <n v="10"/>
    <n v="9688"/>
    <n v="0.1"/>
    <n v="87192"/>
    <n v="13103.23"/>
    <x v="1"/>
    <x v="3"/>
    <x v="1"/>
  </r>
  <r>
    <s v="ORD03546"/>
    <s v="2023-09-12"/>
    <x v="32"/>
    <x v="8"/>
    <x v="2"/>
    <s v="Sweater"/>
    <n v="15"/>
    <n v="14141"/>
    <n v="0.1"/>
    <n v="190903.5"/>
    <n v="19210.740000000002"/>
    <x v="2"/>
    <x v="10"/>
    <x v="1"/>
  </r>
  <r>
    <s v="ORD03547"/>
    <s v="2024-10-25"/>
    <x v="22"/>
    <x v="2"/>
    <x v="2"/>
    <s v="Shoes"/>
    <n v="12"/>
    <n v="35108"/>
    <n v="0.2"/>
    <n v="337036.79999999999"/>
    <n v="30873.85"/>
    <x v="3"/>
    <x v="0"/>
    <x v="0"/>
  </r>
  <r>
    <s v="ORD03548"/>
    <s v="2024-12-01"/>
    <x v="49"/>
    <x v="4"/>
    <x v="0"/>
    <s v="Stool"/>
    <n v="4"/>
    <n v="14353"/>
    <n v="0.2"/>
    <n v="45929.599999999999"/>
    <n v="9428.9699999999993"/>
    <x v="0"/>
    <x v="9"/>
    <x v="0"/>
  </r>
  <r>
    <s v="ORD03549"/>
    <s v="2024-07-03"/>
    <x v="35"/>
    <x v="12"/>
    <x v="1"/>
    <s v="Headphones"/>
    <n v="3"/>
    <n v="11472"/>
    <n v="0.2"/>
    <n v="27532.799999999999"/>
    <n v="7323.58"/>
    <x v="1"/>
    <x v="1"/>
    <x v="0"/>
  </r>
  <r>
    <s v="ORD03550"/>
    <s v="2024-09-23"/>
    <x v="17"/>
    <x v="23"/>
    <x v="0"/>
    <s v="Desk"/>
    <n v="7"/>
    <n v="23837"/>
    <n v="0.05"/>
    <n v="158516.04999999999"/>
    <n v="22828.86"/>
    <x v="1"/>
    <x v="10"/>
    <x v="0"/>
  </r>
  <r>
    <s v="ORD03551"/>
    <s v="2024-03-02"/>
    <x v="35"/>
    <x v="24"/>
    <x v="2"/>
    <s v="T-Shirt"/>
    <n v="11"/>
    <n v="40116"/>
    <n v="0.2"/>
    <n v="353020.8"/>
    <n v="98040.04"/>
    <x v="2"/>
    <x v="7"/>
    <x v="0"/>
  </r>
  <r>
    <s v="ORD03552"/>
    <s v="2023-07-19"/>
    <x v="18"/>
    <x v="8"/>
    <x v="2"/>
    <s v="Sweater"/>
    <n v="1"/>
    <n v="14849"/>
    <n v="0.05"/>
    <n v="14106.55"/>
    <n v="2687.6"/>
    <x v="1"/>
    <x v="1"/>
    <x v="1"/>
  </r>
  <r>
    <s v="ORD03553"/>
    <s v="2024-10-15"/>
    <x v="29"/>
    <x v="8"/>
    <x v="2"/>
    <s v="Sweater"/>
    <n v="15"/>
    <n v="3407"/>
    <n v="0"/>
    <n v="51105"/>
    <n v="10059.040000000001"/>
    <x v="3"/>
    <x v="0"/>
    <x v="0"/>
  </r>
  <r>
    <s v="ORD03554"/>
    <s v="2023-02-17"/>
    <x v="26"/>
    <x v="20"/>
    <x v="1"/>
    <s v="Tablet"/>
    <n v="12"/>
    <n v="31963"/>
    <n v="0"/>
    <n v="383556"/>
    <n v="111020.83"/>
    <x v="0"/>
    <x v="11"/>
    <x v="1"/>
  </r>
  <r>
    <s v="ORD03555"/>
    <s v="2024-10-31"/>
    <x v="39"/>
    <x v="15"/>
    <x v="0"/>
    <s v="Sofa"/>
    <n v="10"/>
    <n v="46961"/>
    <n v="0.1"/>
    <n v="422649"/>
    <n v="61910.91"/>
    <x v="0"/>
    <x v="0"/>
    <x v="0"/>
  </r>
  <r>
    <s v="ORD03556"/>
    <s v="2024-10-20"/>
    <x v="28"/>
    <x v="3"/>
    <x v="3"/>
    <s v="Stapler"/>
    <n v="2"/>
    <n v="16460"/>
    <n v="0.05"/>
    <n v="31274"/>
    <n v="6376.69"/>
    <x v="3"/>
    <x v="0"/>
    <x v="0"/>
  </r>
  <r>
    <s v="ORD03557"/>
    <s v="2023-10-02"/>
    <x v="46"/>
    <x v="19"/>
    <x v="1"/>
    <s v="Smartwatch"/>
    <n v="9"/>
    <n v="31575"/>
    <n v="0.15"/>
    <n v="241548.75"/>
    <n v="65106.46"/>
    <x v="0"/>
    <x v="0"/>
    <x v="1"/>
  </r>
  <r>
    <s v="ORD03558"/>
    <s v="2024-04-01"/>
    <x v="16"/>
    <x v="18"/>
    <x v="0"/>
    <s v="Table"/>
    <n v="11"/>
    <n v="26957"/>
    <n v="0.2"/>
    <n v="237221.6"/>
    <n v="19859.38"/>
    <x v="2"/>
    <x v="2"/>
    <x v="0"/>
  </r>
  <r>
    <s v="ORD03559"/>
    <s v="2024-06-17"/>
    <x v="43"/>
    <x v="14"/>
    <x v="2"/>
    <s v="Dress"/>
    <n v="7"/>
    <n v="49849"/>
    <n v="0.05"/>
    <n v="331495.84999999998"/>
    <n v="42598.66"/>
    <x v="2"/>
    <x v="5"/>
    <x v="0"/>
  </r>
  <r>
    <s v="ORD03560"/>
    <s v="2024-01-11"/>
    <x v="1"/>
    <x v="16"/>
    <x v="3"/>
    <s v="Pen"/>
    <n v="9"/>
    <n v="23605"/>
    <n v="0.2"/>
    <n v="169956"/>
    <n v="40850.019999999997"/>
    <x v="0"/>
    <x v="3"/>
    <x v="0"/>
  </r>
  <r>
    <s v="ORD03561"/>
    <s v="2024-05-19"/>
    <x v="35"/>
    <x v="26"/>
    <x v="3"/>
    <s v="Paper Ream"/>
    <n v="9"/>
    <n v="28366"/>
    <n v="0.1"/>
    <n v="229764.6"/>
    <n v="39864.400000000001"/>
    <x v="2"/>
    <x v="6"/>
    <x v="0"/>
  </r>
  <r>
    <s v="ORD03562"/>
    <s v="2023-11-12"/>
    <x v="3"/>
    <x v="2"/>
    <x v="2"/>
    <s v="Shoes"/>
    <n v="9"/>
    <n v="2564"/>
    <n v="0.05"/>
    <n v="21922.2"/>
    <n v="5210.8"/>
    <x v="2"/>
    <x v="4"/>
    <x v="1"/>
  </r>
  <r>
    <s v="ORD03563"/>
    <s v="2023-06-21"/>
    <x v="32"/>
    <x v="18"/>
    <x v="0"/>
    <s v="Table"/>
    <n v="15"/>
    <n v="20987"/>
    <n v="0"/>
    <n v="314805"/>
    <n v="31651.98"/>
    <x v="2"/>
    <x v="5"/>
    <x v="1"/>
  </r>
  <r>
    <s v="ORD03564"/>
    <s v="2023-08-15"/>
    <x v="28"/>
    <x v="23"/>
    <x v="0"/>
    <s v="Desk"/>
    <n v="14"/>
    <n v="12987"/>
    <n v="0"/>
    <n v="181818"/>
    <n v="29233.56"/>
    <x v="0"/>
    <x v="8"/>
    <x v="1"/>
  </r>
  <r>
    <s v="ORD03565"/>
    <s v="2023-02-26"/>
    <x v="12"/>
    <x v="9"/>
    <x v="1"/>
    <s v="Keyboard"/>
    <n v="10"/>
    <n v="36018"/>
    <n v="0.05"/>
    <n v="342171"/>
    <n v="102374.6"/>
    <x v="1"/>
    <x v="11"/>
    <x v="1"/>
  </r>
  <r>
    <s v="ORD03566"/>
    <s v="2024-05-29"/>
    <x v="45"/>
    <x v="22"/>
    <x v="1"/>
    <s v="Camera"/>
    <n v="4"/>
    <n v="31042"/>
    <n v="0.05"/>
    <n v="117959.6"/>
    <n v="26629.4"/>
    <x v="1"/>
    <x v="6"/>
    <x v="0"/>
  </r>
  <r>
    <s v="ORD03567"/>
    <s v="2023-05-06"/>
    <x v="41"/>
    <x v="2"/>
    <x v="2"/>
    <s v="Shoes"/>
    <n v="12"/>
    <n v="38719"/>
    <n v="0"/>
    <n v="464628"/>
    <n v="86539.43"/>
    <x v="3"/>
    <x v="6"/>
    <x v="1"/>
  </r>
  <r>
    <s v="ORD03568"/>
    <s v="2023-10-04"/>
    <x v="21"/>
    <x v="10"/>
    <x v="3"/>
    <s v="Marker"/>
    <n v="8"/>
    <n v="15909"/>
    <n v="0.1"/>
    <n v="114544.8"/>
    <n v="9901.52"/>
    <x v="0"/>
    <x v="0"/>
    <x v="1"/>
  </r>
  <r>
    <s v="ORD03569"/>
    <s v="2023-07-27"/>
    <x v="13"/>
    <x v="12"/>
    <x v="1"/>
    <s v="Headphones"/>
    <n v="13"/>
    <n v="14882"/>
    <n v="0.1"/>
    <n v="174119.4"/>
    <n v="17710.16"/>
    <x v="2"/>
    <x v="1"/>
    <x v="1"/>
  </r>
  <r>
    <s v="ORD03570"/>
    <s v="2024-03-14"/>
    <x v="42"/>
    <x v="22"/>
    <x v="1"/>
    <s v="Camera"/>
    <n v="14"/>
    <n v="463"/>
    <n v="0"/>
    <n v="6482"/>
    <n v="943.99"/>
    <x v="0"/>
    <x v="7"/>
    <x v="0"/>
  </r>
  <r>
    <s v="ORD03571"/>
    <s v="2023-01-17"/>
    <x v="1"/>
    <x v="23"/>
    <x v="0"/>
    <s v="Desk"/>
    <n v="8"/>
    <n v="28269"/>
    <n v="0.1"/>
    <n v="203536.8"/>
    <n v="55410.94"/>
    <x v="1"/>
    <x v="3"/>
    <x v="1"/>
  </r>
  <r>
    <s v="ORD03572"/>
    <s v="2024-10-03"/>
    <x v="1"/>
    <x v="14"/>
    <x v="2"/>
    <s v="Dress"/>
    <n v="11"/>
    <n v="56448"/>
    <n v="0"/>
    <n v="620928"/>
    <n v="116654.09"/>
    <x v="1"/>
    <x v="0"/>
    <x v="0"/>
  </r>
  <r>
    <s v="ORD03573"/>
    <s v="2024-08-26"/>
    <x v="35"/>
    <x v="24"/>
    <x v="2"/>
    <s v="T-Shirt"/>
    <n v="1"/>
    <n v="48729"/>
    <n v="0"/>
    <n v="48729"/>
    <n v="12320.98"/>
    <x v="1"/>
    <x v="8"/>
    <x v="0"/>
  </r>
  <r>
    <s v="ORD03574"/>
    <s v="2024-08-18"/>
    <x v="28"/>
    <x v="25"/>
    <x v="3"/>
    <s v="Notebook"/>
    <n v="13"/>
    <n v="45131"/>
    <n v="0.15"/>
    <n v="498697.55"/>
    <n v="46772.97"/>
    <x v="2"/>
    <x v="8"/>
    <x v="0"/>
  </r>
  <r>
    <s v="ORD03575"/>
    <s v="2024-04-24"/>
    <x v="45"/>
    <x v="0"/>
    <x v="0"/>
    <s v="Chair"/>
    <n v="12"/>
    <n v="38036"/>
    <n v="0.15"/>
    <n v="387967.2"/>
    <n v="100645.26"/>
    <x v="1"/>
    <x v="2"/>
    <x v="0"/>
  </r>
  <r>
    <s v="ORD03576"/>
    <s v="2024-08-08"/>
    <x v="36"/>
    <x v="17"/>
    <x v="1"/>
    <s v="Power Bank"/>
    <n v="14"/>
    <n v="21696"/>
    <n v="0.05"/>
    <n v="288556.79999999999"/>
    <n v="68035.14"/>
    <x v="1"/>
    <x v="8"/>
    <x v="0"/>
  </r>
  <r>
    <s v="ORD03577"/>
    <s v="2024-05-03"/>
    <x v="20"/>
    <x v="24"/>
    <x v="2"/>
    <s v="T-Shirt"/>
    <n v="11"/>
    <n v="32768"/>
    <n v="0"/>
    <n v="360448"/>
    <n v="86034.15"/>
    <x v="0"/>
    <x v="6"/>
    <x v="0"/>
  </r>
  <r>
    <s v="ORD03578"/>
    <s v="2024-07-13"/>
    <x v="12"/>
    <x v="10"/>
    <x v="3"/>
    <s v="Marker"/>
    <n v="8"/>
    <n v="55762"/>
    <n v="0.15"/>
    <n v="379181.6"/>
    <n v="42771.69"/>
    <x v="2"/>
    <x v="1"/>
    <x v="0"/>
  </r>
  <r>
    <s v="ORD03579"/>
    <s v="2023-09-23"/>
    <x v="40"/>
    <x v="5"/>
    <x v="0"/>
    <s v="Cupboard"/>
    <n v="7"/>
    <n v="50374"/>
    <n v="0.1"/>
    <n v="317356.2"/>
    <n v="87418.08"/>
    <x v="2"/>
    <x v="10"/>
    <x v="1"/>
  </r>
  <r>
    <s v="ORD03580"/>
    <s v="2023-04-07"/>
    <x v="28"/>
    <x v="12"/>
    <x v="1"/>
    <s v="Headphones"/>
    <n v="8"/>
    <n v="11326"/>
    <n v="0.2"/>
    <n v="72486.399999999994"/>
    <n v="15294.89"/>
    <x v="1"/>
    <x v="2"/>
    <x v="1"/>
  </r>
  <r>
    <s v="ORD03581"/>
    <s v="2023-11-02"/>
    <x v="18"/>
    <x v="20"/>
    <x v="1"/>
    <s v="Tablet"/>
    <n v="3"/>
    <n v="56503"/>
    <n v="0.05"/>
    <n v="161033.54999999999"/>
    <n v="38310.19"/>
    <x v="2"/>
    <x v="4"/>
    <x v="1"/>
  </r>
  <r>
    <s v="ORD03582"/>
    <s v="2023-10-08"/>
    <x v="18"/>
    <x v="24"/>
    <x v="2"/>
    <s v="T-Shirt"/>
    <n v="5"/>
    <n v="42027"/>
    <n v="0"/>
    <n v="210135"/>
    <n v="62106.95"/>
    <x v="0"/>
    <x v="0"/>
    <x v="1"/>
  </r>
  <r>
    <s v="ORD03583"/>
    <s v="2024-01-15"/>
    <x v="39"/>
    <x v="25"/>
    <x v="3"/>
    <s v="Notebook"/>
    <n v="2"/>
    <n v="33342"/>
    <n v="0"/>
    <n v="66684"/>
    <n v="19082.990000000002"/>
    <x v="0"/>
    <x v="3"/>
    <x v="0"/>
  </r>
  <r>
    <s v="ORD03584"/>
    <s v="2024-02-23"/>
    <x v="2"/>
    <x v="4"/>
    <x v="0"/>
    <s v="Stool"/>
    <n v="8"/>
    <n v="57117"/>
    <n v="0.15"/>
    <n v="388395.6"/>
    <n v="43070.35"/>
    <x v="3"/>
    <x v="11"/>
    <x v="0"/>
  </r>
  <r>
    <s v="ORD03585"/>
    <s v="2023-11-14"/>
    <x v="14"/>
    <x v="20"/>
    <x v="1"/>
    <s v="Tablet"/>
    <n v="7"/>
    <n v="13551"/>
    <n v="0"/>
    <n v="94857"/>
    <n v="13571.43"/>
    <x v="0"/>
    <x v="4"/>
    <x v="1"/>
  </r>
  <r>
    <s v="ORD03586"/>
    <s v="2023-08-01"/>
    <x v="40"/>
    <x v="0"/>
    <x v="0"/>
    <s v="Chair"/>
    <n v="4"/>
    <n v="54674"/>
    <n v="0.2"/>
    <n v="174956.79999999999"/>
    <n v="19061.439999999999"/>
    <x v="3"/>
    <x v="8"/>
    <x v="1"/>
  </r>
  <r>
    <s v="ORD03587"/>
    <s v="2024-01-20"/>
    <x v="31"/>
    <x v="17"/>
    <x v="1"/>
    <s v="Power Bank"/>
    <n v="1"/>
    <n v="25805"/>
    <n v="0.1"/>
    <n v="23224.5"/>
    <n v="3654.1"/>
    <x v="1"/>
    <x v="3"/>
    <x v="0"/>
  </r>
  <r>
    <s v="ORD03588"/>
    <s v="2024-11-09"/>
    <x v="11"/>
    <x v="18"/>
    <x v="0"/>
    <s v="Table"/>
    <n v="8"/>
    <n v="20379"/>
    <n v="0.15"/>
    <n v="138577.20000000001"/>
    <n v="32554.720000000001"/>
    <x v="0"/>
    <x v="4"/>
    <x v="0"/>
  </r>
  <r>
    <s v="ORD03589"/>
    <s v="2023-07-01"/>
    <x v="34"/>
    <x v="9"/>
    <x v="1"/>
    <s v="Keyboard"/>
    <n v="6"/>
    <n v="26052"/>
    <n v="0"/>
    <n v="156312"/>
    <n v="24489.9"/>
    <x v="3"/>
    <x v="1"/>
    <x v="1"/>
  </r>
  <r>
    <s v="ORD03590"/>
    <s v="2024-01-18"/>
    <x v="45"/>
    <x v="4"/>
    <x v="0"/>
    <s v="Stool"/>
    <n v="4"/>
    <n v="51407"/>
    <n v="0.2"/>
    <n v="164502.39999999999"/>
    <n v="20155.849999999999"/>
    <x v="3"/>
    <x v="3"/>
    <x v="0"/>
  </r>
  <r>
    <s v="ORD03591"/>
    <s v="2024-04-06"/>
    <x v="2"/>
    <x v="13"/>
    <x v="2"/>
    <s v="Jacket"/>
    <n v="11"/>
    <n v="42079"/>
    <n v="0.1"/>
    <n v="416582.1"/>
    <n v="41158.26"/>
    <x v="0"/>
    <x v="2"/>
    <x v="0"/>
  </r>
  <r>
    <s v="ORD03592"/>
    <s v="2023-02-08"/>
    <x v="37"/>
    <x v="26"/>
    <x v="3"/>
    <s v="Paper Ream"/>
    <n v="1"/>
    <n v="51217"/>
    <n v="0.2"/>
    <n v="40973.599999999999"/>
    <n v="7925.75"/>
    <x v="1"/>
    <x v="11"/>
    <x v="1"/>
  </r>
  <r>
    <s v="ORD03593"/>
    <s v="2024-10-07"/>
    <x v="47"/>
    <x v="11"/>
    <x v="3"/>
    <s v="Printer"/>
    <n v="13"/>
    <n v="6968"/>
    <n v="0.05"/>
    <n v="86054.8"/>
    <n v="7644.32"/>
    <x v="0"/>
    <x v="0"/>
    <x v="0"/>
  </r>
  <r>
    <s v="ORD03594"/>
    <s v="2024-05-06"/>
    <x v="41"/>
    <x v="15"/>
    <x v="0"/>
    <s v="Sofa"/>
    <n v="15"/>
    <n v="19604"/>
    <n v="0.05"/>
    <n v="279357"/>
    <n v="40897.69"/>
    <x v="1"/>
    <x v="6"/>
    <x v="0"/>
  </r>
  <r>
    <s v="ORD03595"/>
    <s v="2023-05-21"/>
    <x v="42"/>
    <x v="13"/>
    <x v="2"/>
    <s v="Jacket"/>
    <n v="5"/>
    <n v="23303"/>
    <n v="0"/>
    <n v="116515"/>
    <n v="11863.33"/>
    <x v="2"/>
    <x v="6"/>
    <x v="1"/>
  </r>
  <r>
    <s v="ORD03596"/>
    <s v="2024-11-07"/>
    <x v="12"/>
    <x v="27"/>
    <x v="3"/>
    <s v="File"/>
    <n v="6"/>
    <n v="53656"/>
    <n v="0.1"/>
    <n v="289742.40000000002"/>
    <n v="82263.100000000006"/>
    <x v="0"/>
    <x v="4"/>
    <x v="0"/>
  </r>
  <r>
    <s v="ORD03597"/>
    <s v="2023-06-03"/>
    <x v="46"/>
    <x v="19"/>
    <x v="1"/>
    <s v="Smartwatch"/>
    <n v="10"/>
    <n v="32676"/>
    <n v="0.05"/>
    <n v="310422"/>
    <n v="76458.52"/>
    <x v="2"/>
    <x v="5"/>
    <x v="1"/>
  </r>
  <r>
    <s v="ORD03598"/>
    <s v="2023-07-05"/>
    <x v="44"/>
    <x v="25"/>
    <x v="3"/>
    <s v="Notebook"/>
    <n v="2"/>
    <n v="37521"/>
    <n v="0.2"/>
    <n v="60033.599999999999"/>
    <n v="15818.01"/>
    <x v="2"/>
    <x v="1"/>
    <x v="1"/>
  </r>
  <r>
    <s v="ORD03599"/>
    <s v="2023-06-08"/>
    <x v="16"/>
    <x v="7"/>
    <x v="0"/>
    <s v="Bed"/>
    <n v="2"/>
    <n v="41377"/>
    <n v="0"/>
    <n v="82754"/>
    <n v="19433.490000000002"/>
    <x v="0"/>
    <x v="5"/>
    <x v="1"/>
  </r>
  <r>
    <s v="ORD03600"/>
    <s v="2023-10-22"/>
    <x v="41"/>
    <x v="19"/>
    <x v="1"/>
    <s v="Smartwatch"/>
    <n v="1"/>
    <n v="36344"/>
    <n v="0"/>
    <n v="36344"/>
    <n v="6064.52"/>
    <x v="1"/>
    <x v="0"/>
    <x v="1"/>
  </r>
  <r>
    <s v="ORD03601"/>
    <s v="2023-07-01"/>
    <x v="1"/>
    <x v="27"/>
    <x v="3"/>
    <s v="File"/>
    <n v="10"/>
    <n v="13815"/>
    <n v="0.1"/>
    <n v="124335"/>
    <n v="36972.58"/>
    <x v="2"/>
    <x v="1"/>
    <x v="1"/>
  </r>
  <r>
    <s v="ORD03602"/>
    <s v="2023-08-03"/>
    <x v="42"/>
    <x v="17"/>
    <x v="1"/>
    <s v="Power Bank"/>
    <n v="8"/>
    <n v="49437"/>
    <n v="0.1"/>
    <n v="355946.4"/>
    <n v="106731.37"/>
    <x v="1"/>
    <x v="8"/>
    <x v="1"/>
  </r>
  <r>
    <s v="ORD03603"/>
    <s v="2023-01-23"/>
    <x v="26"/>
    <x v="15"/>
    <x v="0"/>
    <s v="Sofa"/>
    <n v="10"/>
    <n v="32691"/>
    <n v="0.15"/>
    <n v="277873.5"/>
    <n v="72131.91"/>
    <x v="3"/>
    <x v="3"/>
    <x v="1"/>
  </r>
  <r>
    <s v="ORD03604"/>
    <s v="2024-08-02"/>
    <x v="40"/>
    <x v="22"/>
    <x v="1"/>
    <s v="Camera"/>
    <n v="6"/>
    <n v="32183"/>
    <n v="0"/>
    <n v="193098"/>
    <n v="35856.949999999997"/>
    <x v="1"/>
    <x v="8"/>
    <x v="0"/>
  </r>
  <r>
    <s v="ORD03605"/>
    <s v="2024-04-17"/>
    <x v="25"/>
    <x v="3"/>
    <x v="3"/>
    <s v="Stapler"/>
    <n v="7"/>
    <n v="42351"/>
    <n v="0.1"/>
    <n v="266811.3"/>
    <n v="72040"/>
    <x v="2"/>
    <x v="2"/>
    <x v="0"/>
  </r>
  <r>
    <s v="ORD03606"/>
    <s v="2023-07-29"/>
    <x v="37"/>
    <x v="4"/>
    <x v="0"/>
    <s v="Stool"/>
    <n v="14"/>
    <n v="1934"/>
    <n v="0.05"/>
    <n v="25722.2"/>
    <n v="5762.89"/>
    <x v="0"/>
    <x v="1"/>
    <x v="1"/>
  </r>
  <r>
    <s v="ORD03607"/>
    <s v="2024-03-19"/>
    <x v="3"/>
    <x v="6"/>
    <x v="2"/>
    <s v="Jeans"/>
    <n v="9"/>
    <n v="53096"/>
    <n v="0"/>
    <n v="477864"/>
    <n v="106772.73"/>
    <x v="1"/>
    <x v="7"/>
    <x v="0"/>
  </r>
  <r>
    <s v="ORD03608"/>
    <s v="2024-01-07"/>
    <x v="16"/>
    <x v="2"/>
    <x v="2"/>
    <s v="Shoes"/>
    <n v="13"/>
    <n v="27010"/>
    <n v="0.15"/>
    <n v="298460.5"/>
    <n v="63293.18"/>
    <x v="1"/>
    <x v="3"/>
    <x v="0"/>
  </r>
  <r>
    <s v="ORD03609"/>
    <s v="2024-08-30"/>
    <x v="20"/>
    <x v="5"/>
    <x v="0"/>
    <s v="Cupboard"/>
    <n v="1"/>
    <n v="32022"/>
    <n v="0.2"/>
    <n v="25617.599999999999"/>
    <n v="5084.88"/>
    <x v="1"/>
    <x v="8"/>
    <x v="0"/>
  </r>
  <r>
    <s v="ORD03610"/>
    <s v="2023-06-30"/>
    <x v="49"/>
    <x v="4"/>
    <x v="0"/>
    <s v="Stool"/>
    <n v="7"/>
    <n v="16089"/>
    <n v="0.1"/>
    <n v="101360.7"/>
    <n v="8979.83"/>
    <x v="2"/>
    <x v="5"/>
    <x v="1"/>
  </r>
  <r>
    <s v="ORD03611"/>
    <s v="2023-01-20"/>
    <x v="21"/>
    <x v="16"/>
    <x v="3"/>
    <s v="Pen"/>
    <n v="9"/>
    <n v="2182"/>
    <n v="0"/>
    <n v="19638"/>
    <n v="4211.8100000000004"/>
    <x v="2"/>
    <x v="3"/>
    <x v="1"/>
  </r>
  <r>
    <s v="ORD03612"/>
    <s v="2024-03-31"/>
    <x v="41"/>
    <x v="19"/>
    <x v="1"/>
    <s v="Smartwatch"/>
    <n v="15"/>
    <n v="48919"/>
    <n v="0.05"/>
    <n v="697095.75"/>
    <n v="81948.539999999994"/>
    <x v="3"/>
    <x v="7"/>
    <x v="0"/>
  </r>
  <r>
    <s v="ORD03613"/>
    <s v="2023-07-11"/>
    <x v="0"/>
    <x v="6"/>
    <x v="2"/>
    <s v="Jeans"/>
    <n v="6"/>
    <n v="22406"/>
    <n v="0.05"/>
    <n v="127714.2"/>
    <n v="15945.9"/>
    <x v="1"/>
    <x v="1"/>
    <x v="1"/>
  </r>
  <r>
    <s v="ORD03614"/>
    <s v="2024-11-29"/>
    <x v="37"/>
    <x v="26"/>
    <x v="3"/>
    <s v="Paper Ream"/>
    <n v="1"/>
    <n v="48487"/>
    <n v="0.1"/>
    <n v="43638.3"/>
    <n v="8516.86"/>
    <x v="3"/>
    <x v="4"/>
    <x v="0"/>
  </r>
  <r>
    <s v="ORD03615"/>
    <s v="2023-08-12"/>
    <x v="30"/>
    <x v="7"/>
    <x v="0"/>
    <s v="Bed"/>
    <n v="1"/>
    <n v="11320"/>
    <n v="0.15"/>
    <n v="9622"/>
    <n v="1308.1400000000001"/>
    <x v="2"/>
    <x v="8"/>
    <x v="1"/>
  </r>
  <r>
    <s v="ORD03616"/>
    <s v="2024-08-05"/>
    <x v="5"/>
    <x v="2"/>
    <x v="2"/>
    <s v="Shoes"/>
    <n v="6"/>
    <n v="57313"/>
    <n v="0.15"/>
    <n v="292296.3"/>
    <n v="49059.65"/>
    <x v="3"/>
    <x v="8"/>
    <x v="0"/>
  </r>
  <r>
    <s v="ORD03617"/>
    <s v="2024-05-25"/>
    <x v="10"/>
    <x v="5"/>
    <x v="0"/>
    <s v="Cupboard"/>
    <n v="8"/>
    <n v="6689"/>
    <n v="0"/>
    <n v="53512"/>
    <n v="11102.45"/>
    <x v="0"/>
    <x v="6"/>
    <x v="0"/>
  </r>
  <r>
    <s v="ORD03618"/>
    <s v="2024-06-06"/>
    <x v="9"/>
    <x v="18"/>
    <x v="0"/>
    <s v="Table"/>
    <n v="4"/>
    <n v="55175"/>
    <n v="0.05"/>
    <n v="209665"/>
    <n v="45875.11"/>
    <x v="0"/>
    <x v="5"/>
    <x v="0"/>
  </r>
  <r>
    <s v="ORD03619"/>
    <s v="2024-09-28"/>
    <x v="36"/>
    <x v="24"/>
    <x v="2"/>
    <s v="T-Shirt"/>
    <n v="5"/>
    <n v="4893"/>
    <n v="0.2"/>
    <n v="19572"/>
    <n v="5705.77"/>
    <x v="2"/>
    <x v="10"/>
    <x v="0"/>
  </r>
  <r>
    <s v="ORD03620"/>
    <s v="2023-07-07"/>
    <x v="4"/>
    <x v="26"/>
    <x v="3"/>
    <s v="Paper Ream"/>
    <n v="10"/>
    <n v="58102"/>
    <n v="0"/>
    <n v="581020"/>
    <n v="64932.45"/>
    <x v="2"/>
    <x v="1"/>
    <x v="1"/>
  </r>
  <r>
    <s v="ORD03621"/>
    <s v="2024-09-10"/>
    <x v="7"/>
    <x v="22"/>
    <x v="1"/>
    <s v="Camera"/>
    <n v="15"/>
    <n v="9211"/>
    <n v="0.05"/>
    <n v="131256.75"/>
    <n v="19076.939999999999"/>
    <x v="2"/>
    <x v="10"/>
    <x v="0"/>
  </r>
  <r>
    <s v="ORD03622"/>
    <s v="2024-08-16"/>
    <x v="43"/>
    <x v="18"/>
    <x v="0"/>
    <s v="Table"/>
    <n v="13"/>
    <n v="7611"/>
    <n v="0.1"/>
    <n v="89048.7"/>
    <n v="21581.040000000001"/>
    <x v="0"/>
    <x v="8"/>
    <x v="0"/>
  </r>
  <r>
    <s v="ORD03623"/>
    <s v="2024-12-01"/>
    <x v="26"/>
    <x v="15"/>
    <x v="0"/>
    <s v="Sofa"/>
    <n v="9"/>
    <n v="42018"/>
    <n v="0.15"/>
    <n v="321437.7"/>
    <n v="70623.69"/>
    <x v="0"/>
    <x v="9"/>
    <x v="0"/>
  </r>
  <r>
    <s v="ORD03624"/>
    <s v="2023-08-09"/>
    <x v="46"/>
    <x v="19"/>
    <x v="1"/>
    <s v="Smartwatch"/>
    <n v="3"/>
    <n v="5478"/>
    <n v="0.05"/>
    <n v="15612.3"/>
    <n v="3310.24"/>
    <x v="2"/>
    <x v="8"/>
    <x v="1"/>
  </r>
  <r>
    <s v="ORD03625"/>
    <s v="2024-11-18"/>
    <x v="20"/>
    <x v="4"/>
    <x v="0"/>
    <s v="Stool"/>
    <n v="9"/>
    <n v="38164"/>
    <n v="0"/>
    <n v="343476"/>
    <n v="79669.899999999994"/>
    <x v="0"/>
    <x v="4"/>
    <x v="0"/>
  </r>
  <r>
    <s v="ORD03626"/>
    <s v="2024-05-26"/>
    <x v="22"/>
    <x v="6"/>
    <x v="2"/>
    <s v="Jeans"/>
    <n v="14"/>
    <n v="48809"/>
    <n v="0.1"/>
    <n v="614993.4"/>
    <n v="167669.65"/>
    <x v="1"/>
    <x v="6"/>
    <x v="0"/>
  </r>
  <r>
    <s v="ORD03627"/>
    <s v="2024-08-11"/>
    <x v="35"/>
    <x v="4"/>
    <x v="0"/>
    <s v="Stool"/>
    <n v="13"/>
    <n v="2829"/>
    <n v="0.15"/>
    <n v="31260.45"/>
    <n v="6480.53"/>
    <x v="0"/>
    <x v="8"/>
    <x v="0"/>
  </r>
  <r>
    <s v="ORD03628"/>
    <s v="2024-06-11"/>
    <x v="5"/>
    <x v="0"/>
    <x v="0"/>
    <s v="Chair"/>
    <n v="14"/>
    <n v="55978"/>
    <n v="0.15"/>
    <n v="666138.19999999995"/>
    <n v="169345.41"/>
    <x v="0"/>
    <x v="5"/>
    <x v="0"/>
  </r>
  <r>
    <s v="ORD03629"/>
    <s v="2023-11-28"/>
    <x v="36"/>
    <x v="18"/>
    <x v="0"/>
    <s v="Table"/>
    <n v="11"/>
    <n v="43437"/>
    <n v="0"/>
    <n v="477807"/>
    <n v="134240.98000000001"/>
    <x v="2"/>
    <x v="4"/>
    <x v="1"/>
  </r>
  <r>
    <s v="ORD03630"/>
    <s v="2023-08-20"/>
    <x v="38"/>
    <x v="12"/>
    <x v="1"/>
    <s v="Headphones"/>
    <n v="8"/>
    <n v="21300"/>
    <n v="0.15"/>
    <n v="144840"/>
    <n v="29953.84"/>
    <x v="3"/>
    <x v="8"/>
    <x v="1"/>
  </r>
  <r>
    <s v="ORD03631"/>
    <s v="2024-04-15"/>
    <x v="44"/>
    <x v="18"/>
    <x v="0"/>
    <s v="Table"/>
    <n v="6"/>
    <n v="40280"/>
    <n v="0.1"/>
    <n v="217512"/>
    <n v="60222.69"/>
    <x v="3"/>
    <x v="2"/>
    <x v="0"/>
  </r>
  <r>
    <s v="ORD03632"/>
    <s v="2023-11-04"/>
    <x v="49"/>
    <x v="27"/>
    <x v="3"/>
    <s v="File"/>
    <n v="4"/>
    <n v="2289"/>
    <n v="0.2"/>
    <n v="7324.8"/>
    <n v="848.66"/>
    <x v="0"/>
    <x v="4"/>
    <x v="1"/>
  </r>
  <r>
    <s v="ORD03633"/>
    <s v="2024-01-11"/>
    <x v="14"/>
    <x v="19"/>
    <x v="1"/>
    <s v="Smartwatch"/>
    <n v="7"/>
    <n v="31102"/>
    <n v="0.1"/>
    <n v="195942.6"/>
    <n v="31668.080000000002"/>
    <x v="0"/>
    <x v="3"/>
    <x v="0"/>
  </r>
  <r>
    <s v="ORD03634"/>
    <s v="2024-06-30"/>
    <x v="15"/>
    <x v="13"/>
    <x v="2"/>
    <s v="Jacket"/>
    <n v="9"/>
    <n v="32899"/>
    <n v="0.1"/>
    <n v="266481.90000000002"/>
    <n v="57438.239999999998"/>
    <x v="1"/>
    <x v="5"/>
    <x v="0"/>
  </r>
  <r>
    <s v="ORD03635"/>
    <s v="2023-12-23"/>
    <x v="9"/>
    <x v="3"/>
    <x v="3"/>
    <s v="Stapler"/>
    <n v="5"/>
    <n v="22459"/>
    <n v="0.1"/>
    <n v="101065.5"/>
    <n v="26840.51"/>
    <x v="1"/>
    <x v="9"/>
    <x v="1"/>
  </r>
  <r>
    <s v="ORD03636"/>
    <s v="2023-07-06"/>
    <x v="7"/>
    <x v="1"/>
    <x v="1"/>
    <s v="Mobile"/>
    <n v="11"/>
    <n v="53639"/>
    <n v="0.1"/>
    <n v="531026.1"/>
    <n v="67433.509999999995"/>
    <x v="1"/>
    <x v="1"/>
    <x v="1"/>
  </r>
  <r>
    <s v="ORD03637"/>
    <s v="2023-09-27"/>
    <x v="33"/>
    <x v="7"/>
    <x v="0"/>
    <s v="Bed"/>
    <n v="10"/>
    <n v="5812"/>
    <n v="0"/>
    <n v="58120"/>
    <n v="4844.88"/>
    <x v="1"/>
    <x v="10"/>
    <x v="1"/>
  </r>
  <r>
    <s v="ORD03638"/>
    <s v="2023-05-28"/>
    <x v="48"/>
    <x v="3"/>
    <x v="3"/>
    <s v="Stapler"/>
    <n v="6"/>
    <n v="47851"/>
    <n v="0.05"/>
    <n v="272750.7"/>
    <n v="75012.850000000006"/>
    <x v="2"/>
    <x v="6"/>
    <x v="1"/>
  </r>
  <r>
    <s v="ORD03639"/>
    <s v="2024-11-06"/>
    <x v="13"/>
    <x v="23"/>
    <x v="0"/>
    <s v="Desk"/>
    <n v="15"/>
    <n v="31564"/>
    <n v="0.15"/>
    <n v="402441"/>
    <n v="93146.49"/>
    <x v="3"/>
    <x v="4"/>
    <x v="0"/>
  </r>
  <r>
    <s v="ORD03640"/>
    <s v="2023-07-10"/>
    <x v="36"/>
    <x v="13"/>
    <x v="2"/>
    <s v="Jacket"/>
    <n v="3"/>
    <n v="47326"/>
    <n v="0"/>
    <n v="141978"/>
    <n v="16290.11"/>
    <x v="2"/>
    <x v="1"/>
    <x v="1"/>
  </r>
  <r>
    <s v="ORD03641"/>
    <s v="2023-06-22"/>
    <x v="49"/>
    <x v="13"/>
    <x v="2"/>
    <s v="Jacket"/>
    <n v="7"/>
    <n v="37367"/>
    <n v="0.15"/>
    <n v="222333.65"/>
    <n v="46406.44"/>
    <x v="1"/>
    <x v="5"/>
    <x v="1"/>
  </r>
  <r>
    <s v="ORD03642"/>
    <s v="2023-09-24"/>
    <x v="11"/>
    <x v="27"/>
    <x v="3"/>
    <s v="File"/>
    <n v="2"/>
    <n v="57553"/>
    <n v="0"/>
    <n v="115106"/>
    <n v="24959.46"/>
    <x v="3"/>
    <x v="10"/>
    <x v="1"/>
  </r>
  <r>
    <s v="ORD03643"/>
    <s v="2023-09-06"/>
    <x v="19"/>
    <x v="19"/>
    <x v="1"/>
    <s v="Smartwatch"/>
    <n v="10"/>
    <n v="43227"/>
    <n v="0.05"/>
    <n v="410656.5"/>
    <n v="108922.15"/>
    <x v="3"/>
    <x v="10"/>
    <x v="1"/>
  </r>
  <r>
    <s v="ORD03644"/>
    <s v="2023-08-10"/>
    <x v="12"/>
    <x v="6"/>
    <x v="2"/>
    <s v="Jeans"/>
    <n v="2"/>
    <n v="15457"/>
    <n v="0.05"/>
    <n v="29368.3"/>
    <n v="4262.87"/>
    <x v="3"/>
    <x v="8"/>
    <x v="1"/>
  </r>
  <r>
    <s v="ORD03645"/>
    <s v="2023-08-20"/>
    <x v="18"/>
    <x v="26"/>
    <x v="3"/>
    <s v="Paper Ream"/>
    <n v="10"/>
    <n v="44029"/>
    <n v="0.2"/>
    <n v="352232"/>
    <n v="98493.01"/>
    <x v="0"/>
    <x v="8"/>
    <x v="1"/>
  </r>
  <r>
    <s v="ORD03646"/>
    <s v="2024-04-13"/>
    <x v="12"/>
    <x v="27"/>
    <x v="3"/>
    <s v="File"/>
    <n v="6"/>
    <n v="10152"/>
    <n v="0.05"/>
    <n v="57866.400000000001"/>
    <n v="11628.84"/>
    <x v="3"/>
    <x v="2"/>
    <x v="0"/>
  </r>
  <r>
    <s v="ORD03647"/>
    <s v="2023-04-21"/>
    <x v="39"/>
    <x v="15"/>
    <x v="0"/>
    <s v="Sofa"/>
    <n v="10"/>
    <n v="18392"/>
    <n v="0.15"/>
    <n v="156332"/>
    <n v="14972.26"/>
    <x v="1"/>
    <x v="2"/>
    <x v="1"/>
  </r>
  <r>
    <s v="ORD03648"/>
    <s v="2023-01-13"/>
    <x v="29"/>
    <x v="0"/>
    <x v="0"/>
    <s v="Chair"/>
    <n v="3"/>
    <n v="53585"/>
    <n v="0.05"/>
    <n v="152717.25"/>
    <n v="30979.51"/>
    <x v="3"/>
    <x v="3"/>
    <x v="1"/>
  </r>
  <r>
    <s v="ORD03649"/>
    <s v="2024-09-24"/>
    <x v="34"/>
    <x v="6"/>
    <x v="2"/>
    <s v="Jeans"/>
    <n v="14"/>
    <n v="30757"/>
    <n v="0.05"/>
    <n v="409068.1"/>
    <n v="34376.19"/>
    <x v="3"/>
    <x v="10"/>
    <x v="0"/>
  </r>
  <r>
    <s v="ORD03650"/>
    <s v="2024-01-04"/>
    <x v="48"/>
    <x v="12"/>
    <x v="1"/>
    <s v="Headphones"/>
    <n v="7"/>
    <n v="28671"/>
    <n v="0.15"/>
    <n v="170592.45"/>
    <n v="27778.98"/>
    <x v="2"/>
    <x v="3"/>
    <x v="0"/>
  </r>
  <r>
    <s v="ORD03651"/>
    <s v="2023-02-15"/>
    <x v="22"/>
    <x v="25"/>
    <x v="3"/>
    <s v="Notebook"/>
    <n v="1"/>
    <n v="36059"/>
    <n v="0"/>
    <n v="36059"/>
    <n v="9609.39"/>
    <x v="2"/>
    <x v="11"/>
    <x v="1"/>
  </r>
  <r>
    <s v="ORD03652"/>
    <s v="2023-09-03"/>
    <x v="24"/>
    <x v="5"/>
    <x v="0"/>
    <s v="Cupboard"/>
    <n v="2"/>
    <n v="10631"/>
    <n v="0.15"/>
    <n v="18072.7"/>
    <n v="3919.5"/>
    <x v="0"/>
    <x v="10"/>
    <x v="1"/>
  </r>
  <r>
    <s v="ORD03653"/>
    <s v="2023-06-26"/>
    <x v="17"/>
    <x v="8"/>
    <x v="2"/>
    <s v="Sweater"/>
    <n v="8"/>
    <n v="7296"/>
    <n v="0"/>
    <n v="58368"/>
    <n v="6845.9"/>
    <x v="3"/>
    <x v="5"/>
    <x v="1"/>
  </r>
  <r>
    <s v="ORD03654"/>
    <s v="2023-06-26"/>
    <x v="12"/>
    <x v="22"/>
    <x v="1"/>
    <s v="Camera"/>
    <n v="12"/>
    <n v="49530"/>
    <n v="0.15"/>
    <n v="505206"/>
    <n v="53278.65"/>
    <x v="1"/>
    <x v="5"/>
    <x v="1"/>
  </r>
  <r>
    <s v="ORD03655"/>
    <s v="2024-11-06"/>
    <x v="21"/>
    <x v="26"/>
    <x v="3"/>
    <s v="Paper Ream"/>
    <n v="7"/>
    <n v="27709"/>
    <n v="0.1"/>
    <n v="174566.7"/>
    <n v="48769.06"/>
    <x v="3"/>
    <x v="4"/>
    <x v="0"/>
  </r>
  <r>
    <s v="ORD03656"/>
    <s v="2024-09-23"/>
    <x v="11"/>
    <x v="7"/>
    <x v="0"/>
    <s v="Bed"/>
    <n v="14"/>
    <n v="15952"/>
    <n v="0"/>
    <n v="223328"/>
    <n v="49025.89"/>
    <x v="3"/>
    <x v="10"/>
    <x v="0"/>
  </r>
  <r>
    <s v="ORD03657"/>
    <s v="2023-10-25"/>
    <x v="46"/>
    <x v="24"/>
    <x v="2"/>
    <s v="T-Shirt"/>
    <n v="15"/>
    <n v="53110"/>
    <n v="0"/>
    <n v="796650"/>
    <n v="211677.85"/>
    <x v="3"/>
    <x v="0"/>
    <x v="1"/>
  </r>
  <r>
    <s v="ORD03658"/>
    <s v="2023-10-15"/>
    <x v="12"/>
    <x v="5"/>
    <x v="0"/>
    <s v="Cupboard"/>
    <n v="5"/>
    <n v="38489"/>
    <n v="0.05"/>
    <n v="182822.75"/>
    <n v="37744.78"/>
    <x v="0"/>
    <x v="0"/>
    <x v="1"/>
  </r>
  <r>
    <s v="ORD03659"/>
    <s v="2023-11-03"/>
    <x v="3"/>
    <x v="13"/>
    <x v="2"/>
    <s v="Jacket"/>
    <n v="12"/>
    <n v="1764"/>
    <n v="0.15"/>
    <n v="17992.8"/>
    <n v="1745.16"/>
    <x v="0"/>
    <x v="4"/>
    <x v="1"/>
  </r>
  <r>
    <s v="ORD03660"/>
    <s v="2024-08-25"/>
    <x v="11"/>
    <x v="5"/>
    <x v="0"/>
    <s v="Cupboard"/>
    <n v="11"/>
    <n v="21982"/>
    <n v="0.2"/>
    <n v="193441.6"/>
    <n v="34175.230000000003"/>
    <x v="2"/>
    <x v="8"/>
    <x v="0"/>
  </r>
  <r>
    <s v="ORD03661"/>
    <s v="2023-08-23"/>
    <x v="25"/>
    <x v="19"/>
    <x v="1"/>
    <s v="Smartwatch"/>
    <n v="14"/>
    <n v="49291"/>
    <n v="0.05"/>
    <n v="655570.30000000005"/>
    <n v="163064.10999999999"/>
    <x v="0"/>
    <x v="8"/>
    <x v="1"/>
  </r>
  <r>
    <s v="ORD03662"/>
    <s v="2024-09-14"/>
    <x v="43"/>
    <x v="22"/>
    <x v="1"/>
    <s v="Camera"/>
    <n v="4"/>
    <n v="11450"/>
    <n v="0"/>
    <n v="45800"/>
    <n v="12749.54"/>
    <x v="3"/>
    <x v="10"/>
    <x v="0"/>
  </r>
  <r>
    <s v="ORD03663"/>
    <s v="2023-07-03"/>
    <x v="18"/>
    <x v="10"/>
    <x v="3"/>
    <s v="Marker"/>
    <n v="4"/>
    <n v="8153"/>
    <n v="0.1"/>
    <n v="29350.799999999999"/>
    <n v="6640.43"/>
    <x v="3"/>
    <x v="1"/>
    <x v="1"/>
  </r>
  <r>
    <s v="ORD03664"/>
    <s v="2023-10-04"/>
    <x v="1"/>
    <x v="0"/>
    <x v="0"/>
    <s v="Chair"/>
    <n v="7"/>
    <n v="39113"/>
    <n v="0.15"/>
    <n v="232722.35"/>
    <n v="50705.85"/>
    <x v="2"/>
    <x v="0"/>
    <x v="1"/>
  </r>
  <r>
    <s v="ORD03665"/>
    <s v="2024-03-21"/>
    <x v="10"/>
    <x v="0"/>
    <x v="0"/>
    <s v="Chair"/>
    <n v="11"/>
    <n v="47724"/>
    <n v="0.1"/>
    <n v="472467.6"/>
    <n v="58686.13"/>
    <x v="1"/>
    <x v="7"/>
    <x v="0"/>
  </r>
  <r>
    <s v="ORD03666"/>
    <s v="2024-10-22"/>
    <x v="2"/>
    <x v="10"/>
    <x v="3"/>
    <s v="Marker"/>
    <n v="4"/>
    <n v="8190"/>
    <n v="0.2"/>
    <n v="26208"/>
    <n v="6221.45"/>
    <x v="1"/>
    <x v="0"/>
    <x v="0"/>
  </r>
  <r>
    <s v="ORD03667"/>
    <s v="2024-05-14"/>
    <x v="48"/>
    <x v="9"/>
    <x v="1"/>
    <s v="Keyboard"/>
    <n v="13"/>
    <n v="49371"/>
    <n v="0.2"/>
    <n v="513458.4"/>
    <n v="150123.85"/>
    <x v="0"/>
    <x v="6"/>
    <x v="0"/>
  </r>
  <r>
    <s v="ORD03668"/>
    <s v="2023-12-16"/>
    <x v="3"/>
    <x v="15"/>
    <x v="0"/>
    <s v="Sofa"/>
    <n v="11"/>
    <n v="51142"/>
    <n v="0.1"/>
    <n v="506305.8"/>
    <n v="133194.07"/>
    <x v="1"/>
    <x v="9"/>
    <x v="1"/>
  </r>
  <r>
    <s v="ORD03669"/>
    <s v="2023-06-26"/>
    <x v="36"/>
    <x v="25"/>
    <x v="3"/>
    <s v="Notebook"/>
    <n v="6"/>
    <n v="25133"/>
    <n v="0.2"/>
    <n v="120638.39999999999"/>
    <n v="35455.839999999997"/>
    <x v="1"/>
    <x v="5"/>
    <x v="1"/>
  </r>
  <r>
    <s v="ORD03670"/>
    <s v="2023-09-25"/>
    <x v="46"/>
    <x v="21"/>
    <x v="1"/>
    <s v="Laptop"/>
    <n v="8"/>
    <n v="26891"/>
    <n v="0"/>
    <n v="215128"/>
    <n v="32541.48"/>
    <x v="1"/>
    <x v="10"/>
    <x v="1"/>
  </r>
  <r>
    <s v="ORD03671"/>
    <s v="2023-12-02"/>
    <x v="12"/>
    <x v="11"/>
    <x v="3"/>
    <s v="Printer"/>
    <n v="13"/>
    <n v="54686"/>
    <n v="0.2"/>
    <n v="568734.4"/>
    <n v="132685.22"/>
    <x v="3"/>
    <x v="9"/>
    <x v="1"/>
  </r>
  <r>
    <s v="ORD03672"/>
    <s v="2023-06-07"/>
    <x v="24"/>
    <x v="20"/>
    <x v="1"/>
    <s v="Tablet"/>
    <n v="12"/>
    <n v="9537"/>
    <n v="0.1"/>
    <n v="102999.6"/>
    <n v="28457.68"/>
    <x v="0"/>
    <x v="5"/>
    <x v="1"/>
  </r>
  <r>
    <s v="ORD03673"/>
    <s v="2024-07-09"/>
    <x v="37"/>
    <x v="9"/>
    <x v="1"/>
    <s v="Keyboard"/>
    <n v="15"/>
    <n v="37174"/>
    <n v="0.05"/>
    <n v="529729.5"/>
    <n v="123530.63"/>
    <x v="2"/>
    <x v="1"/>
    <x v="0"/>
  </r>
  <r>
    <s v="ORD03674"/>
    <s v="2024-02-19"/>
    <x v="8"/>
    <x v="21"/>
    <x v="1"/>
    <s v="Laptop"/>
    <n v="5"/>
    <n v="33960"/>
    <n v="0.05"/>
    <n v="161310"/>
    <n v="43995.3"/>
    <x v="0"/>
    <x v="11"/>
    <x v="0"/>
  </r>
  <r>
    <s v="ORD03675"/>
    <s v="2023-08-18"/>
    <x v="47"/>
    <x v="19"/>
    <x v="1"/>
    <s v="Smartwatch"/>
    <n v="4"/>
    <n v="21601"/>
    <n v="0.15"/>
    <n v="73443.399999999994"/>
    <n v="16484.009999999998"/>
    <x v="1"/>
    <x v="8"/>
    <x v="1"/>
  </r>
  <r>
    <s v="ORD03676"/>
    <s v="2023-01-10"/>
    <x v="22"/>
    <x v="4"/>
    <x v="0"/>
    <s v="Stool"/>
    <n v="6"/>
    <n v="48766"/>
    <n v="0"/>
    <n v="292596"/>
    <n v="36731.21"/>
    <x v="2"/>
    <x v="3"/>
    <x v="1"/>
  </r>
  <r>
    <s v="ORD03677"/>
    <s v="2023-11-24"/>
    <x v="5"/>
    <x v="25"/>
    <x v="3"/>
    <s v="Notebook"/>
    <n v="8"/>
    <n v="1493"/>
    <n v="0.2"/>
    <n v="9555.2000000000007"/>
    <n v="2328.4"/>
    <x v="0"/>
    <x v="4"/>
    <x v="1"/>
  </r>
  <r>
    <s v="ORD03678"/>
    <s v="2024-04-19"/>
    <x v="37"/>
    <x v="2"/>
    <x v="2"/>
    <s v="Shoes"/>
    <n v="9"/>
    <n v="57314"/>
    <n v="0.15"/>
    <n v="438452.1"/>
    <n v="49118.89"/>
    <x v="3"/>
    <x v="2"/>
    <x v="0"/>
  </r>
  <r>
    <s v="ORD03679"/>
    <s v="2024-11-23"/>
    <x v="37"/>
    <x v="8"/>
    <x v="2"/>
    <s v="Sweater"/>
    <n v="6"/>
    <n v="40654"/>
    <n v="0"/>
    <n v="243924"/>
    <n v="70502.28"/>
    <x v="3"/>
    <x v="4"/>
    <x v="0"/>
  </r>
  <r>
    <s v="ORD03680"/>
    <s v="2023-05-12"/>
    <x v="45"/>
    <x v="20"/>
    <x v="1"/>
    <s v="Tablet"/>
    <n v="9"/>
    <n v="52672"/>
    <n v="0.05"/>
    <n v="450345.6"/>
    <n v="128485.62"/>
    <x v="0"/>
    <x v="6"/>
    <x v="1"/>
  </r>
  <r>
    <s v="ORD03681"/>
    <s v="2023-04-25"/>
    <x v="47"/>
    <x v="16"/>
    <x v="3"/>
    <s v="Pen"/>
    <n v="2"/>
    <n v="43809"/>
    <n v="0"/>
    <n v="87618"/>
    <n v="8354.92"/>
    <x v="3"/>
    <x v="2"/>
    <x v="1"/>
  </r>
  <r>
    <s v="ORD03682"/>
    <s v="2024-08-27"/>
    <x v="30"/>
    <x v="20"/>
    <x v="1"/>
    <s v="Tablet"/>
    <n v="6"/>
    <n v="12039"/>
    <n v="0"/>
    <n v="72234"/>
    <n v="10215.81"/>
    <x v="3"/>
    <x v="8"/>
    <x v="0"/>
  </r>
  <r>
    <s v="ORD03683"/>
    <s v="2023-10-06"/>
    <x v="5"/>
    <x v="15"/>
    <x v="0"/>
    <s v="Sofa"/>
    <n v="7"/>
    <n v="58576"/>
    <n v="0.1"/>
    <n v="369028.8"/>
    <n v="64235.65"/>
    <x v="1"/>
    <x v="0"/>
    <x v="1"/>
  </r>
  <r>
    <s v="ORD03684"/>
    <s v="2024-10-09"/>
    <x v="12"/>
    <x v="15"/>
    <x v="0"/>
    <s v="Sofa"/>
    <n v="9"/>
    <n v="54215"/>
    <n v="0.05"/>
    <n v="463538.25"/>
    <n v="96578.91"/>
    <x v="3"/>
    <x v="0"/>
    <x v="0"/>
  </r>
  <r>
    <s v="ORD03685"/>
    <s v="2023-09-01"/>
    <x v="28"/>
    <x v="13"/>
    <x v="2"/>
    <s v="Jacket"/>
    <n v="2"/>
    <n v="12018"/>
    <n v="0.05"/>
    <n v="22834.2"/>
    <n v="3292.8"/>
    <x v="3"/>
    <x v="10"/>
    <x v="1"/>
  </r>
  <r>
    <s v="ORD03686"/>
    <s v="2023-05-21"/>
    <x v="30"/>
    <x v="6"/>
    <x v="2"/>
    <s v="Jeans"/>
    <n v="8"/>
    <n v="14459"/>
    <n v="0"/>
    <n v="115672"/>
    <n v="26550.83"/>
    <x v="0"/>
    <x v="6"/>
    <x v="1"/>
  </r>
  <r>
    <s v="ORD03687"/>
    <s v="2024-06-09"/>
    <x v="43"/>
    <x v="19"/>
    <x v="1"/>
    <s v="Smartwatch"/>
    <n v="1"/>
    <n v="30792"/>
    <n v="0"/>
    <n v="30792"/>
    <n v="8221.41"/>
    <x v="3"/>
    <x v="5"/>
    <x v="0"/>
  </r>
  <r>
    <s v="ORD03688"/>
    <s v="2023-10-29"/>
    <x v="11"/>
    <x v="26"/>
    <x v="3"/>
    <s v="Paper Ream"/>
    <n v="6"/>
    <n v="31167"/>
    <n v="0.05"/>
    <n v="177651.9"/>
    <n v="48854.42"/>
    <x v="0"/>
    <x v="0"/>
    <x v="1"/>
  </r>
  <r>
    <s v="ORD03689"/>
    <s v="2023-01-23"/>
    <x v="0"/>
    <x v="8"/>
    <x v="2"/>
    <s v="Sweater"/>
    <n v="6"/>
    <n v="46800"/>
    <n v="0.15"/>
    <n v="238680"/>
    <n v="34244.5"/>
    <x v="0"/>
    <x v="3"/>
    <x v="1"/>
  </r>
  <r>
    <s v="ORD03690"/>
    <s v="2023-05-26"/>
    <x v="20"/>
    <x v="19"/>
    <x v="1"/>
    <s v="Smartwatch"/>
    <n v="8"/>
    <n v="24141"/>
    <n v="0.05"/>
    <n v="183471.6"/>
    <n v="28464.69"/>
    <x v="3"/>
    <x v="6"/>
    <x v="1"/>
  </r>
  <r>
    <s v="ORD03691"/>
    <s v="2024-04-27"/>
    <x v="46"/>
    <x v="4"/>
    <x v="0"/>
    <s v="Stool"/>
    <n v="14"/>
    <n v="5462"/>
    <n v="0.05"/>
    <n v="72644.600000000006"/>
    <n v="8558.4500000000007"/>
    <x v="0"/>
    <x v="2"/>
    <x v="0"/>
  </r>
  <r>
    <s v="ORD03692"/>
    <s v="2023-01-04"/>
    <x v="29"/>
    <x v="8"/>
    <x v="2"/>
    <s v="Sweater"/>
    <n v="1"/>
    <n v="23762"/>
    <n v="0.15"/>
    <n v="20197.7"/>
    <n v="3155.83"/>
    <x v="2"/>
    <x v="3"/>
    <x v="1"/>
  </r>
  <r>
    <s v="ORD03693"/>
    <s v="2023-10-16"/>
    <x v="36"/>
    <x v="12"/>
    <x v="1"/>
    <s v="Headphones"/>
    <n v="5"/>
    <n v="28260"/>
    <n v="0"/>
    <n v="141300"/>
    <n v="37718.620000000003"/>
    <x v="3"/>
    <x v="0"/>
    <x v="1"/>
  </r>
  <r>
    <s v="ORD03694"/>
    <s v="2023-07-05"/>
    <x v="15"/>
    <x v="8"/>
    <x v="2"/>
    <s v="Sweater"/>
    <n v="11"/>
    <n v="57380"/>
    <n v="0.05"/>
    <n v="599621"/>
    <n v="138252.07999999999"/>
    <x v="0"/>
    <x v="1"/>
    <x v="1"/>
  </r>
  <r>
    <s v="ORD03695"/>
    <s v="2024-05-20"/>
    <x v="15"/>
    <x v="21"/>
    <x v="1"/>
    <s v="Laptop"/>
    <n v="10"/>
    <n v="7544"/>
    <n v="0.1"/>
    <n v="67896"/>
    <n v="9739.52"/>
    <x v="2"/>
    <x v="6"/>
    <x v="0"/>
  </r>
  <r>
    <s v="ORD03696"/>
    <s v="2024-10-23"/>
    <x v="20"/>
    <x v="4"/>
    <x v="0"/>
    <s v="Stool"/>
    <n v="6"/>
    <n v="37437"/>
    <n v="0.15"/>
    <n v="190928.7"/>
    <n v="53580.07"/>
    <x v="2"/>
    <x v="0"/>
    <x v="0"/>
  </r>
  <r>
    <s v="ORD03697"/>
    <s v="2024-09-14"/>
    <x v="46"/>
    <x v="17"/>
    <x v="1"/>
    <s v="Power Bank"/>
    <n v="9"/>
    <n v="49233"/>
    <n v="0.15"/>
    <n v="376632.45"/>
    <n v="103152.88"/>
    <x v="0"/>
    <x v="10"/>
    <x v="0"/>
  </r>
  <r>
    <s v="ORD03698"/>
    <s v="2023-04-27"/>
    <x v="35"/>
    <x v="5"/>
    <x v="0"/>
    <s v="Cupboard"/>
    <n v="14"/>
    <n v="19664"/>
    <n v="0.05"/>
    <n v="261531.2"/>
    <n v="29208.67"/>
    <x v="0"/>
    <x v="2"/>
    <x v="1"/>
  </r>
  <r>
    <s v="ORD03699"/>
    <s v="2023-08-22"/>
    <x v="32"/>
    <x v="7"/>
    <x v="0"/>
    <s v="Bed"/>
    <n v="1"/>
    <n v="30494"/>
    <n v="0"/>
    <n v="30494"/>
    <n v="3338.78"/>
    <x v="1"/>
    <x v="8"/>
    <x v="1"/>
  </r>
  <r>
    <s v="ORD03700"/>
    <s v="2024-03-05"/>
    <x v="33"/>
    <x v="23"/>
    <x v="0"/>
    <s v="Desk"/>
    <n v="5"/>
    <n v="57025"/>
    <n v="0"/>
    <n v="285125"/>
    <n v="36366.74"/>
    <x v="2"/>
    <x v="7"/>
    <x v="0"/>
  </r>
  <r>
    <s v="ORD03701"/>
    <s v="2024-05-04"/>
    <x v="40"/>
    <x v="23"/>
    <x v="0"/>
    <s v="Desk"/>
    <n v="5"/>
    <n v="31299"/>
    <n v="0"/>
    <n v="156495"/>
    <n v="39945.96"/>
    <x v="1"/>
    <x v="6"/>
    <x v="0"/>
  </r>
  <r>
    <s v="ORD03702"/>
    <s v="2024-08-10"/>
    <x v="45"/>
    <x v="27"/>
    <x v="3"/>
    <s v="File"/>
    <n v="11"/>
    <n v="29088"/>
    <n v="0.15"/>
    <n v="271972.8"/>
    <n v="46443.28"/>
    <x v="1"/>
    <x v="8"/>
    <x v="0"/>
  </r>
  <r>
    <s v="ORD03703"/>
    <s v="2023-06-08"/>
    <x v="36"/>
    <x v="3"/>
    <x v="3"/>
    <s v="Stapler"/>
    <n v="1"/>
    <n v="8190"/>
    <n v="0.1"/>
    <n v="7371"/>
    <n v="1540.46"/>
    <x v="1"/>
    <x v="5"/>
    <x v="1"/>
  </r>
  <r>
    <s v="ORD03704"/>
    <s v="2023-07-25"/>
    <x v="22"/>
    <x v="13"/>
    <x v="2"/>
    <s v="Jacket"/>
    <n v="11"/>
    <n v="7865"/>
    <n v="0.1"/>
    <n v="77863.5"/>
    <n v="9250.9699999999993"/>
    <x v="1"/>
    <x v="1"/>
    <x v="1"/>
  </r>
  <r>
    <s v="ORD03705"/>
    <s v="2023-05-08"/>
    <x v="13"/>
    <x v="6"/>
    <x v="2"/>
    <s v="Jeans"/>
    <n v="5"/>
    <n v="10330"/>
    <n v="0.2"/>
    <n v="41320"/>
    <n v="4173.8100000000004"/>
    <x v="1"/>
    <x v="6"/>
    <x v="1"/>
  </r>
  <r>
    <s v="ORD03706"/>
    <s v="2024-08-27"/>
    <x v="47"/>
    <x v="15"/>
    <x v="0"/>
    <s v="Sofa"/>
    <n v="15"/>
    <n v="8490"/>
    <n v="0.1"/>
    <n v="114615"/>
    <n v="21462.16"/>
    <x v="1"/>
    <x v="8"/>
    <x v="0"/>
  </r>
  <r>
    <s v="ORD03707"/>
    <s v="2024-02-28"/>
    <x v="47"/>
    <x v="16"/>
    <x v="3"/>
    <s v="Pen"/>
    <n v="8"/>
    <n v="53662"/>
    <n v="0.1"/>
    <n v="386366.4"/>
    <n v="71019.55"/>
    <x v="2"/>
    <x v="11"/>
    <x v="0"/>
  </r>
  <r>
    <s v="ORD03708"/>
    <s v="2024-02-21"/>
    <x v="0"/>
    <x v="11"/>
    <x v="3"/>
    <s v="Printer"/>
    <n v="5"/>
    <n v="28237"/>
    <n v="0"/>
    <n v="141185"/>
    <n v="27915.73"/>
    <x v="1"/>
    <x v="11"/>
    <x v="0"/>
  </r>
  <r>
    <s v="ORD03709"/>
    <s v="2023-05-23"/>
    <x v="16"/>
    <x v="23"/>
    <x v="0"/>
    <s v="Desk"/>
    <n v="4"/>
    <n v="34105"/>
    <n v="0.15"/>
    <n v="115957"/>
    <n v="33971.599999999999"/>
    <x v="2"/>
    <x v="6"/>
    <x v="1"/>
  </r>
  <r>
    <s v="ORD03710"/>
    <s v="2024-05-09"/>
    <x v="16"/>
    <x v="8"/>
    <x v="2"/>
    <s v="Sweater"/>
    <n v="2"/>
    <n v="34429"/>
    <n v="0.05"/>
    <n v="65415.1"/>
    <n v="15030.53"/>
    <x v="0"/>
    <x v="6"/>
    <x v="0"/>
  </r>
  <r>
    <s v="ORD03711"/>
    <s v="2023-08-15"/>
    <x v="1"/>
    <x v="9"/>
    <x v="1"/>
    <s v="Keyboard"/>
    <n v="3"/>
    <n v="31916"/>
    <n v="0.05"/>
    <n v="90960.6"/>
    <n v="27265.81"/>
    <x v="0"/>
    <x v="8"/>
    <x v="1"/>
  </r>
  <r>
    <s v="ORD03712"/>
    <s v="2023-12-31"/>
    <x v="45"/>
    <x v="1"/>
    <x v="1"/>
    <s v="Mobile"/>
    <n v="13"/>
    <n v="50919"/>
    <n v="0.05"/>
    <n v="628849.65"/>
    <n v="52879.21"/>
    <x v="1"/>
    <x v="9"/>
    <x v="1"/>
  </r>
  <r>
    <s v="ORD03713"/>
    <s v="2023-06-08"/>
    <x v="25"/>
    <x v="0"/>
    <x v="0"/>
    <s v="Chair"/>
    <n v="5"/>
    <n v="42871"/>
    <n v="0.1"/>
    <n v="192919.5"/>
    <n v="40553.870000000003"/>
    <x v="3"/>
    <x v="5"/>
    <x v="1"/>
  </r>
  <r>
    <s v="ORD03714"/>
    <s v="2023-10-23"/>
    <x v="4"/>
    <x v="22"/>
    <x v="1"/>
    <s v="Camera"/>
    <n v="7"/>
    <n v="36457"/>
    <n v="0.05"/>
    <n v="242439.05"/>
    <n v="67735"/>
    <x v="1"/>
    <x v="0"/>
    <x v="1"/>
  </r>
  <r>
    <s v="ORD03715"/>
    <s v="2024-11-19"/>
    <x v="22"/>
    <x v="1"/>
    <x v="1"/>
    <s v="Mobile"/>
    <n v="8"/>
    <n v="41202"/>
    <n v="0.05"/>
    <n v="313135.2"/>
    <n v="26173.43"/>
    <x v="3"/>
    <x v="4"/>
    <x v="0"/>
  </r>
  <r>
    <s v="ORD03716"/>
    <s v="2023-05-04"/>
    <x v="3"/>
    <x v="20"/>
    <x v="1"/>
    <s v="Tablet"/>
    <n v="13"/>
    <n v="6414"/>
    <n v="0.1"/>
    <n v="75043.8"/>
    <n v="16386.77"/>
    <x v="0"/>
    <x v="6"/>
    <x v="1"/>
  </r>
  <r>
    <s v="ORD03717"/>
    <s v="2024-02-17"/>
    <x v="20"/>
    <x v="3"/>
    <x v="3"/>
    <s v="Stapler"/>
    <n v="9"/>
    <n v="19931"/>
    <n v="0.2"/>
    <n v="143503.20000000001"/>
    <n v="22243.82"/>
    <x v="2"/>
    <x v="11"/>
    <x v="0"/>
  </r>
  <r>
    <s v="ORD03718"/>
    <s v="2023-09-15"/>
    <x v="27"/>
    <x v="1"/>
    <x v="1"/>
    <s v="Mobile"/>
    <n v="7"/>
    <n v="23538"/>
    <n v="0.1"/>
    <n v="148289.4"/>
    <n v="16634.23"/>
    <x v="1"/>
    <x v="10"/>
    <x v="1"/>
  </r>
  <r>
    <s v="ORD03719"/>
    <s v="2023-08-11"/>
    <x v="6"/>
    <x v="6"/>
    <x v="2"/>
    <s v="Jeans"/>
    <n v="15"/>
    <n v="34139"/>
    <n v="0"/>
    <n v="512085"/>
    <n v="116572.98"/>
    <x v="1"/>
    <x v="8"/>
    <x v="1"/>
  </r>
  <r>
    <s v="ORD03720"/>
    <s v="2023-10-25"/>
    <x v="39"/>
    <x v="8"/>
    <x v="2"/>
    <s v="Sweater"/>
    <n v="9"/>
    <n v="57062"/>
    <n v="0.05"/>
    <n v="487880.1"/>
    <n v="52081.31"/>
    <x v="0"/>
    <x v="0"/>
    <x v="1"/>
  </r>
  <r>
    <s v="ORD03721"/>
    <s v="2023-10-22"/>
    <x v="1"/>
    <x v="21"/>
    <x v="1"/>
    <s v="Laptop"/>
    <n v="8"/>
    <n v="14987"/>
    <n v="0.1"/>
    <n v="107906.4"/>
    <n v="23358.44"/>
    <x v="1"/>
    <x v="0"/>
    <x v="1"/>
  </r>
  <r>
    <s v="ORD03722"/>
    <s v="2024-11-09"/>
    <x v="12"/>
    <x v="13"/>
    <x v="2"/>
    <s v="Jacket"/>
    <n v="10"/>
    <n v="23670"/>
    <n v="0.05"/>
    <n v="224865"/>
    <n v="23898.03"/>
    <x v="2"/>
    <x v="4"/>
    <x v="0"/>
  </r>
  <r>
    <s v="ORD03723"/>
    <s v="2024-08-19"/>
    <x v="49"/>
    <x v="26"/>
    <x v="3"/>
    <s v="Paper Ream"/>
    <n v="2"/>
    <n v="10753"/>
    <n v="0.2"/>
    <n v="17204.8"/>
    <n v="3788.52"/>
    <x v="0"/>
    <x v="8"/>
    <x v="0"/>
  </r>
  <r>
    <s v="ORD03724"/>
    <s v="2024-09-03"/>
    <x v="45"/>
    <x v="15"/>
    <x v="0"/>
    <s v="Sofa"/>
    <n v="11"/>
    <n v="42339"/>
    <n v="0"/>
    <n v="465729"/>
    <n v="80452.210000000006"/>
    <x v="0"/>
    <x v="10"/>
    <x v="0"/>
  </r>
  <r>
    <s v="ORD03725"/>
    <s v="2024-05-23"/>
    <x v="9"/>
    <x v="11"/>
    <x v="3"/>
    <s v="Printer"/>
    <n v="9"/>
    <n v="41051"/>
    <n v="0.05"/>
    <n v="350986.05"/>
    <n v="78928.33"/>
    <x v="3"/>
    <x v="6"/>
    <x v="0"/>
  </r>
  <r>
    <s v="ORD03726"/>
    <s v="2024-09-29"/>
    <x v="42"/>
    <x v="11"/>
    <x v="3"/>
    <s v="Printer"/>
    <n v="9"/>
    <n v="30237"/>
    <n v="0.1"/>
    <n v="244919.7"/>
    <n v="67735.22"/>
    <x v="0"/>
    <x v="10"/>
    <x v="0"/>
  </r>
  <r>
    <s v="ORD03727"/>
    <s v="2024-07-09"/>
    <x v="21"/>
    <x v="17"/>
    <x v="1"/>
    <s v="Power Bank"/>
    <n v="2"/>
    <n v="51642"/>
    <n v="0.15"/>
    <n v="87791.4"/>
    <n v="14232.02"/>
    <x v="2"/>
    <x v="1"/>
    <x v="0"/>
  </r>
  <r>
    <s v="ORD03728"/>
    <s v="2023-08-27"/>
    <x v="32"/>
    <x v="3"/>
    <x v="3"/>
    <s v="Stapler"/>
    <n v="1"/>
    <n v="8648"/>
    <n v="0.2"/>
    <n v="6918.4"/>
    <n v="1617.39"/>
    <x v="0"/>
    <x v="8"/>
    <x v="1"/>
  </r>
  <r>
    <s v="ORD03729"/>
    <s v="2023-11-01"/>
    <x v="32"/>
    <x v="18"/>
    <x v="0"/>
    <s v="Table"/>
    <n v="7"/>
    <n v="16324"/>
    <n v="0.05"/>
    <n v="108554.6"/>
    <n v="9753.67"/>
    <x v="1"/>
    <x v="4"/>
    <x v="1"/>
  </r>
  <r>
    <s v="ORD03730"/>
    <s v="2023-06-04"/>
    <x v="40"/>
    <x v="12"/>
    <x v="1"/>
    <s v="Headphones"/>
    <n v="12"/>
    <n v="38972"/>
    <n v="0.2"/>
    <n v="374131.20000000001"/>
    <n v="82156.69"/>
    <x v="3"/>
    <x v="5"/>
    <x v="1"/>
  </r>
  <r>
    <s v="ORD03731"/>
    <s v="2023-04-11"/>
    <x v="26"/>
    <x v="23"/>
    <x v="0"/>
    <s v="Desk"/>
    <n v="10"/>
    <n v="55187"/>
    <n v="0.2"/>
    <n v="441496"/>
    <n v="61364.94"/>
    <x v="2"/>
    <x v="2"/>
    <x v="1"/>
  </r>
  <r>
    <s v="ORD03732"/>
    <s v="2024-10-15"/>
    <x v="43"/>
    <x v="7"/>
    <x v="0"/>
    <s v="Bed"/>
    <n v="12"/>
    <n v="3060"/>
    <n v="0.05"/>
    <n v="34884"/>
    <n v="6708.97"/>
    <x v="0"/>
    <x v="0"/>
    <x v="0"/>
  </r>
  <r>
    <s v="ORD03733"/>
    <s v="2024-04-01"/>
    <x v="5"/>
    <x v="0"/>
    <x v="0"/>
    <s v="Chair"/>
    <n v="15"/>
    <n v="18149"/>
    <n v="0.15"/>
    <n v="231399.75"/>
    <n v="68886.63"/>
    <x v="0"/>
    <x v="2"/>
    <x v="0"/>
  </r>
  <r>
    <s v="ORD03734"/>
    <s v="2024-10-18"/>
    <x v="26"/>
    <x v="9"/>
    <x v="1"/>
    <s v="Keyboard"/>
    <n v="8"/>
    <n v="5069"/>
    <n v="0"/>
    <n v="40552"/>
    <n v="9325.73"/>
    <x v="3"/>
    <x v="0"/>
    <x v="0"/>
  </r>
  <r>
    <s v="ORD03735"/>
    <s v="2024-03-04"/>
    <x v="19"/>
    <x v="13"/>
    <x v="2"/>
    <s v="Jacket"/>
    <n v="5"/>
    <n v="46976"/>
    <n v="0.2"/>
    <n v="187904"/>
    <n v="51001.07"/>
    <x v="2"/>
    <x v="7"/>
    <x v="0"/>
  </r>
  <r>
    <s v="ORD03736"/>
    <s v="2023-01-31"/>
    <x v="49"/>
    <x v="0"/>
    <x v="0"/>
    <s v="Chair"/>
    <n v="14"/>
    <n v="9049"/>
    <n v="0.05"/>
    <n v="120351.7"/>
    <n v="23647.1"/>
    <x v="1"/>
    <x v="3"/>
    <x v="1"/>
  </r>
  <r>
    <s v="ORD03737"/>
    <s v="2024-01-16"/>
    <x v="47"/>
    <x v="23"/>
    <x v="0"/>
    <s v="Desk"/>
    <n v="8"/>
    <n v="16686"/>
    <n v="0.15"/>
    <n v="113464.8"/>
    <n v="15156.29"/>
    <x v="1"/>
    <x v="3"/>
    <x v="0"/>
  </r>
  <r>
    <s v="ORD03738"/>
    <s v="2023-04-14"/>
    <x v="44"/>
    <x v="12"/>
    <x v="1"/>
    <s v="Headphones"/>
    <n v="14"/>
    <n v="17768"/>
    <n v="0.05"/>
    <n v="236314.4"/>
    <n v="42073.68"/>
    <x v="1"/>
    <x v="2"/>
    <x v="1"/>
  </r>
  <r>
    <s v="ORD03739"/>
    <s v="2024-07-23"/>
    <x v="3"/>
    <x v="3"/>
    <x v="3"/>
    <s v="Stapler"/>
    <n v="10"/>
    <n v="46648"/>
    <n v="0.2"/>
    <n v="373184"/>
    <n v="50008.78"/>
    <x v="3"/>
    <x v="1"/>
    <x v="0"/>
  </r>
  <r>
    <s v="ORD03740"/>
    <s v="2023-10-12"/>
    <x v="21"/>
    <x v="15"/>
    <x v="0"/>
    <s v="Sofa"/>
    <n v="12"/>
    <n v="11385"/>
    <n v="0.15"/>
    <n v="116127"/>
    <n v="23858.86"/>
    <x v="3"/>
    <x v="0"/>
    <x v="1"/>
  </r>
  <r>
    <s v="ORD03741"/>
    <s v="2024-02-13"/>
    <x v="37"/>
    <x v="8"/>
    <x v="2"/>
    <s v="Sweater"/>
    <n v="9"/>
    <n v="37385"/>
    <n v="0.1"/>
    <n v="302818.5"/>
    <n v="35725.67"/>
    <x v="0"/>
    <x v="11"/>
    <x v="0"/>
  </r>
  <r>
    <s v="ORD03742"/>
    <s v="2024-02-26"/>
    <x v="42"/>
    <x v="23"/>
    <x v="0"/>
    <s v="Desk"/>
    <n v="15"/>
    <n v="11133"/>
    <n v="0.15"/>
    <n v="141945.75"/>
    <n v="42227.44"/>
    <x v="3"/>
    <x v="11"/>
    <x v="0"/>
  </r>
  <r>
    <s v="ORD03743"/>
    <s v="2023-10-28"/>
    <x v="41"/>
    <x v="17"/>
    <x v="1"/>
    <s v="Power Bank"/>
    <n v="5"/>
    <n v="40195"/>
    <n v="0.1"/>
    <n v="180877.5"/>
    <n v="34709.39"/>
    <x v="0"/>
    <x v="0"/>
    <x v="1"/>
  </r>
  <r>
    <s v="ORD03744"/>
    <s v="2024-01-12"/>
    <x v="3"/>
    <x v="15"/>
    <x v="0"/>
    <s v="Sofa"/>
    <n v="1"/>
    <n v="35048"/>
    <n v="0.15"/>
    <n v="29790.799999999999"/>
    <n v="2516.16"/>
    <x v="1"/>
    <x v="3"/>
    <x v="0"/>
  </r>
  <r>
    <s v="ORD03745"/>
    <s v="2023-10-28"/>
    <x v="30"/>
    <x v="26"/>
    <x v="3"/>
    <s v="Paper Ream"/>
    <n v="12"/>
    <n v="1629"/>
    <n v="0.05"/>
    <n v="18570.599999999999"/>
    <n v="4211.42"/>
    <x v="2"/>
    <x v="0"/>
    <x v="1"/>
  </r>
  <r>
    <s v="ORD03746"/>
    <s v="2023-06-18"/>
    <x v="47"/>
    <x v="23"/>
    <x v="0"/>
    <s v="Desk"/>
    <n v="6"/>
    <n v="22463"/>
    <n v="0.05"/>
    <n v="128039.1"/>
    <n v="33171.040000000001"/>
    <x v="2"/>
    <x v="5"/>
    <x v="1"/>
  </r>
  <r>
    <s v="ORD03747"/>
    <s v="2023-09-19"/>
    <x v="9"/>
    <x v="16"/>
    <x v="3"/>
    <s v="Pen"/>
    <n v="7"/>
    <n v="28299"/>
    <n v="0.15"/>
    <n v="168379.05"/>
    <n v="37098.379999999997"/>
    <x v="1"/>
    <x v="10"/>
    <x v="1"/>
  </r>
  <r>
    <s v="ORD03748"/>
    <s v="2023-09-04"/>
    <x v="7"/>
    <x v="25"/>
    <x v="3"/>
    <s v="Notebook"/>
    <n v="5"/>
    <n v="57504"/>
    <n v="0"/>
    <n v="287520"/>
    <n v="37669.550000000003"/>
    <x v="1"/>
    <x v="10"/>
    <x v="1"/>
  </r>
  <r>
    <s v="ORD03749"/>
    <s v="2023-12-03"/>
    <x v="48"/>
    <x v="14"/>
    <x v="2"/>
    <s v="Dress"/>
    <n v="3"/>
    <n v="32303"/>
    <n v="0.1"/>
    <n v="87218.1"/>
    <n v="25854.5"/>
    <x v="0"/>
    <x v="9"/>
    <x v="1"/>
  </r>
  <r>
    <s v="ORD03750"/>
    <s v="2024-10-12"/>
    <x v="47"/>
    <x v="14"/>
    <x v="2"/>
    <s v="Dress"/>
    <n v="12"/>
    <n v="16358"/>
    <n v="0"/>
    <n v="196296"/>
    <n v="40381.949999999997"/>
    <x v="1"/>
    <x v="0"/>
    <x v="0"/>
  </r>
  <r>
    <s v="ORD03751"/>
    <s v="2024-03-04"/>
    <x v="8"/>
    <x v="13"/>
    <x v="2"/>
    <s v="Jacket"/>
    <n v="3"/>
    <n v="27826"/>
    <n v="0.2"/>
    <n v="66782.399999999994"/>
    <n v="10509.12"/>
    <x v="2"/>
    <x v="7"/>
    <x v="0"/>
  </r>
  <r>
    <s v="ORD03752"/>
    <s v="2023-08-27"/>
    <x v="36"/>
    <x v="16"/>
    <x v="3"/>
    <s v="Pen"/>
    <n v="11"/>
    <n v="43945"/>
    <n v="0.2"/>
    <n v="386716"/>
    <n v="47981.73"/>
    <x v="3"/>
    <x v="8"/>
    <x v="1"/>
  </r>
  <r>
    <s v="ORD03753"/>
    <s v="2024-11-15"/>
    <x v="15"/>
    <x v="16"/>
    <x v="3"/>
    <s v="Pen"/>
    <n v="8"/>
    <n v="56677"/>
    <n v="0.1"/>
    <n v="408074.4"/>
    <n v="81174.81"/>
    <x v="2"/>
    <x v="4"/>
    <x v="0"/>
  </r>
  <r>
    <s v="ORD03754"/>
    <s v="2024-05-08"/>
    <x v="28"/>
    <x v="10"/>
    <x v="3"/>
    <s v="Marker"/>
    <n v="14"/>
    <n v="17700"/>
    <n v="0.05"/>
    <n v="235410"/>
    <n v="70219.58"/>
    <x v="3"/>
    <x v="6"/>
    <x v="0"/>
  </r>
  <r>
    <s v="ORD03755"/>
    <s v="2024-05-11"/>
    <x v="45"/>
    <x v="18"/>
    <x v="0"/>
    <s v="Table"/>
    <n v="1"/>
    <n v="19255"/>
    <n v="0"/>
    <n v="19255"/>
    <n v="2276.86"/>
    <x v="0"/>
    <x v="6"/>
    <x v="0"/>
  </r>
  <r>
    <s v="ORD03756"/>
    <s v="2024-04-01"/>
    <x v="41"/>
    <x v="24"/>
    <x v="2"/>
    <s v="T-Shirt"/>
    <n v="1"/>
    <n v="33369"/>
    <n v="0"/>
    <n v="33369"/>
    <n v="5358.86"/>
    <x v="1"/>
    <x v="2"/>
    <x v="0"/>
  </r>
  <r>
    <s v="ORD03757"/>
    <s v="2023-02-14"/>
    <x v="35"/>
    <x v="10"/>
    <x v="3"/>
    <s v="Marker"/>
    <n v="14"/>
    <n v="56558"/>
    <n v="0.1"/>
    <n v="712630.8"/>
    <n v="92761.99"/>
    <x v="1"/>
    <x v="11"/>
    <x v="1"/>
  </r>
  <r>
    <s v="ORD03758"/>
    <s v="2024-02-18"/>
    <x v="32"/>
    <x v="24"/>
    <x v="2"/>
    <s v="T-Shirt"/>
    <n v="12"/>
    <n v="23913"/>
    <n v="0.1"/>
    <n v="258260.4"/>
    <n v="36281.22"/>
    <x v="0"/>
    <x v="11"/>
    <x v="0"/>
  </r>
  <r>
    <s v="ORD03759"/>
    <s v="2024-01-13"/>
    <x v="16"/>
    <x v="8"/>
    <x v="2"/>
    <s v="Sweater"/>
    <n v="13"/>
    <n v="31710"/>
    <n v="0.2"/>
    <n v="329784"/>
    <n v="28352.65"/>
    <x v="2"/>
    <x v="3"/>
    <x v="0"/>
  </r>
  <r>
    <s v="ORD03760"/>
    <s v="2024-10-27"/>
    <x v="2"/>
    <x v="6"/>
    <x v="2"/>
    <s v="Jeans"/>
    <n v="10"/>
    <n v="4015"/>
    <n v="0.2"/>
    <n v="32120"/>
    <n v="3950.44"/>
    <x v="1"/>
    <x v="0"/>
    <x v="0"/>
  </r>
  <r>
    <s v="ORD03761"/>
    <s v="2024-08-11"/>
    <x v="21"/>
    <x v="26"/>
    <x v="3"/>
    <s v="Paper Ream"/>
    <n v="9"/>
    <n v="22550"/>
    <n v="0"/>
    <n v="202950"/>
    <n v="19112.900000000001"/>
    <x v="3"/>
    <x v="8"/>
    <x v="0"/>
  </r>
  <r>
    <s v="ORD03762"/>
    <s v="2024-10-23"/>
    <x v="18"/>
    <x v="2"/>
    <x v="2"/>
    <s v="Shoes"/>
    <n v="15"/>
    <n v="55632"/>
    <n v="0.1"/>
    <n v="751032"/>
    <n v="183625.24"/>
    <x v="0"/>
    <x v="0"/>
    <x v="0"/>
  </r>
  <r>
    <s v="ORD03763"/>
    <s v="2024-04-19"/>
    <x v="21"/>
    <x v="2"/>
    <x v="2"/>
    <s v="Shoes"/>
    <n v="5"/>
    <n v="25749"/>
    <n v="0.05"/>
    <n v="122307.75"/>
    <n v="35243.33"/>
    <x v="2"/>
    <x v="2"/>
    <x v="0"/>
  </r>
  <r>
    <s v="ORD03764"/>
    <s v="2024-07-28"/>
    <x v="3"/>
    <x v="11"/>
    <x v="3"/>
    <s v="Printer"/>
    <n v="3"/>
    <n v="23848"/>
    <n v="0.15"/>
    <n v="60812.4"/>
    <n v="11732.04"/>
    <x v="0"/>
    <x v="1"/>
    <x v="0"/>
  </r>
  <r>
    <s v="ORD03765"/>
    <s v="2023-02-12"/>
    <x v="34"/>
    <x v="6"/>
    <x v="2"/>
    <s v="Jeans"/>
    <n v="15"/>
    <n v="18735"/>
    <n v="0.2"/>
    <n v="224820"/>
    <n v="23379.71"/>
    <x v="2"/>
    <x v="11"/>
    <x v="1"/>
  </r>
  <r>
    <s v="ORD03766"/>
    <s v="2024-04-17"/>
    <x v="48"/>
    <x v="14"/>
    <x v="2"/>
    <s v="Dress"/>
    <n v="1"/>
    <n v="49390"/>
    <n v="0.2"/>
    <n v="39512"/>
    <n v="9751.6"/>
    <x v="1"/>
    <x v="2"/>
    <x v="0"/>
  </r>
  <r>
    <s v="ORD03767"/>
    <s v="2023-04-15"/>
    <x v="18"/>
    <x v="14"/>
    <x v="2"/>
    <s v="Dress"/>
    <n v="9"/>
    <n v="29282"/>
    <n v="0.1"/>
    <n v="237184.2"/>
    <n v="68759.13"/>
    <x v="1"/>
    <x v="2"/>
    <x v="1"/>
  </r>
  <r>
    <s v="ORD03768"/>
    <s v="2023-06-15"/>
    <x v="41"/>
    <x v="10"/>
    <x v="3"/>
    <s v="Marker"/>
    <n v="8"/>
    <n v="34607"/>
    <n v="0.2"/>
    <n v="221484.79999999999"/>
    <n v="41905.11"/>
    <x v="2"/>
    <x v="5"/>
    <x v="1"/>
  </r>
  <r>
    <s v="ORD03769"/>
    <s v="2023-09-24"/>
    <x v="6"/>
    <x v="24"/>
    <x v="2"/>
    <s v="T-Shirt"/>
    <n v="14"/>
    <n v="22711"/>
    <n v="0.2"/>
    <n v="254363.2"/>
    <n v="32351.56"/>
    <x v="2"/>
    <x v="10"/>
    <x v="1"/>
  </r>
  <r>
    <s v="ORD03770"/>
    <s v="2023-09-23"/>
    <x v="49"/>
    <x v="25"/>
    <x v="3"/>
    <s v="Notebook"/>
    <n v="3"/>
    <n v="13866"/>
    <n v="0.05"/>
    <n v="39518.1"/>
    <n v="3218.19"/>
    <x v="3"/>
    <x v="10"/>
    <x v="1"/>
  </r>
  <r>
    <s v="ORD03771"/>
    <s v="2023-02-19"/>
    <x v="45"/>
    <x v="14"/>
    <x v="2"/>
    <s v="Dress"/>
    <n v="5"/>
    <n v="2617"/>
    <n v="0.1"/>
    <n v="11776.5"/>
    <n v="1693.23"/>
    <x v="3"/>
    <x v="11"/>
    <x v="1"/>
  </r>
  <r>
    <s v="ORD03772"/>
    <s v="2023-07-31"/>
    <x v="39"/>
    <x v="9"/>
    <x v="1"/>
    <s v="Keyboard"/>
    <n v="11"/>
    <n v="20479"/>
    <n v="0.1"/>
    <n v="202742.1"/>
    <n v="50158.73"/>
    <x v="3"/>
    <x v="1"/>
    <x v="1"/>
  </r>
  <r>
    <s v="ORD03773"/>
    <s v="2024-08-02"/>
    <x v="12"/>
    <x v="21"/>
    <x v="1"/>
    <s v="Laptop"/>
    <n v="4"/>
    <n v="13690"/>
    <n v="0.2"/>
    <n v="43808"/>
    <n v="6840.29"/>
    <x v="0"/>
    <x v="8"/>
    <x v="0"/>
  </r>
  <r>
    <s v="ORD03774"/>
    <s v="2024-01-07"/>
    <x v="11"/>
    <x v="17"/>
    <x v="1"/>
    <s v="Power Bank"/>
    <n v="8"/>
    <n v="39165"/>
    <n v="0.1"/>
    <n v="281988"/>
    <n v="46480.34"/>
    <x v="3"/>
    <x v="3"/>
    <x v="0"/>
  </r>
  <r>
    <s v="ORD03775"/>
    <s v="2024-06-28"/>
    <x v="41"/>
    <x v="21"/>
    <x v="1"/>
    <s v="Laptop"/>
    <n v="10"/>
    <n v="36830"/>
    <n v="0.15"/>
    <n v="313055"/>
    <n v="88489.279999999999"/>
    <x v="3"/>
    <x v="5"/>
    <x v="0"/>
  </r>
  <r>
    <s v="ORD03776"/>
    <s v="2023-10-09"/>
    <x v="44"/>
    <x v="0"/>
    <x v="0"/>
    <s v="Chair"/>
    <n v="5"/>
    <n v="39550"/>
    <n v="0.1"/>
    <n v="177975"/>
    <n v="47828.99"/>
    <x v="0"/>
    <x v="0"/>
    <x v="1"/>
  </r>
  <r>
    <s v="ORD03777"/>
    <s v="2024-06-27"/>
    <x v="5"/>
    <x v="7"/>
    <x v="0"/>
    <s v="Bed"/>
    <n v="12"/>
    <n v="49551"/>
    <n v="0"/>
    <n v="594612"/>
    <n v="103151.27"/>
    <x v="3"/>
    <x v="5"/>
    <x v="0"/>
  </r>
  <r>
    <s v="ORD03778"/>
    <s v="2023-11-05"/>
    <x v="10"/>
    <x v="3"/>
    <x v="3"/>
    <s v="Stapler"/>
    <n v="13"/>
    <n v="14759"/>
    <n v="0"/>
    <n v="191867"/>
    <n v="53105.919999999998"/>
    <x v="0"/>
    <x v="4"/>
    <x v="1"/>
  </r>
  <r>
    <s v="ORD03779"/>
    <s v="2024-08-30"/>
    <x v="43"/>
    <x v="24"/>
    <x v="2"/>
    <s v="T-Shirt"/>
    <n v="14"/>
    <n v="5591"/>
    <n v="0.1"/>
    <n v="70446.600000000006"/>
    <n v="8427.98"/>
    <x v="2"/>
    <x v="8"/>
    <x v="0"/>
  </r>
  <r>
    <s v="ORD03780"/>
    <s v="2023-07-07"/>
    <x v="48"/>
    <x v="21"/>
    <x v="1"/>
    <s v="Laptop"/>
    <n v="8"/>
    <n v="11084"/>
    <n v="0.2"/>
    <n v="70937.600000000006"/>
    <n v="8178.71"/>
    <x v="0"/>
    <x v="1"/>
    <x v="1"/>
  </r>
  <r>
    <s v="ORD03781"/>
    <s v="2023-03-16"/>
    <x v="49"/>
    <x v="24"/>
    <x v="2"/>
    <s v="T-Shirt"/>
    <n v="7"/>
    <n v="12285"/>
    <n v="0"/>
    <n v="85995"/>
    <n v="9541.3799999999992"/>
    <x v="2"/>
    <x v="7"/>
    <x v="1"/>
  </r>
  <r>
    <s v="ORD03782"/>
    <s v="2023-12-01"/>
    <x v="32"/>
    <x v="24"/>
    <x v="2"/>
    <s v="T-Shirt"/>
    <n v="3"/>
    <n v="47957"/>
    <n v="0.1"/>
    <n v="129483.9"/>
    <n v="21138.47"/>
    <x v="0"/>
    <x v="9"/>
    <x v="1"/>
  </r>
  <r>
    <s v="ORD03783"/>
    <s v="2023-04-17"/>
    <x v="28"/>
    <x v="22"/>
    <x v="1"/>
    <s v="Camera"/>
    <n v="10"/>
    <n v="14839"/>
    <n v="0"/>
    <n v="148390"/>
    <n v="33189.68"/>
    <x v="1"/>
    <x v="2"/>
    <x v="1"/>
  </r>
  <r>
    <s v="ORD03784"/>
    <s v="2024-11-15"/>
    <x v="13"/>
    <x v="21"/>
    <x v="1"/>
    <s v="Laptop"/>
    <n v="14"/>
    <n v="43095"/>
    <n v="0"/>
    <n v="603330"/>
    <n v="146619.46"/>
    <x v="0"/>
    <x v="4"/>
    <x v="0"/>
  </r>
  <r>
    <s v="ORD03785"/>
    <s v="2024-10-12"/>
    <x v="24"/>
    <x v="0"/>
    <x v="0"/>
    <s v="Chair"/>
    <n v="6"/>
    <n v="42632"/>
    <n v="0"/>
    <n v="255792"/>
    <n v="64026.15"/>
    <x v="2"/>
    <x v="0"/>
    <x v="0"/>
  </r>
  <r>
    <s v="ORD03786"/>
    <s v="2023-11-17"/>
    <x v="21"/>
    <x v="13"/>
    <x v="2"/>
    <s v="Jacket"/>
    <n v="10"/>
    <n v="31997"/>
    <n v="0.05"/>
    <n v="303971.5"/>
    <n v="45269.05"/>
    <x v="3"/>
    <x v="4"/>
    <x v="1"/>
  </r>
  <r>
    <s v="ORD03787"/>
    <s v="2024-11-01"/>
    <x v="29"/>
    <x v="0"/>
    <x v="0"/>
    <s v="Chair"/>
    <n v="5"/>
    <n v="47188"/>
    <n v="0.15"/>
    <n v="200549"/>
    <n v="51916.6"/>
    <x v="2"/>
    <x v="4"/>
    <x v="0"/>
  </r>
  <r>
    <s v="ORD03788"/>
    <s v="2023-08-29"/>
    <x v="39"/>
    <x v="6"/>
    <x v="2"/>
    <s v="Jeans"/>
    <n v="5"/>
    <n v="12155"/>
    <n v="0.1"/>
    <n v="54697.5"/>
    <n v="4841.34"/>
    <x v="0"/>
    <x v="8"/>
    <x v="1"/>
  </r>
  <r>
    <s v="ORD03789"/>
    <s v="2023-07-23"/>
    <x v="43"/>
    <x v="16"/>
    <x v="3"/>
    <s v="Pen"/>
    <n v="5"/>
    <n v="53762"/>
    <n v="0.1"/>
    <n v="241929"/>
    <n v="37369.85"/>
    <x v="3"/>
    <x v="1"/>
    <x v="1"/>
  </r>
  <r>
    <s v="ORD03790"/>
    <s v="2024-09-04"/>
    <x v="8"/>
    <x v="17"/>
    <x v="1"/>
    <s v="Power Bank"/>
    <n v="13"/>
    <n v="6076"/>
    <n v="0.1"/>
    <n v="71089.2"/>
    <n v="11942.06"/>
    <x v="1"/>
    <x v="10"/>
    <x v="0"/>
  </r>
  <r>
    <s v="ORD03791"/>
    <s v="2023-01-12"/>
    <x v="22"/>
    <x v="22"/>
    <x v="1"/>
    <s v="Camera"/>
    <n v="4"/>
    <n v="58773"/>
    <n v="0.1"/>
    <n v="211582.8"/>
    <n v="55963.66"/>
    <x v="2"/>
    <x v="3"/>
    <x v="1"/>
  </r>
  <r>
    <s v="ORD03792"/>
    <s v="2024-08-29"/>
    <x v="19"/>
    <x v="23"/>
    <x v="0"/>
    <s v="Desk"/>
    <n v="10"/>
    <n v="45201"/>
    <n v="0.05"/>
    <n v="429409.5"/>
    <n v="56459.31"/>
    <x v="2"/>
    <x v="8"/>
    <x v="0"/>
  </r>
  <r>
    <s v="ORD03793"/>
    <s v="2023-10-08"/>
    <x v="32"/>
    <x v="3"/>
    <x v="3"/>
    <s v="Stapler"/>
    <n v="14"/>
    <n v="6784"/>
    <n v="0.05"/>
    <n v="90227.199999999997"/>
    <n v="19032.93"/>
    <x v="0"/>
    <x v="0"/>
    <x v="1"/>
  </r>
  <r>
    <s v="ORD03794"/>
    <s v="2023-07-05"/>
    <x v="40"/>
    <x v="8"/>
    <x v="2"/>
    <s v="Sweater"/>
    <n v="7"/>
    <n v="38774"/>
    <n v="0.15"/>
    <n v="230705.3"/>
    <n v="65488.9"/>
    <x v="2"/>
    <x v="1"/>
    <x v="1"/>
  </r>
  <r>
    <s v="ORD03795"/>
    <s v="2023-05-06"/>
    <x v="19"/>
    <x v="0"/>
    <x v="0"/>
    <s v="Chair"/>
    <n v="9"/>
    <n v="54788"/>
    <n v="0"/>
    <n v="493092"/>
    <n v="66494.62"/>
    <x v="2"/>
    <x v="6"/>
    <x v="1"/>
  </r>
  <r>
    <s v="ORD03796"/>
    <s v="2024-01-08"/>
    <x v="8"/>
    <x v="10"/>
    <x v="3"/>
    <s v="Marker"/>
    <n v="11"/>
    <n v="15588"/>
    <n v="0.15"/>
    <n v="145747.79999999999"/>
    <n v="38816.36"/>
    <x v="1"/>
    <x v="3"/>
    <x v="0"/>
  </r>
  <r>
    <s v="ORD03797"/>
    <s v="2024-04-16"/>
    <x v="30"/>
    <x v="18"/>
    <x v="0"/>
    <s v="Table"/>
    <n v="11"/>
    <n v="48043"/>
    <n v="0"/>
    <n v="528473"/>
    <n v="59241.71"/>
    <x v="2"/>
    <x v="2"/>
    <x v="0"/>
  </r>
  <r>
    <s v="ORD03798"/>
    <s v="2023-04-23"/>
    <x v="37"/>
    <x v="13"/>
    <x v="2"/>
    <s v="Jacket"/>
    <n v="13"/>
    <n v="38926"/>
    <n v="0.05"/>
    <n v="480736.1"/>
    <n v="63983.44"/>
    <x v="0"/>
    <x v="2"/>
    <x v="1"/>
  </r>
  <r>
    <s v="ORD03799"/>
    <s v="2023-03-23"/>
    <x v="32"/>
    <x v="24"/>
    <x v="2"/>
    <s v="T-Shirt"/>
    <n v="6"/>
    <n v="14772"/>
    <n v="0.05"/>
    <n v="84200.4"/>
    <n v="23604.35"/>
    <x v="0"/>
    <x v="7"/>
    <x v="1"/>
  </r>
  <r>
    <s v="ORD03800"/>
    <s v="2023-07-06"/>
    <x v="10"/>
    <x v="16"/>
    <x v="3"/>
    <s v="Pen"/>
    <n v="4"/>
    <n v="11745"/>
    <n v="0.15"/>
    <n v="39933"/>
    <n v="8469.11"/>
    <x v="2"/>
    <x v="1"/>
    <x v="1"/>
  </r>
  <r>
    <s v="ORD03801"/>
    <s v="2023-06-29"/>
    <x v="28"/>
    <x v="4"/>
    <x v="0"/>
    <s v="Stool"/>
    <n v="9"/>
    <n v="40883"/>
    <n v="0.15"/>
    <n v="312754.95"/>
    <n v="69388.820000000007"/>
    <x v="3"/>
    <x v="5"/>
    <x v="1"/>
  </r>
  <r>
    <s v="ORD03802"/>
    <s v="2024-04-30"/>
    <x v="24"/>
    <x v="19"/>
    <x v="1"/>
    <s v="Smartwatch"/>
    <n v="8"/>
    <n v="35227"/>
    <n v="0.15"/>
    <n v="239543.6"/>
    <n v="36959.089999999997"/>
    <x v="2"/>
    <x v="2"/>
    <x v="0"/>
  </r>
  <r>
    <s v="ORD03803"/>
    <s v="2024-03-16"/>
    <x v="9"/>
    <x v="5"/>
    <x v="0"/>
    <s v="Cupboard"/>
    <n v="10"/>
    <n v="11220"/>
    <n v="0"/>
    <n v="112200"/>
    <n v="18997.12"/>
    <x v="1"/>
    <x v="7"/>
    <x v="0"/>
  </r>
  <r>
    <s v="ORD03804"/>
    <s v="2023-10-14"/>
    <x v="37"/>
    <x v="0"/>
    <x v="0"/>
    <s v="Chair"/>
    <n v="6"/>
    <n v="16594"/>
    <n v="0"/>
    <n v="99564"/>
    <n v="8862.6"/>
    <x v="2"/>
    <x v="0"/>
    <x v="1"/>
  </r>
  <r>
    <s v="ORD03805"/>
    <s v="2023-04-08"/>
    <x v="15"/>
    <x v="5"/>
    <x v="0"/>
    <s v="Cupboard"/>
    <n v="7"/>
    <n v="42919"/>
    <n v="0"/>
    <n v="300433"/>
    <n v="62681.25"/>
    <x v="1"/>
    <x v="2"/>
    <x v="1"/>
  </r>
  <r>
    <s v="ORD03806"/>
    <s v="2023-02-12"/>
    <x v="10"/>
    <x v="4"/>
    <x v="0"/>
    <s v="Stool"/>
    <n v="4"/>
    <n v="35751"/>
    <n v="0"/>
    <n v="143004"/>
    <n v="20295.75"/>
    <x v="2"/>
    <x v="11"/>
    <x v="1"/>
  </r>
  <r>
    <s v="ORD03807"/>
    <s v="2024-10-20"/>
    <x v="23"/>
    <x v="14"/>
    <x v="2"/>
    <s v="Dress"/>
    <n v="3"/>
    <n v="40650"/>
    <n v="0"/>
    <n v="121950"/>
    <n v="9836.2900000000009"/>
    <x v="2"/>
    <x v="0"/>
    <x v="0"/>
  </r>
  <r>
    <s v="ORD03808"/>
    <s v="2024-10-30"/>
    <x v="45"/>
    <x v="4"/>
    <x v="0"/>
    <s v="Stool"/>
    <n v="7"/>
    <n v="58171"/>
    <n v="0.15"/>
    <n v="346117.45"/>
    <n v="74411.899999999994"/>
    <x v="1"/>
    <x v="0"/>
    <x v="0"/>
  </r>
  <r>
    <s v="ORD03809"/>
    <s v="2024-05-01"/>
    <x v="39"/>
    <x v="8"/>
    <x v="2"/>
    <s v="Sweater"/>
    <n v="15"/>
    <n v="7954"/>
    <n v="0.05"/>
    <n v="113344.5"/>
    <n v="11841.7"/>
    <x v="2"/>
    <x v="6"/>
    <x v="0"/>
  </r>
  <r>
    <s v="ORD03810"/>
    <s v="2024-03-01"/>
    <x v="22"/>
    <x v="3"/>
    <x v="3"/>
    <s v="Stapler"/>
    <n v="11"/>
    <n v="48887"/>
    <n v="0.05"/>
    <n v="510869.15"/>
    <n v="109294.86"/>
    <x v="0"/>
    <x v="7"/>
    <x v="0"/>
  </r>
  <r>
    <s v="ORD03811"/>
    <s v="2024-10-29"/>
    <x v="23"/>
    <x v="21"/>
    <x v="1"/>
    <s v="Laptop"/>
    <n v="7"/>
    <n v="13017"/>
    <n v="0.05"/>
    <n v="86563.05"/>
    <n v="17905.939999999999"/>
    <x v="0"/>
    <x v="0"/>
    <x v="0"/>
  </r>
  <r>
    <s v="ORD03812"/>
    <s v="2024-09-17"/>
    <x v="14"/>
    <x v="25"/>
    <x v="3"/>
    <s v="Notebook"/>
    <n v="4"/>
    <n v="49002"/>
    <n v="0.15"/>
    <n v="166606.79999999999"/>
    <n v="31315.22"/>
    <x v="2"/>
    <x v="10"/>
    <x v="0"/>
  </r>
  <r>
    <s v="ORD03813"/>
    <s v="2023-05-12"/>
    <x v="2"/>
    <x v="20"/>
    <x v="1"/>
    <s v="Tablet"/>
    <n v="8"/>
    <n v="12733"/>
    <n v="0.1"/>
    <n v="91677.6"/>
    <n v="23202.01"/>
    <x v="1"/>
    <x v="6"/>
    <x v="1"/>
  </r>
  <r>
    <s v="ORD03814"/>
    <s v="2023-10-28"/>
    <x v="5"/>
    <x v="9"/>
    <x v="1"/>
    <s v="Keyboard"/>
    <n v="8"/>
    <n v="7094"/>
    <n v="0.15"/>
    <n v="48239.199999999997"/>
    <n v="5740.71"/>
    <x v="3"/>
    <x v="0"/>
    <x v="1"/>
  </r>
  <r>
    <s v="ORD03815"/>
    <s v="2024-08-13"/>
    <x v="36"/>
    <x v="24"/>
    <x v="2"/>
    <s v="T-Shirt"/>
    <n v="9"/>
    <n v="46618"/>
    <n v="0.2"/>
    <n v="335649.6"/>
    <n v="92731.69"/>
    <x v="3"/>
    <x v="8"/>
    <x v="0"/>
  </r>
  <r>
    <s v="ORD03816"/>
    <s v="2023-05-04"/>
    <x v="24"/>
    <x v="7"/>
    <x v="0"/>
    <s v="Bed"/>
    <n v="11"/>
    <n v="44752"/>
    <n v="0"/>
    <n v="492272"/>
    <n v="62682.720000000001"/>
    <x v="1"/>
    <x v="6"/>
    <x v="1"/>
  </r>
  <r>
    <s v="ORD03817"/>
    <s v="2023-05-04"/>
    <x v="25"/>
    <x v="3"/>
    <x v="3"/>
    <s v="Stapler"/>
    <n v="13"/>
    <n v="3095"/>
    <n v="0.1"/>
    <n v="36211.5"/>
    <n v="5730.12"/>
    <x v="0"/>
    <x v="6"/>
    <x v="1"/>
  </r>
  <r>
    <s v="ORD03818"/>
    <s v="2024-10-19"/>
    <x v="27"/>
    <x v="9"/>
    <x v="1"/>
    <s v="Keyboard"/>
    <n v="15"/>
    <n v="40100"/>
    <n v="0"/>
    <n v="601500"/>
    <n v="90774.71"/>
    <x v="2"/>
    <x v="0"/>
    <x v="0"/>
  </r>
  <r>
    <s v="ORD03819"/>
    <s v="2024-11-26"/>
    <x v="13"/>
    <x v="14"/>
    <x v="2"/>
    <s v="Dress"/>
    <n v="7"/>
    <n v="51401"/>
    <n v="0.1"/>
    <n v="323826.3"/>
    <n v="66697.47"/>
    <x v="0"/>
    <x v="4"/>
    <x v="0"/>
  </r>
  <r>
    <s v="ORD03820"/>
    <s v="2023-05-08"/>
    <x v="35"/>
    <x v="19"/>
    <x v="1"/>
    <s v="Smartwatch"/>
    <n v="10"/>
    <n v="10459"/>
    <n v="0.05"/>
    <n v="99360.5"/>
    <n v="15553.46"/>
    <x v="3"/>
    <x v="6"/>
    <x v="1"/>
  </r>
  <r>
    <s v="ORD03821"/>
    <s v="2023-09-20"/>
    <x v="45"/>
    <x v="6"/>
    <x v="2"/>
    <s v="Jeans"/>
    <n v="7"/>
    <n v="34615"/>
    <n v="0.2"/>
    <n v="193844"/>
    <n v="40384.400000000001"/>
    <x v="1"/>
    <x v="10"/>
    <x v="1"/>
  </r>
  <r>
    <s v="ORD03822"/>
    <s v="2023-05-19"/>
    <x v="31"/>
    <x v="16"/>
    <x v="3"/>
    <s v="Pen"/>
    <n v="8"/>
    <n v="50773"/>
    <n v="0.2"/>
    <n v="324947.20000000001"/>
    <n v="56056.25"/>
    <x v="2"/>
    <x v="6"/>
    <x v="1"/>
  </r>
  <r>
    <s v="ORD03823"/>
    <s v="2024-09-19"/>
    <x v="10"/>
    <x v="14"/>
    <x v="2"/>
    <s v="Dress"/>
    <n v="1"/>
    <n v="10502"/>
    <n v="0.05"/>
    <n v="9976.9"/>
    <n v="1082.74"/>
    <x v="2"/>
    <x v="10"/>
    <x v="0"/>
  </r>
  <r>
    <s v="ORD03824"/>
    <s v="2023-12-24"/>
    <x v="35"/>
    <x v="27"/>
    <x v="3"/>
    <s v="File"/>
    <n v="13"/>
    <n v="42653"/>
    <n v="0.2"/>
    <n v="443591.2"/>
    <n v="67105.05"/>
    <x v="1"/>
    <x v="9"/>
    <x v="1"/>
  </r>
  <r>
    <s v="ORD03825"/>
    <s v="2023-12-31"/>
    <x v="46"/>
    <x v="7"/>
    <x v="0"/>
    <s v="Bed"/>
    <n v="4"/>
    <n v="46175"/>
    <n v="0.05"/>
    <n v="175465"/>
    <n v="24616.74"/>
    <x v="3"/>
    <x v="9"/>
    <x v="1"/>
  </r>
  <r>
    <s v="ORD03826"/>
    <s v="2024-04-04"/>
    <x v="8"/>
    <x v="15"/>
    <x v="0"/>
    <s v="Sofa"/>
    <n v="15"/>
    <n v="720"/>
    <n v="0.1"/>
    <n v="9720"/>
    <n v="1660.23"/>
    <x v="0"/>
    <x v="2"/>
    <x v="0"/>
  </r>
  <r>
    <s v="ORD03827"/>
    <s v="2024-10-24"/>
    <x v="49"/>
    <x v="23"/>
    <x v="0"/>
    <s v="Desk"/>
    <n v="14"/>
    <n v="15306"/>
    <n v="0.05"/>
    <n v="203569.8"/>
    <n v="57641.34"/>
    <x v="0"/>
    <x v="0"/>
    <x v="0"/>
  </r>
  <r>
    <s v="ORD03828"/>
    <s v="2024-07-07"/>
    <x v="38"/>
    <x v="23"/>
    <x v="0"/>
    <s v="Desk"/>
    <n v="12"/>
    <n v="4993"/>
    <n v="0.05"/>
    <n v="56920.2"/>
    <n v="4877.9799999999996"/>
    <x v="3"/>
    <x v="1"/>
    <x v="0"/>
  </r>
  <r>
    <s v="ORD03829"/>
    <s v="2024-02-12"/>
    <x v="9"/>
    <x v="2"/>
    <x v="2"/>
    <s v="Shoes"/>
    <n v="11"/>
    <n v="43779"/>
    <n v="0.15"/>
    <n v="409333.65"/>
    <n v="58945.08"/>
    <x v="1"/>
    <x v="11"/>
    <x v="0"/>
  </r>
  <r>
    <s v="ORD03830"/>
    <s v="2023-10-23"/>
    <x v="46"/>
    <x v="22"/>
    <x v="1"/>
    <s v="Camera"/>
    <n v="8"/>
    <n v="37233"/>
    <n v="0"/>
    <n v="297864"/>
    <n v="71310.03"/>
    <x v="1"/>
    <x v="0"/>
    <x v="1"/>
  </r>
  <r>
    <s v="ORD03831"/>
    <s v="2024-04-04"/>
    <x v="11"/>
    <x v="25"/>
    <x v="3"/>
    <s v="Notebook"/>
    <n v="3"/>
    <n v="54940"/>
    <n v="0.05"/>
    <n v="156579"/>
    <n v="28053.73"/>
    <x v="1"/>
    <x v="2"/>
    <x v="0"/>
  </r>
  <r>
    <s v="ORD03832"/>
    <s v="2023-10-02"/>
    <x v="2"/>
    <x v="19"/>
    <x v="1"/>
    <s v="Smartwatch"/>
    <n v="10"/>
    <n v="32391"/>
    <n v="0.2"/>
    <n v="259128"/>
    <n v="45805.81"/>
    <x v="0"/>
    <x v="0"/>
    <x v="1"/>
  </r>
  <r>
    <s v="ORD03833"/>
    <s v="2023-05-17"/>
    <x v="30"/>
    <x v="5"/>
    <x v="0"/>
    <s v="Cupboard"/>
    <n v="8"/>
    <n v="11262"/>
    <n v="0.05"/>
    <n v="85591.2"/>
    <n v="15050.19"/>
    <x v="0"/>
    <x v="6"/>
    <x v="1"/>
  </r>
  <r>
    <s v="ORD03834"/>
    <s v="2024-05-20"/>
    <x v="49"/>
    <x v="6"/>
    <x v="2"/>
    <s v="Jeans"/>
    <n v="2"/>
    <n v="25428"/>
    <n v="0.2"/>
    <n v="40684.800000000003"/>
    <n v="11287.1"/>
    <x v="3"/>
    <x v="6"/>
    <x v="0"/>
  </r>
  <r>
    <s v="ORD03835"/>
    <s v="2024-11-24"/>
    <x v="45"/>
    <x v="13"/>
    <x v="2"/>
    <s v="Jacket"/>
    <n v="10"/>
    <n v="32494"/>
    <n v="0"/>
    <n v="324940"/>
    <n v="80176.320000000007"/>
    <x v="3"/>
    <x v="4"/>
    <x v="0"/>
  </r>
  <r>
    <s v="ORD03836"/>
    <s v="2024-09-06"/>
    <x v="49"/>
    <x v="13"/>
    <x v="2"/>
    <s v="Jacket"/>
    <n v="3"/>
    <n v="27120"/>
    <n v="0.2"/>
    <n v="65088"/>
    <n v="9304.68"/>
    <x v="0"/>
    <x v="10"/>
    <x v="0"/>
  </r>
  <r>
    <s v="ORD03837"/>
    <s v="2024-04-03"/>
    <x v="36"/>
    <x v="13"/>
    <x v="2"/>
    <s v="Jacket"/>
    <n v="4"/>
    <n v="53172"/>
    <n v="0.2"/>
    <n v="170150.39999999999"/>
    <n v="49792.56"/>
    <x v="2"/>
    <x v="2"/>
    <x v="0"/>
  </r>
  <r>
    <s v="ORD03838"/>
    <s v="2023-02-27"/>
    <x v="14"/>
    <x v="4"/>
    <x v="0"/>
    <s v="Stool"/>
    <n v="15"/>
    <n v="36556"/>
    <n v="0"/>
    <n v="548340"/>
    <n v="110409.96"/>
    <x v="1"/>
    <x v="11"/>
    <x v="1"/>
  </r>
  <r>
    <s v="ORD03839"/>
    <s v="2023-07-23"/>
    <x v="8"/>
    <x v="25"/>
    <x v="3"/>
    <s v="Notebook"/>
    <n v="4"/>
    <n v="35345"/>
    <n v="0"/>
    <n v="141380"/>
    <n v="17188.740000000002"/>
    <x v="1"/>
    <x v="1"/>
    <x v="1"/>
  </r>
  <r>
    <s v="ORD03840"/>
    <s v="2023-07-03"/>
    <x v="1"/>
    <x v="21"/>
    <x v="1"/>
    <s v="Laptop"/>
    <n v="13"/>
    <n v="55878"/>
    <n v="0.15"/>
    <n v="617451.9"/>
    <n v="55679.71"/>
    <x v="2"/>
    <x v="1"/>
    <x v="1"/>
  </r>
  <r>
    <s v="ORD03841"/>
    <s v="2023-07-04"/>
    <x v="8"/>
    <x v="15"/>
    <x v="0"/>
    <s v="Sofa"/>
    <n v="12"/>
    <n v="48464"/>
    <n v="0.2"/>
    <n v="465254.40000000002"/>
    <n v="77551.02"/>
    <x v="3"/>
    <x v="1"/>
    <x v="1"/>
  </r>
  <r>
    <s v="ORD03842"/>
    <s v="2024-05-31"/>
    <x v="37"/>
    <x v="13"/>
    <x v="2"/>
    <s v="Jacket"/>
    <n v="11"/>
    <n v="3156"/>
    <n v="0.2"/>
    <n v="27772.799999999999"/>
    <n v="8022.15"/>
    <x v="0"/>
    <x v="6"/>
    <x v="0"/>
  </r>
  <r>
    <s v="ORD03843"/>
    <s v="2024-03-01"/>
    <x v="15"/>
    <x v="7"/>
    <x v="0"/>
    <s v="Bed"/>
    <n v="2"/>
    <n v="30127"/>
    <n v="0.2"/>
    <n v="48203.199999999997"/>
    <n v="5086.4399999999996"/>
    <x v="2"/>
    <x v="7"/>
    <x v="0"/>
  </r>
  <r>
    <s v="ORD03844"/>
    <s v="2024-11-05"/>
    <x v="7"/>
    <x v="18"/>
    <x v="0"/>
    <s v="Table"/>
    <n v="13"/>
    <n v="1617"/>
    <n v="0.1"/>
    <n v="18918.900000000001"/>
    <n v="2964.62"/>
    <x v="2"/>
    <x v="4"/>
    <x v="0"/>
  </r>
  <r>
    <s v="ORD03845"/>
    <s v="2023-09-02"/>
    <x v="10"/>
    <x v="11"/>
    <x v="3"/>
    <s v="Printer"/>
    <n v="1"/>
    <n v="35655"/>
    <n v="0.15"/>
    <n v="30306.75"/>
    <n v="2679.67"/>
    <x v="0"/>
    <x v="10"/>
    <x v="1"/>
  </r>
  <r>
    <s v="ORD03846"/>
    <s v="2024-11-24"/>
    <x v="34"/>
    <x v="14"/>
    <x v="2"/>
    <s v="Dress"/>
    <n v="12"/>
    <n v="42574"/>
    <n v="0.2"/>
    <n v="408710.40000000002"/>
    <n v="94836.64"/>
    <x v="1"/>
    <x v="4"/>
    <x v="0"/>
  </r>
  <r>
    <s v="ORD03847"/>
    <s v="2024-03-21"/>
    <x v="18"/>
    <x v="1"/>
    <x v="1"/>
    <s v="Mobile"/>
    <n v="15"/>
    <n v="6261"/>
    <n v="0.15"/>
    <n v="79827.75"/>
    <n v="7274.04"/>
    <x v="1"/>
    <x v="7"/>
    <x v="0"/>
  </r>
  <r>
    <s v="ORD03848"/>
    <s v="2024-10-17"/>
    <x v="9"/>
    <x v="6"/>
    <x v="2"/>
    <s v="Jeans"/>
    <n v="11"/>
    <n v="57613"/>
    <n v="0.1"/>
    <n v="570368.69999999995"/>
    <n v="105295.83"/>
    <x v="2"/>
    <x v="0"/>
    <x v="0"/>
  </r>
  <r>
    <s v="ORD03849"/>
    <s v="2024-06-13"/>
    <x v="16"/>
    <x v="20"/>
    <x v="1"/>
    <s v="Tablet"/>
    <n v="1"/>
    <n v="25208"/>
    <n v="0.1"/>
    <n v="22687.200000000001"/>
    <n v="4523.25"/>
    <x v="3"/>
    <x v="5"/>
    <x v="0"/>
  </r>
  <r>
    <s v="ORD03850"/>
    <s v="2023-01-24"/>
    <x v="29"/>
    <x v="27"/>
    <x v="3"/>
    <s v="File"/>
    <n v="8"/>
    <n v="26938"/>
    <n v="0.05"/>
    <n v="204728.8"/>
    <n v="28816.080000000002"/>
    <x v="1"/>
    <x v="3"/>
    <x v="1"/>
  </r>
  <r>
    <s v="ORD03851"/>
    <s v="2023-04-03"/>
    <x v="4"/>
    <x v="6"/>
    <x v="2"/>
    <s v="Jeans"/>
    <n v="4"/>
    <n v="34854"/>
    <n v="0.05"/>
    <n v="132445.20000000001"/>
    <n v="37772.230000000003"/>
    <x v="2"/>
    <x v="2"/>
    <x v="1"/>
  </r>
  <r>
    <s v="ORD03852"/>
    <s v="2024-02-18"/>
    <x v="8"/>
    <x v="21"/>
    <x v="1"/>
    <s v="Laptop"/>
    <n v="4"/>
    <n v="57284"/>
    <n v="0"/>
    <n v="229136"/>
    <n v="22826.82"/>
    <x v="3"/>
    <x v="11"/>
    <x v="0"/>
  </r>
  <r>
    <s v="ORD03853"/>
    <s v="2023-05-14"/>
    <x v="8"/>
    <x v="15"/>
    <x v="0"/>
    <s v="Sofa"/>
    <n v="7"/>
    <n v="26940"/>
    <n v="0.2"/>
    <n v="150864"/>
    <n v="23894.27"/>
    <x v="1"/>
    <x v="6"/>
    <x v="1"/>
  </r>
  <r>
    <s v="ORD03854"/>
    <s v="2023-06-13"/>
    <x v="39"/>
    <x v="20"/>
    <x v="1"/>
    <s v="Tablet"/>
    <n v="3"/>
    <n v="20832"/>
    <n v="0"/>
    <n v="62496"/>
    <n v="10365.280000000001"/>
    <x v="1"/>
    <x v="5"/>
    <x v="1"/>
  </r>
  <r>
    <s v="ORD03855"/>
    <s v="2024-10-24"/>
    <x v="15"/>
    <x v="2"/>
    <x v="2"/>
    <s v="Shoes"/>
    <n v="11"/>
    <n v="28630"/>
    <n v="0.05"/>
    <n v="299183.5"/>
    <n v="52015.34"/>
    <x v="0"/>
    <x v="0"/>
    <x v="0"/>
  </r>
  <r>
    <s v="ORD03856"/>
    <s v="2023-11-26"/>
    <x v="43"/>
    <x v="3"/>
    <x v="3"/>
    <s v="Stapler"/>
    <n v="3"/>
    <n v="916"/>
    <n v="0.2"/>
    <n v="2198.4"/>
    <n v="315.27999999999997"/>
    <x v="0"/>
    <x v="4"/>
    <x v="1"/>
  </r>
  <r>
    <s v="ORD03857"/>
    <s v="2023-09-30"/>
    <x v="10"/>
    <x v="7"/>
    <x v="0"/>
    <s v="Bed"/>
    <n v="1"/>
    <n v="1623"/>
    <n v="0.15"/>
    <n v="1379.55"/>
    <n v="352.45"/>
    <x v="2"/>
    <x v="10"/>
    <x v="1"/>
  </r>
  <r>
    <s v="ORD03858"/>
    <s v="2023-09-25"/>
    <x v="22"/>
    <x v="12"/>
    <x v="1"/>
    <s v="Headphones"/>
    <n v="8"/>
    <n v="3782"/>
    <n v="0.05"/>
    <n v="28743.200000000001"/>
    <n v="8405.51"/>
    <x v="1"/>
    <x v="10"/>
    <x v="1"/>
  </r>
  <r>
    <s v="ORD03859"/>
    <s v="2023-10-11"/>
    <x v="47"/>
    <x v="13"/>
    <x v="2"/>
    <s v="Jacket"/>
    <n v="9"/>
    <n v="35323"/>
    <n v="0.15"/>
    <n v="270220.95"/>
    <n v="23527.279999999999"/>
    <x v="0"/>
    <x v="0"/>
    <x v="1"/>
  </r>
  <r>
    <s v="ORD03860"/>
    <s v="2024-08-19"/>
    <x v="39"/>
    <x v="0"/>
    <x v="0"/>
    <s v="Chair"/>
    <n v="15"/>
    <n v="19694"/>
    <n v="0.1"/>
    <n v="265869"/>
    <n v="64272.15"/>
    <x v="1"/>
    <x v="8"/>
    <x v="0"/>
  </r>
  <r>
    <s v="ORD03861"/>
    <s v="2024-04-12"/>
    <x v="25"/>
    <x v="23"/>
    <x v="0"/>
    <s v="Desk"/>
    <n v="4"/>
    <n v="39526"/>
    <n v="0"/>
    <n v="158104"/>
    <n v="23804.73"/>
    <x v="3"/>
    <x v="2"/>
    <x v="0"/>
  </r>
  <r>
    <s v="ORD03862"/>
    <s v="2024-08-29"/>
    <x v="31"/>
    <x v="16"/>
    <x v="3"/>
    <s v="Pen"/>
    <n v="15"/>
    <n v="42818"/>
    <n v="0.2"/>
    <n v="513816"/>
    <n v="81166.52"/>
    <x v="1"/>
    <x v="8"/>
    <x v="0"/>
  </r>
  <r>
    <s v="ORD03863"/>
    <s v="2024-01-03"/>
    <x v="47"/>
    <x v="11"/>
    <x v="3"/>
    <s v="Printer"/>
    <n v="14"/>
    <n v="4538"/>
    <n v="0.15"/>
    <n v="54002.2"/>
    <n v="11685.35"/>
    <x v="1"/>
    <x v="3"/>
    <x v="0"/>
  </r>
  <r>
    <s v="ORD03864"/>
    <s v="2023-06-24"/>
    <x v="43"/>
    <x v="26"/>
    <x v="3"/>
    <s v="Paper Ream"/>
    <n v="1"/>
    <n v="26951"/>
    <n v="0.15"/>
    <n v="22908.35"/>
    <n v="3827.89"/>
    <x v="3"/>
    <x v="5"/>
    <x v="1"/>
  </r>
  <r>
    <s v="ORD03865"/>
    <s v="2024-10-19"/>
    <x v="12"/>
    <x v="27"/>
    <x v="3"/>
    <s v="File"/>
    <n v="4"/>
    <n v="9400"/>
    <n v="0.05"/>
    <n v="35720"/>
    <n v="2857.95"/>
    <x v="0"/>
    <x v="0"/>
    <x v="0"/>
  </r>
  <r>
    <s v="ORD03866"/>
    <s v="2023-09-03"/>
    <x v="43"/>
    <x v="3"/>
    <x v="3"/>
    <s v="Stapler"/>
    <n v="9"/>
    <n v="7352"/>
    <n v="0"/>
    <n v="66168"/>
    <n v="14347.4"/>
    <x v="0"/>
    <x v="10"/>
    <x v="1"/>
  </r>
  <r>
    <s v="ORD03867"/>
    <s v="2024-05-05"/>
    <x v="23"/>
    <x v="4"/>
    <x v="0"/>
    <s v="Stool"/>
    <n v="9"/>
    <n v="14404"/>
    <n v="0.2"/>
    <n v="103708.8"/>
    <n v="14506.61"/>
    <x v="1"/>
    <x v="6"/>
    <x v="0"/>
  </r>
  <r>
    <s v="ORD03868"/>
    <s v="2023-01-22"/>
    <x v="33"/>
    <x v="24"/>
    <x v="2"/>
    <s v="T-Shirt"/>
    <n v="7"/>
    <n v="27650"/>
    <n v="0.1"/>
    <n v="174195"/>
    <n v="29414.13"/>
    <x v="3"/>
    <x v="3"/>
    <x v="1"/>
  </r>
  <r>
    <s v="ORD03869"/>
    <s v="2024-09-22"/>
    <x v="33"/>
    <x v="13"/>
    <x v="2"/>
    <s v="Jacket"/>
    <n v="10"/>
    <n v="55260"/>
    <n v="0"/>
    <n v="552600"/>
    <n v="103787.72"/>
    <x v="2"/>
    <x v="10"/>
    <x v="0"/>
  </r>
  <r>
    <s v="ORD03870"/>
    <s v="2023-11-23"/>
    <x v="5"/>
    <x v="19"/>
    <x v="1"/>
    <s v="Smartwatch"/>
    <n v="9"/>
    <n v="42705"/>
    <n v="0.1"/>
    <n v="345910.5"/>
    <n v="76813.73"/>
    <x v="0"/>
    <x v="4"/>
    <x v="1"/>
  </r>
  <r>
    <s v="ORD03871"/>
    <s v="2024-07-18"/>
    <x v="32"/>
    <x v="16"/>
    <x v="3"/>
    <s v="Pen"/>
    <n v="8"/>
    <n v="49175"/>
    <n v="0.2"/>
    <n v="314720"/>
    <n v="64962.15"/>
    <x v="2"/>
    <x v="1"/>
    <x v="0"/>
  </r>
  <r>
    <s v="ORD03872"/>
    <s v="2024-11-28"/>
    <x v="20"/>
    <x v="7"/>
    <x v="0"/>
    <s v="Bed"/>
    <n v="9"/>
    <n v="5297"/>
    <n v="0.15"/>
    <n v="40522.050000000003"/>
    <n v="5230.51"/>
    <x v="2"/>
    <x v="4"/>
    <x v="0"/>
  </r>
  <r>
    <s v="ORD03873"/>
    <s v="2023-02-27"/>
    <x v="16"/>
    <x v="3"/>
    <x v="3"/>
    <s v="Stapler"/>
    <n v="2"/>
    <n v="57906"/>
    <n v="0.1"/>
    <n v="104230.8"/>
    <n v="23639.02"/>
    <x v="2"/>
    <x v="11"/>
    <x v="1"/>
  </r>
  <r>
    <s v="ORD03874"/>
    <s v="2023-02-19"/>
    <x v="34"/>
    <x v="4"/>
    <x v="0"/>
    <s v="Stool"/>
    <n v="6"/>
    <n v="10771"/>
    <n v="0"/>
    <n v="64626"/>
    <n v="9177.0499999999993"/>
    <x v="1"/>
    <x v="11"/>
    <x v="1"/>
  </r>
  <r>
    <s v="ORD03875"/>
    <s v="2023-06-01"/>
    <x v="5"/>
    <x v="16"/>
    <x v="3"/>
    <s v="Pen"/>
    <n v="1"/>
    <n v="35706"/>
    <n v="0.1"/>
    <n v="32135.4"/>
    <n v="3264.53"/>
    <x v="2"/>
    <x v="5"/>
    <x v="1"/>
  </r>
  <r>
    <s v="ORD03876"/>
    <s v="2024-05-12"/>
    <x v="2"/>
    <x v="9"/>
    <x v="1"/>
    <s v="Keyboard"/>
    <n v="4"/>
    <n v="44261"/>
    <n v="0.05"/>
    <n v="168191.8"/>
    <n v="15076.82"/>
    <x v="2"/>
    <x v="6"/>
    <x v="0"/>
  </r>
  <r>
    <s v="ORD03877"/>
    <s v="2023-12-23"/>
    <x v="7"/>
    <x v="4"/>
    <x v="0"/>
    <s v="Stool"/>
    <n v="3"/>
    <n v="20891"/>
    <n v="0.1"/>
    <n v="56405.7"/>
    <n v="12060.18"/>
    <x v="1"/>
    <x v="9"/>
    <x v="1"/>
  </r>
  <r>
    <s v="ORD03878"/>
    <s v="2023-12-01"/>
    <x v="48"/>
    <x v="27"/>
    <x v="3"/>
    <s v="File"/>
    <n v="2"/>
    <n v="55754"/>
    <n v="0.2"/>
    <n v="89206.399999999994"/>
    <n v="20500.43"/>
    <x v="3"/>
    <x v="9"/>
    <x v="1"/>
  </r>
  <r>
    <s v="ORD03879"/>
    <s v="2023-01-03"/>
    <x v="32"/>
    <x v="3"/>
    <x v="3"/>
    <s v="Stapler"/>
    <n v="7"/>
    <n v="50351"/>
    <n v="0"/>
    <n v="352457"/>
    <n v="28742.09"/>
    <x v="2"/>
    <x v="3"/>
    <x v="1"/>
  </r>
  <r>
    <s v="ORD03880"/>
    <s v="2023-07-17"/>
    <x v="16"/>
    <x v="23"/>
    <x v="0"/>
    <s v="Desk"/>
    <n v="3"/>
    <n v="8842"/>
    <n v="0.05"/>
    <n v="25199.7"/>
    <n v="6813.82"/>
    <x v="3"/>
    <x v="1"/>
    <x v="1"/>
  </r>
  <r>
    <s v="ORD03881"/>
    <s v="2024-11-14"/>
    <x v="20"/>
    <x v="10"/>
    <x v="3"/>
    <s v="Marker"/>
    <n v="7"/>
    <n v="40960"/>
    <n v="0.05"/>
    <n v="272384"/>
    <n v="63915.51"/>
    <x v="3"/>
    <x v="4"/>
    <x v="0"/>
  </r>
  <r>
    <s v="ORD03882"/>
    <s v="2023-01-30"/>
    <x v="2"/>
    <x v="5"/>
    <x v="0"/>
    <s v="Cupboard"/>
    <n v="6"/>
    <n v="37339"/>
    <n v="0.1"/>
    <n v="201630.6"/>
    <n v="28276"/>
    <x v="2"/>
    <x v="3"/>
    <x v="1"/>
  </r>
  <r>
    <s v="ORD03883"/>
    <s v="2024-10-04"/>
    <x v="9"/>
    <x v="6"/>
    <x v="2"/>
    <s v="Jeans"/>
    <n v="2"/>
    <n v="52193"/>
    <n v="0.15"/>
    <n v="88728.1"/>
    <n v="14587.54"/>
    <x v="2"/>
    <x v="0"/>
    <x v="0"/>
  </r>
  <r>
    <s v="ORD03884"/>
    <s v="2023-07-28"/>
    <x v="31"/>
    <x v="2"/>
    <x v="2"/>
    <s v="Shoes"/>
    <n v="10"/>
    <n v="9153"/>
    <n v="0.05"/>
    <n v="86953.5"/>
    <n v="22797"/>
    <x v="0"/>
    <x v="1"/>
    <x v="1"/>
  </r>
  <r>
    <s v="ORD03885"/>
    <s v="2023-07-03"/>
    <x v="19"/>
    <x v="4"/>
    <x v="0"/>
    <s v="Stool"/>
    <n v="1"/>
    <n v="37091"/>
    <n v="0.15"/>
    <n v="31527.35"/>
    <n v="7840.47"/>
    <x v="2"/>
    <x v="1"/>
    <x v="1"/>
  </r>
  <r>
    <s v="ORD03886"/>
    <s v="2023-12-24"/>
    <x v="38"/>
    <x v="15"/>
    <x v="0"/>
    <s v="Sofa"/>
    <n v="1"/>
    <n v="37848"/>
    <n v="0.1"/>
    <n v="34063.199999999997"/>
    <n v="7643.51"/>
    <x v="0"/>
    <x v="9"/>
    <x v="1"/>
  </r>
  <r>
    <s v="ORD03887"/>
    <s v="2023-05-05"/>
    <x v="25"/>
    <x v="26"/>
    <x v="3"/>
    <s v="Paper Ream"/>
    <n v="7"/>
    <n v="18257"/>
    <n v="0.2"/>
    <n v="102239.2"/>
    <n v="9859.85"/>
    <x v="0"/>
    <x v="6"/>
    <x v="1"/>
  </r>
  <r>
    <s v="ORD03888"/>
    <s v="2024-03-06"/>
    <x v="22"/>
    <x v="3"/>
    <x v="3"/>
    <s v="Stapler"/>
    <n v="1"/>
    <n v="42598"/>
    <n v="0"/>
    <n v="42598"/>
    <n v="5528.78"/>
    <x v="3"/>
    <x v="7"/>
    <x v="0"/>
  </r>
  <r>
    <s v="ORD03889"/>
    <s v="2023-03-09"/>
    <x v="11"/>
    <x v="3"/>
    <x v="3"/>
    <s v="Stapler"/>
    <n v="10"/>
    <n v="53381"/>
    <n v="0.1"/>
    <n v="480429"/>
    <n v="47574.87"/>
    <x v="2"/>
    <x v="7"/>
    <x v="1"/>
  </r>
  <r>
    <s v="ORD03890"/>
    <s v="2023-09-09"/>
    <x v="12"/>
    <x v="14"/>
    <x v="2"/>
    <s v="Dress"/>
    <n v="15"/>
    <n v="645"/>
    <n v="0.1"/>
    <n v="8707.5"/>
    <n v="1522.26"/>
    <x v="0"/>
    <x v="10"/>
    <x v="1"/>
  </r>
  <r>
    <s v="ORD03891"/>
    <s v="2024-05-01"/>
    <x v="1"/>
    <x v="3"/>
    <x v="3"/>
    <s v="Stapler"/>
    <n v="10"/>
    <n v="53097"/>
    <n v="0.05"/>
    <n v="504421.5"/>
    <n v="46935.6"/>
    <x v="0"/>
    <x v="6"/>
    <x v="0"/>
  </r>
  <r>
    <s v="ORD03892"/>
    <s v="2023-02-26"/>
    <x v="19"/>
    <x v="24"/>
    <x v="2"/>
    <s v="T-Shirt"/>
    <n v="4"/>
    <n v="46318"/>
    <n v="0.15"/>
    <n v="157481.20000000001"/>
    <n v="26301.759999999998"/>
    <x v="1"/>
    <x v="11"/>
    <x v="1"/>
  </r>
  <r>
    <s v="ORD03893"/>
    <s v="2024-08-28"/>
    <x v="10"/>
    <x v="10"/>
    <x v="3"/>
    <s v="Marker"/>
    <n v="6"/>
    <n v="2044"/>
    <n v="0.15"/>
    <n v="10424.4"/>
    <n v="1896.81"/>
    <x v="1"/>
    <x v="8"/>
    <x v="0"/>
  </r>
  <r>
    <s v="ORD03894"/>
    <s v="2023-04-07"/>
    <x v="45"/>
    <x v="7"/>
    <x v="0"/>
    <s v="Bed"/>
    <n v="4"/>
    <n v="14775"/>
    <n v="0.1"/>
    <n v="53190"/>
    <n v="4611.7"/>
    <x v="2"/>
    <x v="2"/>
    <x v="1"/>
  </r>
  <r>
    <s v="ORD03895"/>
    <s v="2024-08-10"/>
    <x v="0"/>
    <x v="2"/>
    <x v="2"/>
    <s v="Shoes"/>
    <n v="6"/>
    <n v="15276"/>
    <n v="0.15"/>
    <n v="77907.600000000006"/>
    <n v="20477.71"/>
    <x v="1"/>
    <x v="8"/>
    <x v="0"/>
  </r>
  <r>
    <s v="ORD03896"/>
    <s v="2023-07-25"/>
    <x v="32"/>
    <x v="6"/>
    <x v="2"/>
    <s v="Jeans"/>
    <n v="9"/>
    <n v="35265"/>
    <n v="0.15"/>
    <n v="269777.25"/>
    <n v="60909.29"/>
    <x v="1"/>
    <x v="1"/>
    <x v="1"/>
  </r>
  <r>
    <s v="ORD03897"/>
    <s v="2024-10-14"/>
    <x v="42"/>
    <x v="26"/>
    <x v="3"/>
    <s v="Paper Ream"/>
    <n v="9"/>
    <n v="28825"/>
    <n v="0.05"/>
    <n v="246453.75"/>
    <n v="25775.85"/>
    <x v="0"/>
    <x v="0"/>
    <x v="0"/>
  </r>
  <r>
    <s v="ORD03898"/>
    <s v="2024-10-11"/>
    <x v="16"/>
    <x v="3"/>
    <x v="3"/>
    <s v="Stapler"/>
    <n v="12"/>
    <n v="738"/>
    <n v="0.1"/>
    <n v="7970.4"/>
    <n v="1686.44"/>
    <x v="2"/>
    <x v="0"/>
    <x v="0"/>
  </r>
  <r>
    <s v="ORD03899"/>
    <s v="2023-03-19"/>
    <x v="30"/>
    <x v="13"/>
    <x v="2"/>
    <s v="Jacket"/>
    <n v="13"/>
    <n v="52801"/>
    <n v="0"/>
    <n v="686413"/>
    <n v="184328.84"/>
    <x v="2"/>
    <x v="7"/>
    <x v="1"/>
  </r>
  <r>
    <s v="ORD03900"/>
    <s v="2023-01-30"/>
    <x v="28"/>
    <x v="7"/>
    <x v="0"/>
    <s v="Bed"/>
    <n v="15"/>
    <n v="33199"/>
    <n v="0"/>
    <n v="497985"/>
    <n v="48146.400000000001"/>
    <x v="2"/>
    <x v="3"/>
    <x v="1"/>
  </r>
  <r>
    <s v="ORD03901"/>
    <s v="2023-01-18"/>
    <x v="25"/>
    <x v="16"/>
    <x v="3"/>
    <s v="Pen"/>
    <n v="6"/>
    <n v="59128"/>
    <n v="0.05"/>
    <n v="337029.6"/>
    <n v="51748.160000000003"/>
    <x v="1"/>
    <x v="3"/>
    <x v="1"/>
  </r>
  <r>
    <s v="ORD03902"/>
    <s v="2024-11-07"/>
    <x v="7"/>
    <x v="3"/>
    <x v="3"/>
    <s v="Stapler"/>
    <n v="2"/>
    <n v="30143"/>
    <n v="0.2"/>
    <n v="48228.800000000003"/>
    <n v="9757.4"/>
    <x v="0"/>
    <x v="4"/>
    <x v="0"/>
  </r>
  <r>
    <s v="ORD03903"/>
    <s v="2023-02-04"/>
    <x v="27"/>
    <x v="13"/>
    <x v="2"/>
    <s v="Jacket"/>
    <n v="6"/>
    <n v="24131"/>
    <n v="0.05"/>
    <n v="137546.70000000001"/>
    <n v="11828.68"/>
    <x v="3"/>
    <x v="11"/>
    <x v="1"/>
  </r>
  <r>
    <s v="ORD03904"/>
    <s v="2023-03-19"/>
    <x v="44"/>
    <x v="23"/>
    <x v="0"/>
    <s v="Desk"/>
    <n v="13"/>
    <n v="9401"/>
    <n v="0.05"/>
    <n v="116102.35"/>
    <n v="23381.98"/>
    <x v="1"/>
    <x v="7"/>
    <x v="1"/>
  </r>
  <r>
    <s v="ORD03905"/>
    <s v="2024-07-21"/>
    <x v="37"/>
    <x v="2"/>
    <x v="2"/>
    <s v="Shoes"/>
    <n v="1"/>
    <n v="12922"/>
    <n v="0.1"/>
    <n v="11629.8"/>
    <n v="3340.28"/>
    <x v="0"/>
    <x v="1"/>
    <x v="0"/>
  </r>
  <r>
    <s v="ORD03906"/>
    <s v="2023-03-23"/>
    <x v="43"/>
    <x v="18"/>
    <x v="0"/>
    <s v="Table"/>
    <n v="13"/>
    <n v="18441"/>
    <n v="0.05"/>
    <n v="227746.35"/>
    <n v="49670.03"/>
    <x v="2"/>
    <x v="7"/>
    <x v="1"/>
  </r>
  <r>
    <s v="ORD03907"/>
    <s v="2023-04-18"/>
    <x v="18"/>
    <x v="12"/>
    <x v="1"/>
    <s v="Headphones"/>
    <n v="9"/>
    <n v="27761"/>
    <n v="0.15"/>
    <n v="212371.65"/>
    <n v="43457.06"/>
    <x v="3"/>
    <x v="2"/>
    <x v="1"/>
  </r>
  <r>
    <s v="ORD03908"/>
    <s v="2023-01-28"/>
    <x v="20"/>
    <x v="17"/>
    <x v="1"/>
    <s v="Power Bank"/>
    <n v="11"/>
    <n v="23278"/>
    <n v="0.15"/>
    <n v="217649.3"/>
    <n v="53246.34"/>
    <x v="1"/>
    <x v="3"/>
    <x v="1"/>
  </r>
  <r>
    <s v="ORD03909"/>
    <s v="2023-02-12"/>
    <x v="48"/>
    <x v="6"/>
    <x v="2"/>
    <s v="Jeans"/>
    <n v="13"/>
    <n v="57037"/>
    <n v="0.1"/>
    <n v="667332.9"/>
    <n v="123740.42"/>
    <x v="1"/>
    <x v="11"/>
    <x v="1"/>
  </r>
  <r>
    <s v="ORD03910"/>
    <s v="2023-09-28"/>
    <x v="35"/>
    <x v="2"/>
    <x v="2"/>
    <s v="Shoes"/>
    <n v="3"/>
    <n v="24871"/>
    <n v="0.15"/>
    <n v="63421.05"/>
    <n v="16722.07"/>
    <x v="0"/>
    <x v="10"/>
    <x v="1"/>
  </r>
  <r>
    <s v="ORD03911"/>
    <s v="2024-10-03"/>
    <x v="18"/>
    <x v="9"/>
    <x v="1"/>
    <s v="Keyboard"/>
    <n v="3"/>
    <n v="15975"/>
    <n v="0.1"/>
    <n v="43132.5"/>
    <n v="12663.32"/>
    <x v="0"/>
    <x v="0"/>
    <x v="0"/>
  </r>
  <r>
    <s v="ORD03912"/>
    <s v="2023-12-06"/>
    <x v="27"/>
    <x v="16"/>
    <x v="3"/>
    <s v="Pen"/>
    <n v="14"/>
    <n v="14714"/>
    <n v="0.15"/>
    <n v="175096.6"/>
    <n v="41906.82"/>
    <x v="3"/>
    <x v="9"/>
    <x v="1"/>
  </r>
  <r>
    <s v="ORD03913"/>
    <s v="2023-11-25"/>
    <x v="38"/>
    <x v="7"/>
    <x v="0"/>
    <s v="Bed"/>
    <n v="10"/>
    <n v="9074"/>
    <n v="0.15"/>
    <n v="77129"/>
    <n v="23049.45"/>
    <x v="0"/>
    <x v="4"/>
    <x v="1"/>
  </r>
  <r>
    <s v="ORD03914"/>
    <s v="2024-11-12"/>
    <x v="30"/>
    <x v="5"/>
    <x v="0"/>
    <s v="Cupboard"/>
    <n v="2"/>
    <n v="35499"/>
    <n v="0"/>
    <n v="70998"/>
    <n v="14504.96"/>
    <x v="2"/>
    <x v="4"/>
    <x v="0"/>
  </r>
  <r>
    <s v="ORD03915"/>
    <s v="2024-04-01"/>
    <x v="8"/>
    <x v="18"/>
    <x v="0"/>
    <s v="Table"/>
    <n v="5"/>
    <n v="45432"/>
    <n v="0.1"/>
    <n v="204444"/>
    <n v="20362.080000000002"/>
    <x v="3"/>
    <x v="2"/>
    <x v="0"/>
  </r>
  <r>
    <s v="ORD03916"/>
    <s v="2023-01-05"/>
    <x v="30"/>
    <x v="13"/>
    <x v="2"/>
    <s v="Jacket"/>
    <n v="10"/>
    <n v="27652"/>
    <n v="0"/>
    <n v="276520"/>
    <n v="68869.440000000002"/>
    <x v="1"/>
    <x v="3"/>
    <x v="1"/>
  </r>
  <r>
    <s v="ORD03917"/>
    <s v="2023-09-26"/>
    <x v="36"/>
    <x v="16"/>
    <x v="3"/>
    <s v="Pen"/>
    <n v="13"/>
    <n v="57637"/>
    <n v="0"/>
    <n v="749281"/>
    <n v="146774.79"/>
    <x v="1"/>
    <x v="10"/>
    <x v="1"/>
  </r>
  <r>
    <s v="ORD03918"/>
    <s v="2023-11-11"/>
    <x v="31"/>
    <x v="2"/>
    <x v="2"/>
    <s v="Shoes"/>
    <n v="11"/>
    <n v="42246"/>
    <n v="0.1"/>
    <n v="418235.4"/>
    <n v="41829.870000000003"/>
    <x v="3"/>
    <x v="4"/>
    <x v="1"/>
  </r>
  <r>
    <s v="ORD03919"/>
    <s v="2023-04-22"/>
    <x v="21"/>
    <x v="14"/>
    <x v="2"/>
    <s v="Dress"/>
    <n v="2"/>
    <n v="48314"/>
    <n v="0"/>
    <n v="96628"/>
    <n v="16001.92"/>
    <x v="1"/>
    <x v="2"/>
    <x v="1"/>
  </r>
  <r>
    <s v="ORD03920"/>
    <s v="2024-03-03"/>
    <x v="22"/>
    <x v="20"/>
    <x v="1"/>
    <s v="Tablet"/>
    <n v="4"/>
    <n v="12538"/>
    <n v="0.1"/>
    <n v="45136.800000000003"/>
    <n v="11297.4"/>
    <x v="3"/>
    <x v="7"/>
    <x v="0"/>
  </r>
  <r>
    <s v="ORD03921"/>
    <s v="2023-08-04"/>
    <x v="35"/>
    <x v="9"/>
    <x v="1"/>
    <s v="Keyboard"/>
    <n v="13"/>
    <n v="45902"/>
    <n v="0.15"/>
    <n v="507217.1"/>
    <n v="84226.76"/>
    <x v="1"/>
    <x v="8"/>
    <x v="1"/>
  </r>
  <r>
    <s v="ORD03922"/>
    <s v="2023-03-30"/>
    <x v="30"/>
    <x v="12"/>
    <x v="1"/>
    <s v="Headphones"/>
    <n v="1"/>
    <n v="50870"/>
    <n v="0.15"/>
    <n v="43239.5"/>
    <n v="4000.93"/>
    <x v="1"/>
    <x v="7"/>
    <x v="1"/>
  </r>
  <r>
    <s v="ORD03923"/>
    <s v="2024-09-18"/>
    <x v="1"/>
    <x v="14"/>
    <x v="2"/>
    <s v="Dress"/>
    <n v="11"/>
    <n v="9554"/>
    <n v="0.1"/>
    <n v="94584.6"/>
    <n v="8558.76"/>
    <x v="1"/>
    <x v="10"/>
    <x v="0"/>
  </r>
  <r>
    <s v="ORD03924"/>
    <s v="2024-04-22"/>
    <x v="21"/>
    <x v="14"/>
    <x v="2"/>
    <s v="Dress"/>
    <n v="9"/>
    <n v="25632"/>
    <n v="0"/>
    <n v="230688"/>
    <n v="18643.830000000002"/>
    <x v="3"/>
    <x v="2"/>
    <x v="0"/>
  </r>
  <r>
    <s v="ORD03925"/>
    <s v="2023-02-03"/>
    <x v="37"/>
    <x v="17"/>
    <x v="1"/>
    <s v="Power Bank"/>
    <n v="12"/>
    <n v="4601"/>
    <n v="0.2"/>
    <n v="44169.599999999999"/>
    <n v="6312.42"/>
    <x v="3"/>
    <x v="11"/>
    <x v="1"/>
  </r>
  <r>
    <s v="ORD03926"/>
    <s v="2023-05-30"/>
    <x v="47"/>
    <x v="7"/>
    <x v="0"/>
    <s v="Bed"/>
    <n v="3"/>
    <n v="1278"/>
    <n v="0.1"/>
    <n v="3450.6"/>
    <n v="435.67"/>
    <x v="0"/>
    <x v="6"/>
    <x v="1"/>
  </r>
  <r>
    <s v="ORD03927"/>
    <s v="2024-04-15"/>
    <x v="14"/>
    <x v="12"/>
    <x v="1"/>
    <s v="Headphones"/>
    <n v="13"/>
    <n v="11532"/>
    <n v="0"/>
    <n v="149916"/>
    <n v="34858"/>
    <x v="1"/>
    <x v="2"/>
    <x v="0"/>
  </r>
  <r>
    <s v="ORD03928"/>
    <s v="2024-11-26"/>
    <x v="10"/>
    <x v="25"/>
    <x v="3"/>
    <s v="Notebook"/>
    <n v="8"/>
    <n v="14740"/>
    <n v="0.15"/>
    <n v="100232"/>
    <n v="28152.22"/>
    <x v="0"/>
    <x v="4"/>
    <x v="0"/>
  </r>
  <r>
    <s v="ORD03929"/>
    <s v="2023-08-08"/>
    <x v="9"/>
    <x v="21"/>
    <x v="1"/>
    <s v="Laptop"/>
    <n v="1"/>
    <n v="1801"/>
    <n v="0"/>
    <n v="1801"/>
    <n v="339.51"/>
    <x v="0"/>
    <x v="8"/>
    <x v="1"/>
  </r>
  <r>
    <s v="ORD03930"/>
    <s v="2024-04-07"/>
    <x v="14"/>
    <x v="16"/>
    <x v="3"/>
    <s v="Pen"/>
    <n v="14"/>
    <n v="8500"/>
    <n v="0"/>
    <n v="119000"/>
    <n v="28133.360000000001"/>
    <x v="2"/>
    <x v="2"/>
    <x v="0"/>
  </r>
  <r>
    <s v="ORD03931"/>
    <s v="2024-03-21"/>
    <x v="29"/>
    <x v="19"/>
    <x v="1"/>
    <s v="Smartwatch"/>
    <n v="14"/>
    <n v="53573"/>
    <n v="0.05"/>
    <n v="712520.9"/>
    <n v="180796.02"/>
    <x v="1"/>
    <x v="7"/>
    <x v="0"/>
  </r>
  <r>
    <s v="ORD03932"/>
    <s v="2024-07-22"/>
    <x v="25"/>
    <x v="3"/>
    <x v="3"/>
    <s v="Stapler"/>
    <n v="11"/>
    <n v="22762"/>
    <n v="0.05"/>
    <n v="237862.9"/>
    <n v="60577.06"/>
    <x v="3"/>
    <x v="1"/>
    <x v="0"/>
  </r>
  <r>
    <s v="ORD03933"/>
    <s v="2023-06-07"/>
    <x v="10"/>
    <x v="11"/>
    <x v="3"/>
    <s v="Printer"/>
    <n v="9"/>
    <n v="51224"/>
    <n v="0.15"/>
    <n v="391863.6"/>
    <n v="56056.99"/>
    <x v="2"/>
    <x v="5"/>
    <x v="1"/>
  </r>
  <r>
    <s v="ORD03934"/>
    <s v="2023-11-29"/>
    <x v="16"/>
    <x v="23"/>
    <x v="0"/>
    <s v="Desk"/>
    <n v="10"/>
    <n v="52217"/>
    <n v="0.1"/>
    <n v="469953"/>
    <n v="91330.87"/>
    <x v="0"/>
    <x v="4"/>
    <x v="1"/>
  </r>
  <r>
    <s v="ORD03935"/>
    <s v="2023-07-17"/>
    <x v="0"/>
    <x v="4"/>
    <x v="0"/>
    <s v="Stool"/>
    <n v="10"/>
    <n v="17835"/>
    <n v="0.15"/>
    <n v="151597.5"/>
    <n v="19695.07"/>
    <x v="0"/>
    <x v="1"/>
    <x v="1"/>
  </r>
  <r>
    <s v="ORD03936"/>
    <s v="2023-08-17"/>
    <x v="38"/>
    <x v="12"/>
    <x v="1"/>
    <s v="Headphones"/>
    <n v="7"/>
    <n v="36427"/>
    <n v="0.1"/>
    <n v="229490.1"/>
    <n v="32895.589999999997"/>
    <x v="3"/>
    <x v="8"/>
    <x v="1"/>
  </r>
  <r>
    <s v="ORD03937"/>
    <s v="2023-02-25"/>
    <x v="13"/>
    <x v="0"/>
    <x v="0"/>
    <s v="Chair"/>
    <n v="10"/>
    <n v="18250"/>
    <n v="0"/>
    <n v="182500"/>
    <n v="20075.71"/>
    <x v="3"/>
    <x v="11"/>
    <x v="1"/>
  </r>
  <r>
    <s v="ORD03938"/>
    <s v="2023-07-24"/>
    <x v="32"/>
    <x v="21"/>
    <x v="1"/>
    <s v="Laptop"/>
    <n v="9"/>
    <n v="29628"/>
    <n v="0.1"/>
    <n v="239986.8"/>
    <n v="25610.53"/>
    <x v="1"/>
    <x v="1"/>
    <x v="1"/>
  </r>
  <r>
    <s v="ORD03939"/>
    <s v="2023-10-03"/>
    <x v="48"/>
    <x v="0"/>
    <x v="0"/>
    <s v="Chair"/>
    <n v="2"/>
    <n v="26476"/>
    <n v="0"/>
    <n v="52952"/>
    <n v="9003.2800000000007"/>
    <x v="2"/>
    <x v="0"/>
    <x v="1"/>
  </r>
  <r>
    <s v="ORD03940"/>
    <s v="2023-05-26"/>
    <x v="28"/>
    <x v="19"/>
    <x v="1"/>
    <s v="Smartwatch"/>
    <n v="2"/>
    <n v="7498"/>
    <n v="0.15"/>
    <n v="12746.6"/>
    <n v="1850.05"/>
    <x v="0"/>
    <x v="6"/>
    <x v="1"/>
  </r>
  <r>
    <s v="ORD03941"/>
    <s v="2023-04-06"/>
    <x v="16"/>
    <x v="2"/>
    <x v="2"/>
    <s v="Shoes"/>
    <n v="9"/>
    <n v="58126"/>
    <n v="0.05"/>
    <n v="496977.3"/>
    <n v="60063.12"/>
    <x v="0"/>
    <x v="2"/>
    <x v="1"/>
  </r>
  <r>
    <s v="ORD03942"/>
    <s v="2024-05-30"/>
    <x v="11"/>
    <x v="8"/>
    <x v="2"/>
    <s v="Sweater"/>
    <n v="9"/>
    <n v="11468"/>
    <n v="0.15"/>
    <n v="87730.2"/>
    <n v="22341.25"/>
    <x v="3"/>
    <x v="6"/>
    <x v="0"/>
  </r>
  <r>
    <s v="ORD03943"/>
    <s v="2023-06-09"/>
    <x v="5"/>
    <x v="14"/>
    <x v="2"/>
    <s v="Dress"/>
    <n v="10"/>
    <n v="59403"/>
    <n v="0.15"/>
    <n v="504925.5"/>
    <n v="115593.39"/>
    <x v="2"/>
    <x v="5"/>
    <x v="1"/>
  </r>
  <r>
    <s v="ORD03944"/>
    <s v="2023-10-31"/>
    <x v="27"/>
    <x v="8"/>
    <x v="2"/>
    <s v="Sweater"/>
    <n v="5"/>
    <n v="53658"/>
    <n v="0.05"/>
    <n v="254875.5"/>
    <n v="58678.48"/>
    <x v="0"/>
    <x v="0"/>
    <x v="1"/>
  </r>
  <r>
    <s v="ORD03945"/>
    <s v="2024-08-21"/>
    <x v="31"/>
    <x v="2"/>
    <x v="2"/>
    <s v="Shoes"/>
    <n v="14"/>
    <n v="56566"/>
    <n v="0.15"/>
    <n v="673135.4"/>
    <n v="162195.06"/>
    <x v="3"/>
    <x v="8"/>
    <x v="0"/>
  </r>
  <r>
    <s v="ORD03946"/>
    <s v="2023-10-25"/>
    <x v="15"/>
    <x v="14"/>
    <x v="2"/>
    <s v="Dress"/>
    <n v="4"/>
    <n v="59746"/>
    <n v="0.05"/>
    <n v="227034.8"/>
    <n v="61511.13"/>
    <x v="2"/>
    <x v="0"/>
    <x v="1"/>
  </r>
  <r>
    <s v="ORD03947"/>
    <s v="2024-05-27"/>
    <x v="40"/>
    <x v="8"/>
    <x v="2"/>
    <s v="Sweater"/>
    <n v="1"/>
    <n v="37433"/>
    <n v="0"/>
    <n v="37433"/>
    <n v="9367.7900000000009"/>
    <x v="0"/>
    <x v="6"/>
    <x v="0"/>
  </r>
  <r>
    <s v="ORD03948"/>
    <s v="2023-01-05"/>
    <x v="26"/>
    <x v="14"/>
    <x v="2"/>
    <s v="Dress"/>
    <n v="4"/>
    <n v="48546"/>
    <n v="0"/>
    <n v="194184"/>
    <n v="53763.11"/>
    <x v="1"/>
    <x v="3"/>
    <x v="1"/>
  </r>
  <r>
    <s v="ORD03949"/>
    <s v="2023-06-21"/>
    <x v="19"/>
    <x v="9"/>
    <x v="1"/>
    <s v="Keyboard"/>
    <n v="10"/>
    <n v="42646"/>
    <n v="0"/>
    <n v="426460"/>
    <n v="45047.71"/>
    <x v="2"/>
    <x v="5"/>
    <x v="1"/>
  </r>
  <r>
    <s v="ORD03950"/>
    <s v="2023-07-17"/>
    <x v="43"/>
    <x v="22"/>
    <x v="1"/>
    <s v="Camera"/>
    <n v="6"/>
    <n v="20437"/>
    <n v="0.05"/>
    <n v="116490.9"/>
    <n v="21787.72"/>
    <x v="0"/>
    <x v="1"/>
    <x v="1"/>
  </r>
  <r>
    <s v="ORD03951"/>
    <s v="2024-06-16"/>
    <x v="1"/>
    <x v="22"/>
    <x v="1"/>
    <s v="Camera"/>
    <n v="11"/>
    <n v="35084"/>
    <n v="0.15"/>
    <n v="328035.40000000002"/>
    <n v="93694.56"/>
    <x v="1"/>
    <x v="5"/>
    <x v="0"/>
  </r>
  <r>
    <s v="ORD03952"/>
    <s v="2024-10-02"/>
    <x v="8"/>
    <x v="15"/>
    <x v="0"/>
    <s v="Sofa"/>
    <n v="7"/>
    <n v="58570"/>
    <n v="0"/>
    <n v="409990"/>
    <n v="35183.599999999999"/>
    <x v="1"/>
    <x v="0"/>
    <x v="0"/>
  </r>
  <r>
    <s v="ORD03953"/>
    <s v="2023-04-15"/>
    <x v="17"/>
    <x v="24"/>
    <x v="2"/>
    <s v="T-Shirt"/>
    <n v="14"/>
    <n v="48053"/>
    <n v="0.05"/>
    <n v="639104.9"/>
    <n v="73412.59"/>
    <x v="0"/>
    <x v="2"/>
    <x v="1"/>
  </r>
  <r>
    <s v="ORD03954"/>
    <s v="2024-06-08"/>
    <x v="47"/>
    <x v="24"/>
    <x v="2"/>
    <s v="T-Shirt"/>
    <n v="2"/>
    <n v="41575"/>
    <n v="0.2"/>
    <n v="66520"/>
    <n v="18309.95"/>
    <x v="1"/>
    <x v="5"/>
    <x v="0"/>
  </r>
  <r>
    <s v="ORD03955"/>
    <s v="2024-04-09"/>
    <x v="22"/>
    <x v="14"/>
    <x v="2"/>
    <s v="Dress"/>
    <n v="15"/>
    <n v="25460"/>
    <n v="0"/>
    <n v="381900"/>
    <n v="102601.03"/>
    <x v="1"/>
    <x v="2"/>
    <x v="0"/>
  </r>
  <r>
    <s v="ORD03956"/>
    <s v="2024-08-03"/>
    <x v="38"/>
    <x v="24"/>
    <x v="2"/>
    <s v="T-Shirt"/>
    <n v="12"/>
    <n v="45498"/>
    <n v="0.2"/>
    <n v="436780.79999999999"/>
    <n v="68094.69"/>
    <x v="1"/>
    <x v="8"/>
    <x v="0"/>
  </r>
  <r>
    <s v="ORD03957"/>
    <s v="2023-11-06"/>
    <x v="3"/>
    <x v="27"/>
    <x v="3"/>
    <s v="File"/>
    <n v="15"/>
    <n v="21328"/>
    <n v="0.2"/>
    <n v="255936"/>
    <n v="63985.65"/>
    <x v="0"/>
    <x v="4"/>
    <x v="1"/>
  </r>
  <r>
    <s v="ORD03958"/>
    <s v="2024-02-20"/>
    <x v="26"/>
    <x v="2"/>
    <x v="2"/>
    <s v="Shoes"/>
    <n v="3"/>
    <n v="43317"/>
    <n v="0.15"/>
    <n v="110458.35"/>
    <n v="28212.7"/>
    <x v="1"/>
    <x v="11"/>
    <x v="0"/>
  </r>
  <r>
    <s v="ORD03959"/>
    <s v="2023-01-21"/>
    <x v="26"/>
    <x v="26"/>
    <x v="3"/>
    <s v="Paper Ream"/>
    <n v="6"/>
    <n v="58890"/>
    <n v="0.2"/>
    <n v="282672"/>
    <n v="23059.13"/>
    <x v="1"/>
    <x v="3"/>
    <x v="1"/>
  </r>
  <r>
    <s v="ORD03960"/>
    <s v="2023-03-15"/>
    <x v="7"/>
    <x v="12"/>
    <x v="1"/>
    <s v="Headphones"/>
    <n v="11"/>
    <n v="27253"/>
    <n v="0.2"/>
    <n v="239826.4"/>
    <n v="63045.72"/>
    <x v="3"/>
    <x v="7"/>
    <x v="1"/>
  </r>
  <r>
    <s v="ORD03961"/>
    <s v="2024-03-03"/>
    <x v="38"/>
    <x v="15"/>
    <x v="0"/>
    <s v="Sofa"/>
    <n v="10"/>
    <n v="31448"/>
    <n v="0"/>
    <n v="314480"/>
    <n v="31819.360000000001"/>
    <x v="0"/>
    <x v="7"/>
    <x v="0"/>
  </r>
  <r>
    <s v="ORD03962"/>
    <s v="2024-04-27"/>
    <x v="28"/>
    <x v="0"/>
    <x v="0"/>
    <s v="Chair"/>
    <n v="4"/>
    <n v="20888"/>
    <n v="0"/>
    <n v="83552"/>
    <n v="8237.2099999999991"/>
    <x v="3"/>
    <x v="2"/>
    <x v="0"/>
  </r>
  <r>
    <s v="ORD03963"/>
    <s v="2024-11-27"/>
    <x v="25"/>
    <x v="27"/>
    <x v="3"/>
    <s v="File"/>
    <n v="10"/>
    <n v="56015"/>
    <n v="0.2"/>
    <n v="448120"/>
    <n v="102876.61"/>
    <x v="1"/>
    <x v="4"/>
    <x v="0"/>
  </r>
  <r>
    <s v="ORD03964"/>
    <s v="2023-06-17"/>
    <x v="1"/>
    <x v="23"/>
    <x v="0"/>
    <s v="Desk"/>
    <n v="15"/>
    <n v="19519"/>
    <n v="0.1"/>
    <n v="263506.5"/>
    <n v="26541.759999999998"/>
    <x v="1"/>
    <x v="5"/>
    <x v="1"/>
  </r>
  <r>
    <s v="ORD03965"/>
    <s v="2024-06-22"/>
    <x v="41"/>
    <x v="24"/>
    <x v="2"/>
    <s v="T-Shirt"/>
    <n v="13"/>
    <n v="24867"/>
    <n v="0.1"/>
    <n v="290943.90000000002"/>
    <n v="27567.35"/>
    <x v="1"/>
    <x v="5"/>
    <x v="0"/>
  </r>
  <r>
    <s v="ORD03966"/>
    <s v="2023-12-15"/>
    <x v="45"/>
    <x v="16"/>
    <x v="3"/>
    <s v="Pen"/>
    <n v="9"/>
    <n v="1324"/>
    <n v="0.05"/>
    <n v="11320.2"/>
    <n v="3055.75"/>
    <x v="3"/>
    <x v="9"/>
    <x v="1"/>
  </r>
  <r>
    <s v="ORD03967"/>
    <s v="2024-11-12"/>
    <x v="23"/>
    <x v="24"/>
    <x v="2"/>
    <s v="T-Shirt"/>
    <n v="10"/>
    <n v="46015"/>
    <n v="0.05"/>
    <n v="437142.5"/>
    <n v="36769.06"/>
    <x v="0"/>
    <x v="4"/>
    <x v="0"/>
  </r>
  <r>
    <s v="ORD03968"/>
    <s v="2024-05-27"/>
    <x v="6"/>
    <x v="5"/>
    <x v="0"/>
    <s v="Cupboard"/>
    <n v="14"/>
    <n v="27300"/>
    <n v="0.05"/>
    <n v="363090"/>
    <n v="81223.31"/>
    <x v="0"/>
    <x v="6"/>
    <x v="0"/>
  </r>
  <r>
    <s v="ORD03969"/>
    <s v="2023-01-14"/>
    <x v="8"/>
    <x v="7"/>
    <x v="0"/>
    <s v="Bed"/>
    <n v="7"/>
    <n v="53143"/>
    <n v="0"/>
    <n v="372001"/>
    <n v="47518.53"/>
    <x v="1"/>
    <x v="3"/>
    <x v="1"/>
  </r>
  <r>
    <s v="ORD03970"/>
    <s v="2023-03-02"/>
    <x v="35"/>
    <x v="3"/>
    <x v="3"/>
    <s v="Stapler"/>
    <n v="12"/>
    <n v="10311"/>
    <n v="0.2"/>
    <n v="98985.600000000006"/>
    <n v="17863.84"/>
    <x v="0"/>
    <x v="7"/>
    <x v="1"/>
  </r>
  <r>
    <s v="ORD03971"/>
    <s v="2023-11-18"/>
    <x v="22"/>
    <x v="23"/>
    <x v="0"/>
    <s v="Desk"/>
    <n v="15"/>
    <n v="40486"/>
    <n v="0.15"/>
    <n v="516196.5"/>
    <n v="72944.259999999995"/>
    <x v="3"/>
    <x v="4"/>
    <x v="1"/>
  </r>
  <r>
    <s v="ORD03972"/>
    <s v="2024-03-16"/>
    <x v="40"/>
    <x v="26"/>
    <x v="3"/>
    <s v="Paper Ream"/>
    <n v="3"/>
    <n v="42741"/>
    <n v="0"/>
    <n v="128223"/>
    <n v="22575.67"/>
    <x v="0"/>
    <x v="7"/>
    <x v="0"/>
  </r>
  <r>
    <s v="ORD03973"/>
    <s v="2024-07-19"/>
    <x v="18"/>
    <x v="17"/>
    <x v="1"/>
    <s v="Power Bank"/>
    <n v="9"/>
    <n v="23205"/>
    <n v="0"/>
    <n v="208845"/>
    <n v="59415.63"/>
    <x v="3"/>
    <x v="1"/>
    <x v="0"/>
  </r>
  <r>
    <s v="ORD03974"/>
    <s v="2024-02-01"/>
    <x v="41"/>
    <x v="26"/>
    <x v="3"/>
    <s v="Paper Ream"/>
    <n v="15"/>
    <n v="3254"/>
    <n v="0.2"/>
    <n v="39048"/>
    <n v="10565.58"/>
    <x v="1"/>
    <x v="11"/>
    <x v="0"/>
  </r>
  <r>
    <s v="ORD03975"/>
    <s v="2023-08-02"/>
    <x v="49"/>
    <x v="25"/>
    <x v="3"/>
    <s v="Notebook"/>
    <n v="15"/>
    <n v="36259"/>
    <n v="0.1"/>
    <n v="489496.5"/>
    <n v="47529.97"/>
    <x v="3"/>
    <x v="8"/>
    <x v="1"/>
  </r>
  <r>
    <s v="ORD03976"/>
    <s v="2024-03-17"/>
    <x v="5"/>
    <x v="21"/>
    <x v="1"/>
    <s v="Laptop"/>
    <n v="13"/>
    <n v="25438"/>
    <n v="0.2"/>
    <n v="264555.2"/>
    <n v="46145.88"/>
    <x v="2"/>
    <x v="7"/>
    <x v="0"/>
  </r>
  <r>
    <s v="ORD03977"/>
    <s v="2023-12-28"/>
    <x v="25"/>
    <x v="24"/>
    <x v="2"/>
    <s v="T-Shirt"/>
    <n v="12"/>
    <n v="22108"/>
    <n v="0"/>
    <n v="265296"/>
    <n v="72325.58"/>
    <x v="3"/>
    <x v="9"/>
    <x v="1"/>
  </r>
  <r>
    <s v="ORD03978"/>
    <s v="2024-05-25"/>
    <x v="32"/>
    <x v="5"/>
    <x v="0"/>
    <s v="Cupboard"/>
    <n v="5"/>
    <n v="37419"/>
    <n v="0.2"/>
    <n v="149676"/>
    <n v="32973.730000000003"/>
    <x v="3"/>
    <x v="6"/>
    <x v="0"/>
  </r>
  <r>
    <s v="ORD03979"/>
    <s v="2023-06-16"/>
    <x v="41"/>
    <x v="6"/>
    <x v="2"/>
    <s v="Jeans"/>
    <n v="9"/>
    <n v="25420"/>
    <n v="0.15"/>
    <n v="194463"/>
    <n v="15893.18"/>
    <x v="3"/>
    <x v="5"/>
    <x v="1"/>
  </r>
  <r>
    <s v="ORD03980"/>
    <s v="2024-05-23"/>
    <x v="32"/>
    <x v="8"/>
    <x v="2"/>
    <s v="Sweater"/>
    <n v="12"/>
    <n v="26827"/>
    <n v="0.1"/>
    <n v="289731.59999999998"/>
    <n v="32707.57"/>
    <x v="0"/>
    <x v="6"/>
    <x v="0"/>
  </r>
  <r>
    <s v="ORD03981"/>
    <s v="2024-11-23"/>
    <x v="1"/>
    <x v="5"/>
    <x v="0"/>
    <s v="Cupboard"/>
    <n v="9"/>
    <n v="38967"/>
    <n v="0.05"/>
    <n v="333167.84999999998"/>
    <n v="31424.66"/>
    <x v="1"/>
    <x v="4"/>
    <x v="0"/>
  </r>
  <r>
    <s v="ORD03982"/>
    <s v="2024-04-13"/>
    <x v="34"/>
    <x v="10"/>
    <x v="3"/>
    <s v="Marker"/>
    <n v="7"/>
    <n v="37295"/>
    <n v="0.05"/>
    <n v="248011.75"/>
    <n v="33029.800000000003"/>
    <x v="2"/>
    <x v="2"/>
    <x v="0"/>
  </r>
  <r>
    <s v="ORD03983"/>
    <s v="2023-06-29"/>
    <x v="28"/>
    <x v="0"/>
    <x v="0"/>
    <s v="Chair"/>
    <n v="6"/>
    <n v="4453"/>
    <n v="0"/>
    <n v="26718"/>
    <n v="7965.89"/>
    <x v="2"/>
    <x v="5"/>
    <x v="1"/>
  </r>
  <r>
    <s v="ORD03984"/>
    <s v="2024-01-27"/>
    <x v="1"/>
    <x v="13"/>
    <x v="2"/>
    <s v="Jacket"/>
    <n v="10"/>
    <n v="44242"/>
    <n v="0.05"/>
    <n v="420299"/>
    <n v="111167.24"/>
    <x v="1"/>
    <x v="3"/>
    <x v="0"/>
  </r>
  <r>
    <s v="ORD03985"/>
    <s v="2023-09-07"/>
    <x v="44"/>
    <x v="10"/>
    <x v="3"/>
    <s v="Marker"/>
    <n v="6"/>
    <n v="30026"/>
    <n v="0.15"/>
    <n v="153132.6"/>
    <n v="38275.08"/>
    <x v="2"/>
    <x v="10"/>
    <x v="1"/>
  </r>
  <r>
    <s v="ORD03986"/>
    <s v="2023-07-22"/>
    <x v="0"/>
    <x v="15"/>
    <x v="0"/>
    <s v="Sofa"/>
    <n v="2"/>
    <n v="50708"/>
    <n v="0.05"/>
    <n v="96345.2"/>
    <n v="20162.05"/>
    <x v="1"/>
    <x v="1"/>
    <x v="1"/>
  </r>
  <r>
    <s v="ORD03987"/>
    <s v="2024-07-31"/>
    <x v="33"/>
    <x v="8"/>
    <x v="2"/>
    <s v="Sweater"/>
    <n v="2"/>
    <n v="51786"/>
    <n v="0.05"/>
    <n v="98393.4"/>
    <n v="11151.19"/>
    <x v="3"/>
    <x v="1"/>
    <x v="0"/>
  </r>
  <r>
    <s v="ORD03988"/>
    <s v="2023-08-25"/>
    <x v="47"/>
    <x v="14"/>
    <x v="2"/>
    <s v="Dress"/>
    <n v="13"/>
    <n v="17163"/>
    <n v="0.1"/>
    <n v="200807.1"/>
    <n v="40685.519999999997"/>
    <x v="2"/>
    <x v="8"/>
    <x v="1"/>
  </r>
  <r>
    <s v="ORD03989"/>
    <s v="2024-04-26"/>
    <x v="7"/>
    <x v="21"/>
    <x v="1"/>
    <s v="Laptop"/>
    <n v="14"/>
    <n v="29621"/>
    <n v="0.2"/>
    <n v="331755.2"/>
    <n v="37750.050000000003"/>
    <x v="2"/>
    <x v="2"/>
    <x v="0"/>
  </r>
  <r>
    <s v="ORD03990"/>
    <s v="2024-11-15"/>
    <x v="30"/>
    <x v="11"/>
    <x v="3"/>
    <s v="Printer"/>
    <n v="10"/>
    <n v="51876"/>
    <n v="0.1"/>
    <n v="466884"/>
    <n v="48719.199999999997"/>
    <x v="2"/>
    <x v="4"/>
    <x v="0"/>
  </r>
  <r>
    <s v="ORD03991"/>
    <s v="2023-11-02"/>
    <x v="5"/>
    <x v="9"/>
    <x v="1"/>
    <s v="Keyboard"/>
    <n v="6"/>
    <n v="49507"/>
    <n v="0.05"/>
    <n v="282189.90000000002"/>
    <n v="26718.93"/>
    <x v="0"/>
    <x v="4"/>
    <x v="1"/>
  </r>
  <r>
    <s v="ORD03992"/>
    <s v="2023-09-21"/>
    <x v="33"/>
    <x v="18"/>
    <x v="0"/>
    <s v="Table"/>
    <n v="8"/>
    <n v="2654"/>
    <n v="0.2"/>
    <n v="16985.599999999999"/>
    <n v="2972.57"/>
    <x v="3"/>
    <x v="10"/>
    <x v="1"/>
  </r>
  <r>
    <s v="ORD03993"/>
    <s v="2023-06-22"/>
    <x v="25"/>
    <x v="25"/>
    <x v="3"/>
    <s v="Notebook"/>
    <n v="14"/>
    <n v="36137"/>
    <n v="0.05"/>
    <n v="480622.1"/>
    <n v="47199.15"/>
    <x v="3"/>
    <x v="5"/>
    <x v="1"/>
  </r>
  <r>
    <s v="ORD03994"/>
    <s v="2024-06-04"/>
    <x v="38"/>
    <x v="14"/>
    <x v="2"/>
    <s v="Dress"/>
    <n v="13"/>
    <n v="40159"/>
    <n v="0"/>
    <n v="522067"/>
    <n v="93631.22"/>
    <x v="2"/>
    <x v="5"/>
    <x v="0"/>
  </r>
  <r>
    <s v="ORD03995"/>
    <s v="2024-04-24"/>
    <x v="22"/>
    <x v="26"/>
    <x v="3"/>
    <s v="Paper Ream"/>
    <n v="2"/>
    <n v="2680"/>
    <n v="0.15"/>
    <n v="4556"/>
    <n v="946.15"/>
    <x v="1"/>
    <x v="2"/>
    <x v="0"/>
  </r>
  <r>
    <s v="ORD03996"/>
    <s v="2024-01-12"/>
    <x v="21"/>
    <x v="17"/>
    <x v="1"/>
    <s v="Power Bank"/>
    <n v="14"/>
    <n v="16920"/>
    <n v="0.1"/>
    <n v="213192"/>
    <n v="33106.47"/>
    <x v="2"/>
    <x v="3"/>
    <x v="0"/>
  </r>
  <r>
    <s v="ORD03997"/>
    <s v="2024-06-18"/>
    <x v="5"/>
    <x v="20"/>
    <x v="1"/>
    <s v="Tablet"/>
    <n v="1"/>
    <n v="56839"/>
    <n v="0.15"/>
    <n v="48313.15"/>
    <n v="6723.38"/>
    <x v="3"/>
    <x v="5"/>
    <x v="0"/>
  </r>
  <r>
    <s v="ORD03998"/>
    <s v="2023-07-29"/>
    <x v="44"/>
    <x v="1"/>
    <x v="1"/>
    <s v="Mobile"/>
    <n v="5"/>
    <n v="53959"/>
    <n v="0"/>
    <n v="269795"/>
    <n v="55339.4"/>
    <x v="0"/>
    <x v="1"/>
    <x v="1"/>
  </r>
  <r>
    <s v="ORD03999"/>
    <s v="2023-02-11"/>
    <x v="44"/>
    <x v="8"/>
    <x v="2"/>
    <s v="Sweater"/>
    <n v="8"/>
    <n v="3762"/>
    <n v="0.15"/>
    <n v="25581.599999999999"/>
    <n v="3894.51"/>
    <x v="0"/>
    <x v="11"/>
    <x v="1"/>
  </r>
  <r>
    <s v="ORD04000"/>
    <s v="2024-03-09"/>
    <x v="3"/>
    <x v="25"/>
    <x v="3"/>
    <s v="Notebook"/>
    <n v="3"/>
    <n v="7414"/>
    <n v="0.1"/>
    <n v="20017.8"/>
    <n v="3103.49"/>
    <x v="2"/>
    <x v="7"/>
    <x v="0"/>
  </r>
  <r>
    <s v="ORD04001"/>
    <s v="2023-01-26"/>
    <x v="46"/>
    <x v="10"/>
    <x v="3"/>
    <s v="Marker"/>
    <n v="3"/>
    <n v="48051"/>
    <n v="0.05"/>
    <n v="136945.35"/>
    <n v="17732.32"/>
    <x v="2"/>
    <x v="3"/>
    <x v="1"/>
  </r>
  <r>
    <s v="ORD04002"/>
    <s v="2024-08-12"/>
    <x v="18"/>
    <x v="12"/>
    <x v="1"/>
    <s v="Headphones"/>
    <n v="15"/>
    <n v="20016"/>
    <n v="0"/>
    <n v="300240"/>
    <n v="53617.08"/>
    <x v="0"/>
    <x v="8"/>
    <x v="0"/>
  </r>
  <r>
    <s v="ORD04003"/>
    <s v="2024-06-03"/>
    <x v="41"/>
    <x v="3"/>
    <x v="3"/>
    <s v="Stapler"/>
    <n v="13"/>
    <n v="14468"/>
    <n v="0.1"/>
    <n v="169275.6"/>
    <n v="31776.15"/>
    <x v="0"/>
    <x v="5"/>
    <x v="0"/>
  </r>
  <r>
    <s v="ORD04004"/>
    <s v="2023-03-16"/>
    <x v="34"/>
    <x v="23"/>
    <x v="0"/>
    <s v="Desk"/>
    <n v="1"/>
    <n v="43699"/>
    <n v="0.15"/>
    <n v="37144.15"/>
    <n v="9403.73"/>
    <x v="0"/>
    <x v="7"/>
    <x v="1"/>
  </r>
  <r>
    <s v="ORD04005"/>
    <s v="2024-08-28"/>
    <x v="18"/>
    <x v="0"/>
    <x v="0"/>
    <s v="Chair"/>
    <n v="3"/>
    <n v="17282"/>
    <n v="0"/>
    <n v="51846"/>
    <n v="8055.57"/>
    <x v="1"/>
    <x v="8"/>
    <x v="0"/>
  </r>
  <r>
    <s v="ORD04006"/>
    <s v="2023-04-15"/>
    <x v="41"/>
    <x v="1"/>
    <x v="1"/>
    <s v="Mobile"/>
    <n v="3"/>
    <n v="38852"/>
    <n v="0.1"/>
    <n v="104900.4"/>
    <n v="26557.49"/>
    <x v="3"/>
    <x v="2"/>
    <x v="1"/>
  </r>
  <r>
    <s v="ORD04007"/>
    <s v="2023-08-12"/>
    <x v="23"/>
    <x v="8"/>
    <x v="2"/>
    <s v="Sweater"/>
    <n v="1"/>
    <n v="41141"/>
    <n v="0.15"/>
    <n v="34969.85"/>
    <n v="9966.41"/>
    <x v="0"/>
    <x v="8"/>
    <x v="1"/>
  </r>
  <r>
    <s v="ORD04008"/>
    <s v="2024-08-24"/>
    <x v="39"/>
    <x v="21"/>
    <x v="1"/>
    <s v="Laptop"/>
    <n v="13"/>
    <n v="26520"/>
    <n v="0.1"/>
    <n v="310284"/>
    <n v="26791.64"/>
    <x v="2"/>
    <x v="8"/>
    <x v="0"/>
  </r>
  <r>
    <s v="ORD04009"/>
    <s v="2023-09-27"/>
    <x v="30"/>
    <x v="2"/>
    <x v="2"/>
    <s v="Shoes"/>
    <n v="5"/>
    <n v="3692"/>
    <n v="0.15"/>
    <n v="15691"/>
    <n v="3569.91"/>
    <x v="1"/>
    <x v="10"/>
    <x v="1"/>
  </r>
  <r>
    <s v="ORD04010"/>
    <s v="2023-09-23"/>
    <x v="38"/>
    <x v="8"/>
    <x v="2"/>
    <s v="Sweater"/>
    <n v="13"/>
    <n v="21239"/>
    <n v="0.2"/>
    <n v="220885.6"/>
    <n v="41614.81"/>
    <x v="2"/>
    <x v="10"/>
    <x v="1"/>
  </r>
  <r>
    <s v="ORD04011"/>
    <s v="2024-05-21"/>
    <x v="18"/>
    <x v="20"/>
    <x v="1"/>
    <s v="Tablet"/>
    <n v="13"/>
    <n v="53977"/>
    <n v="0.2"/>
    <n v="561360.80000000005"/>
    <n v="124017.60000000001"/>
    <x v="2"/>
    <x v="6"/>
    <x v="0"/>
  </r>
  <r>
    <s v="ORD04012"/>
    <s v="2024-04-30"/>
    <x v="13"/>
    <x v="26"/>
    <x v="3"/>
    <s v="Paper Ream"/>
    <n v="9"/>
    <n v="31370"/>
    <n v="0"/>
    <n v="282330"/>
    <n v="81046.53"/>
    <x v="3"/>
    <x v="2"/>
    <x v="0"/>
  </r>
  <r>
    <s v="ORD04013"/>
    <s v="2023-10-20"/>
    <x v="46"/>
    <x v="12"/>
    <x v="1"/>
    <s v="Headphones"/>
    <n v="14"/>
    <n v="30473"/>
    <n v="0.2"/>
    <n v="341297.6"/>
    <n v="78044.33"/>
    <x v="0"/>
    <x v="0"/>
    <x v="1"/>
  </r>
  <r>
    <s v="ORD04014"/>
    <s v="2024-03-09"/>
    <x v="8"/>
    <x v="6"/>
    <x v="2"/>
    <s v="Jeans"/>
    <n v="9"/>
    <n v="21226"/>
    <n v="0.1"/>
    <n v="171930.6"/>
    <n v="35977.300000000003"/>
    <x v="0"/>
    <x v="7"/>
    <x v="0"/>
  </r>
  <r>
    <s v="ORD04015"/>
    <s v="2024-10-19"/>
    <x v="47"/>
    <x v="14"/>
    <x v="2"/>
    <s v="Dress"/>
    <n v="14"/>
    <n v="34924"/>
    <n v="0.2"/>
    <n v="391148.79999999999"/>
    <n v="76104.72"/>
    <x v="3"/>
    <x v="0"/>
    <x v="0"/>
  </r>
  <r>
    <s v="ORD04016"/>
    <s v="2023-04-21"/>
    <x v="3"/>
    <x v="16"/>
    <x v="3"/>
    <s v="Pen"/>
    <n v="3"/>
    <n v="36307"/>
    <n v="0.05"/>
    <n v="103474.95"/>
    <n v="11466.9"/>
    <x v="1"/>
    <x v="2"/>
    <x v="1"/>
  </r>
  <r>
    <s v="ORD04017"/>
    <s v="2024-05-26"/>
    <x v="25"/>
    <x v="21"/>
    <x v="1"/>
    <s v="Laptop"/>
    <n v="9"/>
    <n v="3418"/>
    <n v="0.1"/>
    <n v="27685.8"/>
    <n v="7346.01"/>
    <x v="3"/>
    <x v="6"/>
    <x v="0"/>
  </r>
  <r>
    <s v="ORD04018"/>
    <s v="2024-07-08"/>
    <x v="30"/>
    <x v="1"/>
    <x v="1"/>
    <s v="Mobile"/>
    <n v="6"/>
    <n v="21651"/>
    <n v="0"/>
    <n v="129906"/>
    <n v="21070.560000000001"/>
    <x v="3"/>
    <x v="1"/>
    <x v="0"/>
  </r>
  <r>
    <s v="ORD04019"/>
    <s v="2023-04-26"/>
    <x v="43"/>
    <x v="18"/>
    <x v="0"/>
    <s v="Table"/>
    <n v="1"/>
    <n v="52262"/>
    <n v="0"/>
    <n v="52262"/>
    <n v="7333.28"/>
    <x v="1"/>
    <x v="2"/>
    <x v="1"/>
  </r>
  <r>
    <s v="ORD04020"/>
    <s v="2023-07-01"/>
    <x v="22"/>
    <x v="18"/>
    <x v="0"/>
    <s v="Table"/>
    <n v="3"/>
    <n v="46656"/>
    <n v="0.1"/>
    <n v="125971.2"/>
    <n v="36485.5"/>
    <x v="2"/>
    <x v="1"/>
    <x v="1"/>
  </r>
  <r>
    <s v="ORD04021"/>
    <s v="2023-02-25"/>
    <x v="24"/>
    <x v="5"/>
    <x v="0"/>
    <s v="Cupboard"/>
    <n v="11"/>
    <n v="9514"/>
    <n v="0.2"/>
    <n v="83723.199999999997"/>
    <n v="12505.97"/>
    <x v="2"/>
    <x v="11"/>
    <x v="1"/>
  </r>
  <r>
    <s v="ORD04022"/>
    <s v="2024-09-12"/>
    <x v="23"/>
    <x v="17"/>
    <x v="1"/>
    <s v="Power Bank"/>
    <n v="11"/>
    <n v="10347"/>
    <n v="0"/>
    <n v="113817"/>
    <n v="21051.72"/>
    <x v="0"/>
    <x v="10"/>
    <x v="0"/>
  </r>
  <r>
    <s v="ORD04023"/>
    <s v="2023-11-28"/>
    <x v="16"/>
    <x v="25"/>
    <x v="3"/>
    <s v="Notebook"/>
    <n v="3"/>
    <n v="6619"/>
    <n v="0.1"/>
    <n v="17871.3"/>
    <n v="3563.81"/>
    <x v="1"/>
    <x v="4"/>
    <x v="1"/>
  </r>
  <r>
    <s v="ORD04024"/>
    <s v="2023-10-02"/>
    <x v="42"/>
    <x v="19"/>
    <x v="1"/>
    <s v="Smartwatch"/>
    <n v="15"/>
    <n v="49475"/>
    <n v="0.1"/>
    <n v="667912.5"/>
    <n v="62724.23"/>
    <x v="3"/>
    <x v="0"/>
    <x v="1"/>
  </r>
  <r>
    <s v="ORD04025"/>
    <s v="2024-05-07"/>
    <x v="48"/>
    <x v="13"/>
    <x v="2"/>
    <s v="Jacket"/>
    <n v="10"/>
    <n v="55989"/>
    <n v="0.1"/>
    <n v="503901"/>
    <n v="127778.45"/>
    <x v="3"/>
    <x v="6"/>
    <x v="0"/>
  </r>
  <r>
    <s v="ORD04026"/>
    <s v="2023-08-18"/>
    <x v="36"/>
    <x v="20"/>
    <x v="1"/>
    <s v="Tablet"/>
    <n v="1"/>
    <n v="53952"/>
    <n v="0.05"/>
    <n v="51254.400000000001"/>
    <n v="13336.55"/>
    <x v="2"/>
    <x v="8"/>
    <x v="1"/>
  </r>
  <r>
    <s v="ORD04027"/>
    <s v="2023-05-17"/>
    <x v="39"/>
    <x v="8"/>
    <x v="2"/>
    <s v="Sweater"/>
    <n v="6"/>
    <n v="40276"/>
    <n v="0"/>
    <n v="241656"/>
    <n v="38978.78"/>
    <x v="1"/>
    <x v="6"/>
    <x v="1"/>
  </r>
  <r>
    <s v="ORD04028"/>
    <s v="2023-07-18"/>
    <x v="8"/>
    <x v="12"/>
    <x v="1"/>
    <s v="Headphones"/>
    <n v="15"/>
    <n v="22404"/>
    <n v="0"/>
    <n v="336060"/>
    <n v="86863.41"/>
    <x v="3"/>
    <x v="1"/>
    <x v="1"/>
  </r>
  <r>
    <s v="ORD04029"/>
    <s v="2023-02-06"/>
    <x v="45"/>
    <x v="14"/>
    <x v="2"/>
    <s v="Dress"/>
    <n v="7"/>
    <n v="3637"/>
    <n v="0"/>
    <n v="25459"/>
    <n v="2732.6"/>
    <x v="0"/>
    <x v="11"/>
    <x v="1"/>
  </r>
  <r>
    <s v="ORD04030"/>
    <s v="2024-09-05"/>
    <x v="12"/>
    <x v="14"/>
    <x v="2"/>
    <s v="Dress"/>
    <n v="12"/>
    <n v="2276"/>
    <n v="0.1"/>
    <n v="24580.799999999999"/>
    <n v="3685.58"/>
    <x v="1"/>
    <x v="10"/>
    <x v="0"/>
  </r>
  <r>
    <s v="ORD04031"/>
    <s v="2023-05-13"/>
    <x v="8"/>
    <x v="11"/>
    <x v="3"/>
    <s v="Printer"/>
    <n v="7"/>
    <n v="1764"/>
    <n v="0.1"/>
    <n v="11113.2"/>
    <n v="2429.5700000000002"/>
    <x v="3"/>
    <x v="6"/>
    <x v="1"/>
  </r>
  <r>
    <s v="ORD04032"/>
    <s v="2023-08-11"/>
    <x v="0"/>
    <x v="3"/>
    <x v="3"/>
    <s v="Stapler"/>
    <n v="7"/>
    <n v="33617"/>
    <n v="0.2"/>
    <n v="188255.2"/>
    <n v="26170.93"/>
    <x v="2"/>
    <x v="8"/>
    <x v="1"/>
  </r>
  <r>
    <s v="ORD04033"/>
    <s v="2023-08-29"/>
    <x v="18"/>
    <x v="17"/>
    <x v="1"/>
    <s v="Power Bank"/>
    <n v="14"/>
    <n v="53376"/>
    <n v="0.1"/>
    <n v="672537.59999999998"/>
    <n v="61328.07"/>
    <x v="1"/>
    <x v="8"/>
    <x v="1"/>
  </r>
  <r>
    <s v="ORD04034"/>
    <s v="2023-04-29"/>
    <x v="42"/>
    <x v="10"/>
    <x v="3"/>
    <s v="Marker"/>
    <n v="14"/>
    <n v="23718"/>
    <n v="0"/>
    <n v="332052"/>
    <n v="42355.14"/>
    <x v="2"/>
    <x v="2"/>
    <x v="1"/>
  </r>
  <r>
    <s v="ORD04035"/>
    <s v="2024-11-20"/>
    <x v="36"/>
    <x v="0"/>
    <x v="0"/>
    <s v="Chair"/>
    <n v="4"/>
    <n v="32917"/>
    <n v="0.05"/>
    <n v="125084.6"/>
    <n v="18149.82"/>
    <x v="1"/>
    <x v="4"/>
    <x v="0"/>
  </r>
  <r>
    <s v="ORD04036"/>
    <s v="2024-04-02"/>
    <x v="13"/>
    <x v="6"/>
    <x v="2"/>
    <s v="Jeans"/>
    <n v="13"/>
    <n v="8142"/>
    <n v="0"/>
    <n v="105846"/>
    <n v="29790.13"/>
    <x v="1"/>
    <x v="2"/>
    <x v="0"/>
  </r>
  <r>
    <s v="ORD04037"/>
    <s v="2023-05-22"/>
    <x v="7"/>
    <x v="22"/>
    <x v="1"/>
    <s v="Camera"/>
    <n v="10"/>
    <n v="59122"/>
    <n v="0.1"/>
    <n v="532098"/>
    <n v="151252.39000000001"/>
    <x v="0"/>
    <x v="6"/>
    <x v="1"/>
  </r>
  <r>
    <s v="ORD04038"/>
    <s v="2024-09-10"/>
    <x v="10"/>
    <x v="23"/>
    <x v="0"/>
    <s v="Desk"/>
    <n v="3"/>
    <n v="24574"/>
    <n v="0.05"/>
    <n v="70035.899999999994"/>
    <n v="9905.1200000000008"/>
    <x v="0"/>
    <x v="10"/>
    <x v="0"/>
  </r>
  <r>
    <s v="ORD04039"/>
    <s v="2023-12-26"/>
    <x v="47"/>
    <x v="2"/>
    <x v="2"/>
    <s v="Shoes"/>
    <n v="5"/>
    <n v="36213"/>
    <n v="0.1"/>
    <n v="162958.5"/>
    <n v="31892.55"/>
    <x v="2"/>
    <x v="9"/>
    <x v="1"/>
  </r>
  <r>
    <s v="ORD04040"/>
    <s v="2024-03-18"/>
    <x v="0"/>
    <x v="21"/>
    <x v="1"/>
    <s v="Laptop"/>
    <n v="7"/>
    <n v="58067"/>
    <n v="0.2"/>
    <n v="325175.2"/>
    <n v="30721.99"/>
    <x v="1"/>
    <x v="7"/>
    <x v="0"/>
  </r>
  <r>
    <s v="ORD04041"/>
    <s v="2024-03-26"/>
    <x v="22"/>
    <x v="10"/>
    <x v="3"/>
    <s v="Marker"/>
    <n v="15"/>
    <n v="5404"/>
    <n v="0.15"/>
    <n v="68901"/>
    <n v="13858.65"/>
    <x v="3"/>
    <x v="7"/>
    <x v="0"/>
  </r>
  <r>
    <s v="ORD04042"/>
    <s v="2023-04-28"/>
    <x v="36"/>
    <x v="6"/>
    <x v="2"/>
    <s v="Jeans"/>
    <n v="14"/>
    <n v="49049"/>
    <n v="0.05"/>
    <n v="652351.69999999995"/>
    <n v="58268.68"/>
    <x v="0"/>
    <x v="2"/>
    <x v="1"/>
  </r>
  <r>
    <s v="ORD04043"/>
    <s v="2023-08-29"/>
    <x v="44"/>
    <x v="1"/>
    <x v="1"/>
    <s v="Mobile"/>
    <n v="14"/>
    <n v="2043"/>
    <n v="0.15"/>
    <n v="24311.7"/>
    <n v="5030.37"/>
    <x v="0"/>
    <x v="8"/>
    <x v="1"/>
  </r>
  <r>
    <s v="ORD04044"/>
    <s v="2024-02-07"/>
    <x v="27"/>
    <x v="16"/>
    <x v="3"/>
    <s v="Pen"/>
    <n v="10"/>
    <n v="32456"/>
    <n v="0"/>
    <n v="324560"/>
    <n v="28638.65"/>
    <x v="1"/>
    <x v="11"/>
    <x v="0"/>
  </r>
  <r>
    <s v="ORD04045"/>
    <s v="2024-11-17"/>
    <x v="25"/>
    <x v="11"/>
    <x v="3"/>
    <s v="Printer"/>
    <n v="1"/>
    <n v="37742"/>
    <n v="0"/>
    <n v="37742"/>
    <n v="9197.2199999999993"/>
    <x v="0"/>
    <x v="4"/>
    <x v="0"/>
  </r>
  <r>
    <s v="ORD04046"/>
    <s v="2023-04-05"/>
    <x v="28"/>
    <x v="23"/>
    <x v="0"/>
    <s v="Desk"/>
    <n v="9"/>
    <n v="50904"/>
    <n v="0.05"/>
    <n v="435229.2"/>
    <n v="111696.24"/>
    <x v="2"/>
    <x v="2"/>
    <x v="1"/>
  </r>
  <r>
    <s v="ORD04047"/>
    <s v="2023-02-27"/>
    <x v="25"/>
    <x v="2"/>
    <x v="2"/>
    <s v="Shoes"/>
    <n v="1"/>
    <n v="439"/>
    <n v="0.2"/>
    <n v="351.2"/>
    <n v="31.7"/>
    <x v="3"/>
    <x v="11"/>
    <x v="1"/>
  </r>
  <r>
    <s v="ORD04048"/>
    <s v="2024-05-27"/>
    <x v="38"/>
    <x v="3"/>
    <x v="3"/>
    <s v="Stapler"/>
    <n v="8"/>
    <n v="4714"/>
    <n v="0.05"/>
    <n v="35826.400000000001"/>
    <n v="9875.42"/>
    <x v="2"/>
    <x v="6"/>
    <x v="0"/>
  </r>
  <r>
    <s v="ORD04049"/>
    <s v="2024-05-24"/>
    <x v="21"/>
    <x v="16"/>
    <x v="3"/>
    <s v="Pen"/>
    <n v="2"/>
    <n v="12467"/>
    <n v="0.15"/>
    <n v="21193.9"/>
    <n v="3935.93"/>
    <x v="3"/>
    <x v="6"/>
    <x v="0"/>
  </r>
  <r>
    <s v="ORD04050"/>
    <s v="2024-05-04"/>
    <x v="4"/>
    <x v="3"/>
    <x v="3"/>
    <s v="Stapler"/>
    <n v="7"/>
    <n v="2555"/>
    <n v="0.05"/>
    <n v="16990.75"/>
    <n v="2263.11"/>
    <x v="2"/>
    <x v="6"/>
    <x v="0"/>
  </r>
  <r>
    <s v="ORD04051"/>
    <s v="2023-01-23"/>
    <x v="38"/>
    <x v="13"/>
    <x v="2"/>
    <s v="Jacket"/>
    <n v="8"/>
    <n v="29255"/>
    <n v="0.15"/>
    <n v="198934"/>
    <n v="20610.150000000001"/>
    <x v="1"/>
    <x v="3"/>
    <x v="1"/>
  </r>
  <r>
    <s v="ORD04052"/>
    <s v="2023-08-16"/>
    <x v="34"/>
    <x v="10"/>
    <x v="3"/>
    <s v="Marker"/>
    <n v="11"/>
    <n v="54119"/>
    <n v="0.05"/>
    <n v="565543.55000000005"/>
    <n v="128488.69"/>
    <x v="3"/>
    <x v="8"/>
    <x v="1"/>
  </r>
  <r>
    <s v="ORD04053"/>
    <s v="2024-05-06"/>
    <x v="31"/>
    <x v="4"/>
    <x v="0"/>
    <s v="Stool"/>
    <n v="9"/>
    <n v="15643"/>
    <n v="0.2"/>
    <n v="112629.6"/>
    <n v="15684.93"/>
    <x v="3"/>
    <x v="6"/>
    <x v="0"/>
  </r>
  <r>
    <s v="ORD04054"/>
    <s v="2023-11-20"/>
    <x v="48"/>
    <x v="13"/>
    <x v="2"/>
    <s v="Jacket"/>
    <n v="9"/>
    <n v="36632"/>
    <n v="0.05"/>
    <n v="313203.59999999998"/>
    <n v="60722.65"/>
    <x v="2"/>
    <x v="4"/>
    <x v="1"/>
  </r>
  <r>
    <s v="ORD04055"/>
    <s v="2023-01-04"/>
    <x v="25"/>
    <x v="15"/>
    <x v="0"/>
    <s v="Sofa"/>
    <n v="2"/>
    <n v="47925"/>
    <n v="0.1"/>
    <n v="86265"/>
    <n v="25602.81"/>
    <x v="2"/>
    <x v="3"/>
    <x v="1"/>
  </r>
  <r>
    <s v="ORD04056"/>
    <s v="2024-04-17"/>
    <x v="34"/>
    <x v="5"/>
    <x v="0"/>
    <s v="Cupboard"/>
    <n v="13"/>
    <n v="56001"/>
    <n v="0.2"/>
    <n v="582410.4"/>
    <n v="98451.29"/>
    <x v="3"/>
    <x v="2"/>
    <x v="0"/>
  </r>
  <r>
    <s v="ORD04057"/>
    <s v="2023-12-12"/>
    <x v="29"/>
    <x v="25"/>
    <x v="3"/>
    <s v="Notebook"/>
    <n v="4"/>
    <n v="13973"/>
    <n v="0"/>
    <n v="55892"/>
    <n v="6457.87"/>
    <x v="2"/>
    <x v="9"/>
    <x v="1"/>
  </r>
  <r>
    <s v="ORD04058"/>
    <s v="2024-05-06"/>
    <x v="37"/>
    <x v="0"/>
    <x v="0"/>
    <s v="Chair"/>
    <n v="5"/>
    <n v="48591"/>
    <n v="0.2"/>
    <n v="194364"/>
    <n v="53649.93"/>
    <x v="2"/>
    <x v="6"/>
    <x v="0"/>
  </r>
  <r>
    <s v="ORD04059"/>
    <s v="2024-11-10"/>
    <x v="37"/>
    <x v="2"/>
    <x v="2"/>
    <s v="Shoes"/>
    <n v="12"/>
    <n v="23908"/>
    <n v="0.05"/>
    <n v="272551.2"/>
    <n v="61239.41"/>
    <x v="0"/>
    <x v="4"/>
    <x v="0"/>
  </r>
  <r>
    <s v="ORD04060"/>
    <s v="2024-06-18"/>
    <x v="20"/>
    <x v="10"/>
    <x v="3"/>
    <s v="Marker"/>
    <n v="4"/>
    <n v="5238"/>
    <n v="0.1"/>
    <n v="18856.8"/>
    <n v="4212.24"/>
    <x v="0"/>
    <x v="5"/>
    <x v="0"/>
  </r>
  <r>
    <s v="ORD04061"/>
    <s v="2024-05-30"/>
    <x v="28"/>
    <x v="0"/>
    <x v="0"/>
    <s v="Chair"/>
    <n v="10"/>
    <n v="30344"/>
    <n v="0.05"/>
    <n v="288268"/>
    <n v="24991.71"/>
    <x v="0"/>
    <x v="6"/>
    <x v="0"/>
  </r>
  <r>
    <s v="ORD04062"/>
    <s v="2023-10-02"/>
    <x v="12"/>
    <x v="27"/>
    <x v="3"/>
    <s v="File"/>
    <n v="1"/>
    <n v="732"/>
    <n v="0"/>
    <n v="732"/>
    <n v="109.89"/>
    <x v="2"/>
    <x v="0"/>
    <x v="1"/>
  </r>
  <r>
    <s v="ORD04063"/>
    <s v="2023-07-09"/>
    <x v="29"/>
    <x v="11"/>
    <x v="3"/>
    <s v="Printer"/>
    <n v="2"/>
    <n v="32529"/>
    <n v="0.05"/>
    <n v="61805.1"/>
    <n v="6029.55"/>
    <x v="1"/>
    <x v="1"/>
    <x v="1"/>
  </r>
  <r>
    <s v="ORD04064"/>
    <s v="2024-01-01"/>
    <x v="36"/>
    <x v="14"/>
    <x v="2"/>
    <s v="Dress"/>
    <n v="12"/>
    <n v="20186"/>
    <n v="0"/>
    <n v="242232"/>
    <n v="29285.919999999998"/>
    <x v="2"/>
    <x v="3"/>
    <x v="0"/>
  </r>
  <r>
    <s v="ORD04065"/>
    <s v="2023-08-03"/>
    <x v="26"/>
    <x v="5"/>
    <x v="0"/>
    <s v="Cupboard"/>
    <n v="2"/>
    <n v="6601"/>
    <n v="0"/>
    <n v="13202"/>
    <n v="3202.61"/>
    <x v="1"/>
    <x v="8"/>
    <x v="1"/>
  </r>
  <r>
    <s v="ORD04066"/>
    <s v="2024-09-02"/>
    <x v="42"/>
    <x v="2"/>
    <x v="2"/>
    <s v="Shoes"/>
    <n v="1"/>
    <n v="45077"/>
    <n v="0.15"/>
    <n v="38315.449999999997"/>
    <n v="10299.540000000001"/>
    <x v="2"/>
    <x v="10"/>
    <x v="0"/>
  </r>
  <r>
    <s v="ORD04067"/>
    <s v="2024-08-15"/>
    <x v="31"/>
    <x v="6"/>
    <x v="2"/>
    <s v="Jeans"/>
    <n v="2"/>
    <n v="53087"/>
    <n v="0.05"/>
    <n v="100865.3"/>
    <n v="16652"/>
    <x v="0"/>
    <x v="8"/>
    <x v="0"/>
  </r>
  <r>
    <s v="ORD04068"/>
    <s v="2023-12-01"/>
    <x v="19"/>
    <x v="5"/>
    <x v="0"/>
    <s v="Cupboard"/>
    <n v="7"/>
    <n v="1003"/>
    <n v="0.05"/>
    <n v="6669.95"/>
    <n v="1906.28"/>
    <x v="2"/>
    <x v="9"/>
    <x v="1"/>
  </r>
  <r>
    <s v="ORD04069"/>
    <s v="2024-10-19"/>
    <x v="0"/>
    <x v="1"/>
    <x v="1"/>
    <s v="Mobile"/>
    <n v="10"/>
    <n v="7020"/>
    <n v="0.2"/>
    <n v="56160"/>
    <n v="15287.5"/>
    <x v="3"/>
    <x v="0"/>
    <x v="0"/>
  </r>
  <r>
    <s v="ORD04070"/>
    <s v="2023-02-01"/>
    <x v="45"/>
    <x v="11"/>
    <x v="3"/>
    <s v="Printer"/>
    <n v="11"/>
    <n v="20006"/>
    <n v="0.1"/>
    <n v="198059.4"/>
    <n v="19694.650000000001"/>
    <x v="1"/>
    <x v="11"/>
    <x v="1"/>
  </r>
  <r>
    <s v="ORD04071"/>
    <s v="2023-07-22"/>
    <x v="36"/>
    <x v="10"/>
    <x v="3"/>
    <s v="Marker"/>
    <n v="7"/>
    <n v="44483"/>
    <n v="0.2"/>
    <n v="249104.8"/>
    <n v="33699.46"/>
    <x v="3"/>
    <x v="1"/>
    <x v="1"/>
  </r>
  <r>
    <s v="ORD04072"/>
    <s v="2023-01-24"/>
    <x v="4"/>
    <x v="12"/>
    <x v="1"/>
    <s v="Headphones"/>
    <n v="15"/>
    <n v="49203"/>
    <n v="0"/>
    <n v="738045"/>
    <n v="167736.35"/>
    <x v="0"/>
    <x v="3"/>
    <x v="1"/>
  </r>
  <r>
    <s v="ORD04073"/>
    <s v="2023-04-02"/>
    <x v="3"/>
    <x v="7"/>
    <x v="0"/>
    <s v="Bed"/>
    <n v="12"/>
    <n v="4731"/>
    <n v="0.1"/>
    <n v="51094.8"/>
    <n v="13156.37"/>
    <x v="1"/>
    <x v="2"/>
    <x v="1"/>
  </r>
  <r>
    <s v="ORD04074"/>
    <s v="2023-10-18"/>
    <x v="20"/>
    <x v="15"/>
    <x v="0"/>
    <s v="Sofa"/>
    <n v="5"/>
    <n v="26212"/>
    <n v="0.15"/>
    <n v="111401"/>
    <n v="29530.12"/>
    <x v="1"/>
    <x v="0"/>
    <x v="1"/>
  </r>
  <r>
    <s v="ORD04075"/>
    <s v="2023-06-28"/>
    <x v="34"/>
    <x v="11"/>
    <x v="3"/>
    <s v="Printer"/>
    <n v="14"/>
    <n v="5581"/>
    <n v="0.15"/>
    <n v="66413.899999999994"/>
    <n v="7504.02"/>
    <x v="0"/>
    <x v="5"/>
    <x v="1"/>
  </r>
  <r>
    <s v="ORD04076"/>
    <s v="2023-08-09"/>
    <x v="36"/>
    <x v="1"/>
    <x v="1"/>
    <s v="Mobile"/>
    <n v="13"/>
    <n v="17030"/>
    <n v="0.15"/>
    <n v="188181.5"/>
    <n v="47041.51"/>
    <x v="1"/>
    <x v="8"/>
    <x v="1"/>
  </r>
  <r>
    <s v="ORD04077"/>
    <s v="2023-10-24"/>
    <x v="39"/>
    <x v="18"/>
    <x v="0"/>
    <s v="Table"/>
    <n v="2"/>
    <n v="14079"/>
    <n v="0"/>
    <n v="28158"/>
    <n v="3618.66"/>
    <x v="0"/>
    <x v="0"/>
    <x v="1"/>
  </r>
  <r>
    <s v="ORD04078"/>
    <s v="2023-10-21"/>
    <x v="19"/>
    <x v="16"/>
    <x v="3"/>
    <s v="Pen"/>
    <n v="7"/>
    <n v="3098"/>
    <n v="0.2"/>
    <n v="17348.8"/>
    <n v="2253.87"/>
    <x v="0"/>
    <x v="0"/>
    <x v="1"/>
  </r>
  <r>
    <s v="ORD04079"/>
    <s v="2024-03-31"/>
    <x v="11"/>
    <x v="16"/>
    <x v="3"/>
    <s v="Pen"/>
    <n v="6"/>
    <n v="52720"/>
    <n v="0.1"/>
    <n v="284688"/>
    <n v="62869.97"/>
    <x v="1"/>
    <x v="7"/>
    <x v="0"/>
  </r>
  <r>
    <s v="ORD04080"/>
    <s v="2024-08-20"/>
    <x v="46"/>
    <x v="5"/>
    <x v="0"/>
    <s v="Cupboard"/>
    <n v="5"/>
    <n v="57994"/>
    <n v="0.1"/>
    <n v="260973"/>
    <n v="68400.960000000006"/>
    <x v="3"/>
    <x v="8"/>
    <x v="0"/>
  </r>
  <r>
    <s v="ORD04081"/>
    <s v="2023-09-26"/>
    <x v="32"/>
    <x v="16"/>
    <x v="3"/>
    <s v="Pen"/>
    <n v="10"/>
    <n v="27543"/>
    <n v="0"/>
    <n v="275430"/>
    <n v="72212.679999999993"/>
    <x v="1"/>
    <x v="10"/>
    <x v="1"/>
  </r>
  <r>
    <s v="ORD04082"/>
    <s v="2024-04-03"/>
    <x v="21"/>
    <x v="14"/>
    <x v="2"/>
    <s v="Dress"/>
    <n v="1"/>
    <n v="13908"/>
    <n v="0.2"/>
    <n v="11126.4"/>
    <n v="1661.29"/>
    <x v="3"/>
    <x v="2"/>
    <x v="0"/>
  </r>
  <r>
    <s v="ORD04083"/>
    <s v="2023-10-04"/>
    <x v="11"/>
    <x v="4"/>
    <x v="0"/>
    <s v="Stool"/>
    <n v="7"/>
    <n v="54964"/>
    <n v="0.2"/>
    <n v="307798.40000000002"/>
    <n v="64453.43"/>
    <x v="3"/>
    <x v="0"/>
    <x v="1"/>
  </r>
  <r>
    <s v="ORD04084"/>
    <s v="2024-04-27"/>
    <x v="35"/>
    <x v="1"/>
    <x v="1"/>
    <s v="Mobile"/>
    <n v="4"/>
    <n v="45344"/>
    <n v="0.15"/>
    <n v="154169.60000000001"/>
    <n v="24941.23"/>
    <x v="1"/>
    <x v="2"/>
    <x v="0"/>
  </r>
  <r>
    <s v="ORD04085"/>
    <s v="2023-05-27"/>
    <x v="12"/>
    <x v="22"/>
    <x v="1"/>
    <s v="Camera"/>
    <n v="15"/>
    <n v="10980"/>
    <n v="0.1"/>
    <n v="148230"/>
    <n v="33999.69"/>
    <x v="1"/>
    <x v="6"/>
    <x v="1"/>
  </r>
  <r>
    <s v="ORD04086"/>
    <s v="2023-03-11"/>
    <x v="43"/>
    <x v="8"/>
    <x v="2"/>
    <s v="Sweater"/>
    <n v="5"/>
    <n v="22935"/>
    <n v="0.2"/>
    <n v="91740"/>
    <n v="15324.75"/>
    <x v="3"/>
    <x v="7"/>
    <x v="1"/>
  </r>
  <r>
    <s v="ORD04087"/>
    <s v="2023-04-19"/>
    <x v="26"/>
    <x v="27"/>
    <x v="3"/>
    <s v="File"/>
    <n v="13"/>
    <n v="1312"/>
    <n v="0.2"/>
    <n v="13644.8"/>
    <n v="2570.9299999999998"/>
    <x v="3"/>
    <x v="2"/>
    <x v="1"/>
  </r>
  <r>
    <s v="ORD04088"/>
    <s v="2023-02-21"/>
    <x v="0"/>
    <x v="18"/>
    <x v="0"/>
    <s v="Table"/>
    <n v="10"/>
    <n v="17663"/>
    <n v="0.2"/>
    <n v="141304"/>
    <n v="25722.2"/>
    <x v="2"/>
    <x v="11"/>
    <x v="1"/>
  </r>
  <r>
    <s v="ORD04089"/>
    <s v="2023-06-19"/>
    <x v="25"/>
    <x v="25"/>
    <x v="3"/>
    <s v="Notebook"/>
    <n v="11"/>
    <n v="24853"/>
    <n v="0"/>
    <n v="273383"/>
    <n v="55412.83"/>
    <x v="2"/>
    <x v="5"/>
    <x v="1"/>
  </r>
  <r>
    <s v="ORD04090"/>
    <s v="2023-06-05"/>
    <x v="9"/>
    <x v="27"/>
    <x v="3"/>
    <s v="File"/>
    <n v="2"/>
    <n v="13277"/>
    <n v="0.2"/>
    <n v="21243.200000000001"/>
    <n v="6286.6"/>
    <x v="3"/>
    <x v="5"/>
    <x v="1"/>
  </r>
  <r>
    <s v="ORD04091"/>
    <s v="2023-10-22"/>
    <x v="1"/>
    <x v="0"/>
    <x v="0"/>
    <s v="Chair"/>
    <n v="7"/>
    <n v="32560"/>
    <n v="0"/>
    <n v="227920"/>
    <n v="39363.949999999997"/>
    <x v="0"/>
    <x v="0"/>
    <x v="1"/>
  </r>
  <r>
    <s v="ORD04092"/>
    <s v="2024-06-16"/>
    <x v="12"/>
    <x v="14"/>
    <x v="2"/>
    <s v="Dress"/>
    <n v="8"/>
    <n v="42286"/>
    <n v="0"/>
    <n v="338288"/>
    <n v="42747.56"/>
    <x v="1"/>
    <x v="5"/>
    <x v="0"/>
  </r>
  <r>
    <s v="ORD04093"/>
    <s v="2023-12-03"/>
    <x v="30"/>
    <x v="14"/>
    <x v="2"/>
    <s v="Dress"/>
    <n v="2"/>
    <n v="18539"/>
    <n v="0.15"/>
    <n v="31516.3"/>
    <n v="2745.55"/>
    <x v="0"/>
    <x v="9"/>
    <x v="1"/>
  </r>
  <r>
    <s v="ORD04094"/>
    <s v="2024-05-28"/>
    <x v="28"/>
    <x v="19"/>
    <x v="1"/>
    <s v="Smartwatch"/>
    <n v="15"/>
    <n v="42808"/>
    <n v="0.15"/>
    <n v="545802"/>
    <n v="80691.48"/>
    <x v="0"/>
    <x v="6"/>
    <x v="0"/>
  </r>
  <r>
    <s v="ORD04095"/>
    <s v="2023-08-03"/>
    <x v="38"/>
    <x v="7"/>
    <x v="0"/>
    <s v="Bed"/>
    <n v="9"/>
    <n v="46214"/>
    <n v="0.05"/>
    <n v="395129.7"/>
    <n v="78614.179999999993"/>
    <x v="0"/>
    <x v="8"/>
    <x v="1"/>
  </r>
  <r>
    <s v="ORD04096"/>
    <s v="2023-11-07"/>
    <x v="17"/>
    <x v="11"/>
    <x v="3"/>
    <s v="Printer"/>
    <n v="7"/>
    <n v="10210"/>
    <n v="0.05"/>
    <n v="67896.5"/>
    <n v="17416.59"/>
    <x v="1"/>
    <x v="4"/>
    <x v="1"/>
  </r>
  <r>
    <s v="ORD04097"/>
    <s v="2024-09-27"/>
    <x v="27"/>
    <x v="21"/>
    <x v="1"/>
    <s v="Laptop"/>
    <n v="14"/>
    <n v="18086"/>
    <n v="0.2"/>
    <n v="202563.20000000001"/>
    <n v="49291.29"/>
    <x v="1"/>
    <x v="10"/>
    <x v="0"/>
  </r>
  <r>
    <s v="ORD04098"/>
    <s v="2024-08-06"/>
    <x v="11"/>
    <x v="0"/>
    <x v="0"/>
    <s v="Chair"/>
    <n v="7"/>
    <n v="57949"/>
    <n v="0"/>
    <n v="405643"/>
    <n v="41342.720000000001"/>
    <x v="3"/>
    <x v="8"/>
    <x v="0"/>
  </r>
  <r>
    <s v="ORD04099"/>
    <s v="2024-04-22"/>
    <x v="8"/>
    <x v="7"/>
    <x v="0"/>
    <s v="Bed"/>
    <n v="10"/>
    <n v="22471"/>
    <n v="0.1"/>
    <n v="202239"/>
    <n v="17249.96"/>
    <x v="0"/>
    <x v="2"/>
    <x v="0"/>
  </r>
  <r>
    <s v="ORD04100"/>
    <s v="2024-07-03"/>
    <x v="8"/>
    <x v="18"/>
    <x v="0"/>
    <s v="Table"/>
    <n v="9"/>
    <n v="45574"/>
    <n v="0.1"/>
    <n v="369149.4"/>
    <n v="71024.070000000007"/>
    <x v="3"/>
    <x v="1"/>
    <x v="0"/>
  </r>
  <r>
    <s v="ORD04101"/>
    <s v="2024-06-05"/>
    <x v="37"/>
    <x v="4"/>
    <x v="0"/>
    <s v="Stool"/>
    <n v="12"/>
    <n v="20870"/>
    <n v="0.15"/>
    <n v="212874"/>
    <n v="56468.82"/>
    <x v="3"/>
    <x v="5"/>
    <x v="0"/>
  </r>
  <r>
    <s v="ORD04102"/>
    <s v="2024-10-17"/>
    <x v="38"/>
    <x v="5"/>
    <x v="0"/>
    <s v="Cupboard"/>
    <n v="4"/>
    <n v="43784"/>
    <n v="0.1"/>
    <n v="157622.39999999999"/>
    <n v="37085.089999999997"/>
    <x v="2"/>
    <x v="0"/>
    <x v="0"/>
  </r>
  <r>
    <s v="ORD04103"/>
    <s v="2023-06-14"/>
    <x v="31"/>
    <x v="18"/>
    <x v="0"/>
    <s v="Table"/>
    <n v="9"/>
    <n v="6172"/>
    <n v="0.05"/>
    <n v="52770.6"/>
    <n v="11393.06"/>
    <x v="3"/>
    <x v="5"/>
    <x v="1"/>
  </r>
  <r>
    <s v="ORD04104"/>
    <s v="2023-10-10"/>
    <x v="4"/>
    <x v="18"/>
    <x v="0"/>
    <s v="Table"/>
    <n v="11"/>
    <n v="24997"/>
    <n v="0.05"/>
    <n v="261218.65"/>
    <n v="46100.480000000003"/>
    <x v="0"/>
    <x v="0"/>
    <x v="1"/>
  </r>
  <r>
    <s v="ORD04105"/>
    <s v="2024-02-21"/>
    <x v="7"/>
    <x v="14"/>
    <x v="2"/>
    <s v="Dress"/>
    <n v="14"/>
    <n v="41373"/>
    <n v="0.05"/>
    <n v="550260.9"/>
    <n v="112802.17"/>
    <x v="2"/>
    <x v="11"/>
    <x v="0"/>
  </r>
  <r>
    <s v="ORD04106"/>
    <s v="2023-08-15"/>
    <x v="1"/>
    <x v="2"/>
    <x v="2"/>
    <s v="Shoes"/>
    <n v="14"/>
    <n v="41914"/>
    <n v="0.05"/>
    <n v="557456.19999999995"/>
    <n v="63659.6"/>
    <x v="1"/>
    <x v="8"/>
    <x v="1"/>
  </r>
  <r>
    <s v="ORD04107"/>
    <s v="2023-07-21"/>
    <x v="15"/>
    <x v="16"/>
    <x v="3"/>
    <s v="Pen"/>
    <n v="14"/>
    <n v="23828"/>
    <n v="0.05"/>
    <n v="316912.40000000002"/>
    <n v="71472.52"/>
    <x v="0"/>
    <x v="1"/>
    <x v="1"/>
  </r>
  <r>
    <s v="ORD04108"/>
    <s v="2024-07-21"/>
    <x v="30"/>
    <x v="15"/>
    <x v="0"/>
    <s v="Sofa"/>
    <n v="15"/>
    <n v="42288"/>
    <n v="0.2"/>
    <n v="507456"/>
    <n v="43396.25"/>
    <x v="1"/>
    <x v="1"/>
    <x v="0"/>
  </r>
  <r>
    <s v="ORD04109"/>
    <s v="2024-07-04"/>
    <x v="11"/>
    <x v="24"/>
    <x v="2"/>
    <s v="T-Shirt"/>
    <n v="14"/>
    <n v="13799"/>
    <n v="0.1"/>
    <n v="173867.4"/>
    <n v="19838.38"/>
    <x v="0"/>
    <x v="1"/>
    <x v="0"/>
  </r>
  <r>
    <s v="ORD04110"/>
    <s v="2024-05-26"/>
    <x v="15"/>
    <x v="1"/>
    <x v="1"/>
    <s v="Mobile"/>
    <n v="14"/>
    <n v="47555"/>
    <n v="0.15"/>
    <n v="565904.5"/>
    <n v="136755.69"/>
    <x v="3"/>
    <x v="6"/>
    <x v="0"/>
  </r>
  <r>
    <s v="ORD04111"/>
    <s v="2024-04-21"/>
    <x v="49"/>
    <x v="24"/>
    <x v="2"/>
    <s v="T-Shirt"/>
    <n v="11"/>
    <n v="45524"/>
    <n v="0.15"/>
    <n v="425649.4"/>
    <n v="107370.39"/>
    <x v="2"/>
    <x v="2"/>
    <x v="0"/>
  </r>
  <r>
    <s v="ORD04112"/>
    <s v="2024-07-14"/>
    <x v="15"/>
    <x v="23"/>
    <x v="0"/>
    <s v="Desk"/>
    <n v="6"/>
    <n v="4239"/>
    <n v="0.05"/>
    <n v="24162.3"/>
    <n v="4730.99"/>
    <x v="3"/>
    <x v="1"/>
    <x v="0"/>
  </r>
  <r>
    <s v="ORD04113"/>
    <s v="2024-04-18"/>
    <x v="20"/>
    <x v="26"/>
    <x v="3"/>
    <s v="Paper Ream"/>
    <n v="10"/>
    <n v="3440"/>
    <n v="0.15"/>
    <n v="29240"/>
    <n v="6417.47"/>
    <x v="3"/>
    <x v="2"/>
    <x v="0"/>
  </r>
  <r>
    <s v="ORD04114"/>
    <s v="2024-09-04"/>
    <x v="40"/>
    <x v="26"/>
    <x v="3"/>
    <s v="Paper Ream"/>
    <n v="15"/>
    <n v="52991"/>
    <n v="0.2"/>
    <n v="635892"/>
    <n v="64889.77"/>
    <x v="0"/>
    <x v="10"/>
    <x v="0"/>
  </r>
  <r>
    <s v="ORD04115"/>
    <s v="2023-11-15"/>
    <x v="26"/>
    <x v="13"/>
    <x v="2"/>
    <s v="Jacket"/>
    <n v="15"/>
    <n v="20743"/>
    <n v="0.15"/>
    <n v="264473.25"/>
    <n v="26749.14"/>
    <x v="1"/>
    <x v="4"/>
    <x v="1"/>
  </r>
  <r>
    <s v="ORD04116"/>
    <s v="2024-01-19"/>
    <x v="6"/>
    <x v="20"/>
    <x v="1"/>
    <s v="Tablet"/>
    <n v="4"/>
    <n v="56443"/>
    <n v="0.1"/>
    <n v="203194.8"/>
    <n v="47423.62"/>
    <x v="0"/>
    <x v="3"/>
    <x v="0"/>
  </r>
  <r>
    <s v="ORD04117"/>
    <s v="2024-02-28"/>
    <x v="21"/>
    <x v="13"/>
    <x v="2"/>
    <s v="Jacket"/>
    <n v="1"/>
    <n v="56692"/>
    <n v="0"/>
    <n v="56692"/>
    <n v="10163.34"/>
    <x v="2"/>
    <x v="11"/>
    <x v="0"/>
  </r>
  <r>
    <s v="ORD04118"/>
    <s v="2024-02-19"/>
    <x v="44"/>
    <x v="21"/>
    <x v="1"/>
    <s v="Laptop"/>
    <n v="9"/>
    <n v="25800"/>
    <n v="0.2"/>
    <n v="185760"/>
    <n v="39538.85"/>
    <x v="3"/>
    <x v="11"/>
    <x v="0"/>
  </r>
  <r>
    <s v="ORD04119"/>
    <s v="2024-11-15"/>
    <x v="24"/>
    <x v="2"/>
    <x v="2"/>
    <s v="Shoes"/>
    <n v="14"/>
    <n v="6009"/>
    <n v="0"/>
    <n v="84126"/>
    <n v="8668.83"/>
    <x v="0"/>
    <x v="4"/>
    <x v="0"/>
  </r>
  <r>
    <s v="ORD04120"/>
    <s v="2023-04-07"/>
    <x v="22"/>
    <x v="22"/>
    <x v="1"/>
    <s v="Camera"/>
    <n v="15"/>
    <n v="47320"/>
    <n v="0"/>
    <n v="709800"/>
    <n v="64368.68"/>
    <x v="0"/>
    <x v="2"/>
    <x v="1"/>
  </r>
  <r>
    <s v="ORD04121"/>
    <s v="2023-04-14"/>
    <x v="15"/>
    <x v="6"/>
    <x v="2"/>
    <s v="Jeans"/>
    <n v="4"/>
    <n v="44161"/>
    <n v="0.15"/>
    <n v="150147.4"/>
    <n v="40431.64"/>
    <x v="1"/>
    <x v="2"/>
    <x v="1"/>
  </r>
  <r>
    <s v="ORD04122"/>
    <s v="2023-01-17"/>
    <x v="4"/>
    <x v="25"/>
    <x v="3"/>
    <s v="Notebook"/>
    <n v="4"/>
    <n v="43685"/>
    <n v="0"/>
    <n v="174740"/>
    <n v="44260.4"/>
    <x v="0"/>
    <x v="3"/>
    <x v="1"/>
  </r>
  <r>
    <s v="ORD04123"/>
    <s v="2023-09-27"/>
    <x v="2"/>
    <x v="11"/>
    <x v="3"/>
    <s v="Printer"/>
    <n v="13"/>
    <n v="19622"/>
    <n v="0.2"/>
    <n v="204068.8"/>
    <n v="50684.2"/>
    <x v="1"/>
    <x v="10"/>
    <x v="1"/>
  </r>
  <r>
    <s v="ORD04124"/>
    <s v="2023-07-04"/>
    <x v="30"/>
    <x v="2"/>
    <x v="2"/>
    <s v="Shoes"/>
    <n v="14"/>
    <n v="46470"/>
    <n v="0.05"/>
    <n v="618051"/>
    <n v="177852.82"/>
    <x v="2"/>
    <x v="1"/>
    <x v="1"/>
  </r>
  <r>
    <s v="ORD04125"/>
    <s v="2023-08-05"/>
    <x v="35"/>
    <x v="6"/>
    <x v="2"/>
    <s v="Jeans"/>
    <n v="7"/>
    <n v="39992"/>
    <n v="0.05"/>
    <n v="265946.8"/>
    <n v="52959.45"/>
    <x v="2"/>
    <x v="8"/>
    <x v="1"/>
  </r>
  <r>
    <s v="ORD04126"/>
    <s v="2024-03-15"/>
    <x v="2"/>
    <x v="25"/>
    <x v="3"/>
    <s v="Notebook"/>
    <n v="10"/>
    <n v="22645"/>
    <n v="0.15"/>
    <n v="192482.5"/>
    <n v="36099.86"/>
    <x v="0"/>
    <x v="7"/>
    <x v="0"/>
  </r>
  <r>
    <s v="ORD04127"/>
    <s v="2023-11-26"/>
    <x v="21"/>
    <x v="14"/>
    <x v="2"/>
    <s v="Dress"/>
    <n v="9"/>
    <n v="40690"/>
    <n v="0.2"/>
    <n v="292968"/>
    <n v="37535.839999999997"/>
    <x v="2"/>
    <x v="4"/>
    <x v="1"/>
  </r>
  <r>
    <s v="ORD04128"/>
    <s v="2023-05-17"/>
    <x v="32"/>
    <x v="8"/>
    <x v="2"/>
    <s v="Sweater"/>
    <n v="13"/>
    <n v="54605"/>
    <n v="0"/>
    <n v="709865"/>
    <n v="82386.720000000001"/>
    <x v="3"/>
    <x v="6"/>
    <x v="1"/>
  </r>
  <r>
    <s v="ORD04129"/>
    <s v="2023-03-22"/>
    <x v="40"/>
    <x v="14"/>
    <x v="2"/>
    <s v="Dress"/>
    <n v="6"/>
    <n v="27363"/>
    <n v="0.05"/>
    <n v="155969.1"/>
    <n v="18555.38"/>
    <x v="2"/>
    <x v="7"/>
    <x v="1"/>
  </r>
  <r>
    <s v="ORD04130"/>
    <s v="2023-04-20"/>
    <x v="1"/>
    <x v="6"/>
    <x v="2"/>
    <s v="Jeans"/>
    <n v="8"/>
    <n v="11176"/>
    <n v="0.15"/>
    <n v="75996.800000000003"/>
    <n v="9116.4500000000007"/>
    <x v="2"/>
    <x v="2"/>
    <x v="1"/>
  </r>
  <r>
    <s v="ORD04131"/>
    <s v="2023-06-02"/>
    <x v="5"/>
    <x v="14"/>
    <x v="2"/>
    <s v="Dress"/>
    <n v="11"/>
    <n v="9686"/>
    <n v="0.05"/>
    <n v="101218.7"/>
    <n v="21497.91"/>
    <x v="0"/>
    <x v="5"/>
    <x v="1"/>
  </r>
  <r>
    <s v="ORD04132"/>
    <s v="2023-08-12"/>
    <x v="12"/>
    <x v="27"/>
    <x v="3"/>
    <s v="File"/>
    <n v="2"/>
    <n v="46693"/>
    <n v="0"/>
    <n v="93386"/>
    <n v="23757.93"/>
    <x v="3"/>
    <x v="8"/>
    <x v="1"/>
  </r>
  <r>
    <s v="ORD04133"/>
    <s v="2023-12-27"/>
    <x v="37"/>
    <x v="21"/>
    <x v="1"/>
    <s v="Laptop"/>
    <n v="15"/>
    <n v="51623"/>
    <n v="0.05"/>
    <n v="735627.75"/>
    <n v="173069.24"/>
    <x v="3"/>
    <x v="9"/>
    <x v="1"/>
  </r>
  <r>
    <s v="ORD04134"/>
    <s v="2023-02-01"/>
    <x v="25"/>
    <x v="22"/>
    <x v="1"/>
    <s v="Camera"/>
    <n v="6"/>
    <n v="46419"/>
    <n v="0.2"/>
    <n v="222811.2"/>
    <n v="55626.73"/>
    <x v="0"/>
    <x v="11"/>
    <x v="1"/>
  </r>
  <r>
    <s v="ORD04135"/>
    <s v="2024-07-30"/>
    <x v="43"/>
    <x v="6"/>
    <x v="2"/>
    <s v="Jeans"/>
    <n v="2"/>
    <n v="58946"/>
    <n v="0.2"/>
    <n v="94313.600000000006"/>
    <n v="16600.34"/>
    <x v="0"/>
    <x v="1"/>
    <x v="0"/>
  </r>
  <r>
    <s v="ORD04136"/>
    <s v="2023-06-25"/>
    <x v="41"/>
    <x v="2"/>
    <x v="2"/>
    <s v="Shoes"/>
    <n v="8"/>
    <n v="34629"/>
    <n v="0.2"/>
    <n v="221625.60000000001"/>
    <n v="21407.03"/>
    <x v="3"/>
    <x v="5"/>
    <x v="1"/>
  </r>
  <r>
    <s v="ORD04137"/>
    <s v="2023-01-03"/>
    <x v="11"/>
    <x v="8"/>
    <x v="2"/>
    <s v="Sweater"/>
    <n v="1"/>
    <n v="47004"/>
    <n v="0.15"/>
    <n v="39953.4"/>
    <n v="5345.84"/>
    <x v="1"/>
    <x v="3"/>
    <x v="1"/>
  </r>
  <r>
    <s v="ORD04138"/>
    <s v="2024-01-11"/>
    <x v="2"/>
    <x v="25"/>
    <x v="3"/>
    <s v="Notebook"/>
    <n v="14"/>
    <n v="29470"/>
    <n v="0"/>
    <n v="412580"/>
    <n v="55911.57"/>
    <x v="1"/>
    <x v="3"/>
    <x v="0"/>
  </r>
  <r>
    <s v="ORD04139"/>
    <s v="2024-03-19"/>
    <x v="48"/>
    <x v="26"/>
    <x v="3"/>
    <s v="Paper Ream"/>
    <n v="10"/>
    <n v="55624"/>
    <n v="0.1"/>
    <n v="500616"/>
    <n v="92038.55"/>
    <x v="1"/>
    <x v="7"/>
    <x v="0"/>
  </r>
  <r>
    <s v="ORD04140"/>
    <s v="2024-10-02"/>
    <x v="49"/>
    <x v="17"/>
    <x v="1"/>
    <s v="Power Bank"/>
    <n v="1"/>
    <n v="30236"/>
    <n v="0.1"/>
    <n v="27212.400000000001"/>
    <n v="5232.08"/>
    <x v="2"/>
    <x v="0"/>
    <x v="0"/>
  </r>
  <r>
    <s v="ORD04141"/>
    <s v="2023-04-02"/>
    <x v="49"/>
    <x v="18"/>
    <x v="0"/>
    <s v="Table"/>
    <n v="10"/>
    <n v="1327"/>
    <n v="0.2"/>
    <n v="10616"/>
    <n v="965.94"/>
    <x v="0"/>
    <x v="2"/>
    <x v="1"/>
  </r>
  <r>
    <s v="ORD04142"/>
    <s v="2024-07-29"/>
    <x v="36"/>
    <x v="13"/>
    <x v="2"/>
    <s v="Jacket"/>
    <n v="6"/>
    <n v="6741"/>
    <n v="0"/>
    <n v="40446"/>
    <n v="8195.7999999999993"/>
    <x v="0"/>
    <x v="1"/>
    <x v="0"/>
  </r>
  <r>
    <s v="ORD04143"/>
    <s v="2023-12-30"/>
    <x v="13"/>
    <x v="27"/>
    <x v="3"/>
    <s v="File"/>
    <n v="9"/>
    <n v="3820"/>
    <n v="0.2"/>
    <n v="27504"/>
    <n v="4442.7"/>
    <x v="3"/>
    <x v="9"/>
    <x v="1"/>
  </r>
  <r>
    <s v="ORD04144"/>
    <s v="2023-10-15"/>
    <x v="27"/>
    <x v="5"/>
    <x v="0"/>
    <s v="Cupboard"/>
    <n v="4"/>
    <n v="57574"/>
    <n v="0.15"/>
    <n v="195751.6"/>
    <n v="48154.04"/>
    <x v="0"/>
    <x v="0"/>
    <x v="1"/>
  </r>
  <r>
    <s v="ORD04145"/>
    <s v="2023-04-29"/>
    <x v="9"/>
    <x v="19"/>
    <x v="1"/>
    <s v="Smartwatch"/>
    <n v="3"/>
    <n v="4863"/>
    <n v="0.05"/>
    <n v="13859.55"/>
    <n v="2873.76"/>
    <x v="1"/>
    <x v="2"/>
    <x v="1"/>
  </r>
  <r>
    <s v="ORD04146"/>
    <s v="2024-05-31"/>
    <x v="14"/>
    <x v="4"/>
    <x v="0"/>
    <s v="Stool"/>
    <n v="13"/>
    <n v="33824"/>
    <n v="0.05"/>
    <n v="417726.4"/>
    <n v="84635.5"/>
    <x v="2"/>
    <x v="6"/>
    <x v="0"/>
  </r>
  <r>
    <s v="ORD04147"/>
    <s v="2024-06-28"/>
    <x v="38"/>
    <x v="26"/>
    <x v="3"/>
    <s v="Paper Ream"/>
    <n v="3"/>
    <n v="13775"/>
    <n v="0.15"/>
    <n v="35126.25"/>
    <n v="3307.25"/>
    <x v="2"/>
    <x v="5"/>
    <x v="0"/>
  </r>
  <r>
    <s v="ORD04148"/>
    <s v="2023-11-04"/>
    <x v="47"/>
    <x v="3"/>
    <x v="3"/>
    <s v="Stapler"/>
    <n v="3"/>
    <n v="1254"/>
    <n v="0.2"/>
    <n v="3009.6"/>
    <n v="661.69"/>
    <x v="3"/>
    <x v="4"/>
    <x v="1"/>
  </r>
  <r>
    <s v="ORD04149"/>
    <s v="2023-11-13"/>
    <x v="21"/>
    <x v="23"/>
    <x v="0"/>
    <s v="Desk"/>
    <n v="15"/>
    <n v="49828"/>
    <n v="0.05"/>
    <n v="710049"/>
    <n v="131217.56"/>
    <x v="0"/>
    <x v="4"/>
    <x v="1"/>
  </r>
  <r>
    <s v="ORD04150"/>
    <s v="2024-10-14"/>
    <x v="34"/>
    <x v="16"/>
    <x v="3"/>
    <s v="Pen"/>
    <n v="9"/>
    <n v="21411"/>
    <n v="0"/>
    <n v="192699"/>
    <n v="22684.93"/>
    <x v="2"/>
    <x v="0"/>
    <x v="0"/>
  </r>
  <r>
    <s v="ORD04151"/>
    <s v="2023-11-20"/>
    <x v="49"/>
    <x v="12"/>
    <x v="1"/>
    <s v="Headphones"/>
    <n v="2"/>
    <n v="18428"/>
    <n v="0.15"/>
    <n v="31327.599999999999"/>
    <n v="6840.26"/>
    <x v="2"/>
    <x v="4"/>
    <x v="1"/>
  </r>
  <r>
    <s v="ORD04152"/>
    <s v="2024-02-25"/>
    <x v="3"/>
    <x v="27"/>
    <x v="3"/>
    <s v="File"/>
    <n v="7"/>
    <n v="27660"/>
    <n v="0.15"/>
    <n v="164577"/>
    <n v="16022.94"/>
    <x v="2"/>
    <x v="11"/>
    <x v="0"/>
  </r>
  <r>
    <s v="ORD04153"/>
    <s v="2024-06-23"/>
    <x v="23"/>
    <x v="22"/>
    <x v="1"/>
    <s v="Camera"/>
    <n v="10"/>
    <n v="16469"/>
    <n v="0.2"/>
    <n v="131752"/>
    <n v="13832.89"/>
    <x v="3"/>
    <x v="5"/>
    <x v="0"/>
  </r>
  <r>
    <s v="ORD04154"/>
    <s v="2024-08-16"/>
    <x v="33"/>
    <x v="27"/>
    <x v="3"/>
    <s v="File"/>
    <n v="8"/>
    <n v="47735"/>
    <n v="0"/>
    <n v="381880"/>
    <n v="100590.73"/>
    <x v="0"/>
    <x v="8"/>
    <x v="0"/>
  </r>
  <r>
    <s v="ORD04155"/>
    <s v="2024-06-11"/>
    <x v="38"/>
    <x v="0"/>
    <x v="0"/>
    <s v="Chair"/>
    <n v="6"/>
    <n v="314"/>
    <n v="0"/>
    <n v="1884"/>
    <n v="221.64"/>
    <x v="1"/>
    <x v="5"/>
    <x v="0"/>
  </r>
  <r>
    <s v="ORD04156"/>
    <s v="2024-11-02"/>
    <x v="16"/>
    <x v="27"/>
    <x v="3"/>
    <s v="File"/>
    <n v="14"/>
    <n v="42053"/>
    <n v="0"/>
    <n v="588742"/>
    <n v="121655.05"/>
    <x v="0"/>
    <x v="4"/>
    <x v="0"/>
  </r>
  <r>
    <s v="ORD04157"/>
    <s v="2024-03-23"/>
    <x v="42"/>
    <x v="20"/>
    <x v="1"/>
    <s v="Tablet"/>
    <n v="4"/>
    <n v="3431"/>
    <n v="0"/>
    <n v="13724"/>
    <n v="2912.49"/>
    <x v="3"/>
    <x v="7"/>
    <x v="0"/>
  </r>
  <r>
    <s v="ORD04158"/>
    <s v="2023-08-14"/>
    <x v="29"/>
    <x v="2"/>
    <x v="2"/>
    <s v="Shoes"/>
    <n v="1"/>
    <n v="47738"/>
    <n v="0.05"/>
    <n v="45351.1"/>
    <n v="3738.82"/>
    <x v="1"/>
    <x v="8"/>
    <x v="1"/>
  </r>
  <r>
    <s v="ORD04159"/>
    <s v="2024-10-27"/>
    <x v="41"/>
    <x v="0"/>
    <x v="0"/>
    <s v="Chair"/>
    <n v="6"/>
    <n v="16394"/>
    <n v="0.1"/>
    <n v="88527.6"/>
    <n v="24389.82"/>
    <x v="1"/>
    <x v="0"/>
    <x v="0"/>
  </r>
  <r>
    <s v="ORD04160"/>
    <s v="2023-03-22"/>
    <x v="40"/>
    <x v="3"/>
    <x v="3"/>
    <s v="Stapler"/>
    <n v="2"/>
    <n v="46750"/>
    <n v="0.2"/>
    <n v="74800"/>
    <n v="7639.2"/>
    <x v="1"/>
    <x v="7"/>
    <x v="1"/>
  </r>
  <r>
    <s v="ORD04161"/>
    <s v="2023-02-10"/>
    <x v="47"/>
    <x v="22"/>
    <x v="1"/>
    <s v="Camera"/>
    <n v="11"/>
    <n v="4178"/>
    <n v="0"/>
    <n v="45958"/>
    <n v="4721.41"/>
    <x v="2"/>
    <x v="11"/>
    <x v="1"/>
  </r>
  <r>
    <s v="ORD04162"/>
    <s v="2023-11-25"/>
    <x v="9"/>
    <x v="1"/>
    <x v="1"/>
    <s v="Mobile"/>
    <n v="7"/>
    <n v="34116"/>
    <n v="0.15"/>
    <n v="202990.2"/>
    <n v="59944.54"/>
    <x v="2"/>
    <x v="4"/>
    <x v="1"/>
  </r>
  <r>
    <s v="ORD04163"/>
    <s v="2024-10-13"/>
    <x v="6"/>
    <x v="7"/>
    <x v="0"/>
    <s v="Bed"/>
    <n v="6"/>
    <n v="29920"/>
    <n v="0.05"/>
    <n v="170544"/>
    <n v="30616.959999999999"/>
    <x v="0"/>
    <x v="0"/>
    <x v="0"/>
  </r>
  <r>
    <s v="ORD04164"/>
    <s v="2023-12-18"/>
    <x v="21"/>
    <x v="7"/>
    <x v="0"/>
    <s v="Bed"/>
    <n v="13"/>
    <n v="26355"/>
    <n v="0.15"/>
    <n v="291222.75"/>
    <n v="83247.179999999993"/>
    <x v="0"/>
    <x v="9"/>
    <x v="1"/>
  </r>
  <r>
    <s v="ORD04165"/>
    <s v="2024-04-18"/>
    <x v="44"/>
    <x v="15"/>
    <x v="0"/>
    <s v="Sofa"/>
    <n v="2"/>
    <n v="3245"/>
    <n v="0"/>
    <n v="6490"/>
    <n v="1217.9000000000001"/>
    <x v="2"/>
    <x v="2"/>
    <x v="0"/>
  </r>
  <r>
    <s v="ORD04166"/>
    <s v="2023-01-29"/>
    <x v="22"/>
    <x v="25"/>
    <x v="3"/>
    <s v="Notebook"/>
    <n v="13"/>
    <n v="45949"/>
    <n v="0.2"/>
    <n v="477869.6"/>
    <n v="84342.31"/>
    <x v="2"/>
    <x v="3"/>
    <x v="1"/>
  </r>
  <r>
    <s v="ORD04167"/>
    <s v="2023-08-29"/>
    <x v="26"/>
    <x v="26"/>
    <x v="3"/>
    <s v="Paper Ream"/>
    <n v="2"/>
    <n v="29107"/>
    <n v="0.1"/>
    <n v="52392.6"/>
    <n v="7299.42"/>
    <x v="2"/>
    <x v="8"/>
    <x v="1"/>
  </r>
  <r>
    <s v="ORD04168"/>
    <s v="2024-04-28"/>
    <x v="12"/>
    <x v="2"/>
    <x v="2"/>
    <s v="Shoes"/>
    <n v="7"/>
    <n v="52850"/>
    <n v="0"/>
    <n v="369950"/>
    <n v="71150.73"/>
    <x v="2"/>
    <x v="2"/>
    <x v="0"/>
  </r>
  <r>
    <s v="ORD04169"/>
    <s v="2024-07-28"/>
    <x v="7"/>
    <x v="23"/>
    <x v="0"/>
    <s v="Desk"/>
    <n v="7"/>
    <n v="5571"/>
    <n v="0.05"/>
    <n v="37047.15"/>
    <n v="6342.21"/>
    <x v="2"/>
    <x v="1"/>
    <x v="0"/>
  </r>
  <r>
    <s v="ORD04170"/>
    <s v="2023-08-25"/>
    <x v="32"/>
    <x v="10"/>
    <x v="3"/>
    <s v="Marker"/>
    <n v="10"/>
    <n v="36051"/>
    <n v="0.2"/>
    <n v="288408"/>
    <n v="64996.45"/>
    <x v="0"/>
    <x v="8"/>
    <x v="1"/>
  </r>
  <r>
    <s v="ORD04171"/>
    <s v="2023-05-30"/>
    <x v="48"/>
    <x v="1"/>
    <x v="1"/>
    <s v="Mobile"/>
    <n v="15"/>
    <n v="48582"/>
    <n v="0.1"/>
    <n v="655857"/>
    <n v="157548.51"/>
    <x v="1"/>
    <x v="6"/>
    <x v="1"/>
  </r>
  <r>
    <s v="ORD04172"/>
    <s v="2024-05-23"/>
    <x v="12"/>
    <x v="5"/>
    <x v="0"/>
    <s v="Cupboard"/>
    <n v="15"/>
    <n v="45217"/>
    <n v="0.05"/>
    <n v="644342.25"/>
    <n v="188460.41"/>
    <x v="1"/>
    <x v="6"/>
    <x v="0"/>
  </r>
  <r>
    <s v="ORD04173"/>
    <s v="2024-08-24"/>
    <x v="16"/>
    <x v="20"/>
    <x v="1"/>
    <s v="Tablet"/>
    <n v="6"/>
    <n v="21151"/>
    <n v="0.2"/>
    <n v="101524.8"/>
    <n v="27585.84"/>
    <x v="3"/>
    <x v="8"/>
    <x v="0"/>
  </r>
  <r>
    <s v="ORD04174"/>
    <s v="2023-07-19"/>
    <x v="29"/>
    <x v="2"/>
    <x v="2"/>
    <s v="Shoes"/>
    <n v="6"/>
    <n v="809"/>
    <n v="0.05"/>
    <n v="4611.3"/>
    <n v="1189.3599999999999"/>
    <x v="2"/>
    <x v="1"/>
    <x v="1"/>
  </r>
  <r>
    <s v="ORD04175"/>
    <s v="2023-01-09"/>
    <x v="49"/>
    <x v="8"/>
    <x v="2"/>
    <s v="Sweater"/>
    <n v="13"/>
    <n v="43130"/>
    <n v="0.2"/>
    <n v="448552"/>
    <n v="129251.04"/>
    <x v="0"/>
    <x v="3"/>
    <x v="1"/>
  </r>
  <r>
    <s v="ORD04176"/>
    <s v="2024-11-26"/>
    <x v="11"/>
    <x v="2"/>
    <x v="2"/>
    <s v="Shoes"/>
    <n v="9"/>
    <n v="10135"/>
    <n v="0.15"/>
    <n v="77532.75"/>
    <n v="21380.080000000002"/>
    <x v="1"/>
    <x v="4"/>
    <x v="0"/>
  </r>
  <r>
    <s v="ORD04177"/>
    <s v="2024-01-20"/>
    <x v="17"/>
    <x v="24"/>
    <x v="2"/>
    <s v="T-Shirt"/>
    <n v="11"/>
    <n v="57310"/>
    <n v="0.15"/>
    <n v="535848.5"/>
    <n v="48217.42"/>
    <x v="3"/>
    <x v="3"/>
    <x v="0"/>
  </r>
  <r>
    <s v="ORD04178"/>
    <s v="2023-12-22"/>
    <x v="38"/>
    <x v="4"/>
    <x v="0"/>
    <s v="Stool"/>
    <n v="11"/>
    <n v="21375"/>
    <n v="0"/>
    <n v="235125"/>
    <n v="30148.95"/>
    <x v="2"/>
    <x v="9"/>
    <x v="1"/>
  </r>
  <r>
    <s v="ORD04179"/>
    <s v="2023-04-17"/>
    <x v="1"/>
    <x v="13"/>
    <x v="2"/>
    <s v="Jacket"/>
    <n v="7"/>
    <n v="519"/>
    <n v="0.05"/>
    <n v="3451.35"/>
    <n v="914.4"/>
    <x v="3"/>
    <x v="2"/>
    <x v="1"/>
  </r>
  <r>
    <s v="ORD04180"/>
    <s v="2024-04-07"/>
    <x v="27"/>
    <x v="2"/>
    <x v="2"/>
    <s v="Shoes"/>
    <n v="1"/>
    <n v="27287"/>
    <n v="0.1"/>
    <n v="24558.3"/>
    <n v="5185.8599999999997"/>
    <x v="2"/>
    <x v="2"/>
    <x v="0"/>
  </r>
  <r>
    <s v="ORD04181"/>
    <s v="2023-12-28"/>
    <x v="30"/>
    <x v="5"/>
    <x v="0"/>
    <s v="Cupboard"/>
    <n v="9"/>
    <n v="49057"/>
    <n v="0"/>
    <n v="441513"/>
    <n v="116770.34"/>
    <x v="0"/>
    <x v="9"/>
    <x v="1"/>
  </r>
  <r>
    <s v="ORD04182"/>
    <s v="2023-03-08"/>
    <x v="28"/>
    <x v="5"/>
    <x v="0"/>
    <s v="Cupboard"/>
    <n v="3"/>
    <n v="23948"/>
    <n v="0.15"/>
    <n v="61067.4"/>
    <n v="12749.56"/>
    <x v="0"/>
    <x v="7"/>
    <x v="1"/>
  </r>
  <r>
    <s v="ORD04183"/>
    <s v="2024-06-17"/>
    <x v="19"/>
    <x v="8"/>
    <x v="2"/>
    <s v="Sweater"/>
    <n v="1"/>
    <n v="51468"/>
    <n v="0.15"/>
    <n v="43747.8"/>
    <n v="7782.31"/>
    <x v="0"/>
    <x v="5"/>
    <x v="0"/>
  </r>
  <r>
    <s v="ORD04184"/>
    <s v="2024-03-28"/>
    <x v="42"/>
    <x v="11"/>
    <x v="3"/>
    <s v="Printer"/>
    <n v="1"/>
    <n v="57386"/>
    <n v="0.1"/>
    <n v="51647.4"/>
    <n v="9831.82"/>
    <x v="3"/>
    <x v="7"/>
    <x v="0"/>
  </r>
  <r>
    <s v="ORD04185"/>
    <s v="2024-01-20"/>
    <x v="49"/>
    <x v="25"/>
    <x v="3"/>
    <s v="Notebook"/>
    <n v="9"/>
    <n v="6910"/>
    <n v="0"/>
    <n v="62190"/>
    <n v="14037.81"/>
    <x v="0"/>
    <x v="3"/>
    <x v="0"/>
  </r>
  <r>
    <s v="ORD04186"/>
    <s v="2023-07-31"/>
    <x v="34"/>
    <x v="16"/>
    <x v="3"/>
    <s v="Pen"/>
    <n v="9"/>
    <n v="22547"/>
    <n v="0"/>
    <n v="202923"/>
    <n v="42373.93"/>
    <x v="2"/>
    <x v="1"/>
    <x v="1"/>
  </r>
  <r>
    <s v="ORD04187"/>
    <s v="2023-08-24"/>
    <x v="37"/>
    <x v="0"/>
    <x v="0"/>
    <s v="Chair"/>
    <n v="14"/>
    <n v="45393"/>
    <n v="0.2"/>
    <n v="508401.6"/>
    <n v="66729.509999999995"/>
    <x v="3"/>
    <x v="8"/>
    <x v="1"/>
  </r>
  <r>
    <s v="ORD04188"/>
    <s v="2024-06-03"/>
    <x v="16"/>
    <x v="17"/>
    <x v="1"/>
    <s v="Power Bank"/>
    <n v="15"/>
    <n v="56222"/>
    <n v="0"/>
    <n v="843330"/>
    <n v="236106.15"/>
    <x v="0"/>
    <x v="5"/>
    <x v="0"/>
  </r>
  <r>
    <s v="ORD04189"/>
    <s v="2023-06-07"/>
    <x v="9"/>
    <x v="15"/>
    <x v="0"/>
    <s v="Sofa"/>
    <n v="3"/>
    <n v="7118"/>
    <n v="0.15"/>
    <n v="18150.900000000001"/>
    <n v="3974.6"/>
    <x v="2"/>
    <x v="5"/>
    <x v="1"/>
  </r>
  <r>
    <s v="ORD04190"/>
    <s v="2023-04-20"/>
    <x v="1"/>
    <x v="2"/>
    <x v="2"/>
    <s v="Shoes"/>
    <n v="14"/>
    <n v="57816"/>
    <n v="0.05"/>
    <n v="768952.8"/>
    <n v="87935.99"/>
    <x v="0"/>
    <x v="2"/>
    <x v="1"/>
  </r>
  <r>
    <s v="ORD04191"/>
    <s v="2024-08-20"/>
    <x v="13"/>
    <x v="14"/>
    <x v="2"/>
    <s v="Dress"/>
    <n v="14"/>
    <n v="37351"/>
    <n v="0.15"/>
    <n v="444476.9"/>
    <n v="117957.13"/>
    <x v="0"/>
    <x v="8"/>
    <x v="0"/>
  </r>
  <r>
    <s v="ORD04192"/>
    <s v="2024-03-17"/>
    <x v="42"/>
    <x v="24"/>
    <x v="2"/>
    <s v="T-Shirt"/>
    <n v="10"/>
    <n v="1782"/>
    <n v="0"/>
    <n v="17820"/>
    <n v="2272.21"/>
    <x v="2"/>
    <x v="7"/>
    <x v="0"/>
  </r>
  <r>
    <s v="ORD04193"/>
    <s v="2023-11-19"/>
    <x v="21"/>
    <x v="5"/>
    <x v="0"/>
    <s v="Cupboard"/>
    <n v="8"/>
    <n v="1102"/>
    <n v="0.05"/>
    <n v="8375.2000000000007"/>
    <n v="1355.98"/>
    <x v="2"/>
    <x v="4"/>
    <x v="1"/>
  </r>
  <r>
    <s v="ORD04194"/>
    <s v="2024-11-01"/>
    <x v="36"/>
    <x v="4"/>
    <x v="0"/>
    <s v="Stool"/>
    <n v="11"/>
    <n v="47696"/>
    <n v="0.2"/>
    <n v="419724.79999999999"/>
    <n v="51015.71"/>
    <x v="3"/>
    <x v="4"/>
    <x v="0"/>
  </r>
  <r>
    <s v="ORD04195"/>
    <s v="2024-02-29"/>
    <x v="8"/>
    <x v="3"/>
    <x v="3"/>
    <s v="Stapler"/>
    <n v="1"/>
    <n v="2170"/>
    <n v="0.2"/>
    <n v="1736"/>
    <n v="491.14"/>
    <x v="1"/>
    <x v="11"/>
    <x v="0"/>
  </r>
  <r>
    <s v="ORD04196"/>
    <s v="2023-06-08"/>
    <x v="31"/>
    <x v="8"/>
    <x v="2"/>
    <s v="Sweater"/>
    <n v="7"/>
    <n v="21199"/>
    <n v="0.1"/>
    <n v="133553.70000000001"/>
    <n v="23984.84"/>
    <x v="1"/>
    <x v="5"/>
    <x v="1"/>
  </r>
  <r>
    <s v="ORD04197"/>
    <s v="2024-03-18"/>
    <x v="11"/>
    <x v="19"/>
    <x v="1"/>
    <s v="Smartwatch"/>
    <n v="1"/>
    <n v="54248"/>
    <n v="0.15"/>
    <n v="46110.8"/>
    <n v="13620.95"/>
    <x v="0"/>
    <x v="7"/>
    <x v="0"/>
  </r>
  <r>
    <s v="ORD04198"/>
    <s v="2024-08-24"/>
    <x v="45"/>
    <x v="5"/>
    <x v="0"/>
    <s v="Cupboard"/>
    <n v="9"/>
    <n v="50155"/>
    <n v="0.15"/>
    <n v="383685.75"/>
    <n v="102756.02"/>
    <x v="1"/>
    <x v="8"/>
    <x v="0"/>
  </r>
  <r>
    <s v="ORD04199"/>
    <s v="2023-09-02"/>
    <x v="22"/>
    <x v="14"/>
    <x v="2"/>
    <s v="Dress"/>
    <n v="2"/>
    <n v="19380"/>
    <n v="0.1"/>
    <n v="34884"/>
    <n v="4308.99"/>
    <x v="2"/>
    <x v="10"/>
    <x v="1"/>
  </r>
  <r>
    <s v="ORD04200"/>
    <s v="2023-07-27"/>
    <x v="13"/>
    <x v="13"/>
    <x v="2"/>
    <s v="Jacket"/>
    <n v="13"/>
    <n v="26660"/>
    <n v="0.15"/>
    <n v="294593"/>
    <n v="64061.2"/>
    <x v="2"/>
    <x v="1"/>
    <x v="1"/>
  </r>
  <r>
    <s v="ORD04201"/>
    <s v="2024-06-09"/>
    <x v="10"/>
    <x v="22"/>
    <x v="1"/>
    <s v="Camera"/>
    <n v="11"/>
    <n v="16560"/>
    <n v="0.1"/>
    <n v="163944"/>
    <n v="34247.31"/>
    <x v="3"/>
    <x v="5"/>
    <x v="0"/>
  </r>
  <r>
    <s v="ORD04202"/>
    <s v="2024-07-11"/>
    <x v="34"/>
    <x v="26"/>
    <x v="3"/>
    <s v="Paper Ream"/>
    <n v="4"/>
    <n v="15781"/>
    <n v="0.2"/>
    <n v="50499.199999999997"/>
    <n v="11383.35"/>
    <x v="0"/>
    <x v="1"/>
    <x v="0"/>
  </r>
  <r>
    <s v="ORD04203"/>
    <s v="2023-01-15"/>
    <x v="1"/>
    <x v="16"/>
    <x v="3"/>
    <s v="Pen"/>
    <n v="12"/>
    <n v="52352"/>
    <n v="0"/>
    <n v="628224"/>
    <n v="51589.36"/>
    <x v="2"/>
    <x v="3"/>
    <x v="1"/>
  </r>
  <r>
    <s v="ORD04204"/>
    <s v="2023-08-23"/>
    <x v="47"/>
    <x v="0"/>
    <x v="0"/>
    <s v="Chair"/>
    <n v="15"/>
    <n v="36231"/>
    <n v="0"/>
    <n v="543465"/>
    <n v="97938.1"/>
    <x v="3"/>
    <x v="8"/>
    <x v="1"/>
  </r>
  <r>
    <s v="ORD04205"/>
    <s v="2023-01-27"/>
    <x v="29"/>
    <x v="16"/>
    <x v="3"/>
    <s v="Pen"/>
    <n v="10"/>
    <n v="2527"/>
    <n v="0.15"/>
    <n v="21479.5"/>
    <n v="2973.54"/>
    <x v="1"/>
    <x v="3"/>
    <x v="1"/>
  </r>
  <r>
    <s v="ORD04206"/>
    <s v="2024-01-06"/>
    <x v="15"/>
    <x v="14"/>
    <x v="2"/>
    <s v="Dress"/>
    <n v="2"/>
    <n v="59780"/>
    <n v="0.05"/>
    <n v="113582"/>
    <n v="25517.919999999998"/>
    <x v="1"/>
    <x v="3"/>
    <x v="0"/>
  </r>
  <r>
    <s v="ORD04207"/>
    <s v="2024-09-22"/>
    <x v="5"/>
    <x v="7"/>
    <x v="0"/>
    <s v="Bed"/>
    <n v="2"/>
    <n v="3298"/>
    <n v="0.15"/>
    <n v="5606.6"/>
    <n v="1014.4"/>
    <x v="2"/>
    <x v="10"/>
    <x v="0"/>
  </r>
  <r>
    <s v="ORD04208"/>
    <s v="2024-10-23"/>
    <x v="7"/>
    <x v="15"/>
    <x v="0"/>
    <s v="Sofa"/>
    <n v="9"/>
    <n v="30357"/>
    <n v="0.2"/>
    <n v="218570.4"/>
    <n v="38765.19"/>
    <x v="3"/>
    <x v="0"/>
    <x v="0"/>
  </r>
  <r>
    <s v="ORD04209"/>
    <s v="2024-10-13"/>
    <x v="25"/>
    <x v="0"/>
    <x v="0"/>
    <s v="Chair"/>
    <n v="10"/>
    <n v="49014"/>
    <n v="0.15"/>
    <n v="416619"/>
    <n v="56589.279999999999"/>
    <x v="3"/>
    <x v="0"/>
    <x v="0"/>
  </r>
  <r>
    <s v="ORD04210"/>
    <s v="2024-11-09"/>
    <x v="30"/>
    <x v="2"/>
    <x v="2"/>
    <s v="Shoes"/>
    <n v="14"/>
    <n v="19006"/>
    <n v="0.05"/>
    <n v="252779.8"/>
    <n v="35669.54"/>
    <x v="3"/>
    <x v="4"/>
    <x v="0"/>
  </r>
  <r>
    <s v="ORD04211"/>
    <s v="2023-06-07"/>
    <x v="24"/>
    <x v="8"/>
    <x v="2"/>
    <s v="Sweater"/>
    <n v="6"/>
    <n v="59158"/>
    <n v="0.05"/>
    <n v="337200.6"/>
    <n v="51334.04"/>
    <x v="2"/>
    <x v="5"/>
    <x v="1"/>
  </r>
  <r>
    <s v="ORD04212"/>
    <s v="2024-05-27"/>
    <x v="18"/>
    <x v="1"/>
    <x v="1"/>
    <s v="Mobile"/>
    <n v="13"/>
    <n v="6532"/>
    <n v="0"/>
    <n v="84916"/>
    <n v="23586.29"/>
    <x v="3"/>
    <x v="6"/>
    <x v="0"/>
  </r>
  <r>
    <s v="ORD04213"/>
    <s v="2023-09-27"/>
    <x v="31"/>
    <x v="0"/>
    <x v="0"/>
    <s v="Chair"/>
    <n v="14"/>
    <n v="36926"/>
    <n v="0.2"/>
    <n v="413571.2"/>
    <n v="72704.13"/>
    <x v="1"/>
    <x v="10"/>
    <x v="1"/>
  </r>
  <r>
    <s v="ORD04214"/>
    <s v="2023-05-01"/>
    <x v="31"/>
    <x v="19"/>
    <x v="1"/>
    <s v="Smartwatch"/>
    <n v="3"/>
    <n v="44238"/>
    <n v="0"/>
    <n v="132714"/>
    <n v="11570.94"/>
    <x v="3"/>
    <x v="6"/>
    <x v="1"/>
  </r>
  <r>
    <s v="ORD04215"/>
    <s v="2023-03-29"/>
    <x v="26"/>
    <x v="19"/>
    <x v="1"/>
    <s v="Smartwatch"/>
    <n v="1"/>
    <n v="15776"/>
    <n v="0.05"/>
    <n v="14987.2"/>
    <n v="1273.4100000000001"/>
    <x v="1"/>
    <x v="7"/>
    <x v="1"/>
  </r>
  <r>
    <s v="ORD04216"/>
    <s v="2024-04-10"/>
    <x v="33"/>
    <x v="23"/>
    <x v="0"/>
    <s v="Desk"/>
    <n v="5"/>
    <n v="36184"/>
    <n v="0.2"/>
    <n v="144736"/>
    <n v="19178.54"/>
    <x v="1"/>
    <x v="2"/>
    <x v="0"/>
  </r>
  <r>
    <s v="ORD04217"/>
    <s v="2023-10-15"/>
    <x v="14"/>
    <x v="22"/>
    <x v="1"/>
    <s v="Camera"/>
    <n v="14"/>
    <n v="37295"/>
    <n v="0.1"/>
    <n v="469917"/>
    <n v="81813.039999999994"/>
    <x v="3"/>
    <x v="0"/>
    <x v="1"/>
  </r>
  <r>
    <s v="ORD04218"/>
    <s v="2024-02-08"/>
    <x v="20"/>
    <x v="14"/>
    <x v="2"/>
    <s v="Dress"/>
    <n v="5"/>
    <n v="14724"/>
    <n v="0.05"/>
    <n v="69939"/>
    <n v="7503.13"/>
    <x v="1"/>
    <x v="11"/>
    <x v="0"/>
  </r>
  <r>
    <s v="ORD04219"/>
    <s v="2023-06-26"/>
    <x v="45"/>
    <x v="12"/>
    <x v="1"/>
    <s v="Headphones"/>
    <n v="1"/>
    <n v="31175"/>
    <n v="0.05"/>
    <n v="29616.25"/>
    <n v="8573.25"/>
    <x v="2"/>
    <x v="5"/>
    <x v="1"/>
  </r>
  <r>
    <s v="ORD04220"/>
    <s v="2023-11-11"/>
    <x v="32"/>
    <x v="18"/>
    <x v="0"/>
    <s v="Table"/>
    <n v="7"/>
    <n v="11044"/>
    <n v="0.05"/>
    <n v="73442.600000000006"/>
    <n v="21057.040000000001"/>
    <x v="0"/>
    <x v="4"/>
    <x v="1"/>
  </r>
  <r>
    <s v="ORD04221"/>
    <s v="2023-06-16"/>
    <x v="28"/>
    <x v="16"/>
    <x v="3"/>
    <s v="Pen"/>
    <n v="3"/>
    <n v="26219"/>
    <n v="0.05"/>
    <n v="74724.149999999994"/>
    <n v="11669.8"/>
    <x v="3"/>
    <x v="5"/>
    <x v="1"/>
  </r>
  <r>
    <s v="ORD04222"/>
    <s v="2024-10-10"/>
    <x v="43"/>
    <x v="15"/>
    <x v="0"/>
    <s v="Sofa"/>
    <n v="12"/>
    <n v="50997"/>
    <n v="0.15"/>
    <n v="520169.4"/>
    <n v="49484.52"/>
    <x v="2"/>
    <x v="0"/>
    <x v="0"/>
  </r>
  <r>
    <s v="ORD04223"/>
    <s v="2023-09-04"/>
    <x v="14"/>
    <x v="17"/>
    <x v="1"/>
    <s v="Power Bank"/>
    <n v="1"/>
    <n v="40431"/>
    <n v="0.1"/>
    <n v="36387.9"/>
    <n v="7942.15"/>
    <x v="1"/>
    <x v="10"/>
    <x v="1"/>
  </r>
  <r>
    <s v="ORD04224"/>
    <s v="2023-01-09"/>
    <x v="8"/>
    <x v="3"/>
    <x v="3"/>
    <s v="Stapler"/>
    <n v="3"/>
    <n v="54271"/>
    <n v="0.1"/>
    <n v="146531.70000000001"/>
    <n v="25197.08"/>
    <x v="2"/>
    <x v="3"/>
    <x v="1"/>
  </r>
  <r>
    <s v="ORD04225"/>
    <s v="2023-10-03"/>
    <x v="2"/>
    <x v="20"/>
    <x v="1"/>
    <s v="Tablet"/>
    <n v="5"/>
    <n v="16264"/>
    <n v="0.05"/>
    <n v="77254"/>
    <n v="21487.8"/>
    <x v="0"/>
    <x v="0"/>
    <x v="1"/>
  </r>
  <r>
    <s v="ORD04226"/>
    <s v="2024-07-30"/>
    <x v="43"/>
    <x v="6"/>
    <x v="2"/>
    <s v="Jeans"/>
    <n v="5"/>
    <n v="43987"/>
    <n v="0.05"/>
    <n v="208938.25"/>
    <n v="24513.11"/>
    <x v="0"/>
    <x v="1"/>
    <x v="0"/>
  </r>
  <r>
    <s v="ORD04227"/>
    <s v="2023-08-12"/>
    <x v="28"/>
    <x v="1"/>
    <x v="1"/>
    <s v="Mobile"/>
    <n v="5"/>
    <n v="6626"/>
    <n v="0.2"/>
    <n v="26504"/>
    <n v="3292.54"/>
    <x v="3"/>
    <x v="8"/>
    <x v="1"/>
  </r>
  <r>
    <s v="ORD04228"/>
    <s v="2024-06-16"/>
    <x v="42"/>
    <x v="6"/>
    <x v="2"/>
    <s v="Jeans"/>
    <n v="10"/>
    <n v="31018"/>
    <n v="0.05"/>
    <n v="294671"/>
    <n v="40934.559999999998"/>
    <x v="2"/>
    <x v="5"/>
    <x v="0"/>
  </r>
  <r>
    <s v="ORD04229"/>
    <s v="2023-07-26"/>
    <x v="49"/>
    <x v="17"/>
    <x v="1"/>
    <s v="Power Bank"/>
    <n v="7"/>
    <n v="12209"/>
    <n v="0"/>
    <n v="85463"/>
    <n v="9028.16"/>
    <x v="2"/>
    <x v="1"/>
    <x v="1"/>
  </r>
  <r>
    <s v="ORD04230"/>
    <s v="2024-07-16"/>
    <x v="18"/>
    <x v="13"/>
    <x v="2"/>
    <s v="Jacket"/>
    <n v="10"/>
    <n v="20931"/>
    <n v="0.15"/>
    <n v="177913.5"/>
    <n v="45055.45"/>
    <x v="1"/>
    <x v="1"/>
    <x v="0"/>
  </r>
  <r>
    <s v="ORD04231"/>
    <s v="2024-04-12"/>
    <x v="34"/>
    <x v="17"/>
    <x v="1"/>
    <s v="Power Bank"/>
    <n v="3"/>
    <n v="53990"/>
    <n v="0.1"/>
    <n v="145773"/>
    <n v="26684.17"/>
    <x v="2"/>
    <x v="2"/>
    <x v="0"/>
  </r>
  <r>
    <s v="ORD04232"/>
    <s v="2023-01-23"/>
    <x v="16"/>
    <x v="24"/>
    <x v="2"/>
    <s v="T-Shirt"/>
    <n v="12"/>
    <n v="29585"/>
    <n v="0.2"/>
    <n v="284016"/>
    <n v="78760.7"/>
    <x v="0"/>
    <x v="3"/>
    <x v="1"/>
  </r>
  <r>
    <s v="ORD04233"/>
    <s v="2023-06-14"/>
    <x v="34"/>
    <x v="1"/>
    <x v="1"/>
    <s v="Mobile"/>
    <n v="14"/>
    <n v="34622"/>
    <n v="0.2"/>
    <n v="387766.4"/>
    <n v="101243.3"/>
    <x v="3"/>
    <x v="5"/>
    <x v="1"/>
  </r>
  <r>
    <s v="ORD04234"/>
    <s v="2023-06-25"/>
    <x v="47"/>
    <x v="24"/>
    <x v="2"/>
    <s v="T-Shirt"/>
    <n v="9"/>
    <n v="52967"/>
    <n v="0"/>
    <n v="476703"/>
    <n v="114609.72"/>
    <x v="1"/>
    <x v="5"/>
    <x v="1"/>
  </r>
  <r>
    <s v="ORD04235"/>
    <s v="2023-08-23"/>
    <x v="9"/>
    <x v="22"/>
    <x v="1"/>
    <s v="Camera"/>
    <n v="9"/>
    <n v="13111"/>
    <n v="0.2"/>
    <n v="94399.2"/>
    <n v="27613.61"/>
    <x v="1"/>
    <x v="8"/>
    <x v="1"/>
  </r>
  <r>
    <s v="ORD04236"/>
    <s v="2024-10-29"/>
    <x v="44"/>
    <x v="8"/>
    <x v="2"/>
    <s v="Sweater"/>
    <n v="13"/>
    <n v="28977"/>
    <n v="0.05"/>
    <n v="357865.95"/>
    <n v="30021.39"/>
    <x v="0"/>
    <x v="0"/>
    <x v="0"/>
  </r>
  <r>
    <s v="ORD04237"/>
    <s v="2024-08-10"/>
    <x v="26"/>
    <x v="15"/>
    <x v="0"/>
    <s v="Sofa"/>
    <n v="13"/>
    <n v="18931"/>
    <n v="0.2"/>
    <n v="196882.4"/>
    <n v="39005.839999999997"/>
    <x v="2"/>
    <x v="8"/>
    <x v="0"/>
  </r>
  <r>
    <s v="ORD04238"/>
    <s v="2023-12-21"/>
    <x v="34"/>
    <x v="22"/>
    <x v="1"/>
    <s v="Camera"/>
    <n v="13"/>
    <n v="40180"/>
    <n v="0.15"/>
    <n v="443989"/>
    <n v="68691.13"/>
    <x v="3"/>
    <x v="9"/>
    <x v="1"/>
  </r>
  <r>
    <s v="ORD04239"/>
    <s v="2023-03-15"/>
    <x v="22"/>
    <x v="4"/>
    <x v="0"/>
    <s v="Stool"/>
    <n v="15"/>
    <n v="35111"/>
    <n v="0.2"/>
    <n v="421332"/>
    <n v="83343.98"/>
    <x v="0"/>
    <x v="7"/>
    <x v="1"/>
  </r>
  <r>
    <s v="ORD04240"/>
    <s v="2024-06-22"/>
    <x v="19"/>
    <x v="6"/>
    <x v="2"/>
    <s v="Jeans"/>
    <n v="15"/>
    <n v="51659"/>
    <n v="0.15"/>
    <n v="658652.25"/>
    <n v="126190.66"/>
    <x v="1"/>
    <x v="5"/>
    <x v="0"/>
  </r>
  <r>
    <s v="ORD04241"/>
    <s v="2023-12-16"/>
    <x v="2"/>
    <x v="13"/>
    <x v="2"/>
    <s v="Jacket"/>
    <n v="11"/>
    <n v="34667"/>
    <n v="0.1"/>
    <n v="343203.3"/>
    <n v="51358.879999999997"/>
    <x v="2"/>
    <x v="9"/>
    <x v="1"/>
  </r>
  <r>
    <s v="ORD04242"/>
    <s v="2023-07-01"/>
    <x v="10"/>
    <x v="3"/>
    <x v="3"/>
    <s v="Stapler"/>
    <n v="3"/>
    <n v="31128"/>
    <n v="0.1"/>
    <n v="84045.6"/>
    <n v="17198.05"/>
    <x v="2"/>
    <x v="1"/>
    <x v="1"/>
  </r>
  <r>
    <s v="ORD04243"/>
    <s v="2024-02-01"/>
    <x v="32"/>
    <x v="5"/>
    <x v="0"/>
    <s v="Cupboard"/>
    <n v="12"/>
    <n v="13804"/>
    <n v="0.05"/>
    <n v="157365.6"/>
    <n v="41630.06"/>
    <x v="2"/>
    <x v="11"/>
    <x v="0"/>
  </r>
  <r>
    <s v="ORD04244"/>
    <s v="2023-02-15"/>
    <x v="41"/>
    <x v="16"/>
    <x v="3"/>
    <s v="Pen"/>
    <n v="9"/>
    <n v="14170"/>
    <n v="0.2"/>
    <n v="102024"/>
    <n v="16409.13"/>
    <x v="1"/>
    <x v="11"/>
    <x v="1"/>
  </r>
  <r>
    <s v="ORD04245"/>
    <s v="2023-03-20"/>
    <x v="12"/>
    <x v="1"/>
    <x v="1"/>
    <s v="Mobile"/>
    <n v="3"/>
    <n v="32642"/>
    <n v="0"/>
    <n v="97926"/>
    <n v="13431.09"/>
    <x v="3"/>
    <x v="7"/>
    <x v="1"/>
  </r>
  <r>
    <s v="ORD04246"/>
    <s v="2024-03-06"/>
    <x v="33"/>
    <x v="11"/>
    <x v="3"/>
    <s v="Printer"/>
    <n v="5"/>
    <n v="55897"/>
    <n v="0.2"/>
    <n v="223588"/>
    <n v="61911.99"/>
    <x v="1"/>
    <x v="7"/>
    <x v="0"/>
  </r>
  <r>
    <s v="ORD04247"/>
    <s v="2023-11-27"/>
    <x v="20"/>
    <x v="18"/>
    <x v="0"/>
    <s v="Table"/>
    <n v="15"/>
    <n v="42135"/>
    <n v="0.05"/>
    <n v="600423.75"/>
    <n v="132151.32999999999"/>
    <x v="1"/>
    <x v="4"/>
    <x v="1"/>
  </r>
  <r>
    <s v="ORD04248"/>
    <s v="2024-07-26"/>
    <x v="4"/>
    <x v="12"/>
    <x v="1"/>
    <s v="Headphones"/>
    <n v="3"/>
    <n v="9278"/>
    <n v="0.05"/>
    <n v="26442.3"/>
    <n v="5879.98"/>
    <x v="0"/>
    <x v="1"/>
    <x v="0"/>
  </r>
  <r>
    <s v="ORD04249"/>
    <s v="2023-05-14"/>
    <x v="45"/>
    <x v="0"/>
    <x v="0"/>
    <s v="Chair"/>
    <n v="12"/>
    <n v="4349"/>
    <n v="0.05"/>
    <n v="49578.6"/>
    <n v="8815.44"/>
    <x v="2"/>
    <x v="6"/>
    <x v="1"/>
  </r>
  <r>
    <s v="ORD04250"/>
    <s v="2024-05-10"/>
    <x v="17"/>
    <x v="2"/>
    <x v="2"/>
    <s v="Shoes"/>
    <n v="15"/>
    <n v="22082"/>
    <n v="0.15"/>
    <n v="281545.5"/>
    <n v="47455.65"/>
    <x v="2"/>
    <x v="6"/>
    <x v="0"/>
  </r>
  <r>
    <s v="ORD04251"/>
    <s v="2024-04-22"/>
    <x v="27"/>
    <x v="12"/>
    <x v="1"/>
    <s v="Headphones"/>
    <n v="6"/>
    <n v="6233"/>
    <n v="0.15"/>
    <n v="31788.3"/>
    <n v="8173.69"/>
    <x v="0"/>
    <x v="2"/>
    <x v="0"/>
  </r>
  <r>
    <s v="ORD04252"/>
    <s v="2023-08-20"/>
    <x v="12"/>
    <x v="25"/>
    <x v="3"/>
    <s v="Notebook"/>
    <n v="6"/>
    <n v="8439"/>
    <n v="0.1"/>
    <n v="45570.6"/>
    <n v="13368.38"/>
    <x v="3"/>
    <x v="8"/>
    <x v="1"/>
  </r>
  <r>
    <s v="ORD04253"/>
    <s v="2024-01-11"/>
    <x v="44"/>
    <x v="20"/>
    <x v="1"/>
    <s v="Tablet"/>
    <n v="6"/>
    <n v="4750"/>
    <n v="0.15"/>
    <n v="24225"/>
    <n v="4603.71"/>
    <x v="0"/>
    <x v="3"/>
    <x v="0"/>
  </r>
  <r>
    <s v="ORD04254"/>
    <s v="2023-12-17"/>
    <x v="1"/>
    <x v="17"/>
    <x v="1"/>
    <s v="Power Bank"/>
    <n v="6"/>
    <n v="55325"/>
    <n v="0"/>
    <n v="331950"/>
    <n v="48759.42"/>
    <x v="1"/>
    <x v="9"/>
    <x v="1"/>
  </r>
  <r>
    <s v="ORD04255"/>
    <s v="2024-10-21"/>
    <x v="2"/>
    <x v="7"/>
    <x v="0"/>
    <s v="Bed"/>
    <n v="10"/>
    <n v="24926"/>
    <n v="0.15"/>
    <n v="211871"/>
    <n v="34750.559999999998"/>
    <x v="3"/>
    <x v="0"/>
    <x v="0"/>
  </r>
  <r>
    <s v="ORD04256"/>
    <s v="2023-08-21"/>
    <x v="12"/>
    <x v="21"/>
    <x v="1"/>
    <s v="Laptop"/>
    <n v="5"/>
    <n v="19445"/>
    <n v="0.2"/>
    <n v="77780"/>
    <n v="7650.74"/>
    <x v="3"/>
    <x v="8"/>
    <x v="1"/>
  </r>
  <r>
    <s v="ORD04257"/>
    <s v="2024-11-19"/>
    <x v="17"/>
    <x v="0"/>
    <x v="0"/>
    <s v="Chair"/>
    <n v="7"/>
    <n v="1950"/>
    <n v="0.05"/>
    <n v="12967.5"/>
    <n v="2191.73"/>
    <x v="2"/>
    <x v="4"/>
    <x v="0"/>
  </r>
  <r>
    <s v="ORD04258"/>
    <s v="2024-07-16"/>
    <x v="30"/>
    <x v="10"/>
    <x v="3"/>
    <s v="Marker"/>
    <n v="15"/>
    <n v="48217"/>
    <n v="0"/>
    <n v="723255"/>
    <n v="75975.179999999993"/>
    <x v="2"/>
    <x v="1"/>
    <x v="0"/>
  </r>
  <r>
    <s v="ORD04259"/>
    <s v="2023-06-13"/>
    <x v="38"/>
    <x v="24"/>
    <x v="2"/>
    <s v="T-Shirt"/>
    <n v="1"/>
    <n v="11072"/>
    <n v="0.2"/>
    <n v="8857.6"/>
    <n v="1966.39"/>
    <x v="0"/>
    <x v="5"/>
    <x v="1"/>
  </r>
  <r>
    <s v="ORD04260"/>
    <s v="2024-08-21"/>
    <x v="2"/>
    <x v="4"/>
    <x v="0"/>
    <s v="Stool"/>
    <n v="11"/>
    <n v="14769"/>
    <n v="0.15"/>
    <n v="138090.15"/>
    <n v="31200.81"/>
    <x v="2"/>
    <x v="8"/>
    <x v="0"/>
  </r>
  <r>
    <s v="ORD04261"/>
    <s v="2024-08-27"/>
    <x v="27"/>
    <x v="26"/>
    <x v="3"/>
    <s v="Paper Ream"/>
    <n v="13"/>
    <n v="8342"/>
    <n v="0"/>
    <n v="108446"/>
    <n v="8688.32"/>
    <x v="3"/>
    <x v="8"/>
    <x v="0"/>
  </r>
  <r>
    <s v="ORD04262"/>
    <s v="2024-01-15"/>
    <x v="42"/>
    <x v="21"/>
    <x v="1"/>
    <s v="Laptop"/>
    <n v="7"/>
    <n v="55704"/>
    <n v="0.05"/>
    <n v="370431.6"/>
    <n v="62165.09"/>
    <x v="3"/>
    <x v="3"/>
    <x v="0"/>
  </r>
  <r>
    <s v="ORD04263"/>
    <s v="2023-11-22"/>
    <x v="42"/>
    <x v="12"/>
    <x v="1"/>
    <s v="Headphones"/>
    <n v="6"/>
    <n v="14860"/>
    <n v="0.1"/>
    <n v="80244"/>
    <n v="21371.98"/>
    <x v="2"/>
    <x v="4"/>
    <x v="1"/>
  </r>
  <r>
    <s v="ORD04264"/>
    <s v="2024-08-24"/>
    <x v="3"/>
    <x v="4"/>
    <x v="0"/>
    <s v="Stool"/>
    <n v="10"/>
    <n v="56538"/>
    <n v="0.2"/>
    <n v="452304"/>
    <n v="60583.29"/>
    <x v="1"/>
    <x v="8"/>
    <x v="0"/>
  </r>
  <r>
    <s v="ORD04265"/>
    <s v="2023-05-27"/>
    <x v="24"/>
    <x v="12"/>
    <x v="1"/>
    <s v="Headphones"/>
    <n v="11"/>
    <n v="46467"/>
    <n v="0.15"/>
    <n v="434466.45"/>
    <n v="67020.460000000006"/>
    <x v="2"/>
    <x v="6"/>
    <x v="1"/>
  </r>
  <r>
    <s v="ORD04266"/>
    <s v="2023-11-04"/>
    <x v="14"/>
    <x v="24"/>
    <x v="2"/>
    <s v="T-Shirt"/>
    <n v="14"/>
    <n v="41254"/>
    <n v="0.15"/>
    <n v="490922.6"/>
    <n v="66852.02"/>
    <x v="3"/>
    <x v="4"/>
    <x v="1"/>
  </r>
  <r>
    <s v="ORD04267"/>
    <s v="2023-07-22"/>
    <x v="45"/>
    <x v="8"/>
    <x v="2"/>
    <s v="Sweater"/>
    <n v="5"/>
    <n v="30579"/>
    <n v="0.05"/>
    <n v="145250.25"/>
    <n v="13557.22"/>
    <x v="0"/>
    <x v="1"/>
    <x v="1"/>
  </r>
  <r>
    <s v="ORD04268"/>
    <s v="2023-03-29"/>
    <x v="36"/>
    <x v="4"/>
    <x v="0"/>
    <s v="Stool"/>
    <n v="4"/>
    <n v="45814"/>
    <n v="0.15"/>
    <n v="155767.6"/>
    <n v="35482.980000000003"/>
    <x v="0"/>
    <x v="7"/>
    <x v="1"/>
  </r>
  <r>
    <s v="ORD04269"/>
    <s v="2023-10-21"/>
    <x v="14"/>
    <x v="11"/>
    <x v="3"/>
    <s v="Printer"/>
    <n v="8"/>
    <n v="51041"/>
    <n v="0.05"/>
    <n v="387911.6"/>
    <n v="80882.14"/>
    <x v="0"/>
    <x v="0"/>
    <x v="1"/>
  </r>
  <r>
    <s v="ORD04270"/>
    <s v="2024-03-25"/>
    <x v="7"/>
    <x v="15"/>
    <x v="0"/>
    <s v="Sofa"/>
    <n v="14"/>
    <n v="19365"/>
    <n v="0.1"/>
    <n v="243999"/>
    <n v="45395.51"/>
    <x v="1"/>
    <x v="7"/>
    <x v="0"/>
  </r>
  <r>
    <s v="ORD04271"/>
    <s v="2023-10-24"/>
    <x v="5"/>
    <x v="6"/>
    <x v="2"/>
    <s v="Jeans"/>
    <n v="1"/>
    <n v="21786"/>
    <n v="0.2"/>
    <n v="17428.8"/>
    <n v="4197.75"/>
    <x v="2"/>
    <x v="0"/>
    <x v="1"/>
  </r>
  <r>
    <s v="ORD04272"/>
    <s v="2023-07-18"/>
    <x v="2"/>
    <x v="1"/>
    <x v="1"/>
    <s v="Mobile"/>
    <n v="4"/>
    <n v="40253"/>
    <n v="0"/>
    <n v="161012"/>
    <n v="20414.36"/>
    <x v="0"/>
    <x v="1"/>
    <x v="1"/>
  </r>
  <r>
    <s v="ORD04273"/>
    <s v="2023-02-01"/>
    <x v="39"/>
    <x v="17"/>
    <x v="1"/>
    <s v="Power Bank"/>
    <n v="12"/>
    <n v="26639"/>
    <n v="0.05"/>
    <n v="303684.59999999998"/>
    <n v="36795.08"/>
    <x v="2"/>
    <x v="11"/>
    <x v="1"/>
  </r>
  <r>
    <s v="ORD04274"/>
    <s v="2024-04-09"/>
    <x v="42"/>
    <x v="25"/>
    <x v="3"/>
    <s v="Notebook"/>
    <n v="6"/>
    <n v="24290"/>
    <n v="0.05"/>
    <n v="138453"/>
    <n v="30045.62"/>
    <x v="3"/>
    <x v="2"/>
    <x v="0"/>
  </r>
  <r>
    <s v="ORD04275"/>
    <s v="2023-03-19"/>
    <x v="43"/>
    <x v="20"/>
    <x v="1"/>
    <s v="Tablet"/>
    <n v="7"/>
    <n v="23727"/>
    <n v="0.2"/>
    <n v="132871.20000000001"/>
    <n v="33488.129999999997"/>
    <x v="2"/>
    <x v="7"/>
    <x v="1"/>
  </r>
  <r>
    <s v="ORD04276"/>
    <s v="2023-01-29"/>
    <x v="42"/>
    <x v="2"/>
    <x v="2"/>
    <s v="Shoes"/>
    <n v="3"/>
    <n v="15023"/>
    <n v="0"/>
    <n v="45069"/>
    <n v="6716.82"/>
    <x v="2"/>
    <x v="3"/>
    <x v="1"/>
  </r>
  <r>
    <s v="ORD04277"/>
    <s v="2023-12-26"/>
    <x v="17"/>
    <x v="24"/>
    <x v="2"/>
    <s v="T-Shirt"/>
    <n v="4"/>
    <n v="52950"/>
    <n v="0.2"/>
    <n v="169440"/>
    <n v="28459.59"/>
    <x v="1"/>
    <x v="9"/>
    <x v="1"/>
  </r>
  <r>
    <s v="ORD04278"/>
    <s v="2023-08-06"/>
    <x v="21"/>
    <x v="6"/>
    <x v="2"/>
    <s v="Jeans"/>
    <n v="15"/>
    <n v="19497"/>
    <n v="0"/>
    <n v="292455"/>
    <n v="28655.09"/>
    <x v="0"/>
    <x v="8"/>
    <x v="1"/>
  </r>
  <r>
    <s v="ORD04279"/>
    <s v="2024-10-06"/>
    <x v="4"/>
    <x v="10"/>
    <x v="3"/>
    <s v="Marker"/>
    <n v="12"/>
    <n v="37158"/>
    <n v="0.2"/>
    <n v="356716.79999999999"/>
    <n v="104838.42"/>
    <x v="3"/>
    <x v="0"/>
    <x v="0"/>
  </r>
  <r>
    <s v="ORD04280"/>
    <s v="2024-02-07"/>
    <x v="6"/>
    <x v="0"/>
    <x v="0"/>
    <s v="Chair"/>
    <n v="12"/>
    <n v="36648"/>
    <n v="0.2"/>
    <n v="351820.79999999999"/>
    <n v="70493.539999999994"/>
    <x v="3"/>
    <x v="11"/>
    <x v="0"/>
  </r>
  <r>
    <s v="ORD04281"/>
    <s v="2023-09-06"/>
    <x v="18"/>
    <x v="14"/>
    <x v="2"/>
    <s v="Dress"/>
    <n v="7"/>
    <n v="42133"/>
    <n v="0.15"/>
    <n v="250691.35"/>
    <n v="70724.479999999996"/>
    <x v="2"/>
    <x v="10"/>
    <x v="1"/>
  </r>
  <r>
    <s v="ORD04282"/>
    <s v="2023-09-14"/>
    <x v="33"/>
    <x v="8"/>
    <x v="2"/>
    <s v="Sweater"/>
    <n v="14"/>
    <n v="13683"/>
    <n v="0"/>
    <n v="191562"/>
    <n v="29607.19"/>
    <x v="0"/>
    <x v="10"/>
    <x v="1"/>
  </r>
  <r>
    <s v="ORD04283"/>
    <s v="2023-08-28"/>
    <x v="0"/>
    <x v="13"/>
    <x v="2"/>
    <s v="Jacket"/>
    <n v="1"/>
    <n v="22042"/>
    <n v="0.1"/>
    <n v="19837.8"/>
    <n v="3433.16"/>
    <x v="3"/>
    <x v="8"/>
    <x v="1"/>
  </r>
  <r>
    <s v="ORD04284"/>
    <s v="2023-07-08"/>
    <x v="45"/>
    <x v="21"/>
    <x v="1"/>
    <s v="Laptop"/>
    <n v="15"/>
    <n v="29547"/>
    <n v="0.15"/>
    <n v="376724.25"/>
    <n v="91800.72"/>
    <x v="3"/>
    <x v="1"/>
    <x v="1"/>
  </r>
  <r>
    <s v="ORD04285"/>
    <s v="2023-07-29"/>
    <x v="5"/>
    <x v="27"/>
    <x v="3"/>
    <s v="File"/>
    <n v="11"/>
    <n v="26532"/>
    <n v="0.2"/>
    <n v="233481.60000000001"/>
    <n v="49390.6"/>
    <x v="1"/>
    <x v="1"/>
    <x v="1"/>
  </r>
  <r>
    <s v="ORD04286"/>
    <s v="2024-08-05"/>
    <x v="37"/>
    <x v="23"/>
    <x v="0"/>
    <s v="Desk"/>
    <n v="13"/>
    <n v="9296"/>
    <n v="0.15"/>
    <n v="102720.8"/>
    <n v="15859.69"/>
    <x v="3"/>
    <x v="8"/>
    <x v="0"/>
  </r>
  <r>
    <s v="ORD04287"/>
    <s v="2024-04-01"/>
    <x v="21"/>
    <x v="21"/>
    <x v="1"/>
    <s v="Laptop"/>
    <n v="15"/>
    <n v="23336"/>
    <n v="0.1"/>
    <n v="315036"/>
    <n v="85356.42"/>
    <x v="2"/>
    <x v="2"/>
    <x v="0"/>
  </r>
  <r>
    <s v="ORD04288"/>
    <s v="2023-09-10"/>
    <x v="5"/>
    <x v="16"/>
    <x v="3"/>
    <s v="Pen"/>
    <n v="4"/>
    <n v="11595"/>
    <n v="0.2"/>
    <n v="37104"/>
    <n v="8897.31"/>
    <x v="1"/>
    <x v="10"/>
    <x v="1"/>
  </r>
  <r>
    <s v="ORD04289"/>
    <s v="2024-11-30"/>
    <x v="38"/>
    <x v="15"/>
    <x v="0"/>
    <s v="Sofa"/>
    <n v="5"/>
    <n v="45300"/>
    <n v="0.05"/>
    <n v="215175"/>
    <n v="58961.85"/>
    <x v="2"/>
    <x v="4"/>
    <x v="0"/>
  </r>
  <r>
    <s v="ORD04290"/>
    <s v="2023-06-27"/>
    <x v="13"/>
    <x v="21"/>
    <x v="1"/>
    <s v="Laptop"/>
    <n v="6"/>
    <n v="47514"/>
    <n v="0.05"/>
    <n v="270829.8"/>
    <n v="23677.11"/>
    <x v="1"/>
    <x v="5"/>
    <x v="1"/>
  </r>
  <r>
    <s v="ORD04291"/>
    <s v="2023-10-10"/>
    <x v="46"/>
    <x v="7"/>
    <x v="0"/>
    <s v="Bed"/>
    <n v="6"/>
    <n v="22917"/>
    <n v="0.15"/>
    <n v="116876.7"/>
    <n v="30739.58"/>
    <x v="3"/>
    <x v="0"/>
    <x v="1"/>
  </r>
  <r>
    <s v="ORD04292"/>
    <s v="2023-07-18"/>
    <x v="3"/>
    <x v="9"/>
    <x v="1"/>
    <s v="Keyboard"/>
    <n v="4"/>
    <n v="8152"/>
    <n v="0.2"/>
    <n v="26086.400000000001"/>
    <n v="4363.47"/>
    <x v="2"/>
    <x v="1"/>
    <x v="1"/>
  </r>
  <r>
    <s v="ORD04293"/>
    <s v="2024-11-16"/>
    <x v="25"/>
    <x v="26"/>
    <x v="3"/>
    <s v="Paper Ream"/>
    <n v="10"/>
    <n v="7900"/>
    <n v="0.15"/>
    <n v="67150"/>
    <n v="13517.93"/>
    <x v="1"/>
    <x v="4"/>
    <x v="0"/>
  </r>
  <r>
    <s v="ORD04294"/>
    <s v="2023-06-11"/>
    <x v="27"/>
    <x v="7"/>
    <x v="0"/>
    <s v="Bed"/>
    <n v="10"/>
    <n v="49008"/>
    <n v="0.05"/>
    <n v="465576"/>
    <n v="85146.23"/>
    <x v="2"/>
    <x v="5"/>
    <x v="1"/>
  </r>
  <r>
    <s v="ORD04295"/>
    <s v="2024-05-17"/>
    <x v="43"/>
    <x v="4"/>
    <x v="0"/>
    <s v="Stool"/>
    <n v="12"/>
    <n v="15275"/>
    <n v="0.1"/>
    <n v="164970"/>
    <n v="35528.639999999999"/>
    <x v="2"/>
    <x v="6"/>
    <x v="0"/>
  </r>
  <r>
    <s v="ORD04296"/>
    <s v="2023-06-26"/>
    <x v="39"/>
    <x v="17"/>
    <x v="1"/>
    <s v="Power Bank"/>
    <n v="12"/>
    <n v="6634"/>
    <n v="0.2"/>
    <n v="63686.400000000001"/>
    <n v="11070.56"/>
    <x v="1"/>
    <x v="5"/>
    <x v="1"/>
  </r>
  <r>
    <s v="ORD04297"/>
    <s v="2023-06-15"/>
    <x v="6"/>
    <x v="25"/>
    <x v="3"/>
    <s v="Notebook"/>
    <n v="5"/>
    <n v="44751"/>
    <n v="0.2"/>
    <n v="179004"/>
    <n v="36839.980000000003"/>
    <x v="0"/>
    <x v="5"/>
    <x v="1"/>
  </r>
  <r>
    <s v="ORD04298"/>
    <s v="2023-05-24"/>
    <x v="2"/>
    <x v="27"/>
    <x v="3"/>
    <s v="File"/>
    <n v="4"/>
    <n v="25589"/>
    <n v="0.15"/>
    <n v="87002.6"/>
    <n v="16470.95"/>
    <x v="3"/>
    <x v="6"/>
    <x v="1"/>
  </r>
  <r>
    <s v="ORD04299"/>
    <s v="2023-08-21"/>
    <x v="37"/>
    <x v="4"/>
    <x v="0"/>
    <s v="Stool"/>
    <n v="13"/>
    <n v="16747"/>
    <n v="0.2"/>
    <n v="174168.8"/>
    <n v="44278.12"/>
    <x v="3"/>
    <x v="8"/>
    <x v="1"/>
  </r>
  <r>
    <s v="ORD04300"/>
    <s v="2024-10-12"/>
    <x v="22"/>
    <x v="14"/>
    <x v="2"/>
    <s v="Dress"/>
    <n v="15"/>
    <n v="59931"/>
    <n v="0"/>
    <n v="898965"/>
    <n v="109660.86"/>
    <x v="1"/>
    <x v="0"/>
    <x v="0"/>
  </r>
  <r>
    <s v="ORD04301"/>
    <s v="2024-06-03"/>
    <x v="46"/>
    <x v="17"/>
    <x v="1"/>
    <s v="Power Bank"/>
    <n v="7"/>
    <n v="47756"/>
    <n v="0.05"/>
    <n v="317577.40000000002"/>
    <n v="90365.5"/>
    <x v="0"/>
    <x v="5"/>
    <x v="0"/>
  </r>
  <r>
    <s v="ORD04302"/>
    <s v="2024-03-09"/>
    <x v="13"/>
    <x v="8"/>
    <x v="2"/>
    <s v="Sweater"/>
    <n v="4"/>
    <n v="58319"/>
    <n v="0"/>
    <n v="233276"/>
    <n v="29393.53"/>
    <x v="1"/>
    <x v="7"/>
    <x v="0"/>
  </r>
  <r>
    <s v="ORD04303"/>
    <s v="2024-06-29"/>
    <x v="19"/>
    <x v="23"/>
    <x v="0"/>
    <s v="Desk"/>
    <n v="5"/>
    <n v="1491"/>
    <n v="0.2"/>
    <n v="5964"/>
    <n v="1021.12"/>
    <x v="2"/>
    <x v="5"/>
    <x v="0"/>
  </r>
  <r>
    <s v="ORD04304"/>
    <s v="2024-11-05"/>
    <x v="1"/>
    <x v="7"/>
    <x v="0"/>
    <s v="Bed"/>
    <n v="6"/>
    <n v="39608"/>
    <n v="0.15"/>
    <n v="202000.8"/>
    <n v="26120.49"/>
    <x v="2"/>
    <x v="4"/>
    <x v="0"/>
  </r>
  <r>
    <s v="ORD04305"/>
    <s v="2023-12-07"/>
    <x v="49"/>
    <x v="27"/>
    <x v="3"/>
    <s v="File"/>
    <n v="8"/>
    <n v="9036"/>
    <n v="0.05"/>
    <n v="68673.600000000006"/>
    <n v="12510.32"/>
    <x v="3"/>
    <x v="9"/>
    <x v="1"/>
  </r>
  <r>
    <s v="ORD04306"/>
    <s v="2023-01-27"/>
    <x v="20"/>
    <x v="23"/>
    <x v="0"/>
    <s v="Desk"/>
    <n v="12"/>
    <n v="16922"/>
    <n v="0.2"/>
    <n v="162451.20000000001"/>
    <n v="21596.37"/>
    <x v="2"/>
    <x v="3"/>
    <x v="1"/>
  </r>
  <r>
    <s v="ORD04307"/>
    <s v="2024-05-16"/>
    <x v="12"/>
    <x v="17"/>
    <x v="1"/>
    <s v="Power Bank"/>
    <n v="5"/>
    <n v="20758"/>
    <n v="0.1"/>
    <n v="93411"/>
    <n v="23442.36"/>
    <x v="2"/>
    <x v="6"/>
    <x v="0"/>
  </r>
  <r>
    <s v="ORD04308"/>
    <s v="2024-05-30"/>
    <x v="15"/>
    <x v="11"/>
    <x v="3"/>
    <s v="Printer"/>
    <n v="15"/>
    <n v="14041"/>
    <n v="0.1"/>
    <n v="189553.5"/>
    <n v="23993.61"/>
    <x v="3"/>
    <x v="6"/>
    <x v="0"/>
  </r>
  <r>
    <s v="ORD04309"/>
    <s v="2024-04-14"/>
    <x v="3"/>
    <x v="5"/>
    <x v="0"/>
    <s v="Cupboard"/>
    <n v="10"/>
    <n v="36795"/>
    <n v="0"/>
    <n v="367950"/>
    <n v="44162.400000000001"/>
    <x v="2"/>
    <x v="2"/>
    <x v="0"/>
  </r>
  <r>
    <s v="ORD04310"/>
    <s v="2023-10-16"/>
    <x v="48"/>
    <x v="15"/>
    <x v="0"/>
    <s v="Sofa"/>
    <n v="10"/>
    <n v="58533"/>
    <n v="0"/>
    <n v="585330"/>
    <n v="164631.16"/>
    <x v="2"/>
    <x v="0"/>
    <x v="1"/>
  </r>
  <r>
    <s v="ORD04311"/>
    <s v="2023-04-11"/>
    <x v="2"/>
    <x v="4"/>
    <x v="0"/>
    <s v="Stool"/>
    <n v="14"/>
    <n v="39617"/>
    <n v="0.15"/>
    <n v="471442.3"/>
    <n v="79700.960000000006"/>
    <x v="1"/>
    <x v="2"/>
    <x v="1"/>
  </r>
  <r>
    <s v="ORD04312"/>
    <s v="2023-08-08"/>
    <x v="48"/>
    <x v="5"/>
    <x v="0"/>
    <s v="Cupboard"/>
    <n v="7"/>
    <n v="10207"/>
    <n v="0.15"/>
    <n v="60731.65"/>
    <n v="12235.2"/>
    <x v="1"/>
    <x v="8"/>
    <x v="1"/>
  </r>
  <r>
    <s v="ORD04313"/>
    <s v="2023-02-20"/>
    <x v="6"/>
    <x v="23"/>
    <x v="0"/>
    <s v="Desk"/>
    <n v="10"/>
    <n v="33264"/>
    <n v="0.1"/>
    <n v="299376"/>
    <n v="86323.839999999997"/>
    <x v="2"/>
    <x v="11"/>
    <x v="1"/>
  </r>
  <r>
    <s v="ORD04314"/>
    <s v="2024-10-01"/>
    <x v="33"/>
    <x v="2"/>
    <x v="2"/>
    <s v="Shoes"/>
    <n v="9"/>
    <n v="54151"/>
    <n v="0.15"/>
    <n v="414255.15"/>
    <n v="39422.980000000003"/>
    <x v="2"/>
    <x v="0"/>
    <x v="0"/>
  </r>
  <r>
    <s v="ORD04315"/>
    <s v="2024-10-18"/>
    <x v="40"/>
    <x v="0"/>
    <x v="0"/>
    <s v="Chair"/>
    <n v="2"/>
    <n v="5408"/>
    <n v="0.2"/>
    <n v="8652.7999999999993"/>
    <n v="898.83"/>
    <x v="2"/>
    <x v="0"/>
    <x v="0"/>
  </r>
  <r>
    <s v="ORD04316"/>
    <s v="2023-08-30"/>
    <x v="20"/>
    <x v="19"/>
    <x v="1"/>
    <s v="Smartwatch"/>
    <n v="10"/>
    <n v="52001"/>
    <n v="0.05"/>
    <n v="494009.5"/>
    <n v="77145.97"/>
    <x v="3"/>
    <x v="8"/>
    <x v="1"/>
  </r>
  <r>
    <s v="ORD04317"/>
    <s v="2024-03-15"/>
    <x v="5"/>
    <x v="6"/>
    <x v="2"/>
    <s v="Jeans"/>
    <n v="1"/>
    <n v="14226"/>
    <n v="0.1"/>
    <n v="12803.4"/>
    <n v="3183.91"/>
    <x v="2"/>
    <x v="7"/>
    <x v="0"/>
  </r>
  <r>
    <s v="ORD04318"/>
    <s v="2023-08-31"/>
    <x v="26"/>
    <x v="20"/>
    <x v="1"/>
    <s v="Tablet"/>
    <n v="3"/>
    <n v="16683"/>
    <n v="0"/>
    <n v="50049"/>
    <n v="13897.54"/>
    <x v="0"/>
    <x v="8"/>
    <x v="1"/>
  </r>
  <r>
    <s v="ORD04319"/>
    <s v="2023-05-21"/>
    <x v="30"/>
    <x v="15"/>
    <x v="0"/>
    <s v="Sofa"/>
    <n v="3"/>
    <n v="12981"/>
    <n v="0.2"/>
    <n v="31154.400000000001"/>
    <n v="7317.4"/>
    <x v="0"/>
    <x v="6"/>
    <x v="1"/>
  </r>
  <r>
    <s v="ORD04320"/>
    <s v="2023-11-05"/>
    <x v="42"/>
    <x v="0"/>
    <x v="0"/>
    <s v="Chair"/>
    <n v="9"/>
    <n v="23262"/>
    <n v="0.05"/>
    <n v="198890.1"/>
    <n v="36779.22"/>
    <x v="2"/>
    <x v="4"/>
    <x v="1"/>
  </r>
  <r>
    <s v="ORD04321"/>
    <s v="2024-09-13"/>
    <x v="20"/>
    <x v="23"/>
    <x v="0"/>
    <s v="Desk"/>
    <n v="5"/>
    <n v="58493"/>
    <n v="0.15"/>
    <n v="248595.25"/>
    <n v="28602.22"/>
    <x v="0"/>
    <x v="10"/>
    <x v="0"/>
  </r>
  <r>
    <s v="ORD04322"/>
    <s v="2023-12-14"/>
    <x v="46"/>
    <x v="17"/>
    <x v="1"/>
    <s v="Power Bank"/>
    <n v="8"/>
    <n v="23703"/>
    <n v="0.05"/>
    <n v="180142.8"/>
    <n v="44280.65"/>
    <x v="2"/>
    <x v="9"/>
    <x v="1"/>
  </r>
  <r>
    <s v="ORD04323"/>
    <s v="2023-02-11"/>
    <x v="9"/>
    <x v="22"/>
    <x v="1"/>
    <s v="Camera"/>
    <n v="1"/>
    <n v="9440"/>
    <n v="0.15"/>
    <n v="8024"/>
    <n v="969.47"/>
    <x v="1"/>
    <x v="11"/>
    <x v="1"/>
  </r>
  <r>
    <s v="ORD04324"/>
    <s v="2024-01-26"/>
    <x v="29"/>
    <x v="13"/>
    <x v="2"/>
    <s v="Jacket"/>
    <n v="3"/>
    <n v="52457"/>
    <n v="0.05"/>
    <n v="149502.45000000001"/>
    <n v="43819.26"/>
    <x v="0"/>
    <x v="3"/>
    <x v="0"/>
  </r>
  <r>
    <s v="ORD04325"/>
    <s v="2023-02-09"/>
    <x v="21"/>
    <x v="11"/>
    <x v="3"/>
    <s v="Printer"/>
    <n v="12"/>
    <n v="22411"/>
    <n v="0.15"/>
    <n v="228592.2"/>
    <n v="19320.39"/>
    <x v="1"/>
    <x v="11"/>
    <x v="1"/>
  </r>
  <r>
    <s v="ORD04326"/>
    <s v="2024-08-28"/>
    <x v="11"/>
    <x v="1"/>
    <x v="1"/>
    <s v="Mobile"/>
    <n v="12"/>
    <n v="49806"/>
    <n v="0.05"/>
    <n v="567788.4"/>
    <n v="100717.14"/>
    <x v="1"/>
    <x v="8"/>
    <x v="0"/>
  </r>
  <r>
    <s v="ORD04327"/>
    <s v="2024-06-23"/>
    <x v="39"/>
    <x v="25"/>
    <x v="3"/>
    <s v="Notebook"/>
    <n v="6"/>
    <n v="25442"/>
    <n v="0.05"/>
    <n v="145019.4"/>
    <n v="18329.03"/>
    <x v="3"/>
    <x v="5"/>
    <x v="0"/>
  </r>
  <r>
    <s v="ORD04328"/>
    <s v="2023-03-08"/>
    <x v="29"/>
    <x v="0"/>
    <x v="0"/>
    <s v="Chair"/>
    <n v="5"/>
    <n v="17109"/>
    <n v="0.05"/>
    <n v="81267.75"/>
    <n v="21738.46"/>
    <x v="0"/>
    <x v="7"/>
    <x v="1"/>
  </r>
  <r>
    <s v="ORD04329"/>
    <s v="2023-08-29"/>
    <x v="49"/>
    <x v="27"/>
    <x v="3"/>
    <s v="File"/>
    <n v="13"/>
    <n v="10900"/>
    <n v="0"/>
    <n v="141700"/>
    <n v="23851.360000000001"/>
    <x v="2"/>
    <x v="8"/>
    <x v="1"/>
  </r>
  <r>
    <s v="ORD04330"/>
    <s v="2023-04-29"/>
    <x v="33"/>
    <x v="7"/>
    <x v="0"/>
    <s v="Bed"/>
    <n v="15"/>
    <n v="18903"/>
    <n v="0.1"/>
    <n v="255190.5"/>
    <n v="56390.23"/>
    <x v="0"/>
    <x v="2"/>
    <x v="1"/>
  </r>
  <r>
    <s v="ORD04331"/>
    <s v="2024-05-31"/>
    <x v="39"/>
    <x v="1"/>
    <x v="1"/>
    <s v="Mobile"/>
    <n v="2"/>
    <n v="8915"/>
    <n v="0.2"/>
    <n v="14264"/>
    <n v="1173.29"/>
    <x v="3"/>
    <x v="6"/>
    <x v="0"/>
  </r>
  <r>
    <s v="ORD04332"/>
    <s v="2023-08-30"/>
    <x v="31"/>
    <x v="18"/>
    <x v="0"/>
    <s v="Table"/>
    <n v="13"/>
    <n v="3813"/>
    <n v="0.05"/>
    <n v="47090.55"/>
    <n v="11445.32"/>
    <x v="0"/>
    <x v="8"/>
    <x v="1"/>
  </r>
  <r>
    <s v="ORD04333"/>
    <s v="2023-09-08"/>
    <x v="27"/>
    <x v="14"/>
    <x v="2"/>
    <s v="Dress"/>
    <n v="1"/>
    <n v="818"/>
    <n v="0.15"/>
    <n v="695.3"/>
    <n v="122.12"/>
    <x v="0"/>
    <x v="10"/>
    <x v="1"/>
  </r>
  <r>
    <s v="ORD04334"/>
    <s v="2023-10-27"/>
    <x v="41"/>
    <x v="26"/>
    <x v="3"/>
    <s v="Paper Ream"/>
    <n v="15"/>
    <n v="47919"/>
    <n v="0.05"/>
    <n v="682845.75"/>
    <n v="74532.06"/>
    <x v="2"/>
    <x v="0"/>
    <x v="1"/>
  </r>
  <r>
    <s v="ORD04335"/>
    <s v="2024-03-12"/>
    <x v="8"/>
    <x v="16"/>
    <x v="3"/>
    <s v="Pen"/>
    <n v="2"/>
    <n v="29549"/>
    <n v="0"/>
    <n v="59098"/>
    <n v="10115.85"/>
    <x v="2"/>
    <x v="7"/>
    <x v="0"/>
  </r>
  <r>
    <s v="ORD04336"/>
    <s v="2023-01-28"/>
    <x v="5"/>
    <x v="2"/>
    <x v="2"/>
    <s v="Shoes"/>
    <n v="10"/>
    <n v="42885"/>
    <n v="0.2"/>
    <n v="343080"/>
    <n v="95685.98"/>
    <x v="1"/>
    <x v="3"/>
    <x v="1"/>
  </r>
  <r>
    <s v="ORD04337"/>
    <s v="2024-08-10"/>
    <x v="21"/>
    <x v="7"/>
    <x v="0"/>
    <s v="Bed"/>
    <n v="13"/>
    <n v="18275"/>
    <n v="0"/>
    <n v="237575"/>
    <n v="67986.350000000006"/>
    <x v="2"/>
    <x v="8"/>
    <x v="0"/>
  </r>
  <r>
    <s v="ORD04338"/>
    <s v="2023-05-24"/>
    <x v="49"/>
    <x v="17"/>
    <x v="1"/>
    <s v="Power Bank"/>
    <n v="14"/>
    <n v="20668"/>
    <n v="0.05"/>
    <n v="274884.40000000002"/>
    <n v="65633.27"/>
    <x v="3"/>
    <x v="6"/>
    <x v="1"/>
  </r>
  <r>
    <s v="ORD04339"/>
    <s v="2023-12-09"/>
    <x v="6"/>
    <x v="8"/>
    <x v="2"/>
    <s v="Sweater"/>
    <n v="14"/>
    <n v="51218"/>
    <n v="0.15"/>
    <n v="609494.19999999995"/>
    <n v="67228.88"/>
    <x v="1"/>
    <x v="9"/>
    <x v="1"/>
  </r>
  <r>
    <s v="ORD04340"/>
    <s v="2024-10-07"/>
    <x v="2"/>
    <x v="9"/>
    <x v="1"/>
    <s v="Keyboard"/>
    <n v="15"/>
    <n v="53631"/>
    <n v="0.1"/>
    <n v="724018.5"/>
    <n v="190954.12"/>
    <x v="3"/>
    <x v="0"/>
    <x v="0"/>
  </r>
  <r>
    <s v="ORD04341"/>
    <s v="2023-09-15"/>
    <x v="31"/>
    <x v="23"/>
    <x v="0"/>
    <s v="Desk"/>
    <n v="12"/>
    <n v="2980"/>
    <n v="0.2"/>
    <n v="28608"/>
    <n v="3978.2"/>
    <x v="2"/>
    <x v="10"/>
    <x v="1"/>
  </r>
  <r>
    <s v="ORD04342"/>
    <s v="2023-09-10"/>
    <x v="0"/>
    <x v="13"/>
    <x v="2"/>
    <s v="Jacket"/>
    <n v="1"/>
    <n v="53708"/>
    <n v="0.2"/>
    <n v="42966.400000000001"/>
    <n v="10336.370000000001"/>
    <x v="1"/>
    <x v="10"/>
    <x v="1"/>
  </r>
  <r>
    <s v="ORD04343"/>
    <s v="2023-10-22"/>
    <x v="32"/>
    <x v="25"/>
    <x v="3"/>
    <s v="Notebook"/>
    <n v="12"/>
    <n v="47968"/>
    <n v="0"/>
    <n v="575616"/>
    <n v="53439.53"/>
    <x v="3"/>
    <x v="0"/>
    <x v="1"/>
  </r>
  <r>
    <s v="ORD04344"/>
    <s v="2024-03-12"/>
    <x v="42"/>
    <x v="9"/>
    <x v="1"/>
    <s v="Keyboard"/>
    <n v="1"/>
    <n v="57535"/>
    <n v="0.15"/>
    <n v="48904.75"/>
    <n v="5310.73"/>
    <x v="1"/>
    <x v="7"/>
    <x v="0"/>
  </r>
  <r>
    <s v="ORD04345"/>
    <s v="2023-08-04"/>
    <x v="35"/>
    <x v="10"/>
    <x v="3"/>
    <s v="Marker"/>
    <n v="3"/>
    <n v="22115"/>
    <n v="0.15"/>
    <n v="56393.25"/>
    <n v="8527.4599999999991"/>
    <x v="3"/>
    <x v="8"/>
    <x v="1"/>
  </r>
  <r>
    <s v="ORD04346"/>
    <s v="2023-05-01"/>
    <x v="6"/>
    <x v="17"/>
    <x v="1"/>
    <s v="Power Bank"/>
    <n v="13"/>
    <n v="13005"/>
    <n v="0.15"/>
    <n v="143705.25"/>
    <n v="41325.25"/>
    <x v="2"/>
    <x v="6"/>
    <x v="1"/>
  </r>
  <r>
    <s v="ORD04347"/>
    <s v="2024-03-16"/>
    <x v="30"/>
    <x v="24"/>
    <x v="2"/>
    <s v="T-Shirt"/>
    <n v="1"/>
    <n v="16233"/>
    <n v="0.05"/>
    <n v="15421.35"/>
    <n v="3224.3"/>
    <x v="3"/>
    <x v="7"/>
    <x v="0"/>
  </r>
  <r>
    <s v="ORD04348"/>
    <s v="2024-01-22"/>
    <x v="2"/>
    <x v="17"/>
    <x v="1"/>
    <s v="Power Bank"/>
    <n v="2"/>
    <n v="48905"/>
    <n v="0"/>
    <n v="97810"/>
    <n v="8438.3799999999992"/>
    <x v="0"/>
    <x v="3"/>
    <x v="0"/>
  </r>
  <r>
    <s v="ORD04349"/>
    <s v="2024-11-08"/>
    <x v="44"/>
    <x v="23"/>
    <x v="0"/>
    <s v="Desk"/>
    <n v="3"/>
    <n v="43963"/>
    <n v="0.2"/>
    <n v="105511.2"/>
    <n v="16076.77"/>
    <x v="0"/>
    <x v="4"/>
    <x v="0"/>
  </r>
  <r>
    <s v="ORD04350"/>
    <s v="2023-03-03"/>
    <x v="46"/>
    <x v="22"/>
    <x v="1"/>
    <s v="Camera"/>
    <n v="5"/>
    <n v="19783"/>
    <n v="0.05"/>
    <n v="93969.25"/>
    <n v="11460.38"/>
    <x v="1"/>
    <x v="7"/>
    <x v="1"/>
  </r>
  <r>
    <s v="ORD04351"/>
    <s v="2023-07-28"/>
    <x v="36"/>
    <x v="22"/>
    <x v="1"/>
    <s v="Camera"/>
    <n v="15"/>
    <n v="9920"/>
    <n v="0.15"/>
    <n v="126480"/>
    <n v="35141.839999999997"/>
    <x v="1"/>
    <x v="1"/>
    <x v="1"/>
  </r>
  <r>
    <s v="ORD04352"/>
    <s v="2023-02-16"/>
    <x v="33"/>
    <x v="8"/>
    <x v="2"/>
    <s v="Sweater"/>
    <n v="13"/>
    <n v="6279"/>
    <n v="0"/>
    <n v="81627"/>
    <n v="23170.81"/>
    <x v="2"/>
    <x v="11"/>
    <x v="1"/>
  </r>
  <r>
    <s v="ORD04353"/>
    <s v="2023-11-18"/>
    <x v="19"/>
    <x v="14"/>
    <x v="2"/>
    <s v="Dress"/>
    <n v="13"/>
    <n v="27801"/>
    <n v="0.05"/>
    <n v="343342.35"/>
    <n v="60720.56"/>
    <x v="3"/>
    <x v="4"/>
    <x v="1"/>
  </r>
  <r>
    <s v="ORD04354"/>
    <s v="2023-02-11"/>
    <x v="24"/>
    <x v="27"/>
    <x v="3"/>
    <s v="File"/>
    <n v="7"/>
    <n v="48800"/>
    <n v="0.15"/>
    <n v="290360"/>
    <n v="44435.43"/>
    <x v="0"/>
    <x v="11"/>
    <x v="1"/>
  </r>
  <r>
    <s v="ORD04355"/>
    <s v="2024-04-02"/>
    <x v="48"/>
    <x v="2"/>
    <x v="2"/>
    <s v="Shoes"/>
    <n v="1"/>
    <n v="12333"/>
    <n v="0.2"/>
    <n v="9866.4"/>
    <n v="1686.43"/>
    <x v="0"/>
    <x v="2"/>
    <x v="0"/>
  </r>
  <r>
    <s v="ORD04356"/>
    <s v="2023-09-30"/>
    <x v="27"/>
    <x v="10"/>
    <x v="3"/>
    <s v="Marker"/>
    <n v="13"/>
    <n v="5040"/>
    <n v="0.05"/>
    <n v="62244"/>
    <n v="6024.99"/>
    <x v="3"/>
    <x v="10"/>
    <x v="1"/>
  </r>
  <r>
    <s v="ORD04357"/>
    <s v="2024-01-21"/>
    <x v="39"/>
    <x v="17"/>
    <x v="1"/>
    <s v="Power Bank"/>
    <n v="8"/>
    <n v="42796"/>
    <n v="0.15"/>
    <n v="291012.8"/>
    <n v="51941.17"/>
    <x v="0"/>
    <x v="3"/>
    <x v="0"/>
  </r>
  <r>
    <s v="ORD04358"/>
    <s v="2024-04-29"/>
    <x v="46"/>
    <x v="15"/>
    <x v="0"/>
    <s v="Sofa"/>
    <n v="14"/>
    <n v="7670"/>
    <n v="0.05"/>
    <n v="102011"/>
    <n v="22909.93"/>
    <x v="3"/>
    <x v="2"/>
    <x v="0"/>
  </r>
  <r>
    <s v="ORD04359"/>
    <s v="2024-05-04"/>
    <x v="5"/>
    <x v="26"/>
    <x v="3"/>
    <s v="Paper Ream"/>
    <n v="3"/>
    <n v="22786"/>
    <n v="0.1"/>
    <n v="61522.2"/>
    <n v="13364.88"/>
    <x v="0"/>
    <x v="6"/>
    <x v="0"/>
  </r>
  <r>
    <s v="ORD04360"/>
    <s v="2023-05-11"/>
    <x v="44"/>
    <x v="21"/>
    <x v="1"/>
    <s v="Laptop"/>
    <n v="6"/>
    <n v="29322"/>
    <n v="0"/>
    <n v="175932"/>
    <n v="22862.38"/>
    <x v="3"/>
    <x v="6"/>
    <x v="1"/>
  </r>
  <r>
    <s v="ORD04361"/>
    <s v="2024-05-04"/>
    <x v="33"/>
    <x v="24"/>
    <x v="2"/>
    <s v="T-Shirt"/>
    <n v="5"/>
    <n v="16849"/>
    <n v="0"/>
    <n v="84245"/>
    <n v="7240.55"/>
    <x v="2"/>
    <x v="6"/>
    <x v="0"/>
  </r>
  <r>
    <s v="ORD04362"/>
    <s v="2024-02-05"/>
    <x v="18"/>
    <x v="23"/>
    <x v="0"/>
    <s v="Desk"/>
    <n v="1"/>
    <n v="18072"/>
    <n v="0.2"/>
    <n v="14457.6"/>
    <n v="4123.62"/>
    <x v="1"/>
    <x v="11"/>
    <x v="0"/>
  </r>
  <r>
    <s v="ORD04363"/>
    <s v="2024-08-26"/>
    <x v="47"/>
    <x v="26"/>
    <x v="3"/>
    <s v="Paper Ream"/>
    <n v="4"/>
    <n v="9654"/>
    <n v="0"/>
    <n v="38616"/>
    <n v="5949.35"/>
    <x v="1"/>
    <x v="8"/>
    <x v="0"/>
  </r>
  <r>
    <s v="ORD04364"/>
    <s v="2024-05-30"/>
    <x v="38"/>
    <x v="21"/>
    <x v="1"/>
    <s v="Laptop"/>
    <n v="4"/>
    <n v="52673"/>
    <n v="0.05"/>
    <n v="200157.4"/>
    <n v="20664.919999999998"/>
    <x v="1"/>
    <x v="6"/>
    <x v="0"/>
  </r>
  <r>
    <s v="ORD04365"/>
    <s v="2023-07-01"/>
    <x v="3"/>
    <x v="20"/>
    <x v="1"/>
    <s v="Tablet"/>
    <n v="4"/>
    <n v="47059"/>
    <n v="0.15"/>
    <n v="160000.6"/>
    <n v="44861.29"/>
    <x v="3"/>
    <x v="1"/>
    <x v="1"/>
  </r>
  <r>
    <s v="ORD04366"/>
    <s v="2023-08-17"/>
    <x v="6"/>
    <x v="24"/>
    <x v="2"/>
    <s v="T-Shirt"/>
    <n v="4"/>
    <n v="42217"/>
    <n v="0.1"/>
    <n v="151981.20000000001"/>
    <n v="31491.24"/>
    <x v="1"/>
    <x v="8"/>
    <x v="1"/>
  </r>
  <r>
    <s v="ORD04367"/>
    <s v="2024-11-05"/>
    <x v="18"/>
    <x v="27"/>
    <x v="3"/>
    <s v="File"/>
    <n v="7"/>
    <n v="15972"/>
    <n v="0"/>
    <n v="111804"/>
    <n v="19342.29"/>
    <x v="0"/>
    <x v="4"/>
    <x v="0"/>
  </r>
  <r>
    <s v="ORD04368"/>
    <s v="2023-12-26"/>
    <x v="49"/>
    <x v="17"/>
    <x v="1"/>
    <s v="Power Bank"/>
    <n v="15"/>
    <n v="44159"/>
    <n v="0.2"/>
    <n v="529908"/>
    <n v="139931.4"/>
    <x v="2"/>
    <x v="9"/>
    <x v="1"/>
  </r>
  <r>
    <s v="ORD04369"/>
    <s v="2024-01-12"/>
    <x v="33"/>
    <x v="15"/>
    <x v="0"/>
    <s v="Sofa"/>
    <n v="6"/>
    <n v="40568"/>
    <n v="0.15"/>
    <n v="206896.8"/>
    <n v="52962.85"/>
    <x v="0"/>
    <x v="3"/>
    <x v="0"/>
  </r>
  <r>
    <s v="ORD04370"/>
    <s v="2023-07-13"/>
    <x v="7"/>
    <x v="21"/>
    <x v="1"/>
    <s v="Laptop"/>
    <n v="15"/>
    <n v="56954"/>
    <n v="0.1"/>
    <n v="768879"/>
    <n v="221648.08"/>
    <x v="3"/>
    <x v="1"/>
    <x v="1"/>
  </r>
  <r>
    <s v="ORD04371"/>
    <s v="2023-09-08"/>
    <x v="44"/>
    <x v="14"/>
    <x v="2"/>
    <s v="Dress"/>
    <n v="6"/>
    <n v="1817"/>
    <n v="0.2"/>
    <n v="8721.6"/>
    <n v="844.93"/>
    <x v="0"/>
    <x v="10"/>
    <x v="1"/>
  </r>
  <r>
    <s v="ORD04372"/>
    <s v="2024-08-27"/>
    <x v="4"/>
    <x v="8"/>
    <x v="2"/>
    <s v="Sweater"/>
    <n v="9"/>
    <n v="37157"/>
    <n v="0.2"/>
    <n v="267530.40000000002"/>
    <n v="25084.240000000002"/>
    <x v="0"/>
    <x v="8"/>
    <x v="0"/>
  </r>
  <r>
    <s v="ORD04373"/>
    <s v="2023-10-01"/>
    <x v="10"/>
    <x v="3"/>
    <x v="3"/>
    <s v="Stapler"/>
    <n v="2"/>
    <n v="21137"/>
    <n v="0"/>
    <n v="42274"/>
    <n v="5778.33"/>
    <x v="0"/>
    <x v="0"/>
    <x v="1"/>
  </r>
  <r>
    <s v="ORD04374"/>
    <s v="2023-04-25"/>
    <x v="21"/>
    <x v="27"/>
    <x v="3"/>
    <s v="File"/>
    <n v="5"/>
    <n v="17336"/>
    <n v="0.05"/>
    <n v="82346"/>
    <n v="11739.89"/>
    <x v="1"/>
    <x v="2"/>
    <x v="1"/>
  </r>
  <r>
    <s v="ORD04375"/>
    <s v="2024-10-30"/>
    <x v="28"/>
    <x v="27"/>
    <x v="3"/>
    <s v="File"/>
    <n v="3"/>
    <n v="22639"/>
    <n v="0"/>
    <n v="67917"/>
    <n v="20034.09"/>
    <x v="0"/>
    <x v="0"/>
    <x v="0"/>
  </r>
  <r>
    <s v="ORD04376"/>
    <s v="2024-09-07"/>
    <x v="3"/>
    <x v="6"/>
    <x v="2"/>
    <s v="Jeans"/>
    <n v="9"/>
    <n v="13132"/>
    <n v="0.1"/>
    <n v="106369.2"/>
    <n v="13122.14"/>
    <x v="0"/>
    <x v="10"/>
    <x v="0"/>
  </r>
  <r>
    <s v="ORD04377"/>
    <s v="2024-11-04"/>
    <x v="9"/>
    <x v="15"/>
    <x v="0"/>
    <s v="Sofa"/>
    <n v="2"/>
    <n v="50770"/>
    <n v="0"/>
    <n v="101540"/>
    <n v="8544.48"/>
    <x v="2"/>
    <x v="4"/>
    <x v="0"/>
  </r>
  <r>
    <s v="ORD04378"/>
    <s v="2023-08-10"/>
    <x v="7"/>
    <x v="7"/>
    <x v="0"/>
    <s v="Bed"/>
    <n v="13"/>
    <n v="22439"/>
    <n v="0.05"/>
    <n v="277121.65000000002"/>
    <n v="25348.880000000001"/>
    <x v="3"/>
    <x v="8"/>
    <x v="1"/>
  </r>
  <r>
    <s v="ORD04379"/>
    <s v="2024-01-06"/>
    <x v="30"/>
    <x v="10"/>
    <x v="3"/>
    <s v="Marker"/>
    <n v="11"/>
    <n v="13203"/>
    <n v="0.05"/>
    <n v="137971.35"/>
    <n v="17797.759999999998"/>
    <x v="3"/>
    <x v="3"/>
    <x v="0"/>
  </r>
  <r>
    <s v="ORD04380"/>
    <s v="2024-11-10"/>
    <x v="24"/>
    <x v="20"/>
    <x v="1"/>
    <s v="Tablet"/>
    <n v="5"/>
    <n v="44510"/>
    <n v="0.15"/>
    <n v="189167.5"/>
    <n v="17115.07"/>
    <x v="1"/>
    <x v="4"/>
    <x v="0"/>
  </r>
  <r>
    <s v="ORD04381"/>
    <s v="2023-06-29"/>
    <x v="25"/>
    <x v="5"/>
    <x v="0"/>
    <s v="Cupboard"/>
    <n v="7"/>
    <n v="30030"/>
    <n v="0.2"/>
    <n v="168168"/>
    <n v="42947.15"/>
    <x v="3"/>
    <x v="5"/>
    <x v="1"/>
  </r>
  <r>
    <s v="ORD04382"/>
    <s v="2023-07-31"/>
    <x v="27"/>
    <x v="0"/>
    <x v="0"/>
    <s v="Chair"/>
    <n v="12"/>
    <n v="40698"/>
    <n v="0.1"/>
    <n v="439538.4"/>
    <n v="68719.820000000007"/>
    <x v="0"/>
    <x v="1"/>
    <x v="1"/>
  </r>
  <r>
    <s v="ORD04383"/>
    <s v="2023-09-26"/>
    <x v="23"/>
    <x v="12"/>
    <x v="1"/>
    <s v="Headphones"/>
    <n v="12"/>
    <n v="45106"/>
    <n v="0.1"/>
    <n v="487144.8"/>
    <n v="111415.53"/>
    <x v="1"/>
    <x v="10"/>
    <x v="1"/>
  </r>
  <r>
    <s v="ORD04384"/>
    <s v="2023-01-13"/>
    <x v="35"/>
    <x v="25"/>
    <x v="3"/>
    <s v="Notebook"/>
    <n v="1"/>
    <n v="32552"/>
    <n v="0"/>
    <n v="32552"/>
    <n v="6533.78"/>
    <x v="1"/>
    <x v="3"/>
    <x v="1"/>
  </r>
  <r>
    <s v="ORD04385"/>
    <s v="2024-04-13"/>
    <x v="8"/>
    <x v="8"/>
    <x v="2"/>
    <s v="Sweater"/>
    <n v="11"/>
    <n v="3845"/>
    <n v="0.2"/>
    <n v="33836"/>
    <n v="7127.34"/>
    <x v="3"/>
    <x v="2"/>
    <x v="0"/>
  </r>
  <r>
    <s v="ORD04386"/>
    <s v="2023-12-20"/>
    <x v="48"/>
    <x v="25"/>
    <x v="3"/>
    <s v="Notebook"/>
    <n v="3"/>
    <n v="32501"/>
    <n v="0.2"/>
    <n v="78002.399999999994"/>
    <n v="15484.56"/>
    <x v="1"/>
    <x v="9"/>
    <x v="1"/>
  </r>
  <r>
    <s v="ORD04387"/>
    <s v="2024-02-23"/>
    <x v="17"/>
    <x v="22"/>
    <x v="1"/>
    <s v="Camera"/>
    <n v="4"/>
    <n v="54869"/>
    <n v="0.1"/>
    <n v="197528.4"/>
    <n v="26356.400000000001"/>
    <x v="2"/>
    <x v="11"/>
    <x v="0"/>
  </r>
  <r>
    <s v="ORD04388"/>
    <s v="2023-10-22"/>
    <x v="16"/>
    <x v="16"/>
    <x v="3"/>
    <s v="Pen"/>
    <n v="2"/>
    <n v="1451"/>
    <n v="0.2"/>
    <n v="2321.6"/>
    <n v="233.74"/>
    <x v="0"/>
    <x v="0"/>
    <x v="1"/>
  </r>
  <r>
    <s v="ORD04389"/>
    <s v="2023-08-27"/>
    <x v="20"/>
    <x v="11"/>
    <x v="3"/>
    <s v="Printer"/>
    <n v="9"/>
    <n v="55571"/>
    <n v="0.2"/>
    <n v="400111.2"/>
    <n v="105799.01"/>
    <x v="1"/>
    <x v="8"/>
    <x v="1"/>
  </r>
  <r>
    <s v="ORD04390"/>
    <s v="2024-11-28"/>
    <x v="30"/>
    <x v="26"/>
    <x v="3"/>
    <s v="Paper Ream"/>
    <n v="11"/>
    <n v="25366"/>
    <n v="0"/>
    <n v="279026"/>
    <n v="26661.79"/>
    <x v="3"/>
    <x v="4"/>
    <x v="0"/>
  </r>
  <r>
    <s v="ORD04391"/>
    <s v="2023-01-03"/>
    <x v="40"/>
    <x v="19"/>
    <x v="1"/>
    <s v="Smartwatch"/>
    <n v="15"/>
    <n v="32398"/>
    <n v="0.1"/>
    <n v="437373"/>
    <n v="43141.88"/>
    <x v="2"/>
    <x v="3"/>
    <x v="1"/>
  </r>
  <r>
    <s v="ORD04392"/>
    <s v="2023-09-20"/>
    <x v="22"/>
    <x v="9"/>
    <x v="1"/>
    <s v="Keyboard"/>
    <n v="1"/>
    <n v="5879"/>
    <n v="0.15"/>
    <n v="4997.1499999999996"/>
    <n v="1039.27"/>
    <x v="1"/>
    <x v="10"/>
    <x v="1"/>
  </r>
  <r>
    <s v="ORD04393"/>
    <s v="2023-05-25"/>
    <x v="14"/>
    <x v="19"/>
    <x v="1"/>
    <s v="Smartwatch"/>
    <n v="13"/>
    <n v="59562"/>
    <n v="0"/>
    <n v="774306"/>
    <n v="125199.56"/>
    <x v="0"/>
    <x v="6"/>
    <x v="1"/>
  </r>
  <r>
    <s v="ORD04394"/>
    <s v="2023-03-02"/>
    <x v="1"/>
    <x v="19"/>
    <x v="1"/>
    <s v="Smartwatch"/>
    <n v="1"/>
    <n v="41853"/>
    <n v="0.05"/>
    <n v="39760.35"/>
    <n v="4499.45"/>
    <x v="3"/>
    <x v="7"/>
    <x v="1"/>
  </r>
  <r>
    <s v="ORD04395"/>
    <s v="2023-02-24"/>
    <x v="30"/>
    <x v="27"/>
    <x v="3"/>
    <s v="File"/>
    <n v="10"/>
    <n v="12760"/>
    <n v="0.1"/>
    <n v="114840"/>
    <n v="12692.87"/>
    <x v="0"/>
    <x v="11"/>
    <x v="1"/>
  </r>
  <r>
    <s v="ORD04396"/>
    <s v="2024-06-13"/>
    <x v="35"/>
    <x v="14"/>
    <x v="2"/>
    <s v="Dress"/>
    <n v="4"/>
    <n v="44026"/>
    <n v="0.15"/>
    <n v="149688.4"/>
    <n v="17962.509999999998"/>
    <x v="0"/>
    <x v="5"/>
    <x v="0"/>
  </r>
  <r>
    <s v="ORD04397"/>
    <s v="2023-03-22"/>
    <x v="29"/>
    <x v="4"/>
    <x v="0"/>
    <s v="Stool"/>
    <n v="13"/>
    <n v="49516"/>
    <n v="0.1"/>
    <n v="579337.19999999995"/>
    <n v="59552.31"/>
    <x v="1"/>
    <x v="7"/>
    <x v="1"/>
  </r>
  <r>
    <s v="ORD04398"/>
    <s v="2024-10-30"/>
    <x v="9"/>
    <x v="26"/>
    <x v="3"/>
    <s v="Paper Ream"/>
    <n v="12"/>
    <n v="28266"/>
    <n v="0.1"/>
    <n v="305272.8"/>
    <n v="38821.56"/>
    <x v="3"/>
    <x v="0"/>
    <x v="0"/>
  </r>
  <r>
    <s v="ORD04399"/>
    <s v="2024-05-16"/>
    <x v="8"/>
    <x v="14"/>
    <x v="2"/>
    <s v="Dress"/>
    <n v="13"/>
    <n v="16139"/>
    <n v="0.05"/>
    <n v="199316.65"/>
    <n v="26587.37"/>
    <x v="0"/>
    <x v="6"/>
    <x v="0"/>
  </r>
  <r>
    <s v="ORD04400"/>
    <s v="2023-04-24"/>
    <x v="4"/>
    <x v="4"/>
    <x v="0"/>
    <s v="Stool"/>
    <n v="8"/>
    <n v="11280"/>
    <n v="0.05"/>
    <n v="85728"/>
    <n v="12647.73"/>
    <x v="0"/>
    <x v="2"/>
    <x v="1"/>
  </r>
  <r>
    <s v="ORD04401"/>
    <s v="2024-07-01"/>
    <x v="36"/>
    <x v="9"/>
    <x v="1"/>
    <s v="Keyboard"/>
    <n v="14"/>
    <n v="43694"/>
    <n v="0.2"/>
    <n v="489372.8"/>
    <n v="135459.44"/>
    <x v="1"/>
    <x v="1"/>
    <x v="0"/>
  </r>
  <r>
    <s v="ORD04402"/>
    <s v="2024-05-20"/>
    <x v="19"/>
    <x v="2"/>
    <x v="2"/>
    <s v="Shoes"/>
    <n v="9"/>
    <n v="39418"/>
    <n v="0.1"/>
    <n v="319285.8"/>
    <n v="71866.41"/>
    <x v="2"/>
    <x v="6"/>
    <x v="0"/>
  </r>
  <r>
    <s v="ORD04403"/>
    <s v="2023-10-26"/>
    <x v="9"/>
    <x v="12"/>
    <x v="1"/>
    <s v="Headphones"/>
    <n v="9"/>
    <n v="16718"/>
    <n v="0.05"/>
    <n v="142938.9"/>
    <n v="31616.5"/>
    <x v="2"/>
    <x v="0"/>
    <x v="1"/>
  </r>
  <r>
    <s v="ORD04404"/>
    <s v="2023-03-26"/>
    <x v="24"/>
    <x v="26"/>
    <x v="3"/>
    <s v="Paper Ream"/>
    <n v="10"/>
    <n v="37336"/>
    <n v="0"/>
    <n v="373360"/>
    <n v="103799.46"/>
    <x v="2"/>
    <x v="7"/>
    <x v="1"/>
  </r>
  <r>
    <s v="ORD04405"/>
    <s v="2024-08-25"/>
    <x v="13"/>
    <x v="7"/>
    <x v="0"/>
    <s v="Bed"/>
    <n v="8"/>
    <n v="55313"/>
    <n v="0.2"/>
    <n v="354003.20000000001"/>
    <n v="106041.48"/>
    <x v="3"/>
    <x v="8"/>
    <x v="0"/>
  </r>
  <r>
    <s v="ORD04406"/>
    <s v="2023-10-31"/>
    <x v="31"/>
    <x v="15"/>
    <x v="0"/>
    <s v="Sofa"/>
    <n v="3"/>
    <n v="50292"/>
    <n v="0.2"/>
    <n v="120700.8"/>
    <n v="18127.37"/>
    <x v="2"/>
    <x v="0"/>
    <x v="1"/>
  </r>
  <r>
    <s v="ORD04407"/>
    <s v="2024-01-11"/>
    <x v="40"/>
    <x v="6"/>
    <x v="2"/>
    <s v="Jeans"/>
    <n v="2"/>
    <n v="3612"/>
    <n v="0.2"/>
    <n v="5779.2"/>
    <n v="495.8"/>
    <x v="3"/>
    <x v="3"/>
    <x v="0"/>
  </r>
  <r>
    <s v="ORD04408"/>
    <s v="2023-11-07"/>
    <x v="14"/>
    <x v="6"/>
    <x v="2"/>
    <s v="Jeans"/>
    <n v="11"/>
    <n v="56176"/>
    <n v="0.2"/>
    <n v="494348.79999999999"/>
    <n v="43576.01"/>
    <x v="1"/>
    <x v="4"/>
    <x v="1"/>
  </r>
  <r>
    <s v="ORD04409"/>
    <s v="2023-02-26"/>
    <x v="15"/>
    <x v="25"/>
    <x v="3"/>
    <s v="Notebook"/>
    <n v="13"/>
    <n v="50222"/>
    <n v="0.2"/>
    <n v="522308.8"/>
    <n v="124560.5"/>
    <x v="1"/>
    <x v="11"/>
    <x v="1"/>
  </r>
  <r>
    <s v="ORD04410"/>
    <s v="2023-09-24"/>
    <x v="48"/>
    <x v="7"/>
    <x v="0"/>
    <s v="Bed"/>
    <n v="12"/>
    <n v="44564"/>
    <n v="0.15"/>
    <n v="454552.8"/>
    <n v="130255.13"/>
    <x v="0"/>
    <x v="10"/>
    <x v="1"/>
  </r>
  <r>
    <s v="ORD04411"/>
    <s v="2023-08-25"/>
    <x v="6"/>
    <x v="8"/>
    <x v="2"/>
    <s v="Sweater"/>
    <n v="2"/>
    <n v="59934"/>
    <n v="0.1"/>
    <n v="107881.2"/>
    <n v="21239.39"/>
    <x v="3"/>
    <x v="8"/>
    <x v="1"/>
  </r>
  <r>
    <s v="ORD04412"/>
    <s v="2023-11-11"/>
    <x v="34"/>
    <x v="25"/>
    <x v="3"/>
    <s v="Notebook"/>
    <n v="2"/>
    <n v="30641"/>
    <n v="0"/>
    <n v="61282"/>
    <n v="4978.68"/>
    <x v="2"/>
    <x v="4"/>
    <x v="1"/>
  </r>
  <r>
    <s v="ORD04413"/>
    <s v="2024-08-04"/>
    <x v="36"/>
    <x v="22"/>
    <x v="1"/>
    <s v="Camera"/>
    <n v="6"/>
    <n v="29997"/>
    <n v="0.1"/>
    <n v="161983.79999999999"/>
    <n v="44405.11"/>
    <x v="1"/>
    <x v="8"/>
    <x v="0"/>
  </r>
  <r>
    <s v="ORD04414"/>
    <s v="2023-04-16"/>
    <x v="32"/>
    <x v="11"/>
    <x v="3"/>
    <s v="Printer"/>
    <n v="5"/>
    <n v="25906"/>
    <n v="0.1"/>
    <n v="116577"/>
    <n v="12290.54"/>
    <x v="1"/>
    <x v="2"/>
    <x v="1"/>
  </r>
  <r>
    <s v="ORD04415"/>
    <s v="2023-10-21"/>
    <x v="30"/>
    <x v="4"/>
    <x v="0"/>
    <s v="Stool"/>
    <n v="1"/>
    <n v="39926"/>
    <n v="0.05"/>
    <n v="37929.699999999997"/>
    <n v="7493.11"/>
    <x v="1"/>
    <x v="0"/>
    <x v="1"/>
  </r>
  <r>
    <s v="ORD04416"/>
    <s v="2023-06-03"/>
    <x v="2"/>
    <x v="20"/>
    <x v="1"/>
    <s v="Tablet"/>
    <n v="1"/>
    <n v="36458"/>
    <n v="0.2"/>
    <n v="29166.400000000001"/>
    <n v="6008.28"/>
    <x v="2"/>
    <x v="5"/>
    <x v="1"/>
  </r>
  <r>
    <s v="ORD04417"/>
    <s v="2024-03-09"/>
    <x v="0"/>
    <x v="13"/>
    <x v="2"/>
    <s v="Jacket"/>
    <n v="13"/>
    <n v="15508"/>
    <n v="0"/>
    <n v="201604"/>
    <n v="26117.46"/>
    <x v="2"/>
    <x v="7"/>
    <x v="0"/>
  </r>
  <r>
    <s v="ORD04418"/>
    <s v="2023-12-09"/>
    <x v="44"/>
    <x v="15"/>
    <x v="0"/>
    <s v="Sofa"/>
    <n v="8"/>
    <n v="45129"/>
    <n v="0.15"/>
    <n v="306877.2"/>
    <n v="43593.15"/>
    <x v="1"/>
    <x v="9"/>
    <x v="1"/>
  </r>
  <r>
    <s v="ORD04419"/>
    <s v="2023-02-12"/>
    <x v="45"/>
    <x v="11"/>
    <x v="3"/>
    <s v="Printer"/>
    <n v="9"/>
    <n v="44416"/>
    <n v="0.1"/>
    <n v="359769.59999999998"/>
    <n v="73076.53"/>
    <x v="0"/>
    <x v="11"/>
    <x v="1"/>
  </r>
  <r>
    <s v="ORD04420"/>
    <s v="2024-02-07"/>
    <x v="22"/>
    <x v="7"/>
    <x v="0"/>
    <s v="Bed"/>
    <n v="12"/>
    <n v="6363"/>
    <n v="0.1"/>
    <n v="68720.399999999994"/>
    <n v="20552.16"/>
    <x v="2"/>
    <x v="11"/>
    <x v="0"/>
  </r>
  <r>
    <s v="ORD04421"/>
    <s v="2023-08-27"/>
    <x v="2"/>
    <x v="26"/>
    <x v="3"/>
    <s v="Paper Ream"/>
    <n v="5"/>
    <n v="4598"/>
    <n v="0"/>
    <n v="22990"/>
    <n v="2179.91"/>
    <x v="3"/>
    <x v="8"/>
    <x v="1"/>
  </r>
  <r>
    <s v="ORD04422"/>
    <s v="2024-02-18"/>
    <x v="48"/>
    <x v="5"/>
    <x v="0"/>
    <s v="Cupboard"/>
    <n v="1"/>
    <n v="13095"/>
    <n v="0.2"/>
    <n v="10476"/>
    <n v="1127.5899999999999"/>
    <x v="1"/>
    <x v="11"/>
    <x v="0"/>
  </r>
  <r>
    <s v="ORD04423"/>
    <s v="2024-04-26"/>
    <x v="34"/>
    <x v="6"/>
    <x v="2"/>
    <s v="Jeans"/>
    <n v="2"/>
    <n v="28339"/>
    <n v="0"/>
    <n v="56678"/>
    <n v="13279.85"/>
    <x v="0"/>
    <x v="2"/>
    <x v="0"/>
  </r>
  <r>
    <s v="ORD04424"/>
    <s v="2023-02-07"/>
    <x v="6"/>
    <x v="26"/>
    <x v="3"/>
    <s v="Paper Ream"/>
    <n v="13"/>
    <n v="46241"/>
    <n v="0.05"/>
    <n v="571076.35"/>
    <n v="95408.57"/>
    <x v="2"/>
    <x v="11"/>
    <x v="1"/>
  </r>
  <r>
    <s v="ORD04425"/>
    <s v="2024-01-08"/>
    <x v="45"/>
    <x v="27"/>
    <x v="3"/>
    <s v="File"/>
    <n v="5"/>
    <n v="25693"/>
    <n v="0.15"/>
    <n v="109195.25"/>
    <n v="24095.78"/>
    <x v="3"/>
    <x v="3"/>
    <x v="0"/>
  </r>
  <r>
    <s v="ORD04426"/>
    <s v="2024-11-04"/>
    <x v="43"/>
    <x v="26"/>
    <x v="3"/>
    <s v="Paper Ream"/>
    <n v="13"/>
    <n v="49619"/>
    <n v="0.1"/>
    <n v="580542.30000000005"/>
    <n v="159252.37"/>
    <x v="1"/>
    <x v="4"/>
    <x v="0"/>
  </r>
  <r>
    <s v="ORD04427"/>
    <s v="2024-05-18"/>
    <x v="12"/>
    <x v="3"/>
    <x v="3"/>
    <s v="Stapler"/>
    <n v="5"/>
    <n v="58547"/>
    <n v="0.1"/>
    <n v="263461.5"/>
    <n v="60099.69"/>
    <x v="1"/>
    <x v="6"/>
    <x v="0"/>
  </r>
  <r>
    <s v="ORD04428"/>
    <s v="2023-03-17"/>
    <x v="11"/>
    <x v="11"/>
    <x v="3"/>
    <s v="Printer"/>
    <n v="10"/>
    <n v="31855"/>
    <n v="0.15"/>
    <n v="270767.5"/>
    <n v="55362.400000000001"/>
    <x v="3"/>
    <x v="7"/>
    <x v="1"/>
  </r>
  <r>
    <s v="ORD04429"/>
    <s v="2024-01-13"/>
    <x v="9"/>
    <x v="7"/>
    <x v="0"/>
    <s v="Bed"/>
    <n v="6"/>
    <n v="12909"/>
    <n v="0"/>
    <n v="77454"/>
    <n v="7752.51"/>
    <x v="0"/>
    <x v="3"/>
    <x v="0"/>
  </r>
  <r>
    <s v="ORD04430"/>
    <s v="2024-10-28"/>
    <x v="37"/>
    <x v="17"/>
    <x v="1"/>
    <s v="Power Bank"/>
    <n v="5"/>
    <n v="31295"/>
    <n v="0.05"/>
    <n v="148651.25"/>
    <n v="32906.39"/>
    <x v="2"/>
    <x v="0"/>
    <x v="0"/>
  </r>
  <r>
    <s v="ORD04431"/>
    <s v="2024-08-28"/>
    <x v="9"/>
    <x v="19"/>
    <x v="1"/>
    <s v="Smartwatch"/>
    <n v="4"/>
    <n v="31693"/>
    <n v="0.2"/>
    <n v="101417.60000000001"/>
    <n v="26810.39"/>
    <x v="1"/>
    <x v="8"/>
    <x v="0"/>
  </r>
  <r>
    <s v="ORD04432"/>
    <s v="2024-05-18"/>
    <x v="48"/>
    <x v="21"/>
    <x v="1"/>
    <s v="Laptop"/>
    <n v="12"/>
    <n v="15403"/>
    <n v="0.05"/>
    <n v="175594.2"/>
    <n v="51153.19"/>
    <x v="0"/>
    <x v="6"/>
    <x v="0"/>
  </r>
  <r>
    <s v="ORD04433"/>
    <s v="2024-07-04"/>
    <x v="36"/>
    <x v="24"/>
    <x v="2"/>
    <s v="T-Shirt"/>
    <n v="8"/>
    <n v="15240"/>
    <n v="0.1"/>
    <n v="109728"/>
    <n v="16339.33"/>
    <x v="0"/>
    <x v="1"/>
    <x v="0"/>
  </r>
  <r>
    <s v="ORD04434"/>
    <s v="2023-11-14"/>
    <x v="32"/>
    <x v="8"/>
    <x v="2"/>
    <s v="Sweater"/>
    <n v="13"/>
    <n v="7411"/>
    <n v="0"/>
    <n v="96343"/>
    <n v="21210.12"/>
    <x v="3"/>
    <x v="4"/>
    <x v="1"/>
  </r>
  <r>
    <s v="ORD04435"/>
    <s v="2024-01-30"/>
    <x v="46"/>
    <x v="16"/>
    <x v="3"/>
    <s v="Pen"/>
    <n v="8"/>
    <n v="43470"/>
    <n v="0.1"/>
    <n v="312984"/>
    <n v="35161.24"/>
    <x v="1"/>
    <x v="3"/>
    <x v="0"/>
  </r>
  <r>
    <s v="ORD04436"/>
    <s v="2023-08-18"/>
    <x v="18"/>
    <x v="5"/>
    <x v="0"/>
    <s v="Cupboard"/>
    <n v="2"/>
    <n v="13614"/>
    <n v="0.1"/>
    <n v="24505.200000000001"/>
    <n v="4860.7700000000004"/>
    <x v="3"/>
    <x v="8"/>
    <x v="1"/>
  </r>
  <r>
    <s v="ORD04437"/>
    <s v="2023-09-23"/>
    <x v="34"/>
    <x v="16"/>
    <x v="3"/>
    <s v="Pen"/>
    <n v="8"/>
    <n v="59063"/>
    <n v="0.15"/>
    <n v="401628.4"/>
    <n v="107555.37"/>
    <x v="0"/>
    <x v="10"/>
    <x v="1"/>
  </r>
  <r>
    <s v="ORD04438"/>
    <s v="2023-06-08"/>
    <x v="13"/>
    <x v="19"/>
    <x v="1"/>
    <s v="Smartwatch"/>
    <n v="8"/>
    <n v="32758"/>
    <n v="0"/>
    <n v="262064"/>
    <n v="74004.289999999994"/>
    <x v="0"/>
    <x v="5"/>
    <x v="1"/>
  </r>
  <r>
    <s v="ORD04439"/>
    <s v="2024-08-09"/>
    <x v="43"/>
    <x v="26"/>
    <x v="3"/>
    <s v="Paper Ream"/>
    <n v="6"/>
    <n v="28434"/>
    <n v="0.05"/>
    <n v="162073.79999999999"/>
    <n v="27996.86"/>
    <x v="0"/>
    <x v="8"/>
    <x v="0"/>
  </r>
  <r>
    <s v="ORD04440"/>
    <s v="2023-01-31"/>
    <x v="3"/>
    <x v="9"/>
    <x v="1"/>
    <s v="Keyboard"/>
    <n v="7"/>
    <n v="38627"/>
    <n v="0.2"/>
    <n v="216311.2"/>
    <n v="47334.91"/>
    <x v="3"/>
    <x v="3"/>
    <x v="1"/>
  </r>
  <r>
    <s v="ORD04441"/>
    <s v="2023-07-17"/>
    <x v="20"/>
    <x v="9"/>
    <x v="1"/>
    <s v="Keyboard"/>
    <n v="15"/>
    <n v="37552"/>
    <n v="0.05"/>
    <n v="535116"/>
    <n v="155365.47"/>
    <x v="3"/>
    <x v="1"/>
    <x v="1"/>
  </r>
  <r>
    <s v="ORD04442"/>
    <s v="2023-01-31"/>
    <x v="36"/>
    <x v="1"/>
    <x v="1"/>
    <s v="Mobile"/>
    <n v="7"/>
    <n v="25549"/>
    <n v="0"/>
    <n v="178843"/>
    <n v="52880.1"/>
    <x v="3"/>
    <x v="3"/>
    <x v="1"/>
  </r>
  <r>
    <s v="ORD04443"/>
    <s v="2024-07-15"/>
    <x v="16"/>
    <x v="22"/>
    <x v="1"/>
    <s v="Camera"/>
    <n v="2"/>
    <n v="36097"/>
    <n v="0"/>
    <n v="72194"/>
    <n v="12459.33"/>
    <x v="2"/>
    <x v="1"/>
    <x v="0"/>
  </r>
  <r>
    <s v="ORD04444"/>
    <s v="2024-10-29"/>
    <x v="33"/>
    <x v="13"/>
    <x v="2"/>
    <s v="Jacket"/>
    <n v="5"/>
    <n v="11930"/>
    <n v="0.1"/>
    <n v="53685"/>
    <n v="5684.83"/>
    <x v="1"/>
    <x v="0"/>
    <x v="0"/>
  </r>
  <r>
    <s v="ORD04445"/>
    <s v="2023-01-11"/>
    <x v="8"/>
    <x v="2"/>
    <x v="2"/>
    <s v="Shoes"/>
    <n v="2"/>
    <n v="19800"/>
    <n v="0.1"/>
    <n v="35640"/>
    <n v="6812.57"/>
    <x v="3"/>
    <x v="3"/>
    <x v="1"/>
  </r>
  <r>
    <s v="ORD04446"/>
    <s v="2023-01-07"/>
    <x v="18"/>
    <x v="25"/>
    <x v="3"/>
    <s v="Notebook"/>
    <n v="3"/>
    <n v="6429"/>
    <n v="0.2"/>
    <n v="15429.6"/>
    <n v="2036.55"/>
    <x v="2"/>
    <x v="3"/>
    <x v="1"/>
  </r>
  <r>
    <s v="ORD04447"/>
    <s v="2024-11-19"/>
    <x v="19"/>
    <x v="5"/>
    <x v="0"/>
    <s v="Cupboard"/>
    <n v="2"/>
    <n v="43350"/>
    <n v="0.1"/>
    <n v="78030"/>
    <n v="15790.6"/>
    <x v="0"/>
    <x v="4"/>
    <x v="0"/>
  </r>
  <r>
    <s v="ORD04448"/>
    <s v="2024-06-29"/>
    <x v="6"/>
    <x v="18"/>
    <x v="0"/>
    <s v="Table"/>
    <n v="8"/>
    <n v="11333"/>
    <n v="0.05"/>
    <n v="86130.8"/>
    <n v="22339.05"/>
    <x v="1"/>
    <x v="5"/>
    <x v="0"/>
  </r>
  <r>
    <s v="ORD04449"/>
    <s v="2023-07-10"/>
    <x v="30"/>
    <x v="9"/>
    <x v="1"/>
    <s v="Keyboard"/>
    <n v="2"/>
    <n v="12422"/>
    <n v="0.2"/>
    <n v="19875.2"/>
    <n v="3631.73"/>
    <x v="3"/>
    <x v="1"/>
    <x v="1"/>
  </r>
  <r>
    <s v="ORD04450"/>
    <s v="2024-03-02"/>
    <x v="0"/>
    <x v="1"/>
    <x v="1"/>
    <s v="Mobile"/>
    <n v="15"/>
    <n v="6137"/>
    <n v="0"/>
    <n v="92055"/>
    <n v="8417.3700000000008"/>
    <x v="2"/>
    <x v="7"/>
    <x v="0"/>
  </r>
  <r>
    <s v="ORD04451"/>
    <s v="2024-03-12"/>
    <x v="24"/>
    <x v="20"/>
    <x v="1"/>
    <s v="Tablet"/>
    <n v="8"/>
    <n v="1234"/>
    <n v="0.2"/>
    <n v="7897.6"/>
    <n v="688.78"/>
    <x v="0"/>
    <x v="7"/>
    <x v="0"/>
  </r>
  <r>
    <s v="ORD04452"/>
    <s v="2023-10-11"/>
    <x v="18"/>
    <x v="11"/>
    <x v="3"/>
    <s v="Printer"/>
    <n v="7"/>
    <n v="7139"/>
    <n v="0.2"/>
    <n v="39978.400000000001"/>
    <n v="3759.87"/>
    <x v="2"/>
    <x v="0"/>
    <x v="1"/>
  </r>
  <r>
    <s v="ORD04453"/>
    <s v="2024-10-22"/>
    <x v="20"/>
    <x v="15"/>
    <x v="0"/>
    <s v="Sofa"/>
    <n v="5"/>
    <n v="28732"/>
    <n v="0.15"/>
    <n v="122111"/>
    <n v="11613.13"/>
    <x v="2"/>
    <x v="0"/>
    <x v="0"/>
  </r>
  <r>
    <s v="ORD04454"/>
    <s v="2023-02-14"/>
    <x v="8"/>
    <x v="22"/>
    <x v="1"/>
    <s v="Camera"/>
    <n v="8"/>
    <n v="7081"/>
    <n v="0.05"/>
    <n v="53815.6"/>
    <n v="7025.43"/>
    <x v="2"/>
    <x v="11"/>
    <x v="1"/>
  </r>
  <r>
    <s v="ORD04455"/>
    <s v="2024-07-03"/>
    <x v="11"/>
    <x v="10"/>
    <x v="3"/>
    <s v="Marker"/>
    <n v="1"/>
    <n v="20735"/>
    <n v="0.1"/>
    <n v="18661.5"/>
    <n v="4276.68"/>
    <x v="3"/>
    <x v="1"/>
    <x v="0"/>
  </r>
  <r>
    <s v="ORD04456"/>
    <s v="2024-10-13"/>
    <x v="26"/>
    <x v="13"/>
    <x v="2"/>
    <s v="Jacket"/>
    <n v="8"/>
    <n v="58924"/>
    <n v="0.05"/>
    <n v="447822.4"/>
    <n v="105483.78"/>
    <x v="3"/>
    <x v="0"/>
    <x v="0"/>
  </r>
  <r>
    <s v="ORD04457"/>
    <s v="2024-07-24"/>
    <x v="38"/>
    <x v="18"/>
    <x v="0"/>
    <s v="Table"/>
    <n v="5"/>
    <n v="9420"/>
    <n v="0.1"/>
    <n v="42390"/>
    <n v="9453.7900000000009"/>
    <x v="3"/>
    <x v="1"/>
    <x v="0"/>
  </r>
  <r>
    <s v="ORD04458"/>
    <s v="2023-12-07"/>
    <x v="7"/>
    <x v="24"/>
    <x v="2"/>
    <s v="T-Shirt"/>
    <n v="5"/>
    <n v="20297"/>
    <n v="0.05"/>
    <n v="96410.75"/>
    <n v="8481.0300000000007"/>
    <x v="2"/>
    <x v="9"/>
    <x v="1"/>
  </r>
  <r>
    <s v="ORD04459"/>
    <s v="2024-11-18"/>
    <x v="49"/>
    <x v="10"/>
    <x v="3"/>
    <s v="Marker"/>
    <n v="1"/>
    <n v="28795"/>
    <n v="0.05"/>
    <n v="27355.25"/>
    <n v="8074.61"/>
    <x v="3"/>
    <x v="4"/>
    <x v="0"/>
  </r>
  <r>
    <s v="ORD04460"/>
    <s v="2024-11-04"/>
    <x v="39"/>
    <x v="24"/>
    <x v="2"/>
    <s v="T-Shirt"/>
    <n v="14"/>
    <n v="5142"/>
    <n v="0.15"/>
    <n v="61189.8"/>
    <n v="15864.79"/>
    <x v="0"/>
    <x v="4"/>
    <x v="0"/>
  </r>
  <r>
    <s v="ORD04461"/>
    <s v="2024-07-10"/>
    <x v="38"/>
    <x v="17"/>
    <x v="1"/>
    <s v="Power Bank"/>
    <n v="14"/>
    <n v="29781"/>
    <n v="0.2"/>
    <n v="333547.2"/>
    <n v="72742.649999999994"/>
    <x v="2"/>
    <x v="1"/>
    <x v="0"/>
  </r>
  <r>
    <s v="ORD04462"/>
    <s v="2023-02-13"/>
    <x v="14"/>
    <x v="13"/>
    <x v="2"/>
    <s v="Jacket"/>
    <n v="11"/>
    <n v="12145"/>
    <n v="0.1"/>
    <n v="120235.5"/>
    <n v="31114.21"/>
    <x v="2"/>
    <x v="11"/>
    <x v="1"/>
  </r>
  <r>
    <s v="ORD04463"/>
    <s v="2023-12-11"/>
    <x v="29"/>
    <x v="10"/>
    <x v="3"/>
    <s v="Marker"/>
    <n v="8"/>
    <n v="27534"/>
    <n v="0.15"/>
    <n v="187231.2"/>
    <n v="25577"/>
    <x v="2"/>
    <x v="9"/>
    <x v="1"/>
  </r>
  <r>
    <s v="ORD04464"/>
    <s v="2024-09-14"/>
    <x v="20"/>
    <x v="14"/>
    <x v="2"/>
    <s v="Dress"/>
    <n v="11"/>
    <n v="28166"/>
    <n v="0.15"/>
    <n v="263352.09999999998"/>
    <n v="45424.72"/>
    <x v="1"/>
    <x v="10"/>
    <x v="0"/>
  </r>
  <r>
    <s v="ORD04465"/>
    <s v="2023-07-14"/>
    <x v="25"/>
    <x v="7"/>
    <x v="0"/>
    <s v="Bed"/>
    <n v="10"/>
    <n v="25633"/>
    <n v="0.2"/>
    <n v="205064"/>
    <n v="41811.25"/>
    <x v="1"/>
    <x v="1"/>
    <x v="1"/>
  </r>
  <r>
    <s v="ORD04466"/>
    <s v="2023-10-29"/>
    <x v="6"/>
    <x v="23"/>
    <x v="0"/>
    <s v="Desk"/>
    <n v="12"/>
    <n v="14348"/>
    <n v="0"/>
    <n v="172176"/>
    <n v="18492.8"/>
    <x v="1"/>
    <x v="0"/>
    <x v="1"/>
  </r>
  <r>
    <s v="ORD04467"/>
    <s v="2024-08-23"/>
    <x v="15"/>
    <x v="25"/>
    <x v="3"/>
    <s v="Notebook"/>
    <n v="9"/>
    <n v="39038"/>
    <n v="0.15"/>
    <n v="298640.7"/>
    <n v="46474.97"/>
    <x v="2"/>
    <x v="8"/>
    <x v="0"/>
  </r>
  <r>
    <s v="ORD04468"/>
    <s v="2024-11-24"/>
    <x v="28"/>
    <x v="2"/>
    <x v="2"/>
    <s v="Shoes"/>
    <n v="14"/>
    <n v="19539"/>
    <n v="0.15"/>
    <n v="232514.1"/>
    <n v="65525.279999999999"/>
    <x v="1"/>
    <x v="4"/>
    <x v="0"/>
  </r>
  <r>
    <s v="ORD04469"/>
    <s v="2024-05-10"/>
    <x v="16"/>
    <x v="25"/>
    <x v="3"/>
    <s v="Notebook"/>
    <n v="10"/>
    <n v="33775"/>
    <n v="0.15"/>
    <n v="287087.5"/>
    <n v="81035.94"/>
    <x v="3"/>
    <x v="6"/>
    <x v="0"/>
  </r>
  <r>
    <s v="ORD04470"/>
    <s v="2023-03-21"/>
    <x v="0"/>
    <x v="25"/>
    <x v="3"/>
    <s v="Notebook"/>
    <n v="8"/>
    <n v="15121"/>
    <n v="0.05"/>
    <n v="114919.6"/>
    <n v="20850.669999999998"/>
    <x v="2"/>
    <x v="7"/>
    <x v="1"/>
  </r>
  <r>
    <s v="ORD04471"/>
    <s v="2024-10-18"/>
    <x v="20"/>
    <x v="27"/>
    <x v="3"/>
    <s v="File"/>
    <n v="4"/>
    <n v="56428"/>
    <n v="0.15"/>
    <n v="191855.2"/>
    <n v="23809.85"/>
    <x v="3"/>
    <x v="0"/>
    <x v="0"/>
  </r>
  <r>
    <s v="ORD04472"/>
    <s v="2023-05-09"/>
    <x v="35"/>
    <x v="17"/>
    <x v="1"/>
    <s v="Power Bank"/>
    <n v="1"/>
    <n v="30839"/>
    <n v="0.05"/>
    <n v="29297.05"/>
    <n v="3243.46"/>
    <x v="2"/>
    <x v="6"/>
    <x v="1"/>
  </r>
  <r>
    <s v="ORD04473"/>
    <s v="2023-04-28"/>
    <x v="42"/>
    <x v="23"/>
    <x v="0"/>
    <s v="Desk"/>
    <n v="8"/>
    <n v="38274"/>
    <n v="0.05"/>
    <n v="290882.40000000002"/>
    <n v="57112.34"/>
    <x v="0"/>
    <x v="2"/>
    <x v="1"/>
  </r>
  <r>
    <s v="ORD04474"/>
    <s v="2023-05-10"/>
    <x v="6"/>
    <x v="27"/>
    <x v="3"/>
    <s v="File"/>
    <n v="2"/>
    <n v="9364"/>
    <n v="0.2"/>
    <n v="14982.4"/>
    <n v="3406.85"/>
    <x v="3"/>
    <x v="6"/>
    <x v="1"/>
  </r>
  <r>
    <s v="ORD04475"/>
    <s v="2023-04-11"/>
    <x v="27"/>
    <x v="8"/>
    <x v="2"/>
    <s v="Sweater"/>
    <n v="1"/>
    <n v="4678"/>
    <n v="0.2"/>
    <n v="3742.4"/>
    <n v="922.6"/>
    <x v="1"/>
    <x v="2"/>
    <x v="1"/>
  </r>
  <r>
    <s v="ORD04476"/>
    <s v="2023-02-05"/>
    <x v="16"/>
    <x v="13"/>
    <x v="2"/>
    <s v="Jacket"/>
    <n v="12"/>
    <n v="59598"/>
    <n v="0.15"/>
    <n v="607899.6"/>
    <n v="137514.41"/>
    <x v="0"/>
    <x v="11"/>
    <x v="1"/>
  </r>
  <r>
    <s v="ORD04477"/>
    <s v="2024-02-11"/>
    <x v="21"/>
    <x v="22"/>
    <x v="1"/>
    <s v="Camera"/>
    <n v="6"/>
    <n v="35293"/>
    <n v="0.2"/>
    <n v="169406.4"/>
    <n v="26121.43"/>
    <x v="3"/>
    <x v="11"/>
    <x v="0"/>
  </r>
  <r>
    <s v="ORD04478"/>
    <s v="2024-03-19"/>
    <x v="36"/>
    <x v="21"/>
    <x v="1"/>
    <s v="Laptop"/>
    <n v="3"/>
    <n v="8462"/>
    <n v="0.1"/>
    <n v="22847.4"/>
    <n v="2893.52"/>
    <x v="0"/>
    <x v="7"/>
    <x v="0"/>
  </r>
  <r>
    <s v="ORD04479"/>
    <s v="2024-09-18"/>
    <x v="46"/>
    <x v="15"/>
    <x v="0"/>
    <s v="Sofa"/>
    <n v="10"/>
    <n v="37769"/>
    <n v="0"/>
    <n v="377690"/>
    <n v="31964.28"/>
    <x v="2"/>
    <x v="10"/>
    <x v="0"/>
  </r>
  <r>
    <s v="ORD04480"/>
    <s v="2024-04-05"/>
    <x v="33"/>
    <x v="18"/>
    <x v="0"/>
    <s v="Table"/>
    <n v="3"/>
    <n v="9045"/>
    <n v="0.2"/>
    <n v="21708"/>
    <n v="5116.09"/>
    <x v="3"/>
    <x v="2"/>
    <x v="0"/>
  </r>
  <r>
    <s v="ORD04481"/>
    <s v="2024-01-07"/>
    <x v="20"/>
    <x v="23"/>
    <x v="0"/>
    <s v="Desk"/>
    <n v="13"/>
    <n v="56521"/>
    <n v="0.2"/>
    <n v="587818.4"/>
    <n v="63231.78"/>
    <x v="3"/>
    <x v="3"/>
    <x v="0"/>
  </r>
  <r>
    <s v="ORD04482"/>
    <s v="2023-06-14"/>
    <x v="49"/>
    <x v="8"/>
    <x v="2"/>
    <s v="Sweater"/>
    <n v="10"/>
    <n v="52474"/>
    <n v="0"/>
    <n v="524740"/>
    <n v="135017.34"/>
    <x v="2"/>
    <x v="5"/>
    <x v="1"/>
  </r>
  <r>
    <s v="ORD04483"/>
    <s v="2024-01-06"/>
    <x v="13"/>
    <x v="20"/>
    <x v="1"/>
    <s v="Tablet"/>
    <n v="6"/>
    <n v="37565"/>
    <n v="0.05"/>
    <n v="214120.5"/>
    <n v="38098.57"/>
    <x v="2"/>
    <x v="3"/>
    <x v="0"/>
  </r>
  <r>
    <s v="ORD04484"/>
    <s v="2023-06-04"/>
    <x v="43"/>
    <x v="22"/>
    <x v="1"/>
    <s v="Camera"/>
    <n v="7"/>
    <n v="49430"/>
    <n v="0.05"/>
    <n v="328709.5"/>
    <n v="44082.41"/>
    <x v="3"/>
    <x v="5"/>
    <x v="1"/>
  </r>
  <r>
    <s v="ORD04485"/>
    <s v="2023-01-05"/>
    <x v="9"/>
    <x v="14"/>
    <x v="2"/>
    <s v="Dress"/>
    <n v="1"/>
    <n v="38093"/>
    <n v="0"/>
    <n v="38093"/>
    <n v="9871.2000000000007"/>
    <x v="2"/>
    <x v="3"/>
    <x v="1"/>
  </r>
  <r>
    <s v="ORD04486"/>
    <s v="2024-10-16"/>
    <x v="38"/>
    <x v="0"/>
    <x v="0"/>
    <s v="Chair"/>
    <n v="12"/>
    <n v="46294"/>
    <n v="0"/>
    <n v="555528"/>
    <n v="157037.68"/>
    <x v="0"/>
    <x v="0"/>
    <x v="0"/>
  </r>
  <r>
    <s v="ORD04487"/>
    <s v="2023-08-28"/>
    <x v="44"/>
    <x v="17"/>
    <x v="1"/>
    <s v="Power Bank"/>
    <n v="6"/>
    <n v="52059"/>
    <n v="0"/>
    <n v="312354"/>
    <n v="91940.57"/>
    <x v="1"/>
    <x v="8"/>
    <x v="1"/>
  </r>
  <r>
    <s v="ORD04488"/>
    <s v="2023-06-15"/>
    <x v="3"/>
    <x v="23"/>
    <x v="0"/>
    <s v="Desk"/>
    <n v="14"/>
    <n v="22813"/>
    <n v="0.1"/>
    <n v="287443.8"/>
    <n v="46651.35"/>
    <x v="3"/>
    <x v="5"/>
    <x v="1"/>
  </r>
  <r>
    <s v="ORD04489"/>
    <s v="2023-05-10"/>
    <x v="43"/>
    <x v="5"/>
    <x v="0"/>
    <s v="Cupboard"/>
    <n v="3"/>
    <n v="43270"/>
    <n v="0.2"/>
    <n v="103848"/>
    <n v="17900.080000000002"/>
    <x v="2"/>
    <x v="6"/>
    <x v="1"/>
  </r>
  <r>
    <s v="ORD04490"/>
    <s v="2024-01-17"/>
    <x v="9"/>
    <x v="13"/>
    <x v="2"/>
    <s v="Jacket"/>
    <n v="9"/>
    <n v="1977"/>
    <n v="0.1"/>
    <n v="16013.7"/>
    <n v="3953.7"/>
    <x v="2"/>
    <x v="3"/>
    <x v="0"/>
  </r>
  <r>
    <s v="ORD04491"/>
    <s v="2023-12-24"/>
    <x v="27"/>
    <x v="5"/>
    <x v="0"/>
    <s v="Cupboard"/>
    <n v="10"/>
    <n v="6694"/>
    <n v="0"/>
    <n v="66940"/>
    <n v="15115.8"/>
    <x v="3"/>
    <x v="9"/>
    <x v="1"/>
  </r>
  <r>
    <s v="ORD04492"/>
    <s v="2024-09-21"/>
    <x v="14"/>
    <x v="27"/>
    <x v="3"/>
    <s v="File"/>
    <n v="8"/>
    <n v="29750"/>
    <n v="0.1"/>
    <n v="214200"/>
    <n v="62237.09"/>
    <x v="2"/>
    <x v="10"/>
    <x v="0"/>
  </r>
  <r>
    <s v="ORD04493"/>
    <s v="2024-01-16"/>
    <x v="30"/>
    <x v="20"/>
    <x v="1"/>
    <s v="Tablet"/>
    <n v="4"/>
    <n v="27601"/>
    <n v="0.2"/>
    <n v="88323.199999999997"/>
    <n v="9335.09"/>
    <x v="3"/>
    <x v="3"/>
    <x v="0"/>
  </r>
  <r>
    <s v="ORD04494"/>
    <s v="2023-03-04"/>
    <x v="47"/>
    <x v="25"/>
    <x v="3"/>
    <s v="Notebook"/>
    <n v="8"/>
    <n v="42037"/>
    <n v="0.15"/>
    <n v="285851.59999999998"/>
    <n v="77409.679999999993"/>
    <x v="0"/>
    <x v="7"/>
    <x v="1"/>
  </r>
  <r>
    <s v="ORD04495"/>
    <s v="2024-02-12"/>
    <x v="15"/>
    <x v="23"/>
    <x v="0"/>
    <s v="Desk"/>
    <n v="11"/>
    <n v="40250"/>
    <n v="0.15"/>
    <n v="376337.5"/>
    <n v="90592.62"/>
    <x v="2"/>
    <x v="11"/>
    <x v="0"/>
  </r>
  <r>
    <s v="ORD04496"/>
    <s v="2024-05-04"/>
    <x v="5"/>
    <x v="20"/>
    <x v="1"/>
    <s v="Tablet"/>
    <n v="14"/>
    <n v="35964"/>
    <n v="0.2"/>
    <n v="402796.79999999999"/>
    <n v="64085.03"/>
    <x v="0"/>
    <x v="6"/>
    <x v="0"/>
  </r>
  <r>
    <s v="ORD04497"/>
    <s v="2023-07-29"/>
    <x v="17"/>
    <x v="4"/>
    <x v="0"/>
    <s v="Stool"/>
    <n v="4"/>
    <n v="32876"/>
    <n v="0.2"/>
    <n v="105203.2"/>
    <n v="25824.560000000001"/>
    <x v="3"/>
    <x v="1"/>
    <x v="1"/>
  </r>
  <r>
    <s v="ORD04498"/>
    <s v="2023-10-04"/>
    <x v="25"/>
    <x v="26"/>
    <x v="3"/>
    <s v="Paper Ream"/>
    <n v="5"/>
    <n v="22603"/>
    <n v="0"/>
    <n v="113015"/>
    <n v="26141.43"/>
    <x v="0"/>
    <x v="0"/>
    <x v="1"/>
  </r>
  <r>
    <s v="ORD04499"/>
    <s v="2024-01-09"/>
    <x v="35"/>
    <x v="16"/>
    <x v="3"/>
    <s v="Pen"/>
    <n v="9"/>
    <n v="36233"/>
    <n v="0"/>
    <n v="326097"/>
    <n v="59054.25"/>
    <x v="3"/>
    <x v="3"/>
    <x v="0"/>
  </r>
  <r>
    <s v="ORD04500"/>
    <s v="2024-08-12"/>
    <x v="8"/>
    <x v="21"/>
    <x v="1"/>
    <s v="Laptop"/>
    <n v="8"/>
    <n v="54230"/>
    <n v="0.05"/>
    <n v="412148"/>
    <n v="89878.63"/>
    <x v="0"/>
    <x v="8"/>
    <x v="0"/>
  </r>
  <r>
    <s v="ORD04501"/>
    <s v="2023-05-06"/>
    <x v="22"/>
    <x v="16"/>
    <x v="3"/>
    <s v="Pen"/>
    <n v="15"/>
    <n v="5665"/>
    <n v="0.2"/>
    <n v="67980"/>
    <n v="6003.09"/>
    <x v="3"/>
    <x v="6"/>
    <x v="1"/>
  </r>
  <r>
    <s v="ORD04502"/>
    <s v="2024-03-03"/>
    <x v="4"/>
    <x v="26"/>
    <x v="3"/>
    <s v="Paper Ream"/>
    <n v="2"/>
    <n v="35605"/>
    <n v="0.1"/>
    <n v="64089"/>
    <n v="9890.83"/>
    <x v="1"/>
    <x v="7"/>
    <x v="0"/>
  </r>
  <r>
    <s v="ORD04503"/>
    <s v="2024-04-22"/>
    <x v="39"/>
    <x v="0"/>
    <x v="0"/>
    <s v="Chair"/>
    <n v="5"/>
    <n v="54450"/>
    <n v="0.2"/>
    <n v="217800"/>
    <n v="36812.69"/>
    <x v="3"/>
    <x v="2"/>
    <x v="0"/>
  </r>
  <r>
    <s v="ORD04504"/>
    <s v="2023-08-25"/>
    <x v="23"/>
    <x v="21"/>
    <x v="1"/>
    <s v="Laptop"/>
    <n v="6"/>
    <n v="28806"/>
    <n v="0.2"/>
    <n v="138268.79999999999"/>
    <n v="17710.849999999999"/>
    <x v="1"/>
    <x v="8"/>
    <x v="1"/>
  </r>
  <r>
    <s v="ORD04505"/>
    <s v="2024-02-13"/>
    <x v="37"/>
    <x v="2"/>
    <x v="2"/>
    <s v="Shoes"/>
    <n v="12"/>
    <n v="2611"/>
    <n v="0.1"/>
    <n v="28198.799999999999"/>
    <n v="4126.2"/>
    <x v="0"/>
    <x v="11"/>
    <x v="0"/>
  </r>
  <r>
    <s v="ORD04506"/>
    <s v="2023-12-25"/>
    <x v="8"/>
    <x v="1"/>
    <x v="1"/>
    <s v="Mobile"/>
    <n v="12"/>
    <n v="58734"/>
    <n v="0.2"/>
    <n v="563846.40000000002"/>
    <n v="95974.1"/>
    <x v="2"/>
    <x v="9"/>
    <x v="1"/>
  </r>
  <r>
    <s v="ORD04507"/>
    <s v="2023-05-06"/>
    <x v="48"/>
    <x v="21"/>
    <x v="1"/>
    <s v="Laptop"/>
    <n v="1"/>
    <n v="7432"/>
    <n v="0.15"/>
    <n v="6317.2"/>
    <n v="1313.2"/>
    <x v="0"/>
    <x v="6"/>
    <x v="1"/>
  </r>
  <r>
    <s v="ORD04508"/>
    <s v="2024-01-24"/>
    <x v="1"/>
    <x v="12"/>
    <x v="1"/>
    <s v="Headphones"/>
    <n v="11"/>
    <n v="1820"/>
    <n v="0"/>
    <n v="20020"/>
    <n v="3299.92"/>
    <x v="0"/>
    <x v="3"/>
    <x v="0"/>
  </r>
  <r>
    <s v="ORD04509"/>
    <s v="2024-11-12"/>
    <x v="44"/>
    <x v="6"/>
    <x v="2"/>
    <s v="Jeans"/>
    <n v="5"/>
    <n v="7959"/>
    <n v="0.15"/>
    <n v="33825.75"/>
    <n v="4927.8100000000004"/>
    <x v="3"/>
    <x v="4"/>
    <x v="0"/>
  </r>
  <r>
    <s v="ORD04510"/>
    <s v="2024-06-30"/>
    <x v="34"/>
    <x v="9"/>
    <x v="1"/>
    <s v="Keyboard"/>
    <n v="3"/>
    <n v="11810"/>
    <n v="0.05"/>
    <n v="33658.5"/>
    <n v="3143.66"/>
    <x v="2"/>
    <x v="5"/>
    <x v="0"/>
  </r>
  <r>
    <s v="ORD04511"/>
    <s v="2023-07-03"/>
    <x v="39"/>
    <x v="17"/>
    <x v="1"/>
    <s v="Power Bank"/>
    <n v="5"/>
    <n v="23872"/>
    <n v="0.2"/>
    <n v="95488"/>
    <n v="10831.08"/>
    <x v="3"/>
    <x v="1"/>
    <x v="1"/>
  </r>
  <r>
    <s v="ORD04512"/>
    <s v="2023-12-08"/>
    <x v="43"/>
    <x v="3"/>
    <x v="3"/>
    <s v="Stapler"/>
    <n v="8"/>
    <n v="56492"/>
    <n v="0.2"/>
    <n v="361548.79999999999"/>
    <n v="31481.58"/>
    <x v="3"/>
    <x v="9"/>
    <x v="1"/>
  </r>
  <r>
    <s v="ORD04513"/>
    <s v="2023-01-18"/>
    <x v="35"/>
    <x v="5"/>
    <x v="0"/>
    <s v="Cupboard"/>
    <n v="6"/>
    <n v="21403"/>
    <n v="0"/>
    <n v="128418"/>
    <n v="18399.32"/>
    <x v="0"/>
    <x v="3"/>
    <x v="1"/>
  </r>
  <r>
    <s v="ORD04514"/>
    <s v="2023-09-27"/>
    <x v="27"/>
    <x v="16"/>
    <x v="3"/>
    <s v="Pen"/>
    <n v="13"/>
    <n v="31142"/>
    <n v="0.15"/>
    <n v="344119.1"/>
    <n v="83745.960000000006"/>
    <x v="2"/>
    <x v="10"/>
    <x v="1"/>
  </r>
  <r>
    <s v="ORD04515"/>
    <s v="2023-06-24"/>
    <x v="38"/>
    <x v="21"/>
    <x v="1"/>
    <s v="Laptop"/>
    <n v="3"/>
    <n v="34077"/>
    <n v="0.1"/>
    <n v="92007.9"/>
    <n v="15449.41"/>
    <x v="1"/>
    <x v="5"/>
    <x v="1"/>
  </r>
  <r>
    <s v="ORD04516"/>
    <s v="2024-08-08"/>
    <x v="8"/>
    <x v="1"/>
    <x v="1"/>
    <s v="Mobile"/>
    <n v="8"/>
    <n v="43410"/>
    <n v="0.15"/>
    <n v="295188"/>
    <n v="82214.45"/>
    <x v="1"/>
    <x v="8"/>
    <x v="0"/>
  </r>
  <r>
    <s v="ORD04517"/>
    <s v="2023-01-31"/>
    <x v="31"/>
    <x v="14"/>
    <x v="2"/>
    <s v="Dress"/>
    <n v="13"/>
    <n v="43546"/>
    <n v="0.15"/>
    <n v="481183.3"/>
    <n v="122358.51"/>
    <x v="2"/>
    <x v="3"/>
    <x v="1"/>
  </r>
  <r>
    <s v="ORD04518"/>
    <s v="2024-02-06"/>
    <x v="48"/>
    <x v="8"/>
    <x v="2"/>
    <s v="Sweater"/>
    <n v="10"/>
    <n v="34187"/>
    <n v="0.2"/>
    <n v="273496"/>
    <n v="77525.86"/>
    <x v="0"/>
    <x v="11"/>
    <x v="0"/>
  </r>
  <r>
    <s v="ORD04519"/>
    <s v="2024-08-22"/>
    <x v="19"/>
    <x v="18"/>
    <x v="0"/>
    <s v="Table"/>
    <n v="3"/>
    <n v="17911"/>
    <n v="0"/>
    <n v="53733"/>
    <n v="9796.34"/>
    <x v="1"/>
    <x v="8"/>
    <x v="0"/>
  </r>
  <r>
    <s v="ORD04520"/>
    <s v="2024-05-03"/>
    <x v="8"/>
    <x v="8"/>
    <x v="2"/>
    <s v="Sweater"/>
    <n v="12"/>
    <n v="45807"/>
    <n v="0.2"/>
    <n v="439747.2"/>
    <n v="68583.91"/>
    <x v="2"/>
    <x v="6"/>
    <x v="0"/>
  </r>
  <r>
    <s v="ORD04521"/>
    <s v="2023-04-03"/>
    <x v="22"/>
    <x v="17"/>
    <x v="1"/>
    <s v="Power Bank"/>
    <n v="7"/>
    <n v="36625"/>
    <n v="0.05"/>
    <n v="243556.25"/>
    <n v="21197.8"/>
    <x v="0"/>
    <x v="2"/>
    <x v="1"/>
  </r>
  <r>
    <s v="ORD04522"/>
    <s v="2024-09-03"/>
    <x v="12"/>
    <x v="11"/>
    <x v="3"/>
    <s v="Printer"/>
    <n v="1"/>
    <n v="24594"/>
    <n v="0.1"/>
    <n v="22134.6"/>
    <n v="2028.87"/>
    <x v="3"/>
    <x v="10"/>
    <x v="0"/>
  </r>
  <r>
    <s v="ORD04523"/>
    <s v="2024-03-05"/>
    <x v="19"/>
    <x v="1"/>
    <x v="1"/>
    <s v="Mobile"/>
    <n v="8"/>
    <n v="31856"/>
    <n v="0.15"/>
    <n v="216620.79999999999"/>
    <n v="41581.82"/>
    <x v="1"/>
    <x v="7"/>
    <x v="0"/>
  </r>
  <r>
    <s v="ORD04524"/>
    <s v="2024-06-25"/>
    <x v="20"/>
    <x v="9"/>
    <x v="1"/>
    <s v="Keyboard"/>
    <n v="1"/>
    <n v="47547"/>
    <n v="0.2"/>
    <n v="38037.599999999999"/>
    <n v="8538.2800000000007"/>
    <x v="1"/>
    <x v="5"/>
    <x v="0"/>
  </r>
  <r>
    <s v="ORD04525"/>
    <s v="2023-05-12"/>
    <x v="9"/>
    <x v="1"/>
    <x v="1"/>
    <s v="Mobile"/>
    <n v="8"/>
    <n v="32394"/>
    <n v="0"/>
    <n v="259152"/>
    <n v="59873.43"/>
    <x v="0"/>
    <x v="6"/>
    <x v="1"/>
  </r>
  <r>
    <s v="ORD04526"/>
    <s v="2023-12-21"/>
    <x v="14"/>
    <x v="17"/>
    <x v="1"/>
    <s v="Power Bank"/>
    <n v="14"/>
    <n v="59164"/>
    <n v="0.15"/>
    <n v="704051.6"/>
    <n v="103143.73"/>
    <x v="2"/>
    <x v="9"/>
    <x v="1"/>
  </r>
  <r>
    <s v="ORD04527"/>
    <s v="2023-02-05"/>
    <x v="10"/>
    <x v="7"/>
    <x v="0"/>
    <s v="Bed"/>
    <n v="15"/>
    <n v="9392"/>
    <n v="0.15"/>
    <n v="119748"/>
    <n v="31599.29"/>
    <x v="1"/>
    <x v="11"/>
    <x v="1"/>
  </r>
  <r>
    <s v="ORD04528"/>
    <s v="2024-08-06"/>
    <x v="27"/>
    <x v="12"/>
    <x v="1"/>
    <s v="Headphones"/>
    <n v="13"/>
    <n v="40415"/>
    <n v="0.2"/>
    <n v="420316"/>
    <n v="75472.94"/>
    <x v="0"/>
    <x v="8"/>
    <x v="0"/>
  </r>
  <r>
    <s v="ORD04529"/>
    <s v="2024-05-21"/>
    <x v="24"/>
    <x v="16"/>
    <x v="3"/>
    <s v="Pen"/>
    <n v="4"/>
    <n v="16358"/>
    <n v="0"/>
    <n v="65432"/>
    <n v="16664.89"/>
    <x v="0"/>
    <x v="6"/>
    <x v="0"/>
  </r>
  <r>
    <s v="ORD04530"/>
    <s v="2023-09-04"/>
    <x v="4"/>
    <x v="23"/>
    <x v="0"/>
    <s v="Desk"/>
    <n v="2"/>
    <n v="49875"/>
    <n v="0.1"/>
    <n v="89775"/>
    <n v="19408.89"/>
    <x v="0"/>
    <x v="10"/>
    <x v="1"/>
  </r>
  <r>
    <s v="ORD04531"/>
    <s v="2024-01-09"/>
    <x v="42"/>
    <x v="8"/>
    <x v="2"/>
    <s v="Sweater"/>
    <n v="4"/>
    <n v="41740"/>
    <n v="0.05"/>
    <n v="158612"/>
    <n v="26150.75"/>
    <x v="0"/>
    <x v="3"/>
    <x v="0"/>
  </r>
  <r>
    <s v="ORD04532"/>
    <s v="2024-09-23"/>
    <x v="41"/>
    <x v="14"/>
    <x v="2"/>
    <s v="Dress"/>
    <n v="15"/>
    <n v="18880"/>
    <n v="0.05"/>
    <n v="269040"/>
    <n v="47633.86"/>
    <x v="0"/>
    <x v="10"/>
    <x v="0"/>
  </r>
  <r>
    <s v="ORD04533"/>
    <s v="2024-06-20"/>
    <x v="14"/>
    <x v="17"/>
    <x v="1"/>
    <s v="Power Bank"/>
    <n v="2"/>
    <n v="51027"/>
    <n v="0.15"/>
    <n v="86745.9"/>
    <n v="13124.77"/>
    <x v="1"/>
    <x v="5"/>
    <x v="0"/>
  </r>
  <r>
    <s v="ORD04534"/>
    <s v="2024-05-14"/>
    <x v="45"/>
    <x v="20"/>
    <x v="1"/>
    <s v="Tablet"/>
    <n v="12"/>
    <n v="411"/>
    <n v="0"/>
    <n v="4932"/>
    <n v="1195.23"/>
    <x v="3"/>
    <x v="6"/>
    <x v="0"/>
  </r>
  <r>
    <s v="ORD04535"/>
    <s v="2023-07-18"/>
    <x v="37"/>
    <x v="25"/>
    <x v="3"/>
    <s v="Notebook"/>
    <n v="2"/>
    <n v="20790"/>
    <n v="0.05"/>
    <n v="39501"/>
    <n v="5604.02"/>
    <x v="2"/>
    <x v="1"/>
    <x v="1"/>
  </r>
  <r>
    <s v="ORD04536"/>
    <s v="2023-01-29"/>
    <x v="32"/>
    <x v="13"/>
    <x v="2"/>
    <s v="Jacket"/>
    <n v="3"/>
    <n v="27881"/>
    <n v="0.2"/>
    <n v="66914.399999999994"/>
    <n v="17329.52"/>
    <x v="0"/>
    <x v="3"/>
    <x v="1"/>
  </r>
  <r>
    <s v="ORD04537"/>
    <s v="2023-02-04"/>
    <x v="46"/>
    <x v="7"/>
    <x v="0"/>
    <s v="Bed"/>
    <n v="8"/>
    <n v="13868"/>
    <n v="0.15"/>
    <n v="94302.399999999994"/>
    <n v="27024.5"/>
    <x v="0"/>
    <x v="11"/>
    <x v="1"/>
  </r>
  <r>
    <s v="ORD04538"/>
    <s v="2023-03-22"/>
    <x v="9"/>
    <x v="15"/>
    <x v="0"/>
    <s v="Sofa"/>
    <n v="15"/>
    <n v="34836"/>
    <n v="0"/>
    <n v="522540"/>
    <n v="149600.59"/>
    <x v="3"/>
    <x v="7"/>
    <x v="1"/>
  </r>
  <r>
    <s v="ORD04539"/>
    <s v="2023-09-13"/>
    <x v="10"/>
    <x v="6"/>
    <x v="2"/>
    <s v="Jeans"/>
    <n v="10"/>
    <n v="44291"/>
    <n v="0"/>
    <n v="442910"/>
    <n v="125993.74"/>
    <x v="3"/>
    <x v="10"/>
    <x v="1"/>
  </r>
  <r>
    <s v="ORD04540"/>
    <s v="2023-06-06"/>
    <x v="21"/>
    <x v="15"/>
    <x v="0"/>
    <s v="Sofa"/>
    <n v="4"/>
    <n v="10707"/>
    <n v="0.2"/>
    <n v="34262.400000000001"/>
    <n v="9827.09"/>
    <x v="3"/>
    <x v="5"/>
    <x v="1"/>
  </r>
  <r>
    <s v="ORD04541"/>
    <s v="2024-09-28"/>
    <x v="26"/>
    <x v="10"/>
    <x v="3"/>
    <s v="Marker"/>
    <n v="1"/>
    <n v="8722"/>
    <n v="0.15"/>
    <n v="7413.7"/>
    <n v="1951.33"/>
    <x v="0"/>
    <x v="10"/>
    <x v="0"/>
  </r>
  <r>
    <s v="ORD04542"/>
    <s v="2024-02-04"/>
    <x v="29"/>
    <x v="6"/>
    <x v="2"/>
    <s v="Jeans"/>
    <n v="15"/>
    <n v="55085"/>
    <n v="0"/>
    <n v="826275"/>
    <n v="247597.7"/>
    <x v="0"/>
    <x v="11"/>
    <x v="0"/>
  </r>
  <r>
    <s v="ORD04543"/>
    <s v="2024-10-22"/>
    <x v="7"/>
    <x v="4"/>
    <x v="0"/>
    <s v="Stool"/>
    <n v="15"/>
    <n v="57333"/>
    <n v="0"/>
    <n v="859995"/>
    <n v="113530.01"/>
    <x v="3"/>
    <x v="0"/>
    <x v="0"/>
  </r>
  <r>
    <s v="ORD04544"/>
    <s v="2023-01-17"/>
    <x v="39"/>
    <x v="26"/>
    <x v="3"/>
    <s v="Paper Ream"/>
    <n v="11"/>
    <n v="12621"/>
    <n v="0.05"/>
    <n v="131889.45000000001"/>
    <n v="28917.32"/>
    <x v="0"/>
    <x v="3"/>
    <x v="1"/>
  </r>
  <r>
    <s v="ORD04545"/>
    <s v="2023-07-31"/>
    <x v="31"/>
    <x v="19"/>
    <x v="1"/>
    <s v="Smartwatch"/>
    <n v="5"/>
    <n v="18778"/>
    <n v="0.1"/>
    <n v="84501"/>
    <n v="12085.51"/>
    <x v="1"/>
    <x v="1"/>
    <x v="1"/>
  </r>
  <r>
    <s v="ORD04546"/>
    <s v="2023-02-18"/>
    <x v="38"/>
    <x v="0"/>
    <x v="0"/>
    <s v="Chair"/>
    <n v="4"/>
    <n v="44834"/>
    <n v="0.1"/>
    <n v="161402.4"/>
    <n v="26471.81"/>
    <x v="3"/>
    <x v="11"/>
    <x v="1"/>
  </r>
  <r>
    <s v="ORD04547"/>
    <s v="2023-10-22"/>
    <x v="18"/>
    <x v="2"/>
    <x v="2"/>
    <s v="Shoes"/>
    <n v="8"/>
    <n v="28472"/>
    <n v="0.05"/>
    <n v="216387.20000000001"/>
    <n v="52207.25"/>
    <x v="1"/>
    <x v="0"/>
    <x v="1"/>
  </r>
  <r>
    <s v="ORD04548"/>
    <s v="2024-01-14"/>
    <x v="26"/>
    <x v="21"/>
    <x v="1"/>
    <s v="Laptop"/>
    <n v="2"/>
    <n v="795"/>
    <n v="0.05"/>
    <n v="1510.5"/>
    <n v="373.48"/>
    <x v="0"/>
    <x v="3"/>
    <x v="0"/>
  </r>
  <r>
    <s v="ORD04549"/>
    <s v="2023-10-21"/>
    <x v="42"/>
    <x v="24"/>
    <x v="2"/>
    <s v="T-Shirt"/>
    <n v="13"/>
    <n v="48997"/>
    <n v="0.15"/>
    <n v="541416.85"/>
    <n v="136956.59"/>
    <x v="1"/>
    <x v="0"/>
    <x v="1"/>
  </r>
  <r>
    <s v="ORD04550"/>
    <s v="2023-04-13"/>
    <x v="44"/>
    <x v="8"/>
    <x v="2"/>
    <s v="Sweater"/>
    <n v="10"/>
    <n v="51760"/>
    <n v="0"/>
    <n v="517600"/>
    <n v="79709.25"/>
    <x v="2"/>
    <x v="2"/>
    <x v="1"/>
  </r>
  <r>
    <s v="ORD04551"/>
    <s v="2024-06-18"/>
    <x v="38"/>
    <x v="15"/>
    <x v="0"/>
    <s v="Sofa"/>
    <n v="14"/>
    <n v="2547"/>
    <n v="0.2"/>
    <n v="28526.400000000001"/>
    <n v="6413.35"/>
    <x v="3"/>
    <x v="5"/>
    <x v="0"/>
  </r>
  <r>
    <s v="ORD04552"/>
    <s v="2024-08-04"/>
    <x v="30"/>
    <x v="14"/>
    <x v="2"/>
    <s v="Dress"/>
    <n v="4"/>
    <n v="14610"/>
    <n v="0.2"/>
    <n v="46752"/>
    <n v="10612.36"/>
    <x v="2"/>
    <x v="8"/>
    <x v="0"/>
  </r>
  <r>
    <s v="ORD04553"/>
    <s v="2023-07-12"/>
    <x v="17"/>
    <x v="27"/>
    <x v="3"/>
    <s v="File"/>
    <n v="2"/>
    <n v="33268"/>
    <n v="0.2"/>
    <n v="53228.800000000003"/>
    <n v="7466.65"/>
    <x v="0"/>
    <x v="1"/>
    <x v="1"/>
  </r>
  <r>
    <s v="ORD04554"/>
    <s v="2024-12-01"/>
    <x v="2"/>
    <x v="7"/>
    <x v="0"/>
    <s v="Bed"/>
    <n v="14"/>
    <n v="3160"/>
    <n v="0.2"/>
    <n v="35392"/>
    <n v="7623.48"/>
    <x v="3"/>
    <x v="9"/>
    <x v="0"/>
  </r>
  <r>
    <s v="ORD04555"/>
    <s v="2024-10-06"/>
    <x v="19"/>
    <x v="6"/>
    <x v="2"/>
    <s v="Jeans"/>
    <n v="6"/>
    <n v="24811"/>
    <n v="0.05"/>
    <n v="141422.70000000001"/>
    <n v="27658.46"/>
    <x v="0"/>
    <x v="0"/>
    <x v="0"/>
  </r>
  <r>
    <s v="ORD04556"/>
    <s v="2023-08-10"/>
    <x v="10"/>
    <x v="26"/>
    <x v="3"/>
    <s v="Paper Ream"/>
    <n v="4"/>
    <n v="39895"/>
    <n v="0.15"/>
    <n v="135643"/>
    <n v="22005.07"/>
    <x v="2"/>
    <x v="8"/>
    <x v="1"/>
  </r>
  <r>
    <s v="ORD04557"/>
    <s v="2024-04-19"/>
    <x v="49"/>
    <x v="25"/>
    <x v="3"/>
    <s v="Notebook"/>
    <n v="7"/>
    <n v="24917"/>
    <n v="0.05"/>
    <n v="165698.04999999999"/>
    <n v="20425.04"/>
    <x v="0"/>
    <x v="2"/>
    <x v="0"/>
  </r>
  <r>
    <s v="ORD04558"/>
    <s v="2024-04-04"/>
    <x v="30"/>
    <x v="2"/>
    <x v="2"/>
    <s v="Shoes"/>
    <n v="1"/>
    <n v="14665"/>
    <n v="0.2"/>
    <n v="11732"/>
    <n v="3158.49"/>
    <x v="0"/>
    <x v="2"/>
    <x v="0"/>
  </r>
  <r>
    <s v="ORD04559"/>
    <s v="2024-10-28"/>
    <x v="8"/>
    <x v="24"/>
    <x v="2"/>
    <s v="T-Shirt"/>
    <n v="8"/>
    <n v="3775"/>
    <n v="0.15"/>
    <n v="25670"/>
    <n v="3908.51"/>
    <x v="0"/>
    <x v="0"/>
    <x v="0"/>
  </r>
  <r>
    <s v="ORD04560"/>
    <s v="2024-05-24"/>
    <x v="37"/>
    <x v="15"/>
    <x v="0"/>
    <s v="Sofa"/>
    <n v="3"/>
    <n v="31790"/>
    <n v="0.1"/>
    <n v="85833"/>
    <n v="14687.78"/>
    <x v="3"/>
    <x v="6"/>
    <x v="0"/>
  </r>
  <r>
    <s v="ORD04561"/>
    <s v="2024-01-13"/>
    <x v="8"/>
    <x v="4"/>
    <x v="0"/>
    <s v="Stool"/>
    <n v="2"/>
    <n v="33972"/>
    <n v="0.2"/>
    <n v="54355.199999999997"/>
    <n v="8606.52"/>
    <x v="3"/>
    <x v="3"/>
    <x v="0"/>
  </r>
  <r>
    <s v="ORD04562"/>
    <s v="2023-08-02"/>
    <x v="3"/>
    <x v="11"/>
    <x v="3"/>
    <s v="Printer"/>
    <n v="2"/>
    <n v="3048"/>
    <n v="0"/>
    <n v="6096"/>
    <n v="813.45"/>
    <x v="3"/>
    <x v="8"/>
    <x v="1"/>
  </r>
  <r>
    <s v="ORD04563"/>
    <s v="2024-01-01"/>
    <x v="6"/>
    <x v="5"/>
    <x v="0"/>
    <s v="Cupboard"/>
    <n v="15"/>
    <n v="34088"/>
    <n v="0.15"/>
    <n v="434622"/>
    <n v="63662.93"/>
    <x v="3"/>
    <x v="3"/>
    <x v="0"/>
  </r>
  <r>
    <s v="ORD04564"/>
    <s v="2024-05-04"/>
    <x v="16"/>
    <x v="15"/>
    <x v="0"/>
    <s v="Sofa"/>
    <n v="9"/>
    <n v="49064"/>
    <n v="0.15"/>
    <n v="375339.6"/>
    <n v="44636.22"/>
    <x v="1"/>
    <x v="6"/>
    <x v="0"/>
  </r>
  <r>
    <s v="ORD04565"/>
    <s v="2023-11-12"/>
    <x v="2"/>
    <x v="20"/>
    <x v="1"/>
    <s v="Tablet"/>
    <n v="10"/>
    <n v="33179"/>
    <n v="0.15"/>
    <n v="282021.5"/>
    <n v="71186.87"/>
    <x v="0"/>
    <x v="4"/>
    <x v="1"/>
  </r>
  <r>
    <s v="ORD04566"/>
    <s v="2023-10-25"/>
    <x v="39"/>
    <x v="21"/>
    <x v="1"/>
    <s v="Laptop"/>
    <n v="4"/>
    <n v="41963"/>
    <n v="0"/>
    <n v="167852"/>
    <n v="32212.81"/>
    <x v="1"/>
    <x v="0"/>
    <x v="1"/>
  </r>
  <r>
    <s v="ORD04567"/>
    <s v="2023-03-25"/>
    <x v="32"/>
    <x v="15"/>
    <x v="0"/>
    <s v="Sofa"/>
    <n v="4"/>
    <n v="59223"/>
    <n v="0.05"/>
    <n v="225047.4"/>
    <n v="47896.66"/>
    <x v="3"/>
    <x v="7"/>
    <x v="1"/>
  </r>
  <r>
    <s v="ORD04568"/>
    <s v="2023-07-24"/>
    <x v="27"/>
    <x v="0"/>
    <x v="0"/>
    <s v="Chair"/>
    <n v="8"/>
    <n v="53657"/>
    <n v="0.2"/>
    <n v="343404.79999999999"/>
    <n v="102710.17"/>
    <x v="2"/>
    <x v="1"/>
    <x v="1"/>
  </r>
  <r>
    <s v="ORD04569"/>
    <s v="2024-01-23"/>
    <x v="29"/>
    <x v="9"/>
    <x v="1"/>
    <s v="Keyboard"/>
    <n v="9"/>
    <n v="38289"/>
    <n v="0.05"/>
    <n v="327370.95"/>
    <n v="65450.06"/>
    <x v="2"/>
    <x v="3"/>
    <x v="0"/>
  </r>
  <r>
    <s v="ORD04570"/>
    <s v="2024-07-25"/>
    <x v="39"/>
    <x v="5"/>
    <x v="0"/>
    <s v="Cupboard"/>
    <n v="15"/>
    <n v="29952"/>
    <n v="0"/>
    <n v="449280"/>
    <n v="127020.07"/>
    <x v="2"/>
    <x v="1"/>
    <x v="0"/>
  </r>
  <r>
    <s v="ORD04571"/>
    <s v="2024-10-24"/>
    <x v="38"/>
    <x v="25"/>
    <x v="3"/>
    <s v="Notebook"/>
    <n v="13"/>
    <n v="38193"/>
    <n v="0.2"/>
    <n v="397207.2"/>
    <n v="65810.98"/>
    <x v="1"/>
    <x v="0"/>
    <x v="0"/>
  </r>
  <r>
    <s v="ORD04572"/>
    <s v="2024-10-19"/>
    <x v="20"/>
    <x v="26"/>
    <x v="3"/>
    <s v="Paper Ream"/>
    <n v="3"/>
    <n v="48414"/>
    <n v="0.2"/>
    <n v="116193.60000000001"/>
    <n v="19744.919999999998"/>
    <x v="1"/>
    <x v="0"/>
    <x v="0"/>
  </r>
  <r>
    <s v="ORD04573"/>
    <s v="2023-10-17"/>
    <x v="18"/>
    <x v="26"/>
    <x v="3"/>
    <s v="Paper Ream"/>
    <n v="13"/>
    <n v="21481"/>
    <n v="0.2"/>
    <n v="223402.4"/>
    <n v="59353.73"/>
    <x v="2"/>
    <x v="0"/>
    <x v="1"/>
  </r>
  <r>
    <s v="ORD04574"/>
    <s v="2023-09-17"/>
    <x v="24"/>
    <x v="18"/>
    <x v="0"/>
    <s v="Table"/>
    <n v="9"/>
    <n v="37996"/>
    <n v="0.15"/>
    <n v="290669.40000000002"/>
    <n v="79639.45"/>
    <x v="2"/>
    <x v="10"/>
    <x v="1"/>
  </r>
  <r>
    <s v="ORD04575"/>
    <s v="2023-09-04"/>
    <x v="37"/>
    <x v="27"/>
    <x v="3"/>
    <s v="File"/>
    <n v="10"/>
    <n v="19117"/>
    <n v="0.2"/>
    <n v="152936"/>
    <n v="19170.16"/>
    <x v="2"/>
    <x v="10"/>
    <x v="1"/>
  </r>
  <r>
    <s v="ORD04576"/>
    <s v="2023-11-15"/>
    <x v="27"/>
    <x v="12"/>
    <x v="1"/>
    <s v="Headphones"/>
    <n v="13"/>
    <n v="37713"/>
    <n v="0.05"/>
    <n v="465755.55"/>
    <n v="43682.14"/>
    <x v="1"/>
    <x v="4"/>
    <x v="1"/>
  </r>
  <r>
    <s v="ORD04577"/>
    <s v="2024-04-24"/>
    <x v="16"/>
    <x v="13"/>
    <x v="2"/>
    <s v="Jacket"/>
    <n v="11"/>
    <n v="28911"/>
    <n v="0.1"/>
    <n v="286218.90000000002"/>
    <n v="25274.02"/>
    <x v="0"/>
    <x v="2"/>
    <x v="0"/>
  </r>
  <r>
    <s v="ORD04578"/>
    <s v="2023-04-27"/>
    <x v="14"/>
    <x v="9"/>
    <x v="1"/>
    <s v="Keyboard"/>
    <n v="11"/>
    <n v="44219"/>
    <n v="0"/>
    <n v="486409"/>
    <n v="51317.21"/>
    <x v="1"/>
    <x v="2"/>
    <x v="1"/>
  </r>
  <r>
    <s v="ORD04579"/>
    <s v="2024-04-19"/>
    <x v="1"/>
    <x v="13"/>
    <x v="2"/>
    <s v="Jacket"/>
    <n v="11"/>
    <n v="51696"/>
    <n v="0.2"/>
    <n v="454924.79999999999"/>
    <n v="74375.320000000007"/>
    <x v="2"/>
    <x v="2"/>
    <x v="0"/>
  </r>
  <r>
    <s v="ORD04580"/>
    <s v="2023-02-09"/>
    <x v="48"/>
    <x v="22"/>
    <x v="1"/>
    <s v="Camera"/>
    <n v="8"/>
    <n v="16060"/>
    <n v="0"/>
    <n v="128480"/>
    <n v="33100.9"/>
    <x v="1"/>
    <x v="11"/>
    <x v="1"/>
  </r>
  <r>
    <s v="ORD04581"/>
    <s v="2024-08-22"/>
    <x v="40"/>
    <x v="3"/>
    <x v="3"/>
    <s v="Stapler"/>
    <n v="3"/>
    <n v="34912"/>
    <n v="0"/>
    <n v="104736"/>
    <n v="23312.34"/>
    <x v="2"/>
    <x v="8"/>
    <x v="0"/>
  </r>
  <r>
    <s v="ORD04582"/>
    <s v="2023-11-19"/>
    <x v="24"/>
    <x v="20"/>
    <x v="1"/>
    <s v="Tablet"/>
    <n v="5"/>
    <n v="50673"/>
    <n v="0.1"/>
    <n v="228028.5"/>
    <n v="67273.94"/>
    <x v="0"/>
    <x v="4"/>
    <x v="1"/>
  </r>
  <r>
    <s v="ORD04583"/>
    <s v="2024-05-19"/>
    <x v="41"/>
    <x v="16"/>
    <x v="3"/>
    <s v="Pen"/>
    <n v="4"/>
    <n v="58858"/>
    <n v="0"/>
    <n v="235432"/>
    <n v="47998.42"/>
    <x v="2"/>
    <x v="6"/>
    <x v="0"/>
  </r>
  <r>
    <s v="ORD04584"/>
    <s v="2024-02-24"/>
    <x v="1"/>
    <x v="11"/>
    <x v="3"/>
    <s v="Printer"/>
    <n v="11"/>
    <n v="3754"/>
    <n v="0.15"/>
    <n v="35099.9"/>
    <n v="8709.1200000000008"/>
    <x v="2"/>
    <x v="11"/>
    <x v="0"/>
  </r>
  <r>
    <s v="ORD04585"/>
    <s v="2023-06-29"/>
    <x v="34"/>
    <x v="8"/>
    <x v="2"/>
    <s v="Sweater"/>
    <n v="3"/>
    <n v="3898"/>
    <n v="0.15"/>
    <n v="9939.9"/>
    <n v="2764.55"/>
    <x v="3"/>
    <x v="5"/>
    <x v="1"/>
  </r>
  <r>
    <s v="ORD04586"/>
    <s v="2023-07-29"/>
    <x v="22"/>
    <x v="4"/>
    <x v="0"/>
    <s v="Stool"/>
    <n v="13"/>
    <n v="11900"/>
    <n v="0.2"/>
    <n v="123760"/>
    <n v="34706.300000000003"/>
    <x v="3"/>
    <x v="1"/>
    <x v="1"/>
  </r>
  <r>
    <s v="ORD04587"/>
    <s v="2024-10-28"/>
    <x v="45"/>
    <x v="13"/>
    <x v="2"/>
    <s v="Jacket"/>
    <n v="2"/>
    <n v="58045"/>
    <n v="0"/>
    <n v="116090"/>
    <n v="26650.57"/>
    <x v="3"/>
    <x v="0"/>
    <x v="0"/>
  </r>
  <r>
    <s v="ORD04588"/>
    <s v="2023-06-30"/>
    <x v="15"/>
    <x v="4"/>
    <x v="0"/>
    <s v="Stool"/>
    <n v="8"/>
    <n v="23074"/>
    <n v="0.2"/>
    <n v="147673.60000000001"/>
    <n v="19420.13"/>
    <x v="2"/>
    <x v="5"/>
    <x v="1"/>
  </r>
  <r>
    <s v="ORD04589"/>
    <s v="2023-11-05"/>
    <x v="23"/>
    <x v="4"/>
    <x v="0"/>
    <s v="Stool"/>
    <n v="7"/>
    <n v="5480"/>
    <n v="0.2"/>
    <n v="30688"/>
    <n v="3488.04"/>
    <x v="0"/>
    <x v="4"/>
    <x v="1"/>
  </r>
  <r>
    <s v="ORD04590"/>
    <s v="2024-06-17"/>
    <x v="22"/>
    <x v="9"/>
    <x v="1"/>
    <s v="Keyboard"/>
    <n v="12"/>
    <n v="26369"/>
    <n v="0.1"/>
    <n v="284785.2"/>
    <n v="41875.9"/>
    <x v="2"/>
    <x v="5"/>
    <x v="0"/>
  </r>
  <r>
    <s v="ORD04591"/>
    <s v="2024-11-17"/>
    <x v="9"/>
    <x v="12"/>
    <x v="1"/>
    <s v="Headphones"/>
    <n v="11"/>
    <n v="36597"/>
    <n v="0.05"/>
    <n v="382438.65"/>
    <n v="97974.59"/>
    <x v="1"/>
    <x v="4"/>
    <x v="0"/>
  </r>
  <r>
    <s v="ORD04592"/>
    <s v="2023-11-02"/>
    <x v="31"/>
    <x v="9"/>
    <x v="1"/>
    <s v="Keyboard"/>
    <n v="8"/>
    <n v="35210"/>
    <n v="0.2"/>
    <n v="225344"/>
    <n v="66130.17"/>
    <x v="1"/>
    <x v="4"/>
    <x v="1"/>
  </r>
  <r>
    <s v="ORD04593"/>
    <s v="2024-11-16"/>
    <x v="22"/>
    <x v="12"/>
    <x v="1"/>
    <s v="Headphones"/>
    <n v="10"/>
    <n v="54366"/>
    <n v="0.1"/>
    <n v="489294"/>
    <n v="131575.41"/>
    <x v="2"/>
    <x v="4"/>
    <x v="0"/>
  </r>
  <r>
    <s v="ORD04594"/>
    <s v="2023-11-03"/>
    <x v="15"/>
    <x v="10"/>
    <x v="3"/>
    <s v="Marker"/>
    <n v="12"/>
    <n v="13164"/>
    <n v="0.15"/>
    <n v="134272.79999999999"/>
    <n v="39055.19"/>
    <x v="3"/>
    <x v="4"/>
    <x v="1"/>
  </r>
  <r>
    <s v="ORD04595"/>
    <s v="2023-08-27"/>
    <x v="45"/>
    <x v="2"/>
    <x v="2"/>
    <s v="Shoes"/>
    <n v="1"/>
    <n v="59050"/>
    <n v="0.15"/>
    <n v="50192.5"/>
    <n v="11641.38"/>
    <x v="1"/>
    <x v="8"/>
    <x v="1"/>
  </r>
  <r>
    <s v="ORD04596"/>
    <s v="2023-03-06"/>
    <x v="47"/>
    <x v="5"/>
    <x v="0"/>
    <s v="Cupboard"/>
    <n v="6"/>
    <n v="15804"/>
    <n v="0.15"/>
    <n v="80600.399999999994"/>
    <n v="20318.439999999999"/>
    <x v="0"/>
    <x v="7"/>
    <x v="1"/>
  </r>
  <r>
    <s v="ORD04597"/>
    <s v="2024-06-02"/>
    <x v="47"/>
    <x v="6"/>
    <x v="2"/>
    <s v="Jeans"/>
    <n v="2"/>
    <n v="53448"/>
    <n v="0.05"/>
    <n v="101551.2"/>
    <n v="13932.81"/>
    <x v="2"/>
    <x v="5"/>
    <x v="0"/>
  </r>
  <r>
    <s v="ORD04598"/>
    <s v="2023-05-19"/>
    <x v="12"/>
    <x v="5"/>
    <x v="0"/>
    <s v="Cupboard"/>
    <n v="3"/>
    <n v="52674"/>
    <n v="0.15"/>
    <n v="134318.70000000001"/>
    <n v="18312.79"/>
    <x v="3"/>
    <x v="6"/>
    <x v="1"/>
  </r>
  <r>
    <s v="ORD04599"/>
    <s v="2023-10-31"/>
    <x v="22"/>
    <x v="18"/>
    <x v="0"/>
    <s v="Table"/>
    <n v="3"/>
    <n v="57820"/>
    <n v="0.1"/>
    <n v="156114"/>
    <n v="15809.51"/>
    <x v="2"/>
    <x v="0"/>
    <x v="1"/>
  </r>
  <r>
    <s v="ORD04600"/>
    <s v="2023-07-29"/>
    <x v="11"/>
    <x v="21"/>
    <x v="1"/>
    <s v="Laptop"/>
    <n v="2"/>
    <n v="55166"/>
    <n v="0.05"/>
    <n v="104815.4"/>
    <n v="16439.509999999998"/>
    <x v="2"/>
    <x v="1"/>
    <x v="1"/>
  </r>
  <r>
    <s v="ORD04601"/>
    <s v="2023-01-06"/>
    <x v="23"/>
    <x v="0"/>
    <x v="0"/>
    <s v="Chair"/>
    <n v="5"/>
    <n v="15876"/>
    <n v="0.2"/>
    <n v="63504"/>
    <n v="12141.35"/>
    <x v="3"/>
    <x v="3"/>
    <x v="1"/>
  </r>
  <r>
    <s v="ORD04602"/>
    <s v="2023-10-06"/>
    <x v="0"/>
    <x v="11"/>
    <x v="3"/>
    <s v="Printer"/>
    <n v="3"/>
    <n v="48850"/>
    <n v="0.15"/>
    <n v="124567.5"/>
    <n v="37107.339999999997"/>
    <x v="2"/>
    <x v="0"/>
    <x v="1"/>
  </r>
  <r>
    <s v="ORD04603"/>
    <s v="2023-07-22"/>
    <x v="39"/>
    <x v="25"/>
    <x v="3"/>
    <s v="Notebook"/>
    <n v="9"/>
    <n v="52028"/>
    <n v="0.1"/>
    <n v="421426.8"/>
    <n v="115682.46"/>
    <x v="3"/>
    <x v="1"/>
    <x v="1"/>
  </r>
  <r>
    <s v="ORD04604"/>
    <s v="2023-01-01"/>
    <x v="6"/>
    <x v="13"/>
    <x v="2"/>
    <s v="Jacket"/>
    <n v="9"/>
    <n v="12061"/>
    <n v="0.2"/>
    <n v="86839.2"/>
    <n v="18865.23"/>
    <x v="1"/>
    <x v="3"/>
    <x v="1"/>
  </r>
  <r>
    <s v="ORD04605"/>
    <s v="2023-02-11"/>
    <x v="38"/>
    <x v="27"/>
    <x v="3"/>
    <s v="File"/>
    <n v="2"/>
    <n v="40589"/>
    <n v="0"/>
    <n v="81178"/>
    <n v="16228.15"/>
    <x v="0"/>
    <x v="11"/>
    <x v="1"/>
  </r>
  <r>
    <s v="ORD04606"/>
    <s v="2024-04-28"/>
    <x v="31"/>
    <x v="15"/>
    <x v="0"/>
    <s v="Sofa"/>
    <n v="12"/>
    <n v="52120"/>
    <n v="0.1"/>
    <n v="562896"/>
    <n v="148866.64000000001"/>
    <x v="0"/>
    <x v="2"/>
    <x v="0"/>
  </r>
  <r>
    <s v="ORD04607"/>
    <s v="2024-06-28"/>
    <x v="13"/>
    <x v="4"/>
    <x v="0"/>
    <s v="Stool"/>
    <n v="3"/>
    <n v="40433"/>
    <n v="0.15"/>
    <n v="103104.15"/>
    <n v="28958.36"/>
    <x v="1"/>
    <x v="5"/>
    <x v="0"/>
  </r>
  <r>
    <s v="ORD04608"/>
    <s v="2024-03-03"/>
    <x v="27"/>
    <x v="22"/>
    <x v="1"/>
    <s v="Camera"/>
    <n v="15"/>
    <n v="13640"/>
    <n v="0.2"/>
    <n v="163680"/>
    <n v="47465.2"/>
    <x v="0"/>
    <x v="7"/>
    <x v="0"/>
  </r>
  <r>
    <s v="ORD04609"/>
    <s v="2023-08-23"/>
    <x v="35"/>
    <x v="15"/>
    <x v="0"/>
    <s v="Sofa"/>
    <n v="4"/>
    <n v="23431"/>
    <n v="0.1"/>
    <n v="84351.6"/>
    <n v="22683.21"/>
    <x v="3"/>
    <x v="8"/>
    <x v="1"/>
  </r>
  <r>
    <s v="ORD04610"/>
    <s v="2023-01-02"/>
    <x v="33"/>
    <x v="17"/>
    <x v="1"/>
    <s v="Power Bank"/>
    <n v="3"/>
    <n v="49592"/>
    <n v="0.05"/>
    <n v="141337.20000000001"/>
    <n v="25255.200000000001"/>
    <x v="1"/>
    <x v="3"/>
    <x v="1"/>
  </r>
  <r>
    <s v="ORD04611"/>
    <s v="2023-03-27"/>
    <x v="17"/>
    <x v="26"/>
    <x v="3"/>
    <s v="Paper Ream"/>
    <n v="6"/>
    <n v="7867"/>
    <n v="0"/>
    <n v="47202"/>
    <n v="13917.6"/>
    <x v="1"/>
    <x v="7"/>
    <x v="1"/>
  </r>
  <r>
    <s v="ORD04612"/>
    <s v="2024-06-04"/>
    <x v="22"/>
    <x v="7"/>
    <x v="0"/>
    <s v="Bed"/>
    <n v="5"/>
    <n v="57265"/>
    <n v="0.1"/>
    <n v="257692.5"/>
    <n v="69927.38"/>
    <x v="1"/>
    <x v="5"/>
    <x v="0"/>
  </r>
  <r>
    <s v="ORD04613"/>
    <s v="2024-02-03"/>
    <x v="20"/>
    <x v="8"/>
    <x v="2"/>
    <s v="Sweater"/>
    <n v="11"/>
    <n v="49689"/>
    <n v="0.15"/>
    <n v="464592.15"/>
    <n v="92486.45"/>
    <x v="2"/>
    <x v="11"/>
    <x v="0"/>
  </r>
  <r>
    <s v="ORD04614"/>
    <s v="2023-01-15"/>
    <x v="5"/>
    <x v="9"/>
    <x v="1"/>
    <s v="Keyboard"/>
    <n v="1"/>
    <n v="4278"/>
    <n v="0"/>
    <n v="4278"/>
    <n v="928.18"/>
    <x v="0"/>
    <x v="3"/>
    <x v="1"/>
  </r>
  <r>
    <s v="ORD04615"/>
    <s v="2024-10-27"/>
    <x v="9"/>
    <x v="16"/>
    <x v="3"/>
    <s v="Pen"/>
    <n v="13"/>
    <n v="59582"/>
    <n v="0.1"/>
    <n v="697109.4"/>
    <n v="194602.85"/>
    <x v="1"/>
    <x v="0"/>
    <x v="0"/>
  </r>
  <r>
    <s v="ORD04616"/>
    <s v="2024-10-07"/>
    <x v="29"/>
    <x v="21"/>
    <x v="1"/>
    <s v="Laptop"/>
    <n v="6"/>
    <n v="16177"/>
    <n v="0.1"/>
    <n v="87355.8"/>
    <n v="26172.99"/>
    <x v="0"/>
    <x v="0"/>
    <x v="0"/>
  </r>
  <r>
    <s v="ORD04617"/>
    <s v="2024-03-08"/>
    <x v="4"/>
    <x v="25"/>
    <x v="3"/>
    <s v="Notebook"/>
    <n v="2"/>
    <n v="41160"/>
    <n v="0.05"/>
    <n v="78204"/>
    <n v="6989.34"/>
    <x v="3"/>
    <x v="7"/>
    <x v="0"/>
  </r>
  <r>
    <s v="ORD04618"/>
    <s v="2023-11-20"/>
    <x v="47"/>
    <x v="26"/>
    <x v="3"/>
    <s v="Paper Ream"/>
    <n v="4"/>
    <n v="39954"/>
    <n v="0.1"/>
    <n v="143834.4"/>
    <n v="16192.35"/>
    <x v="1"/>
    <x v="4"/>
    <x v="1"/>
  </r>
  <r>
    <s v="ORD04619"/>
    <s v="2023-01-09"/>
    <x v="17"/>
    <x v="0"/>
    <x v="0"/>
    <s v="Chair"/>
    <n v="13"/>
    <n v="27600"/>
    <n v="0.2"/>
    <n v="287040"/>
    <n v="28325.58"/>
    <x v="0"/>
    <x v="3"/>
    <x v="1"/>
  </r>
  <r>
    <s v="ORD04620"/>
    <s v="2024-05-20"/>
    <x v="40"/>
    <x v="4"/>
    <x v="0"/>
    <s v="Stool"/>
    <n v="8"/>
    <n v="52850"/>
    <n v="0"/>
    <n v="422800"/>
    <n v="111344.97"/>
    <x v="1"/>
    <x v="6"/>
    <x v="0"/>
  </r>
  <r>
    <s v="ORD04621"/>
    <s v="2023-09-12"/>
    <x v="9"/>
    <x v="25"/>
    <x v="3"/>
    <s v="Notebook"/>
    <n v="11"/>
    <n v="52489"/>
    <n v="0.1"/>
    <n v="519641.1"/>
    <n v="132509.38"/>
    <x v="3"/>
    <x v="10"/>
    <x v="1"/>
  </r>
  <r>
    <s v="ORD04622"/>
    <s v="2024-02-09"/>
    <x v="8"/>
    <x v="26"/>
    <x v="3"/>
    <s v="Paper Ream"/>
    <n v="13"/>
    <n v="40566"/>
    <n v="0"/>
    <n v="527358"/>
    <n v="128460.2"/>
    <x v="2"/>
    <x v="11"/>
    <x v="0"/>
  </r>
  <r>
    <s v="ORD04623"/>
    <s v="2023-11-07"/>
    <x v="27"/>
    <x v="8"/>
    <x v="2"/>
    <s v="Sweater"/>
    <n v="7"/>
    <n v="8941"/>
    <n v="0.1"/>
    <n v="56328.3"/>
    <n v="13282.45"/>
    <x v="3"/>
    <x v="4"/>
    <x v="1"/>
  </r>
  <r>
    <s v="ORD04624"/>
    <s v="2024-01-28"/>
    <x v="30"/>
    <x v="19"/>
    <x v="1"/>
    <s v="Smartwatch"/>
    <n v="3"/>
    <n v="13456"/>
    <n v="0"/>
    <n v="40368"/>
    <n v="10064"/>
    <x v="3"/>
    <x v="3"/>
    <x v="0"/>
  </r>
  <r>
    <s v="ORD04625"/>
    <s v="2023-08-26"/>
    <x v="46"/>
    <x v="18"/>
    <x v="0"/>
    <s v="Table"/>
    <n v="7"/>
    <n v="17337"/>
    <n v="0"/>
    <n v="121359"/>
    <n v="25643.83"/>
    <x v="0"/>
    <x v="8"/>
    <x v="1"/>
  </r>
  <r>
    <s v="ORD04626"/>
    <s v="2024-09-15"/>
    <x v="37"/>
    <x v="26"/>
    <x v="3"/>
    <s v="Paper Ream"/>
    <n v="2"/>
    <n v="19271"/>
    <n v="0.15"/>
    <n v="32760.7"/>
    <n v="3615.41"/>
    <x v="2"/>
    <x v="10"/>
    <x v="0"/>
  </r>
  <r>
    <s v="ORD04627"/>
    <s v="2023-03-31"/>
    <x v="16"/>
    <x v="16"/>
    <x v="3"/>
    <s v="Pen"/>
    <n v="3"/>
    <n v="14065"/>
    <n v="0.15"/>
    <n v="35865.75"/>
    <n v="9613.1200000000008"/>
    <x v="1"/>
    <x v="7"/>
    <x v="1"/>
  </r>
  <r>
    <s v="ORD04628"/>
    <s v="2024-06-16"/>
    <x v="46"/>
    <x v="22"/>
    <x v="1"/>
    <s v="Camera"/>
    <n v="13"/>
    <n v="51653"/>
    <n v="0.1"/>
    <n v="604340.1"/>
    <n v="118651.21"/>
    <x v="1"/>
    <x v="5"/>
    <x v="0"/>
  </r>
  <r>
    <s v="ORD04629"/>
    <s v="2024-01-08"/>
    <x v="39"/>
    <x v="11"/>
    <x v="3"/>
    <s v="Printer"/>
    <n v="8"/>
    <n v="58726"/>
    <n v="0.1"/>
    <n v="422827.2"/>
    <n v="117364.39"/>
    <x v="1"/>
    <x v="3"/>
    <x v="0"/>
  </r>
  <r>
    <s v="ORD04630"/>
    <s v="2023-04-23"/>
    <x v="24"/>
    <x v="1"/>
    <x v="1"/>
    <s v="Mobile"/>
    <n v="7"/>
    <n v="26837"/>
    <n v="0.1"/>
    <n v="169073.1"/>
    <n v="27670.54"/>
    <x v="2"/>
    <x v="2"/>
    <x v="1"/>
  </r>
  <r>
    <s v="ORD04631"/>
    <s v="2023-12-24"/>
    <x v="14"/>
    <x v="17"/>
    <x v="1"/>
    <s v="Power Bank"/>
    <n v="6"/>
    <n v="35405"/>
    <n v="0.2"/>
    <n v="169944"/>
    <n v="48273.43"/>
    <x v="1"/>
    <x v="9"/>
    <x v="1"/>
  </r>
  <r>
    <s v="ORD04632"/>
    <s v="2024-07-17"/>
    <x v="15"/>
    <x v="8"/>
    <x v="2"/>
    <s v="Sweater"/>
    <n v="3"/>
    <n v="42739"/>
    <n v="0.15"/>
    <n v="108984.45"/>
    <n v="12716.64"/>
    <x v="0"/>
    <x v="1"/>
    <x v="0"/>
  </r>
  <r>
    <s v="ORD04633"/>
    <s v="2023-09-03"/>
    <x v="6"/>
    <x v="7"/>
    <x v="0"/>
    <s v="Bed"/>
    <n v="7"/>
    <n v="33005"/>
    <n v="0.15"/>
    <n v="196379.75"/>
    <n v="52751.59"/>
    <x v="0"/>
    <x v="10"/>
    <x v="1"/>
  </r>
  <r>
    <s v="ORD04634"/>
    <s v="2023-07-08"/>
    <x v="24"/>
    <x v="18"/>
    <x v="0"/>
    <s v="Table"/>
    <n v="9"/>
    <n v="35419"/>
    <n v="0.2"/>
    <n v="255016.8"/>
    <n v="58413.97"/>
    <x v="0"/>
    <x v="1"/>
    <x v="1"/>
  </r>
  <r>
    <s v="ORD04635"/>
    <s v="2023-06-01"/>
    <x v="36"/>
    <x v="6"/>
    <x v="2"/>
    <s v="Jeans"/>
    <n v="11"/>
    <n v="16304"/>
    <n v="0.1"/>
    <n v="161409.60000000001"/>
    <n v="44993.279999999999"/>
    <x v="1"/>
    <x v="5"/>
    <x v="1"/>
  </r>
  <r>
    <s v="ORD04636"/>
    <s v="2023-12-20"/>
    <x v="23"/>
    <x v="20"/>
    <x v="1"/>
    <s v="Tablet"/>
    <n v="4"/>
    <n v="46327"/>
    <n v="0.15"/>
    <n v="157511.79999999999"/>
    <n v="42394.71"/>
    <x v="3"/>
    <x v="9"/>
    <x v="1"/>
  </r>
  <r>
    <s v="ORD04637"/>
    <s v="2024-08-14"/>
    <x v="3"/>
    <x v="18"/>
    <x v="0"/>
    <s v="Table"/>
    <n v="7"/>
    <n v="51919"/>
    <n v="0.05"/>
    <n v="345261.35"/>
    <n v="65025.38"/>
    <x v="2"/>
    <x v="8"/>
    <x v="0"/>
  </r>
  <r>
    <s v="ORD04638"/>
    <s v="2023-10-11"/>
    <x v="47"/>
    <x v="13"/>
    <x v="2"/>
    <s v="Jacket"/>
    <n v="13"/>
    <n v="59463"/>
    <n v="0"/>
    <n v="773019"/>
    <n v="97074.78"/>
    <x v="0"/>
    <x v="0"/>
    <x v="1"/>
  </r>
  <r>
    <s v="ORD04639"/>
    <s v="2024-01-27"/>
    <x v="4"/>
    <x v="23"/>
    <x v="0"/>
    <s v="Desk"/>
    <n v="3"/>
    <n v="47869"/>
    <n v="0"/>
    <n v="143607"/>
    <n v="35211.46"/>
    <x v="1"/>
    <x v="3"/>
    <x v="0"/>
  </r>
  <r>
    <s v="ORD04640"/>
    <s v="2023-10-20"/>
    <x v="2"/>
    <x v="24"/>
    <x v="2"/>
    <s v="T-Shirt"/>
    <n v="4"/>
    <n v="33779"/>
    <n v="0.15"/>
    <n v="114848.6"/>
    <n v="17976.25"/>
    <x v="0"/>
    <x v="0"/>
    <x v="1"/>
  </r>
  <r>
    <s v="ORD04641"/>
    <s v="2024-08-14"/>
    <x v="24"/>
    <x v="13"/>
    <x v="2"/>
    <s v="Jacket"/>
    <n v="2"/>
    <n v="21826"/>
    <n v="0.2"/>
    <n v="34921.599999999999"/>
    <n v="6201.38"/>
    <x v="1"/>
    <x v="8"/>
    <x v="0"/>
  </r>
  <r>
    <s v="ORD04642"/>
    <s v="2023-06-26"/>
    <x v="20"/>
    <x v="1"/>
    <x v="1"/>
    <s v="Mobile"/>
    <n v="4"/>
    <n v="38033"/>
    <n v="0.1"/>
    <n v="136918.79999999999"/>
    <n v="15019.03"/>
    <x v="2"/>
    <x v="5"/>
    <x v="1"/>
  </r>
  <r>
    <s v="ORD04643"/>
    <s v="2024-05-30"/>
    <x v="14"/>
    <x v="23"/>
    <x v="0"/>
    <s v="Desk"/>
    <n v="9"/>
    <n v="993"/>
    <n v="0.05"/>
    <n v="8490.15"/>
    <n v="2233.19"/>
    <x v="1"/>
    <x v="6"/>
    <x v="0"/>
  </r>
  <r>
    <s v="ORD04644"/>
    <s v="2024-04-19"/>
    <x v="11"/>
    <x v="18"/>
    <x v="0"/>
    <s v="Table"/>
    <n v="4"/>
    <n v="13693"/>
    <n v="0"/>
    <n v="54772"/>
    <n v="13743.77"/>
    <x v="3"/>
    <x v="2"/>
    <x v="0"/>
  </r>
  <r>
    <s v="ORD04645"/>
    <s v="2024-04-20"/>
    <x v="45"/>
    <x v="4"/>
    <x v="0"/>
    <s v="Stool"/>
    <n v="14"/>
    <n v="31909"/>
    <n v="0.15"/>
    <n v="379717.1"/>
    <n v="89936.34"/>
    <x v="1"/>
    <x v="2"/>
    <x v="0"/>
  </r>
  <r>
    <s v="ORD04646"/>
    <s v="2023-07-24"/>
    <x v="8"/>
    <x v="3"/>
    <x v="3"/>
    <s v="Stapler"/>
    <n v="9"/>
    <n v="38131"/>
    <n v="0.05"/>
    <n v="326020.05"/>
    <n v="51871.519999999997"/>
    <x v="3"/>
    <x v="1"/>
    <x v="1"/>
  </r>
  <r>
    <s v="ORD04647"/>
    <s v="2024-06-28"/>
    <x v="22"/>
    <x v="25"/>
    <x v="3"/>
    <s v="Notebook"/>
    <n v="15"/>
    <n v="4435"/>
    <n v="0.05"/>
    <n v="63198.75"/>
    <n v="15311.73"/>
    <x v="0"/>
    <x v="5"/>
    <x v="0"/>
  </r>
  <r>
    <s v="ORD04648"/>
    <s v="2024-11-19"/>
    <x v="16"/>
    <x v="23"/>
    <x v="0"/>
    <s v="Desk"/>
    <n v="2"/>
    <n v="40268"/>
    <n v="0.05"/>
    <n v="76509.2"/>
    <n v="10989.48"/>
    <x v="0"/>
    <x v="4"/>
    <x v="0"/>
  </r>
  <r>
    <s v="ORD04649"/>
    <s v="2023-10-22"/>
    <x v="17"/>
    <x v="14"/>
    <x v="2"/>
    <s v="Dress"/>
    <n v="7"/>
    <n v="8424"/>
    <n v="0"/>
    <n v="58968"/>
    <n v="9869.7800000000007"/>
    <x v="1"/>
    <x v="0"/>
    <x v="1"/>
  </r>
  <r>
    <s v="ORD04650"/>
    <s v="2023-07-19"/>
    <x v="41"/>
    <x v="10"/>
    <x v="3"/>
    <s v="Marker"/>
    <n v="7"/>
    <n v="49336"/>
    <n v="0.2"/>
    <n v="276281.59999999998"/>
    <n v="60906.07"/>
    <x v="1"/>
    <x v="1"/>
    <x v="1"/>
  </r>
  <r>
    <s v="ORD04651"/>
    <s v="2023-07-16"/>
    <x v="5"/>
    <x v="9"/>
    <x v="1"/>
    <s v="Keyboard"/>
    <n v="4"/>
    <n v="31149"/>
    <n v="0.05"/>
    <n v="118366.2"/>
    <n v="32817.269999999997"/>
    <x v="0"/>
    <x v="1"/>
    <x v="1"/>
  </r>
  <r>
    <s v="ORD04652"/>
    <s v="2024-05-30"/>
    <x v="35"/>
    <x v="18"/>
    <x v="0"/>
    <s v="Table"/>
    <n v="3"/>
    <n v="30409"/>
    <n v="0.05"/>
    <n v="86665.65"/>
    <n v="9919.52"/>
    <x v="2"/>
    <x v="6"/>
    <x v="0"/>
  </r>
  <r>
    <s v="ORD04653"/>
    <s v="2023-11-04"/>
    <x v="30"/>
    <x v="13"/>
    <x v="2"/>
    <s v="Jacket"/>
    <n v="8"/>
    <n v="24905"/>
    <n v="0"/>
    <n v="199240"/>
    <n v="31225.439999999999"/>
    <x v="0"/>
    <x v="4"/>
    <x v="1"/>
  </r>
  <r>
    <s v="ORD04654"/>
    <s v="2023-01-24"/>
    <x v="7"/>
    <x v="16"/>
    <x v="3"/>
    <s v="Pen"/>
    <n v="1"/>
    <n v="46133"/>
    <n v="0.1"/>
    <n v="41519.699999999997"/>
    <n v="9979.33"/>
    <x v="1"/>
    <x v="3"/>
    <x v="1"/>
  </r>
  <r>
    <s v="ORD04655"/>
    <s v="2024-02-18"/>
    <x v="36"/>
    <x v="10"/>
    <x v="3"/>
    <s v="Marker"/>
    <n v="2"/>
    <n v="10102"/>
    <n v="0.2"/>
    <n v="16163.2"/>
    <n v="4186.21"/>
    <x v="0"/>
    <x v="11"/>
    <x v="0"/>
  </r>
  <r>
    <s v="ORD04656"/>
    <s v="2023-08-23"/>
    <x v="5"/>
    <x v="18"/>
    <x v="0"/>
    <s v="Table"/>
    <n v="12"/>
    <n v="13692"/>
    <n v="0.2"/>
    <n v="131443.20000000001"/>
    <n v="20437.599999999999"/>
    <x v="2"/>
    <x v="8"/>
    <x v="1"/>
  </r>
  <r>
    <s v="ORD04657"/>
    <s v="2024-03-27"/>
    <x v="19"/>
    <x v="6"/>
    <x v="2"/>
    <s v="Jeans"/>
    <n v="7"/>
    <n v="29661"/>
    <n v="0"/>
    <n v="207627"/>
    <n v="29077.43"/>
    <x v="2"/>
    <x v="7"/>
    <x v="0"/>
  </r>
  <r>
    <s v="ORD04658"/>
    <s v="2023-08-05"/>
    <x v="20"/>
    <x v="27"/>
    <x v="3"/>
    <s v="File"/>
    <n v="14"/>
    <n v="43473"/>
    <n v="0"/>
    <n v="608622"/>
    <n v="146916.32999999999"/>
    <x v="0"/>
    <x v="8"/>
    <x v="1"/>
  </r>
  <r>
    <s v="ORD04659"/>
    <s v="2024-04-02"/>
    <x v="22"/>
    <x v="6"/>
    <x v="2"/>
    <s v="Jeans"/>
    <n v="3"/>
    <n v="53161"/>
    <n v="0"/>
    <n v="159483"/>
    <n v="47132.76"/>
    <x v="2"/>
    <x v="2"/>
    <x v="0"/>
  </r>
  <r>
    <s v="ORD04660"/>
    <s v="2023-11-01"/>
    <x v="36"/>
    <x v="18"/>
    <x v="0"/>
    <s v="Table"/>
    <n v="13"/>
    <n v="24263"/>
    <n v="0"/>
    <n v="315419"/>
    <n v="87898.03"/>
    <x v="0"/>
    <x v="4"/>
    <x v="1"/>
  </r>
  <r>
    <s v="ORD04661"/>
    <s v="2024-03-23"/>
    <x v="36"/>
    <x v="8"/>
    <x v="2"/>
    <s v="Sweater"/>
    <n v="2"/>
    <n v="17544"/>
    <n v="0.1"/>
    <n v="31579.200000000001"/>
    <n v="7106.47"/>
    <x v="2"/>
    <x v="7"/>
    <x v="0"/>
  </r>
  <r>
    <s v="ORD04662"/>
    <s v="2024-02-07"/>
    <x v="43"/>
    <x v="22"/>
    <x v="1"/>
    <s v="Camera"/>
    <n v="6"/>
    <n v="28217"/>
    <n v="0.1"/>
    <n v="152371.79999999999"/>
    <n v="32270.91"/>
    <x v="3"/>
    <x v="11"/>
    <x v="0"/>
  </r>
  <r>
    <s v="ORD04663"/>
    <s v="2024-09-09"/>
    <x v="0"/>
    <x v="24"/>
    <x v="2"/>
    <s v="T-Shirt"/>
    <n v="5"/>
    <n v="23673"/>
    <n v="0"/>
    <n v="118365"/>
    <n v="34297.919999999998"/>
    <x v="3"/>
    <x v="10"/>
    <x v="0"/>
  </r>
  <r>
    <s v="ORD04664"/>
    <s v="2024-08-27"/>
    <x v="34"/>
    <x v="22"/>
    <x v="1"/>
    <s v="Camera"/>
    <n v="13"/>
    <n v="22879"/>
    <n v="0.1"/>
    <n v="267684.3"/>
    <n v="48903.28"/>
    <x v="3"/>
    <x v="8"/>
    <x v="0"/>
  </r>
  <r>
    <s v="ORD04665"/>
    <s v="2024-05-05"/>
    <x v="38"/>
    <x v="16"/>
    <x v="3"/>
    <s v="Pen"/>
    <n v="12"/>
    <n v="33008"/>
    <n v="0.15"/>
    <n v="336681.6"/>
    <n v="27651.02"/>
    <x v="1"/>
    <x v="6"/>
    <x v="0"/>
  </r>
  <r>
    <s v="ORD04666"/>
    <s v="2024-04-18"/>
    <x v="14"/>
    <x v="5"/>
    <x v="0"/>
    <s v="Cupboard"/>
    <n v="7"/>
    <n v="20022"/>
    <n v="0.05"/>
    <n v="133146.29999999999"/>
    <n v="22210.93"/>
    <x v="2"/>
    <x v="2"/>
    <x v="0"/>
  </r>
  <r>
    <s v="ORD04667"/>
    <s v="2024-03-30"/>
    <x v="28"/>
    <x v="25"/>
    <x v="3"/>
    <s v="Notebook"/>
    <n v="11"/>
    <n v="5896"/>
    <n v="0.15"/>
    <n v="55127.6"/>
    <n v="6535.07"/>
    <x v="2"/>
    <x v="7"/>
    <x v="0"/>
  </r>
  <r>
    <s v="ORD04668"/>
    <s v="2023-06-15"/>
    <x v="49"/>
    <x v="9"/>
    <x v="1"/>
    <s v="Keyboard"/>
    <n v="5"/>
    <n v="21870"/>
    <n v="0.1"/>
    <n v="98415"/>
    <n v="23701.33"/>
    <x v="1"/>
    <x v="5"/>
    <x v="1"/>
  </r>
  <r>
    <s v="ORD04669"/>
    <s v="2023-04-03"/>
    <x v="35"/>
    <x v="23"/>
    <x v="0"/>
    <s v="Desk"/>
    <n v="8"/>
    <n v="52391"/>
    <n v="0.05"/>
    <n v="398171.6"/>
    <n v="115792.57"/>
    <x v="2"/>
    <x v="2"/>
    <x v="1"/>
  </r>
  <r>
    <s v="ORD04670"/>
    <s v="2023-06-11"/>
    <x v="1"/>
    <x v="1"/>
    <x v="1"/>
    <s v="Mobile"/>
    <n v="14"/>
    <n v="41116"/>
    <n v="0.2"/>
    <n v="460499.20000000001"/>
    <n v="121584.68"/>
    <x v="1"/>
    <x v="5"/>
    <x v="1"/>
  </r>
  <r>
    <s v="ORD04671"/>
    <s v="2023-11-22"/>
    <x v="20"/>
    <x v="16"/>
    <x v="3"/>
    <s v="Pen"/>
    <n v="13"/>
    <n v="35586"/>
    <n v="0.05"/>
    <n v="439487.1"/>
    <n v="94583.83"/>
    <x v="1"/>
    <x v="4"/>
    <x v="1"/>
  </r>
  <r>
    <s v="ORD04672"/>
    <s v="2023-08-23"/>
    <x v="24"/>
    <x v="11"/>
    <x v="3"/>
    <s v="Printer"/>
    <n v="13"/>
    <n v="52229"/>
    <n v="0.15"/>
    <n v="577130.44999999995"/>
    <n v="85239.41"/>
    <x v="0"/>
    <x v="8"/>
    <x v="1"/>
  </r>
  <r>
    <s v="ORD04673"/>
    <s v="2024-09-23"/>
    <x v="46"/>
    <x v="7"/>
    <x v="0"/>
    <s v="Bed"/>
    <n v="8"/>
    <n v="50965"/>
    <n v="0.05"/>
    <n v="387334"/>
    <n v="63844.1"/>
    <x v="0"/>
    <x v="10"/>
    <x v="0"/>
  </r>
  <r>
    <s v="ORD04674"/>
    <s v="2024-02-09"/>
    <x v="37"/>
    <x v="21"/>
    <x v="1"/>
    <s v="Laptop"/>
    <n v="5"/>
    <n v="37773"/>
    <n v="0"/>
    <n v="188865"/>
    <n v="38585.56"/>
    <x v="0"/>
    <x v="11"/>
    <x v="0"/>
  </r>
  <r>
    <s v="ORD04675"/>
    <s v="2024-06-02"/>
    <x v="24"/>
    <x v="17"/>
    <x v="1"/>
    <s v="Power Bank"/>
    <n v="2"/>
    <n v="31691"/>
    <n v="0.1"/>
    <n v="57043.8"/>
    <n v="9135.81"/>
    <x v="3"/>
    <x v="5"/>
    <x v="0"/>
  </r>
  <r>
    <s v="ORD04676"/>
    <s v="2024-11-12"/>
    <x v="11"/>
    <x v="25"/>
    <x v="3"/>
    <s v="Notebook"/>
    <n v="1"/>
    <n v="12898"/>
    <n v="0.2"/>
    <n v="10318.4"/>
    <n v="1141.22"/>
    <x v="3"/>
    <x v="4"/>
    <x v="0"/>
  </r>
  <r>
    <s v="ORD04677"/>
    <s v="2024-06-09"/>
    <x v="45"/>
    <x v="4"/>
    <x v="0"/>
    <s v="Stool"/>
    <n v="6"/>
    <n v="47906"/>
    <n v="0.2"/>
    <n v="229948.79999999999"/>
    <n v="42501.5"/>
    <x v="2"/>
    <x v="5"/>
    <x v="0"/>
  </r>
  <r>
    <s v="ORD04678"/>
    <s v="2023-01-12"/>
    <x v="17"/>
    <x v="23"/>
    <x v="0"/>
    <s v="Desk"/>
    <n v="14"/>
    <n v="49456"/>
    <n v="0.15"/>
    <n v="588526.4"/>
    <n v="92601.63"/>
    <x v="0"/>
    <x v="3"/>
    <x v="1"/>
  </r>
  <r>
    <s v="ORD04679"/>
    <s v="2023-11-10"/>
    <x v="19"/>
    <x v="8"/>
    <x v="2"/>
    <s v="Sweater"/>
    <n v="14"/>
    <n v="22931"/>
    <n v="0.05"/>
    <n v="304982.3"/>
    <n v="32506.71"/>
    <x v="3"/>
    <x v="4"/>
    <x v="1"/>
  </r>
  <r>
    <s v="ORD04680"/>
    <s v="2023-04-08"/>
    <x v="43"/>
    <x v="8"/>
    <x v="2"/>
    <s v="Sweater"/>
    <n v="14"/>
    <n v="20615"/>
    <n v="0"/>
    <n v="288610"/>
    <n v="76680.06"/>
    <x v="2"/>
    <x v="2"/>
    <x v="1"/>
  </r>
  <r>
    <s v="ORD04681"/>
    <s v="2023-02-08"/>
    <x v="22"/>
    <x v="10"/>
    <x v="3"/>
    <s v="Marker"/>
    <n v="1"/>
    <n v="29646"/>
    <n v="0.1"/>
    <n v="26681.4"/>
    <n v="4365.33"/>
    <x v="2"/>
    <x v="11"/>
    <x v="1"/>
  </r>
  <r>
    <s v="ORD04682"/>
    <s v="2023-08-23"/>
    <x v="43"/>
    <x v="15"/>
    <x v="0"/>
    <s v="Sofa"/>
    <n v="3"/>
    <n v="39839"/>
    <n v="0.05"/>
    <n v="113541.15"/>
    <n v="18091.95"/>
    <x v="1"/>
    <x v="8"/>
    <x v="1"/>
  </r>
  <r>
    <s v="ORD04683"/>
    <s v="2023-08-27"/>
    <x v="17"/>
    <x v="16"/>
    <x v="3"/>
    <s v="Pen"/>
    <n v="15"/>
    <n v="49158"/>
    <n v="0.2"/>
    <n v="589896"/>
    <n v="106504.55"/>
    <x v="1"/>
    <x v="8"/>
    <x v="1"/>
  </r>
  <r>
    <s v="ORD04684"/>
    <s v="2024-09-24"/>
    <x v="26"/>
    <x v="23"/>
    <x v="0"/>
    <s v="Desk"/>
    <n v="13"/>
    <n v="13898"/>
    <n v="0.15"/>
    <n v="153572.9"/>
    <n v="36190.559999999998"/>
    <x v="3"/>
    <x v="10"/>
    <x v="0"/>
  </r>
  <r>
    <s v="ORD04685"/>
    <s v="2024-03-05"/>
    <x v="7"/>
    <x v="2"/>
    <x v="2"/>
    <s v="Shoes"/>
    <n v="12"/>
    <n v="31130"/>
    <n v="0.2"/>
    <n v="298848"/>
    <n v="64906.38"/>
    <x v="1"/>
    <x v="7"/>
    <x v="0"/>
  </r>
  <r>
    <s v="ORD04686"/>
    <s v="2024-03-01"/>
    <x v="19"/>
    <x v="12"/>
    <x v="1"/>
    <s v="Headphones"/>
    <n v="14"/>
    <n v="57994"/>
    <n v="0.1"/>
    <n v="730724.4"/>
    <n v="169866.33"/>
    <x v="0"/>
    <x v="7"/>
    <x v="0"/>
  </r>
  <r>
    <s v="ORD04687"/>
    <s v="2024-01-01"/>
    <x v="13"/>
    <x v="14"/>
    <x v="2"/>
    <s v="Dress"/>
    <n v="1"/>
    <n v="9216"/>
    <n v="0"/>
    <n v="9216"/>
    <n v="780.38"/>
    <x v="2"/>
    <x v="3"/>
    <x v="0"/>
  </r>
  <r>
    <s v="ORD04688"/>
    <s v="2023-04-06"/>
    <x v="17"/>
    <x v="26"/>
    <x v="3"/>
    <s v="Paper Ream"/>
    <n v="12"/>
    <n v="7707"/>
    <n v="0.05"/>
    <n v="87859.8"/>
    <n v="23344.240000000002"/>
    <x v="2"/>
    <x v="2"/>
    <x v="1"/>
  </r>
  <r>
    <s v="ORD04689"/>
    <s v="2023-05-14"/>
    <x v="21"/>
    <x v="12"/>
    <x v="1"/>
    <s v="Headphones"/>
    <n v="6"/>
    <n v="12404"/>
    <n v="0.2"/>
    <n v="59539.199999999997"/>
    <n v="10006.89"/>
    <x v="0"/>
    <x v="6"/>
    <x v="1"/>
  </r>
  <r>
    <s v="ORD04690"/>
    <s v="2023-05-29"/>
    <x v="16"/>
    <x v="24"/>
    <x v="2"/>
    <s v="T-Shirt"/>
    <n v="13"/>
    <n v="44725"/>
    <n v="0.15"/>
    <n v="494211.25"/>
    <n v="147953.91"/>
    <x v="1"/>
    <x v="6"/>
    <x v="1"/>
  </r>
  <r>
    <s v="ORD04691"/>
    <s v="2024-11-09"/>
    <x v="35"/>
    <x v="19"/>
    <x v="1"/>
    <s v="Smartwatch"/>
    <n v="13"/>
    <n v="57299"/>
    <n v="0.05"/>
    <n v="707642.65"/>
    <n v="66538.19"/>
    <x v="2"/>
    <x v="4"/>
    <x v="0"/>
  </r>
  <r>
    <s v="ORD04692"/>
    <s v="2024-08-08"/>
    <x v="30"/>
    <x v="13"/>
    <x v="2"/>
    <s v="Jacket"/>
    <n v="3"/>
    <n v="47696"/>
    <n v="0.2"/>
    <n v="114470.39999999999"/>
    <n v="32504.47"/>
    <x v="3"/>
    <x v="8"/>
    <x v="0"/>
  </r>
  <r>
    <s v="ORD04693"/>
    <s v="2023-01-04"/>
    <x v="41"/>
    <x v="0"/>
    <x v="0"/>
    <s v="Chair"/>
    <n v="10"/>
    <n v="39609"/>
    <n v="0.1"/>
    <n v="356481"/>
    <n v="54835.6"/>
    <x v="0"/>
    <x v="3"/>
    <x v="1"/>
  </r>
  <r>
    <s v="ORD04694"/>
    <s v="2024-11-03"/>
    <x v="45"/>
    <x v="8"/>
    <x v="2"/>
    <s v="Sweater"/>
    <n v="9"/>
    <n v="4143"/>
    <n v="0"/>
    <n v="37287"/>
    <n v="7903.7"/>
    <x v="0"/>
    <x v="4"/>
    <x v="0"/>
  </r>
  <r>
    <s v="ORD04695"/>
    <s v="2023-01-05"/>
    <x v="40"/>
    <x v="11"/>
    <x v="3"/>
    <s v="Printer"/>
    <n v="13"/>
    <n v="22192"/>
    <n v="0"/>
    <n v="288496"/>
    <n v="52539.51"/>
    <x v="0"/>
    <x v="3"/>
    <x v="1"/>
  </r>
  <r>
    <s v="ORD04696"/>
    <s v="2024-02-06"/>
    <x v="33"/>
    <x v="26"/>
    <x v="3"/>
    <s v="Paper Ream"/>
    <n v="5"/>
    <n v="14380"/>
    <n v="0.15"/>
    <n v="61115"/>
    <n v="9694.52"/>
    <x v="3"/>
    <x v="11"/>
    <x v="0"/>
  </r>
  <r>
    <s v="ORD04697"/>
    <s v="2024-10-08"/>
    <x v="11"/>
    <x v="22"/>
    <x v="1"/>
    <s v="Camera"/>
    <n v="7"/>
    <n v="35388"/>
    <n v="0.2"/>
    <n v="198172.79999999999"/>
    <n v="48229.05"/>
    <x v="3"/>
    <x v="0"/>
    <x v="0"/>
  </r>
  <r>
    <s v="ORD04698"/>
    <s v="2023-07-02"/>
    <x v="22"/>
    <x v="26"/>
    <x v="3"/>
    <s v="Paper Ream"/>
    <n v="4"/>
    <n v="7045"/>
    <n v="0.1"/>
    <n v="25362"/>
    <n v="3979.61"/>
    <x v="2"/>
    <x v="1"/>
    <x v="1"/>
  </r>
  <r>
    <s v="ORD04699"/>
    <s v="2024-07-04"/>
    <x v="17"/>
    <x v="0"/>
    <x v="0"/>
    <s v="Chair"/>
    <n v="9"/>
    <n v="51095"/>
    <n v="0.1"/>
    <n v="413869.5"/>
    <n v="76528.36"/>
    <x v="2"/>
    <x v="1"/>
    <x v="0"/>
  </r>
  <r>
    <s v="ORD04700"/>
    <s v="2023-07-21"/>
    <x v="27"/>
    <x v="14"/>
    <x v="2"/>
    <s v="Dress"/>
    <n v="6"/>
    <n v="34262"/>
    <n v="0"/>
    <n v="205572"/>
    <n v="20623.09"/>
    <x v="0"/>
    <x v="1"/>
    <x v="1"/>
  </r>
  <r>
    <s v="ORD04701"/>
    <s v="2023-11-13"/>
    <x v="37"/>
    <x v="12"/>
    <x v="1"/>
    <s v="Headphones"/>
    <n v="13"/>
    <n v="28318"/>
    <n v="0.1"/>
    <n v="331320.59999999998"/>
    <n v="82357.33"/>
    <x v="1"/>
    <x v="4"/>
    <x v="1"/>
  </r>
  <r>
    <s v="ORD04702"/>
    <s v="2023-04-22"/>
    <x v="44"/>
    <x v="21"/>
    <x v="1"/>
    <s v="Laptop"/>
    <n v="3"/>
    <n v="6116"/>
    <n v="0.15"/>
    <n v="15595.8"/>
    <n v="1546.66"/>
    <x v="2"/>
    <x v="2"/>
    <x v="1"/>
  </r>
  <r>
    <s v="ORD04703"/>
    <s v="2023-03-26"/>
    <x v="11"/>
    <x v="20"/>
    <x v="1"/>
    <s v="Tablet"/>
    <n v="5"/>
    <n v="7403"/>
    <n v="0.05"/>
    <n v="35164.25"/>
    <n v="6759.83"/>
    <x v="2"/>
    <x v="7"/>
    <x v="1"/>
  </r>
  <r>
    <s v="ORD04704"/>
    <s v="2024-08-21"/>
    <x v="32"/>
    <x v="11"/>
    <x v="3"/>
    <s v="Printer"/>
    <n v="13"/>
    <n v="27607"/>
    <n v="0.1"/>
    <n v="323001.90000000002"/>
    <n v="63784.73"/>
    <x v="0"/>
    <x v="8"/>
    <x v="0"/>
  </r>
  <r>
    <s v="ORD04705"/>
    <s v="2024-07-31"/>
    <x v="0"/>
    <x v="27"/>
    <x v="3"/>
    <s v="File"/>
    <n v="7"/>
    <n v="24703"/>
    <n v="0.2"/>
    <n v="138336.79999999999"/>
    <n v="22428.82"/>
    <x v="3"/>
    <x v="1"/>
    <x v="0"/>
  </r>
  <r>
    <s v="ORD04706"/>
    <s v="2023-05-07"/>
    <x v="41"/>
    <x v="22"/>
    <x v="1"/>
    <s v="Camera"/>
    <n v="9"/>
    <n v="49559"/>
    <n v="0.05"/>
    <n v="423729.45"/>
    <n v="116894.73"/>
    <x v="0"/>
    <x v="6"/>
    <x v="1"/>
  </r>
  <r>
    <s v="ORD04707"/>
    <s v="2023-12-23"/>
    <x v="21"/>
    <x v="23"/>
    <x v="0"/>
    <s v="Desk"/>
    <n v="14"/>
    <n v="35877"/>
    <n v="0.05"/>
    <n v="477164.1"/>
    <n v="85536.35"/>
    <x v="1"/>
    <x v="9"/>
    <x v="1"/>
  </r>
  <r>
    <s v="ORD04708"/>
    <s v="2023-01-27"/>
    <x v="1"/>
    <x v="27"/>
    <x v="3"/>
    <s v="File"/>
    <n v="15"/>
    <n v="13588"/>
    <n v="0.15"/>
    <n v="173247"/>
    <n v="46483.92"/>
    <x v="2"/>
    <x v="3"/>
    <x v="1"/>
  </r>
  <r>
    <s v="ORD04709"/>
    <s v="2023-11-20"/>
    <x v="15"/>
    <x v="21"/>
    <x v="1"/>
    <s v="Laptop"/>
    <n v="5"/>
    <n v="37430"/>
    <n v="0.2"/>
    <n v="149720"/>
    <n v="38456.6"/>
    <x v="2"/>
    <x v="4"/>
    <x v="1"/>
  </r>
  <r>
    <s v="ORD04710"/>
    <s v="2024-09-14"/>
    <x v="24"/>
    <x v="18"/>
    <x v="0"/>
    <s v="Table"/>
    <n v="12"/>
    <n v="2158"/>
    <n v="0.2"/>
    <n v="20716.8"/>
    <n v="2254.04"/>
    <x v="3"/>
    <x v="10"/>
    <x v="0"/>
  </r>
  <r>
    <s v="ORD04711"/>
    <s v="2024-02-16"/>
    <x v="24"/>
    <x v="0"/>
    <x v="0"/>
    <s v="Chair"/>
    <n v="10"/>
    <n v="32247"/>
    <n v="0.05"/>
    <n v="306346.5"/>
    <n v="78668.72"/>
    <x v="2"/>
    <x v="11"/>
    <x v="0"/>
  </r>
  <r>
    <s v="ORD04712"/>
    <s v="2023-11-03"/>
    <x v="37"/>
    <x v="4"/>
    <x v="0"/>
    <s v="Stool"/>
    <n v="2"/>
    <n v="40823"/>
    <n v="0"/>
    <n v="81646"/>
    <n v="12774.32"/>
    <x v="3"/>
    <x v="4"/>
    <x v="1"/>
  </r>
  <r>
    <s v="ORD04713"/>
    <s v="2024-03-05"/>
    <x v="29"/>
    <x v="23"/>
    <x v="0"/>
    <s v="Desk"/>
    <n v="5"/>
    <n v="20066"/>
    <n v="0.2"/>
    <n v="80264"/>
    <n v="9573.57"/>
    <x v="0"/>
    <x v="7"/>
    <x v="0"/>
  </r>
  <r>
    <s v="ORD04714"/>
    <s v="2024-05-25"/>
    <x v="34"/>
    <x v="16"/>
    <x v="3"/>
    <s v="Pen"/>
    <n v="1"/>
    <n v="29449"/>
    <n v="0.05"/>
    <n v="27976.55"/>
    <n v="4662.66"/>
    <x v="1"/>
    <x v="6"/>
    <x v="0"/>
  </r>
  <r>
    <s v="ORD04715"/>
    <s v="2024-11-02"/>
    <x v="38"/>
    <x v="10"/>
    <x v="3"/>
    <s v="Marker"/>
    <n v="13"/>
    <n v="11368"/>
    <n v="0.2"/>
    <n v="118227.2"/>
    <n v="18405.86"/>
    <x v="3"/>
    <x v="4"/>
    <x v="0"/>
  </r>
  <r>
    <s v="ORD04716"/>
    <s v="2023-06-26"/>
    <x v="24"/>
    <x v="21"/>
    <x v="1"/>
    <s v="Laptop"/>
    <n v="13"/>
    <n v="54427"/>
    <n v="0.15"/>
    <n v="601418.35"/>
    <n v="59935.13"/>
    <x v="0"/>
    <x v="5"/>
    <x v="1"/>
  </r>
  <r>
    <s v="ORD04717"/>
    <s v="2024-12-01"/>
    <x v="16"/>
    <x v="15"/>
    <x v="0"/>
    <s v="Sofa"/>
    <n v="14"/>
    <n v="25129"/>
    <n v="0"/>
    <n v="351806"/>
    <n v="57896.17"/>
    <x v="3"/>
    <x v="9"/>
    <x v="0"/>
  </r>
  <r>
    <s v="ORD04718"/>
    <s v="2023-03-07"/>
    <x v="16"/>
    <x v="15"/>
    <x v="0"/>
    <s v="Sofa"/>
    <n v="8"/>
    <n v="54126"/>
    <n v="0.05"/>
    <n v="411357.6"/>
    <n v="73540.08"/>
    <x v="0"/>
    <x v="7"/>
    <x v="1"/>
  </r>
  <r>
    <s v="ORD04719"/>
    <s v="2023-12-25"/>
    <x v="22"/>
    <x v="12"/>
    <x v="1"/>
    <s v="Headphones"/>
    <n v="2"/>
    <n v="53623"/>
    <n v="0.1"/>
    <n v="96521.4"/>
    <n v="14896.34"/>
    <x v="3"/>
    <x v="9"/>
    <x v="1"/>
  </r>
  <r>
    <s v="ORD04720"/>
    <s v="2023-06-20"/>
    <x v="26"/>
    <x v="12"/>
    <x v="1"/>
    <s v="Headphones"/>
    <n v="7"/>
    <n v="33074"/>
    <n v="0"/>
    <n v="231518"/>
    <n v="58896.04"/>
    <x v="3"/>
    <x v="5"/>
    <x v="1"/>
  </r>
  <r>
    <s v="ORD04721"/>
    <s v="2024-09-11"/>
    <x v="15"/>
    <x v="27"/>
    <x v="3"/>
    <s v="File"/>
    <n v="6"/>
    <n v="4857"/>
    <n v="0.15"/>
    <n v="24770.7"/>
    <n v="3152.29"/>
    <x v="3"/>
    <x v="10"/>
    <x v="0"/>
  </r>
  <r>
    <s v="ORD04722"/>
    <s v="2023-01-04"/>
    <x v="15"/>
    <x v="11"/>
    <x v="3"/>
    <s v="Printer"/>
    <n v="4"/>
    <n v="45955"/>
    <n v="0.1"/>
    <n v="165438"/>
    <n v="41304.19"/>
    <x v="0"/>
    <x v="3"/>
    <x v="1"/>
  </r>
  <r>
    <s v="ORD04723"/>
    <s v="2023-11-02"/>
    <x v="0"/>
    <x v="18"/>
    <x v="0"/>
    <s v="Table"/>
    <n v="9"/>
    <n v="25377"/>
    <n v="0.15"/>
    <n v="194134.05"/>
    <n v="16440.28"/>
    <x v="3"/>
    <x v="4"/>
    <x v="1"/>
  </r>
  <r>
    <s v="ORD04724"/>
    <s v="2024-08-04"/>
    <x v="23"/>
    <x v="7"/>
    <x v="0"/>
    <s v="Bed"/>
    <n v="10"/>
    <n v="53153"/>
    <n v="0"/>
    <n v="531530"/>
    <n v="158429.84"/>
    <x v="2"/>
    <x v="8"/>
    <x v="0"/>
  </r>
  <r>
    <s v="ORD04725"/>
    <s v="2024-11-18"/>
    <x v="23"/>
    <x v="18"/>
    <x v="0"/>
    <s v="Table"/>
    <n v="8"/>
    <n v="35534"/>
    <n v="0.05"/>
    <n v="270058.40000000002"/>
    <n v="53111.64"/>
    <x v="3"/>
    <x v="4"/>
    <x v="0"/>
  </r>
  <r>
    <s v="ORD04726"/>
    <s v="2024-04-07"/>
    <x v="36"/>
    <x v="13"/>
    <x v="2"/>
    <s v="Jacket"/>
    <n v="3"/>
    <n v="13619"/>
    <n v="0"/>
    <n v="40857"/>
    <n v="3653.31"/>
    <x v="3"/>
    <x v="2"/>
    <x v="0"/>
  </r>
  <r>
    <s v="ORD04727"/>
    <s v="2023-09-21"/>
    <x v="48"/>
    <x v="7"/>
    <x v="0"/>
    <s v="Bed"/>
    <n v="4"/>
    <n v="30963"/>
    <n v="0.2"/>
    <n v="99081.600000000006"/>
    <n v="15899.6"/>
    <x v="3"/>
    <x v="10"/>
    <x v="1"/>
  </r>
  <r>
    <s v="ORD04728"/>
    <s v="2024-03-06"/>
    <x v="32"/>
    <x v="25"/>
    <x v="3"/>
    <s v="Notebook"/>
    <n v="6"/>
    <n v="19483"/>
    <n v="0"/>
    <n v="116898"/>
    <n v="10632.9"/>
    <x v="3"/>
    <x v="7"/>
    <x v="0"/>
  </r>
  <r>
    <s v="ORD04729"/>
    <s v="2023-06-29"/>
    <x v="36"/>
    <x v="14"/>
    <x v="2"/>
    <s v="Dress"/>
    <n v="13"/>
    <n v="58003"/>
    <n v="0.05"/>
    <n v="716337.05"/>
    <n v="131110.48000000001"/>
    <x v="1"/>
    <x v="5"/>
    <x v="1"/>
  </r>
  <r>
    <s v="ORD04730"/>
    <s v="2024-01-13"/>
    <x v="10"/>
    <x v="19"/>
    <x v="1"/>
    <s v="Smartwatch"/>
    <n v="11"/>
    <n v="49712"/>
    <n v="0.2"/>
    <n v="437465.59999999998"/>
    <n v="130608.21"/>
    <x v="2"/>
    <x v="3"/>
    <x v="0"/>
  </r>
  <r>
    <s v="ORD04731"/>
    <s v="2023-06-01"/>
    <x v="20"/>
    <x v="13"/>
    <x v="2"/>
    <s v="Jacket"/>
    <n v="7"/>
    <n v="34685"/>
    <n v="0.2"/>
    <n v="194236"/>
    <n v="17502.09"/>
    <x v="2"/>
    <x v="5"/>
    <x v="1"/>
  </r>
  <r>
    <s v="ORD04732"/>
    <s v="2024-04-11"/>
    <x v="32"/>
    <x v="16"/>
    <x v="3"/>
    <s v="Pen"/>
    <n v="12"/>
    <n v="34879"/>
    <n v="0.05"/>
    <n v="397620.6"/>
    <n v="68860.95"/>
    <x v="0"/>
    <x v="2"/>
    <x v="0"/>
  </r>
  <r>
    <s v="ORD04733"/>
    <s v="2024-10-29"/>
    <x v="3"/>
    <x v="3"/>
    <x v="3"/>
    <s v="Stapler"/>
    <n v="11"/>
    <n v="51283"/>
    <n v="0.05"/>
    <n v="535907.35"/>
    <n v="49420.18"/>
    <x v="0"/>
    <x v="0"/>
    <x v="0"/>
  </r>
  <r>
    <s v="ORD04734"/>
    <s v="2024-06-17"/>
    <x v="26"/>
    <x v="2"/>
    <x v="2"/>
    <s v="Shoes"/>
    <n v="6"/>
    <n v="33888"/>
    <n v="0.15"/>
    <n v="172828.79999999999"/>
    <n v="35327.949999999997"/>
    <x v="0"/>
    <x v="5"/>
    <x v="0"/>
  </r>
  <r>
    <s v="ORD04735"/>
    <s v="2024-10-17"/>
    <x v="23"/>
    <x v="14"/>
    <x v="2"/>
    <s v="Dress"/>
    <n v="10"/>
    <n v="10042"/>
    <n v="0.05"/>
    <n v="95399"/>
    <n v="23983.31"/>
    <x v="3"/>
    <x v="0"/>
    <x v="0"/>
  </r>
  <r>
    <s v="ORD04736"/>
    <s v="2024-08-07"/>
    <x v="6"/>
    <x v="13"/>
    <x v="2"/>
    <s v="Jacket"/>
    <n v="11"/>
    <n v="11144"/>
    <n v="0.15"/>
    <n v="104196.4"/>
    <n v="13746.81"/>
    <x v="0"/>
    <x v="8"/>
    <x v="0"/>
  </r>
  <r>
    <s v="ORD04737"/>
    <s v="2023-09-19"/>
    <x v="37"/>
    <x v="19"/>
    <x v="1"/>
    <s v="Smartwatch"/>
    <n v="5"/>
    <n v="57259"/>
    <n v="0.1"/>
    <n v="257665.5"/>
    <n v="62504.98"/>
    <x v="1"/>
    <x v="10"/>
    <x v="1"/>
  </r>
  <r>
    <s v="ORD04738"/>
    <s v="2024-11-28"/>
    <x v="4"/>
    <x v="23"/>
    <x v="0"/>
    <s v="Desk"/>
    <n v="11"/>
    <n v="17036"/>
    <n v="0.2"/>
    <n v="149916.79999999999"/>
    <n v="39646.07"/>
    <x v="2"/>
    <x v="4"/>
    <x v="0"/>
  </r>
  <r>
    <s v="ORD04739"/>
    <s v="2023-11-24"/>
    <x v="1"/>
    <x v="1"/>
    <x v="1"/>
    <s v="Mobile"/>
    <n v="7"/>
    <n v="57383"/>
    <n v="0.05"/>
    <n v="381596.95"/>
    <n v="84619.69"/>
    <x v="3"/>
    <x v="4"/>
    <x v="1"/>
  </r>
  <r>
    <s v="ORD04740"/>
    <s v="2023-12-19"/>
    <x v="31"/>
    <x v="19"/>
    <x v="1"/>
    <s v="Smartwatch"/>
    <n v="13"/>
    <n v="46002"/>
    <n v="0.1"/>
    <n v="538223.4"/>
    <n v="121393.33"/>
    <x v="1"/>
    <x v="9"/>
    <x v="1"/>
  </r>
  <r>
    <s v="ORD04741"/>
    <s v="2024-02-14"/>
    <x v="40"/>
    <x v="26"/>
    <x v="3"/>
    <s v="Paper Ream"/>
    <n v="14"/>
    <n v="15459"/>
    <n v="0.1"/>
    <n v="194783.4"/>
    <n v="35302.230000000003"/>
    <x v="3"/>
    <x v="11"/>
    <x v="0"/>
  </r>
  <r>
    <s v="ORD04742"/>
    <s v="2024-04-07"/>
    <x v="40"/>
    <x v="24"/>
    <x v="2"/>
    <s v="T-Shirt"/>
    <n v="11"/>
    <n v="13596"/>
    <n v="0.15"/>
    <n v="127122.6"/>
    <n v="22486.1"/>
    <x v="0"/>
    <x v="2"/>
    <x v="0"/>
  </r>
  <r>
    <s v="ORD04743"/>
    <s v="2024-07-16"/>
    <x v="44"/>
    <x v="18"/>
    <x v="0"/>
    <s v="Table"/>
    <n v="7"/>
    <n v="54885"/>
    <n v="0.1"/>
    <n v="345775.5"/>
    <n v="59680.13"/>
    <x v="1"/>
    <x v="1"/>
    <x v="0"/>
  </r>
  <r>
    <s v="ORD04744"/>
    <s v="2023-04-20"/>
    <x v="11"/>
    <x v="19"/>
    <x v="1"/>
    <s v="Smartwatch"/>
    <n v="9"/>
    <n v="3762"/>
    <n v="0.1"/>
    <n v="30472.2"/>
    <n v="8885.41"/>
    <x v="0"/>
    <x v="2"/>
    <x v="1"/>
  </r>
  <r>
    <s v="ORD04745"/>
    <s v="2024-05-23"/>
    <x v="44"/>
    <x v="12"/>
    <x v="1"/>
    <s v="Headphones"/>
    <n v="3"/>
    <n v="46836"/>
    <n v="0.05"/>
    <n v="133482.6"/>
    <n v="23596.25"/>
    <x v="2"/>
    <x v="6"/>
    <x v="0"/>
  </r>
  <r>
    <s v="ORD04746"/>
    <s v="2024-06-30"/>
    <x v="43"/>
    <x v="15"/>
    <x v="0"/>
    <s v="Sofa"/>
    <n v="15"/>
    <n v="2033"/>
    <n v="0.2"/>
    <n v="24396"/>
    <n v="6561.43"/>
    <x v="3"/>
    <x v="5"/>
    <x v="0"/>
  </r>
  <r>
    <s v="ORD04747"/>
    <s v="2023-04-11"/>
    <x v="23"/>
    <x v="9"/>
    <x v="1"/>
    <s v="Keyboard"/>
    <n v="8"/>
    <n v="12539"/>
    <n v="0.05"/>
    <n v="95296.4"/>
    <n v="19835.79"/>
    <x v="1"/>
    <x v="2"/>
    <x v="1"/>
  </r>
  <r>
    <s v="ORD04748"/>
    <s v="2024-09-29"/>
    <x v="25"/>
    <x v="27"/>
    <x v="3"/>
    <s v="File"/>
    <n v="14"/>
    <n v="5567"/>
    <n v="0.05"/>
    <n v="74041.100000000006"/>
    <n v="16131.75"/>
    <x v="1"/>
    <x v="10"/>
    <x v="0"/>
  </r>
  <r>
    <s v="ORD04749"/>
    <s v="2023-11-13"/>
    <x v="45"/>
    <x v="21"/>
    <x v="1"/>
    <s v="Laptop"/>
    <n v="7"/>
    <n v="49892"/>
    <n v="0"/>
    <n v="349244"/>
    <n v="41704.82"/>
    <x v="1"/>
    <x v="4"/>
    <x v="1"/>
  </r>
  <r>
    <s v="ORD04750"/>
    <s v="2023-11-28"/>
    <x v="47"/>
    <x v="13"/>
    <x v="2"/>
    <s v="Jacket"/>
    <n v="5"/>
    <n v="57781"/>
    <n v="0.2"/>
    <n v="231124"/>
    <n v="48865.59"/>
    <x v="0"/>
    <x v="4"/>
    <x v="1"/>
  </r>
  <r>
    <s v="ORD04751"/>
    <s v="2024-03-18"/>
    <x v="38"/>
    <x v="14"/>
    <x v="2"/>
    <s v="Dress"/>
    <n v="5"/>
    <n v="41896"/>
    <n v="0.1"/>
    <n v="188532"/>
    <n v="23896.19"/>
    <x v="2"/>
    <x v="7"/>
    <x v="0"/>
  </r>
  <r>
    <s v="ORD04752"/>
    <s v="2024-06-21"/>
    <x v="24"/>
    <x v="7"/>
    <x v="0"/>
    <s v="Bed"/>
    <n v="1"/>
    <n v="19297"/>
    <n v="0.15"/>
    <n v="16402.45"/>
    <n v="4410.1400000000003"/>
    <x v="0"/>
    <x v="5"/>
    <x v="0"/>
  </r>
  <r>
    <s v="ORD04753"/>
    <s v="2024-08-08"/>
    <x v="20"/>
    <x v="26"/>
    <x v="3"/>
    <s v="Paper Ream"/>
    <n v="7"/>
    <n v="38462"/>
    <n v="0.15"/>
    <n v="228848.9"/>
    <n v="43697.68"/>
    <x v="3"/>
    <x v="8"/>
    <x v="0"/>
  </r>
  <r>
    <s v="ORD04754"/>
    <s v="2023-03-07"/>
    <x v="15"/>
    <x v="6"/>
    <x v="2"/>
    <s v="Jeans"/>
    <n v="13"/>
    <n v="19112"/>
    <n v="0"/>
    <n v="248456"/>
    <n v="73117.16"/>
    <x v="3"/>
    <x v="7"/>
    <x v="1"/>
  </r>
  <r>
    <s v="ORD04755"/>
    <s v="2023-08-14"/>
    <x v="29"/>
    <x v="11"/>
    <x v="3"/>
    <s v="Printer"/>
    <n v="2"/>
    <n v="48833"/>
    <n v="0.1"/>
    <n v="87899.4"/>
    <n v="9602.2999999999993"/>
    <x v="0"/>
    <x v="8"/>
    <x v="1"/>
  </r>
  <r>
    <s v="ORD04756"/>
    <s v="2023-11-06"/>
    <x v="47"/>
    <x v="9"/>
    <x v="1"/>
    <s v="Keyboard"/>
    <n v="13"/>
    <n v="23219"/>
    <n v="0.1"/>
    <n v="271662.3"/>
    <n v="44515.19"/>
    <x v="3"/>
    <x v="4"/>
    <x v="1"/>
  </r>
  <r>
    <s v="ORD04757"/>
    <s v="2024-09-16"/>
    <x v="49"/>
    <x v="13"/>
    <x v="2"/>
    <s v="Jacket"/>
    <n v="5"/>
    <n v="49227"/>
    <n v="0.2"/>
    <n v="196908"/>
    <n v="22179.9"/>
    <x v="0"/>
    <x v="10"/>
    <x v="0"/>
  </r>
  <r>
    <s v="ORD04758"/>
    <s v="2023-05-20"/>
    <x v="19"/>
    <x v="2"/>
    <x v="2"/>
    <s v="Shoes"/>
    <n v="8"/>
    <n v="13576"/>
    <n v="0.1"/>
    <n v="97747.199999999997"/>
    <n v="20436.13"/>
    <x v="0"/>
    <x v="6"/>
    <x v="1"/>
  </r>
  <r>
    <s v="ORD04759"/>
    <s v="2023-10-16"/>
    <x v="13"/>
    <x v="13"/>
    <x v="2"/>
    <s v="Jacket"/>
    <n v="13"/>
    <n v="46490"/>
    <n v="0"/>
    <n v="604370"/>
    <n v="142531.38"/>
    <x v="2"/>
    <x v="0"/>
    <x v="1"/>
  </r>
  <r>
    <s v="ORD04760"/>
    <s v="2024-02-17"/>
    <x v="32"/>
    <x v="16"/>
    <x v="3"/>
    <s v="Pen"/>
    <n v="8"/>
    <n v="3573"/>
    <n v="0.15"/>
    <n v="24296.400000000001"/>
    <n v="6835.7"/>
    <x v="3"/>
    <x v="11"/>
    <x v="0"/>
  </r>
  <r>
    <s v="ORD04761"/>
    <s v="2024-02-21"/>
    <x v="11"/>
    <x v="27"/>
    <x v="3"/>
    <s v="File"/>
    <n v="3"/>
    <n v="39630"/>
    <n v="0.2"/>
    <n v="95112"/>
    <n v="17270.169999999998"/>
    <x v="3"/>
    <x v="11"/>
    <x v="0"/>
  </r>
  <r>
    <s v="ORD04762"/>
    <s v="2023-07-02"/>
    <x v="0"/>
    <x v="2"/>
    <x v="2"/>
    <s v="Shoes"/>
    <n v="3"/>
    <n v="56183"/>
    <n v="0.05"/>
    <n v="160121.54999999999"/>
    <n v="37440.699999999997"/>
    <x v="0"/>
    <x v="1"/>
    <x v="1"/>
  </r>
  <r>
    <s v="ORD04763"/>
    <s v="2023-10-31"/>
    <x v="9"/>
    <x v="13"/>
    <x v="2"/>
    <s v="Jacket"/>
    <n v="7"/>
    <n v="5415"/>
    <n v="0.2"/>
    <n v="30324"/>
    <n v="3264.05"/>
    <x v="3"/>
    <x v="0"/>
    <x v="1"/>
  </r>
  <r>
    <s v="ORD04764"/>
    <s v="2024-11-25"/>
    <x v="40"/>
    <x v="11"/>
    <x v="3"/>
    <s v="Printer"/>
    <n v="8"/>
    <n v="54226"/>
    <n v="0.15"/>
    <n v="368736.8"/>
    <n v="73176.19"/>
    <x v="3"/>
    <x v="4"/>
    <x v="0"/>
  </r>
  <r>
    <s v="ORD04765"/>
    <s v="2024-09-14"/>
    <x v="13"/>
    <x v="22"/>
    <x v="1"/>
    <s v="Camera"/>
    <n v="9"/>
    <n v="3142"/>
    <n v="0.1"/>
    <n v="25450.2"/>
    <n v="5716.1"/>
    <x v="1"/>
    <x v="10"/>
    <x v="0"/>
  </r>
  <r>
    <s v="ORD04766"/>
    <s v="2024-08-24"/>
    <x v="36"/>
    <x v="4"/>
    <x v="0"/>
    <s v="Stool"/>
    <n v="2"/>
    <n v="44890"/>
    <n v="0.05"/>
    <n v="85291"/>
    <n v="23486.98"/>
    <x v="0"/>
    <x v="8"/>
    <x v="0"/>
  </r>
  <r>
    <s v="ORD04767"/>
    <s v="2023-01-04"/>
    <x v="40"/>
    <x v="21"/>
    <x v="1"/>
    <s v="Laptop"/>
    <n v="7"/>
    <n v="36099"/>
    <n v="0.2"/>
    <n v="202154.4"/>
    <n v="42913.61"/>
    <x v="0"/>
    <x v="3"/>
    <x v="1"/>
  </r>
  <r>
    <s v="ORD04768"/>
    <s v="2024-07-08"/>
    <x v="8"/>
    <x v="24"/>
    <x v="2"/>
    <s v="T-Shirt"/>
    <n v="7"/>
    <n v="41191"/>
    <n v="0.2"/>
    <n v="230669.6"/>
    <n v="69138.259999999995"/>
    <x v="2"/>
    <x v="1"/>
    <x v="0"/>
  </r>
  <r>
    <s v="ORD04769"/>
    <s v="2023-10-03"/>
    <x v="45"/>
    <x v="8"/>
    <x v="2"/>
    <s v="Sweater"/>
    <n v="12"/>
    <n v="55031"/>
    <n v="0.2"/>
    <n v="528297.6"/>
    <n v="50775.44"/>
    <x v="2"/>
    <x v="0"/>
    <x v="1"/>
  </r>
  <r>
    <s v="ORD04770"/>
    <s v="2024-04-14"/>
    <x v="17"/>
    <x v="20"/>
    <x v="1"/>
    <s v="Tablet"/>
    <n v="3"/>
    <n v="36362"/>
    <n v="0.1"/>
    <n v="98177.4"/>
    <n v="28683.32"/>
    <x v="2"/>
    <x v="2"/>
    <x v="0"/>
  </r>
  <r>
    <s v="ORD04771"/>
    <s v="2023-05-09"/>
    <x v="22"/>
    <x v="24"/>
    <x v="2"/>
    <s v="T-Shirt"/>
    <n v="7"/>
    <n v="9676"/>
    <n v="0.1"/>
    <n v="60958.8"/>
    <n v="7162.7"/>
    <x v="3"/>
    <x v="6"/>
    <x v="1"/>
  </r>
  <r>
    <s v="ORD04772"/>
    <s v="2023-07-13"/>
    <x v="39"/>
    <x v="8"/>
    <x v="2"/>
    <s v="Sweater"/>
    <n v="3"/>
    <n v="56284"/>
    <n v="0.15"/>
    <n v="143524.20000000001"/>
    <n v="26431.200000000001"/>
    <x v="3"/>
    <x v="1"/>
    <x v="1"/>
  </r>
  <r>
    <s v="ORD04773"/>
    <s v="2024-11-26"/>
    <x v="2"/>
    <x v="16"/>
    <x v="3"/>
    <s v="Pen"/>
    <n v="1"/>
    <n v="14640"/>
    <n v="0.1"/>
    <n v="13176"/>
    <n v="2228.6"/>
    <x v="0"/>
    <x v="4"/>
    <x v="0"/>
  </r>
  <r>
    <s v="ORD04774"/>
    <s v="2023-12-04"/>
    <x v="2"/>
    <x v="8"/>
    <x v="2"/>
    <s v="Sweater"/>
    <n v="15"/>
    <n v="11606"/>
    <n v="0.2"/>
    <n v="139272"/>
    <n v="13363.63"/>
    <x v="0"/>
    <x v="9"/>
    <x v="1"/>
  </r>
  <r>
    <s v="ORD04775"/>
    <s v="2024-02-02"/>
    <x v="14"/>
    <x v="11"/>
    <x v="3"/>
    <s v="Printer"/>
    <n v="10"/>
    <n v="20109"/>
    <n v="0.1"/>
    <n v="180981"/>
    <n v="24398.74"/>
    <x v="0"/>
    <x v="11"/>
    <x v="0"/>
  </r>
  <r>
    <s v="ORD04776"/>
    <s v="2024-11-14"/>
    <x v="36"/>
    <x v="11"/>
    <x v="3"/>
    <s v="Printer"/>
    <n v="10"/>
    <n v="48494"/>
    <n v="0.2"/>
    <n v="387952"/>
    <n v="68251.14"/>
    <x v="2"/>
    <x v="4"/>
    <x v="0"/>
  </r>
  <r>
    <s v="ORD04777"/>
    <s v="2024-10-28"/>
    <x v="21"/>
    <x v="6"/>
    <x v="2"/>
    <s v="Jeans"/>
    <n v="3"/>
    <n v="14256"/>
    <n v="0.1"/>
    <n v="38491.199999999997"/>
    <n v="4967.67"/>
    <x v="0"/>
    <x v="0"/>
    <x v="0"/>
  </r>
  <r>
    <s v="ORD04778"/>
    <s v="2023-04-09"/>
    <x v="43"/>
    <x v="4"/>
    <x v="0"/>
    <s v="Stool"/>
    <n v="10"/>
    <n v="18325"/>
    <n v="0.1"/>
    <n v="164925"/>
    <n v="18223.5"/>
    <x v="2"/>
    <x v="2"/>
    <x v="1"/>
  </r>
  <r>
    <s v="ORD04779"/>
    <s v="2024-02-09"/>
    <x v="39"/>
    <x v="0"/>
    <x v="0"/>
    <s v="Chair"/>
    <n v="13"/>
    <n v="50771"/>
    <n v="0.05"/>
    <n v="627021.85"/>
    <n v="185009.9"/>
    <x v="2"/>
    <x v="11"/>
    <x v="0"/>
  </r>
  <r>
    <s v="ORD04780"/>
    <s v="2024-07-12"/>
    <x v="6"/>
    <x v="24"/>
    <x v="2"/>
    <s v="T-Shirt"/>
    <n v="11"/>
    <n v="53382"/>
    <n v="0.2"/>
    <n v="469761.6"/>
    <n v="40191.1"/>
    <x v="3"/>
    <x v="1"/>
    <x v="0"/>
  </r>
  <r>
    <s v="ORD04781"/>
    <s v="2023-03-04"/>
    <x v="38"/>
    <x v="9"/>
    <x v="1"/>
    <s v="Keyboard"/>
    <n v="11"/>
    <n v="12592"/>
    <n v="0.15"/>
    <n v="117735.2"/>
    <n v="33985.97"/>
    <x v="2"/>
    <x v="7"/>
    <x v="1"/>
  </r>
  <r>
    <s v="ORD04782"/>
    <s v="2024-03-25"/>
    <x v="19"/>
    <x v="14"/>
    <x v="2"/>
    <s v="Dress"/>
    <n v="12"/>
    <n v="40424"/>
    <n v="0.1"/>
    <n v="436579.2"/>
    <n v="85005.68"/>
    <x v="1"/>
    <x v="7"/>
    <x v="0"/>
  </r>
  <r>
    <s v="ORD04783"/>
    <s v="2023-06-16"/>
    <x v="16"/>
    <x v="27"/>
    <x v="3"/>
    <s v="File"/>
    <n v="8"/>
    <n v="56499"/>
    <n v="0"/>
    <n v="451992"/>
    <n v="39754.65"/>
    <x v="0"/>
    <x v="5"/>
    <x v="1"/>
  </r>
  <r>
    <s v="ORD04784"/>
    <s v="2023-09-26"/>
    <x v="26"/>
    <x v="15"/>
    <x v="0"/>
    <s v="Sofa"/>
    <n v="5"/>
    <n v="44030"/>
    <n v="0.05"/>
    <n v="209142.5"/>
    <n v="60790.46"/>
    <x v="0"/>
    <x v="10"/>
    <x v="1"/>
  </r>
  <r>
    <s v="ORD04785"/>
    <s v="2023-11-26"/>
    <x v="48"/>
    <x v="19"/>
    <x v="1"/>
    <s v="Smartwatch"/>
    <n v="2"/>
    <n v="32237"/>
    <n v="0"/>
    <n v="64474"/>
    <n v="7350.26"/>
    <x v="2"/>
    <x v="4"/>
    <x v="1"/>
  </r>
  <r>
    <s v="ORD04786"/>
    <s v="2023-08-07"/>
    <x v="45"/>
    <x v="12"/>
    <x v="1"/>
    <s v="Headphones"/>
    <n v="4"/>
    <n v="45075"/>
    <n v="0.2"/>
    <n v="144240"/>
    <n v="41144.089999999997"/>
    <x v="3"/>
    <x v="8"/>
    <x v="1"/>
  </r>
  <r>
    <s v="ORD04787"/>
    <s v="2023-12-20"/>
    <x v="8"/>
    <x v="2"/>
    <x v="2"/>
    <s v="Shoes"/>
    <n v="10"/>
    <n v="20864"/>
    <n v="0"/>
    <n v="208640"/>
    <n v="61077.18"/>
    <x v="3"/>
    <x v="9"/>
    <x v="1"/>
  </r>
  <r>
    <s v="ORD04788"/>
    <s v="2023-10-19"/>
    <x v="15"/>
    <x v="11"/>
    <x v="3"/>
    <s v="Printer"/>
    <n v="7"/>
    <n v="25657"/>
    <n v="0.1"/>
    <n v="161639.1"/>
    <n v="18196.650000000001"/>
    <x v="1"/>
    <x v="0"/>
    <x v="1"/>
  </r>
  <r>
    <s v="ORD04789"/>
    <s v="2024-10-15"/>
    <x v="31"/>
    <x v="10"/>
    <x v="3"/>
    <s v="Marker"/>
    <n v="7"/>
    <n v="41215"/>
    <n v="0.2"/>
    <n v="230804"/>
    <n v="66073.8"/>
    <x v="2"/>
    <x v="0"/>
    <x v="0"/>
  </r>
  <r>
    <s v="ORD04790"/>
    <s v="2023-11-10"/>
    <x v="13"/>
    <x v="9"/>
    <x v="1"/>
    <s v="Keyboard"/>
    <n v="4"/>
    <n v="8984"/>
    <n v="0.15"/>
    <n v="30545.599999999999"/>
    <n v="8645"/>
    <x v="0"/>
    <x v="4"/>
    <x v="1"/>
  </r>
  <r>
    <s v="ORD04791"/>
    <s v="2023-09-11"/>
    <x v="1"/>
    <x v="18"/>
    <x v="0"/>
    <s v="Table"/>
    <n v="14"/>
    <n v="11604"/>
    <n v="0.2"/>
    <n v="129964.8"/>
    <n v="36030.15"/>
    <x v="0"/>
    <x v="10"/>
    <x v="1"/>
  </r>
  <r>
    <s v="ORD04792"/>
    <s v="2024-07-07"/>
    <x v="19"/>
    <x v="2"/>
    <x v="2"/>
    <s v="Shoes"/>
    <n v="5"/>
    <n v="7057"/>
    <n v="0.2"/>
    <n v="28228"/>
    <n v="7362.38"/>
    <x v="0"/>
    <x v="1"/>
    <x v="0"/>
  </r>
  <r>
    <s v="ORD04793"/>
    <s v="2024-01-17"/>
    <x v="48"/>
    <x v="5"/>
    <x v="0"/>
    <s v="Cupboard"/>
    <n v="5"/>
    <n v="40390"/>
    <n v="0.05"/>
    <n v="191852.5"/>
    <n v="54446.71"/>
    <x v="2"/>
    <x v="3"/>
    <x v="0"/>
  </r>
  <r>
    <s v="ORD04794"/>
    <s v="2024-07-06"/>
    <x v="2"/>
    <x v="14"/>
    <x v="2"/>
    <s v="Dress"/>
    <n v="11"/>
    <n v="28967"/>
    <n v="0.2"/>
    <n v="254909.6"/>
    <n v="66867.789999999994"/>
    <x v="2"/>
    <x v="1"/>
    <x v="0"/>
  </r>
  <r>
    <s v="ORD04795"/>
    <s v="2024-03-01"/>
    <x v="29"/>
    <x v="10"/>
    <x v="3"/>
    <s v="Marker"/>
    <n v="1"/>
    <n v="17350"/>
    <n v="0.1"/>
    <n v="15615"/>
    <n v="1393.98"/>
    <x v="2"/>
    <x v="7"/>
    <x v="0"/>
  </r>
  <r>
    <s v="ORD04796"/>
    <s v="2023-05-07"/>
    <x v="1"/>
    <x v="14"/>
    <x v="2"/>
    <s v="Dress"/>
    <n v="8"/>
    <n v="4421"/>
    <n v="0.05"/>
    <n v="33599.599999999999"/>
    <n v="5302.48"/>
    <x v="1"/>
    <x v="6"/>
    <x v="1"/>
  </r>
  <r>
    <s v="ORD04797"/>
    <s v="2024-05-01"/>
    <x v="29"/>
    <x v="23"/>
    <x v="0"/>
    <s v="Desk"/>
    <n v="12"/>
    <n v="39289"/>
    <n v="0.1"/>
    <n v="424321.2"/>
    <n v="116437.09"/>
    <x v="0"/>
    <x v="6"/>
    <x v="0"/>
  </r>
  <r>
    <s v="ORD04798"/>
    <s v="2023-04-27"/>
    <x v="24"/>
    <x v="27"/>
    <x v="3"/>
    <s v="File"/>
    <n v="7"/>
    <n v="53030"/>
    <n v="0.05"/>
    <n v="352649.5"/>
    <n v="33218.49"/>
    <x v="2"/>
    <x v="2"/>
    <x v="1"/>
  </r>
  <r>
    <s v="ORD04799"/>
    <s v="2024-08-07"/>
    <x v="10"/>
    <x v="22"/>
    <x v="1"/>
    <s v="Camera"/>
    <n v="1"/>
    <n v="57373"/>
    <n v="0.1"/>
    <n v="51635.7"/>
    <n v="7809.38"/>
    <x v="2"/>
    <x v="8"/>
    <x v="0"/>
  </r>
  <r>
    <s v="ORD04800"/>
    <s v="2023-06-28"/>
    <x v="7"/>
    <x v="9"/>
    <x v="1"/>
    <s v="Keyboard"/>
    <n v="13"/>
    <n v="3140"/>
    <n v="0"/>
    <n v="40820"/>
    <n v="6480.31"/>
    <x v="1"/>
    <x v="5"/>
    <x v="1"/>
  </r>
  <r>
    <s v="ORD04801"/>
    <s v="2024-03-10"/>
    <x v="39"/>
    <x v="2"/>
    <x v="2"/>
    <s v="Shoes"/>
    <n v="10"/>
    <n v="9127"/>
    <n v="0"/>
    <n v="91270"/>
    <n v="26085.1"/>
    <x v="0"/>
    <x v="7"/>
    <x v="0"/>
  </r>
  <r>
    <s v="ORD04802"/>
    <s v="2023-10-30"/>
    <x v="43"/>
    <x v="18"/>
    <x v="0"/>
    <s v="Table"/>
    <n v="9"/>
    <n v="3260"/>
    <n v="0"/>
    <n v="29340"/>
    <n v="7252.53"/>
    <x v="0"/>
    <x v="0"/>
    <x v="1"/>
  </r>
  <r>
    <s v="ORD04803"/>
    <s v="2023-03-09"/>
    <x v="17"/>
    <x v="13"/>
    <x v="2"/>
    <s v="Jacket"/>
    <n v="14"/>
    <n v="44006"/>
    <n v="0.05"/>
    <n v="585279.80000000005"/>
    <n v="170208.04"/>
    <x v="1"/>
    <x v="7"/>
    <x v="1"/>
  </r>
  <r>
    <s v="ORD04804"/>
    <s v="2023-03-18"/>
    <x v="22"/>
    <x v="19"/>
    <x v="1"/>
    <s v="Smartwatch"/>
    <n v="7"/>
    <n v="13888"/>
    <n v="0.05"/>
    <n v="92355.199999999997"/>
    <n v="11061.04"/>
    <x v="2"/>
    <x v="7"/>
    <x v="1"/>
  </r>
  <r>
    <s v="ORD04805"/>
    <s v="2023-01-29"/>
    <x v="0"/>
    <x v="24"/>
    <x v="2"/>
    <s v="T-Shirt"/>
    <n v="3"/>
    <n v="49565"/>
    <n v="0"/>
    <n v="148695"/>
    <n v="27668.2"/>
    <x v="1"/>
    <x v="3"/>
    <x v="1"/>
  </r>
  <r>
    <s v="ORD04806"/>
    <s v="2024-10-20"/>
    <x v="13"/>
    <x v="1"/>
    <x v="1"/>
    <s v="Mobile"/>
    <n v="6"/>
    <n v="18675"/>
    <n v="0.2"/>
    <n v="89640"/>
    <n v="21638.48"/>
    <x v="3"/>
    <x v="0"/>
    <x v="0"/>
  </r>
  <r>
    <s v="ORD04807"/>
    <s v="2024-11-05"/>
    <x v="13"/>
    <x v="13"/>
    <x v="2"/>
    <s v="Jacket"/>
    <n v="13"/>
    <n v="9319"/>
    <n v="0"/>
    <n v="121147"/>
    <n v="31033.45"/>
    <x v="3"/>
    <x v="4"/>
    <x v="0"/>
  </r>
  <r>
    <s v="ORD04808"/>
    <s v="2024-04-17"/>
    <x v="27"/>
    <x v="10"/>
    <x v="3"/>
    <s v="Marker"/>
    <n v="8"/>
    <n v="6240"/>
    <n v="0.15"/>
    <n v="42432"/>
    <n v="10663.45"/>
    <x v="3"/>
    <x v="2"/>
    <x v="0"/>
  </r>
  <r>
    <s v="ORD04809"/>
    <s v="2024-02-19"/>
    <x v="43"/>
    <x v="12"/>
    <x v="1"/>
    <s v="Headphones"/>
    <n v="12"/>
    <n v="46314"/>
    <n v="0.05"/>
    <n v="527979.6"/>
    <n v="124067.41"/>
    <x v="3"/>
    <x v="11"/>
    <x v="0"/>
  </r>
  <r>
    <s v="ORD04810"/>
    <s v="2024-11-15"/>
    <x v="21"/>
    <x v="23"/>
    <x v="0"/>
    <s v="Desk"/>
    <n v="5"/>
    <n v="50401"/>
    <n v="0.1"/>
    <n v="226804.5"/>
    <n v="36269.51"/>
    <x v="1"/>
    <x v="4"/>
    <x v="0"/>
  </r>
  <r>
    <s v="ORD04811"/>
    <s v="2024-07-03"/>
    <x v="27"/>
    <x v="24"/>
    <x v="2"/>
    <s v="T-Shirt"/>
    <n v="14"/>
    <n v="40584"/>
    <n v="0"/>
    <n v="568176"/>
    <n v="46965.47"/>
    <x v="3"/>
    <x v="1"/>
    <x v="0"/>
  </r>
  <r>
    <s v="ORD04812"/>
    <s v="2024-03-31"/>
    <x v="31"/>
    <x v="10"/>
    <x v="3"/>
    <s v="Marker"/>
    <n v="11"/>
    <n v="21452"/>
    <n v="0.1"/>
    <n v="212374.8"/>
    <n v="63389.440000000002"/>
    <x v="2"/>
    <x v="7"/>
    <x v="0"/>
  </r>
  <r>
    <s v="ORD04813"/>
    <s v="2024-06-07"/>
    <x v="33"/>
    <x v="24"/>
    <x v="2"/>
    <s v="T-Shirt"/>
    <n v="5"/>
    <n v="3570"/>
    <n v="0.15"/>
    <n v="15172.5"/>
    <n v="2445.4"/>
    <x v="0"/>
    <x v="5"/>
    <x v="0"/>
  </r>
  <r>
    <s v="ORD04814"/>
    <s v="2024-04-30"/>
    <x v="39"/>
    <x v="21"/>
    <x v="1"/>
    <s v="Laptop"/>
    <n v="6"/>
    <n v="11104"/>
    <n v="0.15"/>
    <n v="56630.400000000001"/>
    <n v="12370.62"/>
    <x v="1"/>
    <x v="2"/>
    <x v="0"/>
  </r>
  <r>
    <s v="ORD04815"/>
    <s v="2023-11-13"/>
    <x v="44"/>
    <x v="3"/>
    <x v="3"/>
    <s v="Stapler"/>
    <n v="15"/>
    <n v="59238"/>
    <n v="0.2"/>
    <n v="710856"/>
    <n v="73271.95"/>
    <x v="0"/>
    <x v="4"/>
    <x v="1"/>
  </r>
  <r>
    <s v="ORD04816"/>
    <s v="2024-10-20"/>
    <x v="29"/>
    <x v="19"/>
    <x v="1"/>
    <s v="Smartwatch"/>
    <n v="4"/>
    <n v="13963"/>
    <n v="0.15"/>
    <n v="47474.2"/>
    <n v="12456.23"/>
    <x v="0"/>
    <x v="0"/>
    <x v="0"/>
  </r>
  <r>
    <s v="ORD04817"/>
    <s v="2024-12-01"/>
    <x v="19"/>
    <x v="26"/>
    <x v="3"/>
    <s v="Paper Ream"/>
    <n v="15"/>
    <n v="23834"/>
    <n v="0.1"/>
    <n v="321759"/>
    <n v="39546.639999999999"/>
    <x v="2"/>
    <x v="9"/>
    <x v="0"/>
  </r>
  <r>
    <s v="ORD04818"/>
    <s v="2024-10-11"/>
    <x v="23"/>
    <x v="8"/>
    <x v="2"/>
    <s v="Sweater"/>
    <n v="12"/>
    <n v="50587"/>
    <n v="0.2"/>
    <n v="485635.2"/>
    <n v="98571.45"/>
    <x v="3"/>
    <x v="0"/>
    <x v="0"/>
  </r>
  <r>
    <s v="ORD04819"/>
    <s v="2024-10-21"/>
    <x v="4"/>
    <x v="19"/>
    <x v="1"/>
    <s v="Smartwatch"/>
    <n v="6"/>
    <n v="26961"/>
    <n v="0.1"/>
    <n v="145589.4"/>
    <n v="39112.61"/>
    <x v="2"/>
    <x v="0"/>
    <x v="0"/>
  </r>
  <r>
    <s v="ORD04820"/>
    <s v="2023-07-20"/>
    <x v="48"/>
    <x v="3"/>
    <x v="3"/>
    <s v="Stapler"/>
    <n v="15"/>
    <n v="16784"/>
    <n v="0.2"/>
    <n v="201408"/>
    <n v="39478.71"/>
    <x v="0"/>
    <x v="1"/>
    <x v="1"/>
  </r>
  <r>
    <s v="ORD04821"/>
    <s v="2024-02-16"/>
    <x v="30"/>
    <x v="15"/>
    <x v="0"/>
    <s v="Sofa"/>
    <n v="8"/>
    <n v="35787"/>
    <n v="0.05"/>
    <n v="271981.2"/>
    <n v="25743.03"/>
    <x v="3"/>
    <x v="11"/>
    <x v="0"/>
  </r>
  <r>
    <s v="ORD04822"/>
    <s v="2024-07-06"/>
    <x v="26"/>
    <x v="24"/>
    <x v="2"/>
    <s v="T-Shirt"/>
    <n v="13"/>
    <n v="44336"/>
    <n v="0"/>
    <n v="576368"/>
    <n v="156533.60999999999"/>
    <x v="0"/>
    <x v="1"/>
    <x v="0"/>
  </r>
  <r>
    <s v="ORD04823"/>
    <s v="2023-07-05"/>
    <x v="4"/>
    <x v="27"/>
    <x v="3"/>
    <s v="File"/>
    <n v="5"/>
    <n v="45793"/>
    <n v="0.15"/>
    <n v="194620.25"/>
    <n v="35833.980000000003"/>
    <x v="1"/>
    <x v="1"/>
    <x v="1"/>
  </r>
  <r>
    <s v="ORD04824"/>
    <s v="2023-10-04"/>
    <x v="33"/>
    <x v="21"/>
    <x v="1"/>
    <s v="Laptop"/>
    <n v="11"/>
    <n v="5687"/>
    <n v="0.05"/>
    <n v="59429.15"/>
    <n v="8144.1"/>
    <x v="1"/>
    <x v="0"/>
    <x v="1"/>
  </r>
  <r>
    <s v="ORD04825"/>
    <s v="2024-04-16"/>
    <x v="38"/>
    <x v="24"/>
    <x v="2"/>
    <s v="T-Shirt"/>
    <n v="12"/>
    <n v="57371"/>
    <n v="0.15"/>
    <n v="585184.19999999995"/>
    <n v="161273.13"/>
    <x v="2"/>
    <x v="2"/>
    <x v="0"/>
  </r>
  <r>
    <s v="ORD04826"/>
    <s v="2024-06-24"/>
    <x v="30"/>
    <x v="27"/>
    <x v="3"/>
    <s v="File"/>
    <n v="13"/>
    <n v="11563"/>
    <n v="0.05"/>
    <n v="142803.04999999999"/>
    <n v="39758.42"/>
    <x v="3"/>
    <x v="5"/>
    <x v="0"/>
  </r>
  <r>
    <s v="ORD04827"/>
    <s v="2024-08-19"/>
    <x v="49"/>
    <x v="21"/>
    <x v="1"/>
    <s v="Laptop"/>
    <n v="7"/>
    <n v="12512"/>
    <n v="0.2"/>
    <n v="70067.199999999997"/>
    <n v="8915.2999999999993"/>
    <x v="1"/>
    <x v="8"/>
    <x v="0"/>
  </r>
  <r>
    <s v="ORD04828"/>
    <s v="2023-09-15"/>
    <x v="10"/>
    <x v="27"/>
    <x v="3"/>
    <s v="File"/>
    <n v="11"/>
    <n v="39056"/>
    <n v="0"/>
    <n v="429616"/>
    <n v="39663.870000000003"/>
    <x v="3"/>
    <x v="10"/>
    <x v="1"/>
  </r>
  <r>
    <s v="ORD04829"/>
    <s v="2024-09-26"/>
    <x v="19"/>
    <x v="18"/>
    <x v="0"/>
    <s v="Table"/>
    <n v="8"/>
    <n v="20574"/>
    <n v="0"/>
    <n v="164592"/>
    <n v="19699.189999999999"/>
    <x v="3"/>
    <x v="10"/>
    <x v="0"/>
  </r>
  <r>
    <s v="ORD04830"/>
    <s v="2023-11-16"/>
    <x v="19"/>
    <x v="27"/>
    <x v="3"/>
    <s v="File"/>
    <n v="2"/>
    <n v="27418"/>
    <n v="0"/>
    <n v="54836"/>
    <n v="14728.03"/>
    <x v="3"/>
    <x v="4"/>
    <x v="1"/>
  </r>
  <r>
    <s v="ORD04831"/>
    <s v="2024-03-31"/>
    <x v="30"/>
    <x v="3"/>
    <x v="3"/>
    <s v="Stapler"/>
    <n v="5"/>
    <n v="24349"/>
    <n v="0"/>
    <n v="121745"/>
    <n v="29483.53"/>
    <x v="0"/>
    <x v="7"/>
    <x v="0"/>
  </r>
  <r>
    <s v="ORD04832"/>
    <s v="2023-02-27"/>
    <x v="40"/>
    <x v="19"/>
    <x v="1"/>
    <s v="Smartwatch"/>
    <n v="9"/>
    <n v="55271"/>
    <n v="0.05"/>
    <n v="472567.05"/>
    <n v="122561.05"/>
    <x v="0"/>
    <x v="11"/>
    <x v="1"/>
  </r>
  <r>
    <s v="ORD04833"/>
    <s v="2024-03-10"/>
    <x v="35"/>
    <x v="5"/>
    <x v="0"/>
    <s v="Cupboard"/>
    <n v="2"/>
    <n v="39883"/>
    <n v="0.2"/>
    <n v="63812.800000000003"/>
    <n v="15475.73"/>
    <x v="1"/>
    <x v="7"/>
    <x v="0"/>
  </r>
  <r>
    <s v="ORD04834"/>
    <s v="2023-11-15"/>
    <x v="34"/>
    <x v="23"/>
    <x v="0"/>
    <s v="Desk"/>
    <n v="2"/>
    <n v="37752"/>
    <n v="0.05"/>
    <n v="71728.800000000003"/>
    <n v="11476.98"/>
    <x v="0"/>
    <x v="4"/>
    <x v="1"/>
  </r>
  <r>
    <s v="ORD04835"/>
    <s v="2023-06-15"/>
    <x v="43"/>
    <x v="23"/>
    <x v="0"/>
    <s v="Desk"/>
    <n v="3"/>
    <n v="9316"/>
    <n v="0.1"/>
    <n v="25153.200000000001"/>
    <n v="5086.96"/>
    <x v="0"/>
    <x v="5"/>
    <x v="1"/>
  </r>
  <r>
    <s v="ORD04836"/>
    <s v="2023-08-15"/>
    <x v="18"/>
    <x v="12"/>
    <x v="1"/>
    <s v="Headphones"/>
    <n v="13"/>
    <n v="39607"/>
    <n v="0.1"/>
    <n v="463401.9"/>
    <n v="81650.38"/>
    <x v="1"/>
    <x v="8"/>
    <x v="1"/>
  </r>
  <r>
    <s v="ORD04837"/>
    <s v="2023-04-13"/>
    <x v="6"/>
    <x v="7"/>
    <x v="0"/>
    <s v="Bed"/>
    <n v="10"/>
    <n v="49122"/>
    <n v="0"/>
    <n v="491220"/>
    <n v="51048.01"/>
    <x v="3"/>
    <x v="2"/>
    <x v="1"/>
  </r>
  <r>
    <s v="ORD04838"/>
    <s v="2023-02-19"/>
    <x v="27"/>
    <x v="5"/>
    <x v="0"/>
    <s v="Cupboard"/>
    <n v="7"/>
    <n v="6089"/>
    <n v="0.05"/>
    <n v="40491.85"/>
    <n v="11712.28"/>
    <x v="3"/>
    <x v="11"/>
    <x v="1"/>
  </r>
  <r>
    <s v="ORD04839"/>
    <s v="2024-08-19"/>
    <x v="43"/>
    <x v="9"/>
    <x v="1"/>
    <s v="Keyboard"/>
    <n v="15"/>
    <n v="7884"/>
    <n v="0"/>
    <n v="118260"/>
    <n v="32497.49"/>
    <x v="0"/>
    <x v="8"/>
    <x v="0"/>
  </r>
  <r>
    <s v="ORD04840"/>
    <s v="2024-10-19"/>
    <x v="44"/>
    <x v="0"/>
    <x v="0"/>
    <s v="Chair"/>
    <n v="2"/>
    <n v="54928"/>
    <n v="0.1"/>
    <n v="98870.399999999994"/>
    <n v="8021.16"/>
    <x v="2"/>
    <x v="0"/>
    <x v="0"/>
  </r>
  <r>
    <s v="ORD04841"/>
    <s v="2024-08-29"/>
    <x v="13"/>
    <x v="26"/>
    <x v="3"/>
    <s v="Paper Ream"/>
    <n v="14"/>
    <n v="30330"/>
    <n v="0"/>
    <n v="424620"/>
    <n v="47070.99"/>
    <x v="0"/>
    <x v="8"/>
    <x v="0"/>
  </r>
  <r>
    <s v="ORD04842"/>
    <s v="2023-10-07"/>
    <x v="3"/>
    <x v="27"/>
    <x v="3"/>
    <s v="File"/>
    <n v="13"/>
    <n v="11444"/>
    <n v="0.05"/>
    <n v="141333.4"/>
    <n v="27591.599999999999"/>
    <x v="3"/>
    <x v="0"/>
    <x v="1"/>
  </r>
  <r>
    <s v="ORD04843"/>
    <s v="2024-06-18"/>
    <x v="46"/>
    <x v="18"/>
    <x v="0"/>
    <s v="Table"/>
    <n v="8"/>
    <n v="14934"/>
    <n v="0.15"/>
    <n v="101551.2"/>
    <n v="28979.7"/>
    <x v="0"/>
    <x v="5"/>
    <x v="0"/>
  </r>
  <r>
    <s v="ORD04844"/>
    <s v="2024-11-22"/>
    <x v="4"/>
    <x v="22"/>
    <x v="1"/>
    <s v="Camera"/>
    <n v="9"/>
    <n v="21546"/>
    <n v="0.2"/>
    <n v="155131.20000000001"/>
    <n v="15424.89"/>
    <x v="1"/>
    <x v="4"/>
    <x v="0"/>
  </r>
  <r>
    <s v="ORD04845"/>
    <s v="2024-03-27"/>
    <x v="26"/>
    <x v="24"/>
    <x v="2"/>
    <s v="T-Shirt"/>
    <n v="3"/>
    <n v="23762"/>
    <n v="0"/>
    <n v="71286"/>
    <n v="18194.400000000001"/>
    <x v="1"/>
    <x v="7"/>
    <x v="0"/>
  </r>
  <r>
    <s v="ORD04846"/>
    <s v="2024-09-18"/>
    <x v="48"/>
    <x v="6"/>
    <x v="2"/>
    <s v="Jeans"/>
    <n v="2"/>
    <n v="59422"/>
    <n v="0.1"/>
    <n v="106959.6"/>
    <n v="26213.17"/>
    <x v="0"/>
    <x v="10"/>
    <x v="0"/>
  </r>
  <r>
    <s v="ORD04847"/>
    <s v="2024-08-30"/>
    <x v="10"/>
    <x v="3"/>
    <x v="3"/>
    <s v="Stapler"/>
    <n v="1"/>
    <n v="2448"/>
    <n v="0.2"/>
    <n v="1958.4"/>
    <n v="570.67999999999995"/>
    <x v="2"/>
    <x v="8"/>
    <x v="0"/>
  </r>
  <r>
    <s v="ORD04848"/>
    <s v="2024-01-18"/>
    <x v="0"/>
    <x v="26"/>
    <x v="3"/>
    <s v="Paper Ream"/>
    <n v="12"/>
    <n v="40987"/>
    <n v="0.05"/>
    <n v="467251.8"/>
    <n v="111275.14"/>
    <x v="0"/>
    <x v="3"/>
    <x v="0"/>
  </r>
  <r>
    <s v="ORD04849"/>
    <s v="2023-02-08"/>
    <x v="18"/>
    <x v="5"/>
    <x v="0"/>
    <s v="Cupboard"/>
    <n v="6"/>
    <n v="9070"/>
    <n v="0.1"/>
    <n v="48978"/>
    <n v="11774.17"/>
    <x v="1"/>
    <x v="11"/>
    <x v="1"/>
  </r>
  <r>
    <s v="ORD04850"/>
    <s v="2024-08-26"/>
    <x v="40"/>
    <x v="15"/>
    <x v="0"/>
    <s v="Sofa"/>
    <n v="1"/>
    <n v="3420"/>
    <n v="0.15"/>
    <n v="2907"/>
    <n v="799.1"/>
    <x v="0"/>
    <x v="8"/>
    <x v="0"/>
  </r>
  <r>
    <s v="ORD04851"/>
    <s v="2023-11-06"/>
    <x v="21"/>
    <x v="5"/>
    <x v="0"/>
    <s v="Cupboard"/>
    <n v="1"/>
    <n v="41995"/>
    <n v="0.15"/>
    <n v="35695.75"/>
    <n v="6297.98"/>
    <x v="3"/>
    <x v="4"/>
    <x v="1"/>
  </r>
  <r>
    <s v="ORD04852"/>
    <s v="2023-11-21"/>
    <x v="19"/>
    <x v="10"/>
    <x v="3"/>
    <s v="Marker"/>
    <n v="5"/>
    <n v="15852"/>
    <n v="0.1"/>
    <n v="71334"/>
    <n v="12992.31"/>
    <x v="0"/>
    <x v="4"/>
    <x v="1"/>
  </r>
  <r>
    <s v="ORD04853"/>
    <s v="2023-07-08"/>
    <x v="11"/>
    <x v="2"/>
    <x v="2"/>
    <s v="Shoes"/>
    <n v="4"/>
    <n v="35072"/>
    <n v="0.15"/>
    <n v="119244.8"/>
    <n v="14494.33"/>
    <x v="1"/>
    <x v="1"/>
    <x v="1"/>
  </r>
  <r>
    <s v="ORD04854"/>
    <s v="2023-11-01"/>
    <x v="0"/>
    <x v="15"/>
    <x v="0"/>
    <s v="Sofa"/>
    <n v="11"/>
    <n v="10135"/>
    <n v="0.1"/>
    <n v="100336.5"/>
    <n v="9770.58"/>
    <x v="1"/>
    <x v="4"/>
    <x v="1"/>
  </r>
  <r>
    <s v="ORD04855"/>
    <s v="2023-02-19"/>
    <x v="49"/>
    <x v="5"/>
    <x v="0"/>
    <s v="Cupboard"/>
    <n v="2"/>
    <n v="59244"/>
    <n v="0.1"/>
    <n v="106639.2"/>
    <n v="25698.080000000002"/>
    <x v="1"/>
    <x v="11"/>
    <x v="1"/>
  </r>
  <r>
    <s v="ORD04856"/>
    <s v="2024-09-23"/>
    <x v="28"/>
    <x v="22"/>
    <x v="1"/>
    <s v="Camera"/>
    <n v="14"/>
    <n v="1656"/>
    <n v="0.2"/>
    <n v="18547.2"/>
    <n v="1531.29"/>
    <x v="0"/>
    <x v="10"/>
    <x v="0"/>
  </r>
  <r>
    <s v="ORD04857"/>
    <s v="2024-01-29"/>
    <x v="48"/>
    <x v="8"/>
    <x v="2"/>
    <s v="Sweater"/>
    <n v="14"/>
    <n v="15030"/>
    <n v="0.05"/>
    <n v="199899"/>
    <n v="36855.730000000003"/>
    <x v="2"/>
    <x v="3"/>
    <x v="0"/>
  </r>
  <r>
    <s v="ORD04858"/>
    <s v="2024-02-29"/>
    <x v="16"/>
    <x v="14"/>
    <x v="2"/>
    <s v="Dress"/>
    <n v="9"/>
    <n v="33475"/>
    <n v="0.15"/>
    <n v="256083.75"/>
    <n v="73911.78"/>
    <x v="1"/>
    <x v="11"/>
    <x v="0"/>
  </r>
  <r>
    <s v="ORD04859"/>
    <s v="2023-12-14"/>
    <x v="39"/>
    <x v="15"/>
    <x v="0"/>
    <s v="Sofa"/>
    <n v="5"/>
    <n v="42706"/>
    <n v="0.1"/>
    <n v="192177"/>
    <n v="37357.279999999999"/>
    <x v="1"/>
    <x v="9"/>
    <x v="1"/>
  </r>
  <r>
    <s v="ORD04860"/>
    <s v="2023-01-08"/>
    <x v="35"/>
    <x v="22"/>
    <x v="1"/>
    <s v="Camera"/>
    <n v="4"/>
    <n v="55616"/>
    <n v="0"/>
    <n v="222464"/>
    <n v="22939.64"/>
    <x v="2"/>
    <x v="3"/>
    <x v="1"/>
  </r>
  <r>
    <s v="ORD04861"/>
    <s v="2023-04-23"/>
    <x v="4"/>
    <x v="0"/>
    <x v="0"/>
    <s v="Chair"/>
    <n v="2"/>
    <n v="14953"/>
    <n v="0.05"/>
    <n v="28410.7"/>
    <n v="2626.44"/>
    <x v="1"/>
    <x v="2"/>
    <x v="1"/>
  </r>
  <r>
    <s v="ORD04862"/>
    <s v="2024-01-13"/>
    <x v="16"/>
    <x v="6"/>
    <x v="2"/>
    <s v="Jeans"/>
    <n v="14"/>
    <n v="45790"/>
    <n v="0.05"/>
    <n v="609007"/>
    <n v="68810.78"/>
    <x v="1"/>
    <x v="3"/>
    <x v="0"/>
  </r>
  <r>
    <s v="ORD04863"/>
    <s v="2024-05-19"/>
    <x v="43"/>
    <x v="27"/>
    <x v="3"/>
    <s v="File"/>
    <n v="15"/>
    <n v="49203"/>
    <n v="0.15"/>
    <n v="627338.25"/>
    <n v="165983.16"/>
    <x v="2"/>
    <x v="6"/>
    <x v="0"/>
  </r>
  <r>
    <s v="ORD04864"/>
    <s v="2023-04-28"/>
    <x v="35"/>
    <x v="14"/>
    <x v="2"/>
    <s v="Dress"/>
    <n v="4"/>
    <n v="37229"/>
    <n v="0.1"/>
    <n v="134024.4"/>
    <n v="23539.84"/>
    <x v="1"/>
    <x v="2"/>
    <x v="1"/>
  </r>
  <r>
    <s v="ORD04865"/>
    <s v="2024-09-18"/>
    <x v="1"/>
    <x v="5"/>
    <x v="0"/>
    <s v="Cupboard"/>
    <n v="2"/>
    <n v="48667"/>
    <n v="0.05"/>
    <n v="92467.3"/>
    <n v="10591.54"/>
    <x v="0"/>
    <x v="10"/>
    <x v="0"/>
  </r>
  <r>
    <s v="ORD04866"/>
    <s v="2024-03-28"/>
    <x v="45"/>
    <x v="18"/>
    <x v="0"/>
    <s v="Table"/>
    <n v="9"/>
    <n v="33694"/>
    <n v="0.15"/>
    <n v="257759.1"/>
    <n v="21735.47"/>
    <x v="1"/>
    <x v="7"/>
    <x v="0"/>
  </r>
  <r>
    <s v="ORD04867"/>
    <s v="2024-02-24"/>
    <x v="45"/>
    <x v="12"/>
    <x v="1"/>
    <s v="Headphones"/>
    <n v="15"/>
    <n v="49025"/>
    <n v="0.05"/>
    <n v="698606.25"/>
    <n v="152996.01"/>
    <x v="1"/>
    <x v="11"/>
    <x v="0"/>
  </r>
  <r>
    <s v="ORD04868"/>
    <s v="2023-08-27"/>
    <x v="7"/>
    <x v="24"/>
    <x v="2"/>
    <s v="T-Shirt"/>
    <n v="6"/>
    <n v="8306"/>
    <n v="0.15"/>
    <n v="42360.6"/>
    <n v="4472.76"/>
    <x v="0"/>
    <x v="8"/>
    <x v="1"/>
  </r>
  <r>
    <s v="ORD04869"/>
    <s v="2023-08-11"/>
    <x v="42"/>
    <x v="1"/>
    <x v="1"/>
    <s v="Mobile"/>
    <n v="9"/>
    <n v="1921"/>
    <n v="0.05"/>
    <n v="16424.55"/>
    <n v="4922.1499999999996"/>
    <x v="3"/>
    <x v="8"/>
    <x v="1"/>
  </r>
  <r>
    <s v="ORD04870"/>
    <s v="2024-04-14"/>
    <x v="18"/>
    <x v="22"/>
    <x v="1"/>
    <s v="Camera"/>
    <n v="11"/>
    <n v="48507"/>
    <n v="0"/>
    <n v="533577"/>
    <n v="89365.759999999995"/>
    <x v="1"/>
    <x v="2"/>
    <x v="0"/>
  </r>
  <r>
    <s v="ORD04871"/>
    <s v="2023-04-29"/>
    <x v="30"/>
    <x v="10"/>
    <x v="3"/>
    <s v="Marker"/>
    <n v="5"/>
    <n v="58065"/>
    <n v="0"/>
    <n v="290325"/>
    <n v="65453.33"/>
    <x v="0"/>
    <x v="2"/>
    <x v="1"/>
  </r>
  <r>
    <s v="ORD04872"/>
    <s v="2023-05-29"/>
    <x v="7"/>
    <x v="6"/>
    <x v="2"/>
    <s v="Jeans"/>
    <n v="11"/>
    <n v="11644"/>
    <n v="0.2"/>
    <n v="102467.2"/>
    <n v="29413.26"/>
    <x v="3"/>
    <x v="6"/>
    <x v="1"/>
  </r>
  <r>
    <s v="ORD04873"/>
    <s v="2023-01-02"/>
    <x v="19"/>
    <x v="19"/>
    <x v="1"/>
    <s v="Smartwatch"/>
    <n v="8"/>
    <n v="18407"/>
    <n v="0.2"/>
    <n v="117804.8"/>
    <n v="26931.88"/>
    <x v="0"/>
    <x v="3"/>
    <x v="1"/>
  </r>
  <r>
    <s v="ORD04874"/>
    <s v="2023-08-31"/>
    <x v="5"/>
    <x v="14"/>
    <x v="2"/>
    <s v="Dress"/>
    <n v="7"/>
    <n v="4712"/>
    <n v="0.2"/>
    <n v="26387.200000000001"/>
    <n v="4262.34"/>
    <x v="2"/>
    <x v="8"/>
    <x v="1"/>
  </r>
  <r>
    <s v="ORD04875"/>
    <s v="2024-09-05"/>
    <x v="4"/>
    <x v="0"/>
    <x v="0"/>
    <s v="Chair"/>
    <n v="6"/>
    <n v="4133"/>
    <n v="0.05"/>
    <n v="23558.1"/>
    <n v="3145.73"/>
    <x v="3"/>
    <x v="10"/>
    <x v="0"/>
  </r>
  <r>
    <s v="ORD04876"/>
    <s v="2023-08-17"/>
    <x v="19"/>
    <x v="19"/>
    <x v="1"/>
    <s v="Smartwatch"/>
    <n v="6"/>
    <n v="21469"/>
    <n v="0.2"/>
    <n v="103051.2"/>
    <n v="30772.18"/>
    <x v="3"/>
    <x v="8"/>
    <x v="1"/>
  </r>
  <r>
    <s v="ORD04877"/>
    <s v="2023-10-25"/>
    <x v="36"/>
    <x v="14"/>
    <x v="2"/>
    <s v="Dress"/>
    <n v="14"/>
    <n v="17245"/>
    <n v="0.05"/>
    <n v="229358.5"/>
    <n v="19582.23"/>
    <x v="1"/>
    <x v="0"/>
    <x v="1"/>
  </r>
  <r>
    <s v="ORD04878"/>
    <s v="2024-08-30"/>
    <x v="0"/>
    <x v="25"/>
    <x v="3"/>
    <s v="Notebook"/>
    <n v="4"/>
    <n v="37018"/>
    <n v="0.2"/>
    <n v="118457.60000000001"/>
    <n v="28561.09"/>
    <x v="3"/>
    <x v="8"/>
    <x v="0"/>
  </r>
  <r>
    <s v="ORD04879"/>
    <s v="2023-05-11"/>
    <x v="21"/>
    <x v="15"/>
    <x v="0"/>
    <s v="Sofa"/>
    <n v="7"/>
    <n v="10721"/>
    <n v="0.2"/>
    <n v="60037.599999999999"/>
    <n v="7428.99"/>
    <x v="2"/>
    <x v="6"/>
    <x v="1"/>
  </r>
  <r>
    <s v="ORD04880"/>
    <s v="2024-01-13"/>
    <x v="49"/>
    <x v="8"/>
    <x v="2"/>
    <s v="Sweater"/>
    <n v="9"/>
    <n v="4676"/>
    <n v="0.2"/>
    <n v="33667.199999999997"/>
    <n v="8169"/>
    <x v="3"/>
    <x v="3"/>
    <x v="0"/>
  </r>
  <r>
    <s v="ORD04881"/>
    <s v="2023-10-18"/>
    <x v="48"/>
    <x v="17"/>
    <x v="1"/>
    <s v="Power Bank"/>
    <n v="5"/>
    <n v="30586"/>
    <n v="0.05"/>
    <n v="145283.5"/>
    <n v="26998.92"/>
    <x v="0"/>
    <x v="0"/>
    <x v="1"/>
  </r>
  <r>
    <s v="ORD04882"/>
    <s v="2024-08-14"/>
    <x v="25"/>
    <x v="6"/>
    <x v="2"/>
    <s v="Jeans"/>
    <n v="5"/>
    <n v="23716"/>
    <n v="0.15"/>
    <n v="100793"/>
    <n v="13228.37"/>
    <x v="2"/>
    <x v="8"/>
    <x v="0"/>
  </r>
  <r>
    <s v="ORD04883"/>
    <s v="2024-05-04"/>
    <x v="26"/>
    <x v="0"/>
    <x v="0"/>
    <s v="Chair"/>
    <n v="12"/>
    <n v="48052"/>
    <n v="0.15"/>
    <n v="490130.4"/>
    <n v="102005.63"/>
    <x v="1"/>
    <x v="6"/>
    <x v="0"/>
  </r>
  <r>
    <s v="ORD04884"/>
    <s v="2023-10-24"/>
    <x v="10"/>
    <x v="25"/>
    <x v="3"/>
    <s v="Notebook"/>
    <n v="3"/>
    <n v="28234"/>
    <n v="0.15"/>
    <n v="71996.7"/>
    <n v="21370"/>
    <x v="0"/>
    <x v="0"/>
    <x v="1"/>
  </r>
  <r>
    <s v="ORD04885"/>
    <s v="2024-03-25"/>
    <x v="0"/>
    <x v="4"/>
    <x v="0"/>
    <s v="Stool"/>
    <n v="1"/>
    <n v="7972"/>
    <n v="0"/>
    <n v="7972"/>
    <n v="673.06"/>
    <x v="2"/>
    <x v="7"/>
    <x v="0"/>
  </r>
  <r>
    <s v="ORD04886"/>
    <s v="2024-11-01"/>
    <x v="14"/>
    <x v="1"/>
    <x v="1"/>
    <s v="Mobile"/>
    <n v="13"/>
    <n v="41460"/>
    <n v="0.2"/>
    <n v="431184"/>
    <n v="107200.1"/>
    <x v="3"/>
    <x v="4"/>
    <x v="0"/>
  </r>
  <r>
    <s v="ORD04887"/>
    <s v="2023-02-06"/>
    <x v="34"/>
    <x v="20"/>
    <x v="1"/>
    <s v="Tablet"/>
    <n v="4"/>
    <n v="44902"/>
    <n v="0"/>
    <n v="179608"/>
    <n v="48472.93"/>
    <x v="0"/>
    <x v="11"/>
    <x v="1"/>
  </r>
  <r>
    <s v="ORD04888"/>
    <s v="2024-10-08"/>
    <x v="40"/>
    <x v="18"/>
    <x v="0"/>
    <s v="Table"/>
    <n v="14"/>
    <n v="29085"/>
    <n v="0.1"/>
    <n v="366471"/>
    <n v="49619.62"/>
    <x v="2"/>
    <x v="0"/>
    <x v="0"/>
  </r>
  <r>
    <s v="ORD04889"/>
    <s v="2023-08-30"/>
    <x v="21"/>
    <x v="19"/>
    <x v="1"/>
    <s v="Smartwatch"/>
    <n v="7"/>
    <n v="35895"/>
    <n v="0.15"/>
    <n v="213575.25"/>
    <n v="23610.48"/>
    <x v="2"/>
    <x v="8"/>
    <x v="1"/>
  </r>
  <r>
    <s v="ORD04890"/>
    <s v="2023-11-20"/>
    <x v="39"/>
    <x v="26"/>
    <x v="3"/>
    <s v="Paper Ream"/>
    <n v="12"/>
    <n v="40560"/>
    <n v="0.2"/>
    <n v="389376"/>
    <n v="44769.64"/>
    <x v="1"/>
    <x v="4"/>
    <x v="1"/>
  </r>
  <r>
    <s v="ORD04891"/>
    <s v="2024-06-28"/>
    <x v="48"/>
    <x v="3"/>
    <x v="3"/>
    <s v="Stapler"/>
    <n v="7"/>
    <n v="26643"/>
    <n v="0.05"/>
    <n v="177175.95"/>
    <n v="49758.57"/>
    <x v="2"/>
    <x v="5"/>
    <x v="0"/>
  </r>
  <r>
    <s v="ORD04892"/>
    <s v="2023-05-28"/>
    <x v="14"/>
    <x v="13"/>
    <x v="2"/>
    <s v="Jacket"/>
    <n v="5"/>
    <n v="31151"/>
    <n v="0"/>
    <n v="155755"/>
    <n v="34099.980000000003"/>
    <x v="0"/>
    <x v="6"/>
    <x v="1"/>
  </r>
  <r>
    <s v="ORD04893"/>
    <s v="2024-02-07"/>
    <x v="35"/>
    <x v="6"/>
    <x v="2"/>
    <s v="Jeans"/>
    <n v="3"/>
    <n v="14679"/>
    <n v="0.05"/>
    <n v="41835.15"/>
    <n v="6482.01"/>
    <x v="3"/>
    <x v="11"/>
    <x v="0"/>
  </r>
  <r>
    <s v="ORD04894"/>
    <s v="2024-08-16"/>
    <x v="8"/>
    <x v="20"/>
    <x v="1"/>
    <s v="Tablet"/>
    <n v="13"/>
    <n v="24628"/>
    <n v="0.05"/>
    <n v="304155.8"/>
    <n v="89003.99"/>
    <x v="2"/>
    <x v="8"/>
    <x v="0"/>
  </r>
  <r>
    <s v="ORD04895"/>
    <s v="2023-04-03"/>
    <x v="15"/>
    <x v="14"/>
    <x v="2"/>
    <s v="Dress"/>
    <n v="9"/>
    <n v="16440"/>
    <n v="0.05"/>
    <n v="140562"/>
    <n v="17901.96"/>
    <x v="2"/>
    <x v="2"/>
    <x v="1"/>
  </r>
  <r>
    <s v="ORD04896"/>
    <s v="2024-05-10"/>
    <x v="42"/>
    <x v="22"/>
    <x v="1"/>
    <s v="Camera"/>
    <n v="7"/>
    <n v="52246"/>
    <n v="0.05"/>
    <n v="347435.9"/>
    <n v="68029.149999999994"/>
    <x v="3"/>
    <x v="6"/>
    <x v="0"/>
  </r>
  <r>
    <s v="ORD04897"/>
    <s v="2023-04-12"/>
    <x v="35"/>
    <x v="21"/>
    <x v="1"/>
    <s v="Laptop"/>
    <n v="4"/>
    <n v="45243"/>
    <n v="0.1"/>
    <n v="162874.79999999999"/>
    <n v="38214.69"/>
    <x v="3"/>
    <x v="2"/>
    <x v="1"/>
  </r>
  <r>
    <s v="ORD04898"/>
    <s v="2023-03-08"/>
    <x v="32"/>
    <x v="2"/>
    <x v="2"/>
    <s v="Shoes"/>
    <n v="2"/>
    <n v="57539"/>
    <n v="0.1"/>
    <n v="103570.2"/>
    <n v="24635.03"/>
    <x v="2"/>
    <x v="7"/>
    <x v="1"/>
  </r>
  <r>
    <s v="ORD04899"/>
    <s v="2024-09-05"/>
    <x v="44"/>
    <x v="27"/>
    <x v="3"/>
    <s v="File"/>
    <n v="4"/>
    <n v="32433"/>
    <n v="0"/>
    <n v="129732"/>
    <n v="29975.51"/>
    <x v="3"/>
    <x v="10"/>
    <x v="0"/>
  </r>
  <r>
    <s v="ORD04900"/>
    <s v="2024-05-17"/>
    <x v="4"/>
    <x v="13"/>
    <x v="2"/>
    <s v="Jacket"/>
    <n v="5"/>
    <n v="35041"/>
    <n v="0.15"/>
    <n v="148924.25"/>
    <n v="33594.92"/>
    <x v="0"/>
    <x v="6"/>
    <x v="0"/>
  </r>
  <r>
    <s v="ORD04901"/>
    <s v="2023-10-05"/>
    <x v="10"/>
    <x v="11"/>
    <x v="3"/>
    <s v="Printer"/>
    <n v="15"/>
    <n v="32659"/>
    <n v="0.05"/>
    <n v="465390.75"/>
    <n v="126450.31"/>
    <x v="2"/>
    <x v="0"/>
    <x v="1"/>
  </r>
  <r>
    <s v="ORD04902"/>
    <s v="2023-11-27"/>
    <x v="47"/>
    <x v="8"/>
    <x v="2"/>
    <s v="Sweater"/>
    <n v="12"/>
    <n v="27376"/>
    <n v="0.05"/>
    <n v="312086.40000000002"/>
    <n v="85727.08"/>
    <x v="3"/>
    <x v="4"/>
    <x v="1"/>
  </r>
  <r>
    <s v="ORD04903"/>
    <s v="2023-08-23"/>
    <x v="1"/>
    <x v="6"/>
    <x v="2"/>
    <s v="Jeans"/>
    <n v="10"/>
    <n v="31545"/>
    <n v="0.05"/>
    <n v="299677.5"/>
    <n v="46343.19"/>
    <x v="0"/>
    <x v="8"/>
    <x v="1"/>
  </r>
  <r>
    <s v="ORD04904"/>
    <s v="2023-05-10"/>
    <x v="39"/>
    <x v="5"/>
    <x v="0"/>
    <s v="Cupboard"/>
    <n v="2"/>
    <n v="13994"/>
    <n v="0"/>
    <n v="27988"/>
    <n v="4672.8599999999997"/>
    <x v="2"/>
    <x v="6"/>
    <x v="1"/>
  </r>
  <r>
    <s v="ORD04905"/>
    <s v="2024-01-01"/>
    <x v="5"/>
    <x v="26"/>
    <x v="3"/>
    <s v="Paper Ream"/>
    <n v="9"/>
    <n v="34315"/>
    <n v="0.15"/>
    <n v="262509.75"/>
    <n v="59871.14"/>
    <x v="2"/>
    <x v="3"/>
    <x v="0"/>
  </r>
  <r>
    <s v="ORD04906"/>
    <s v="2024-08-30"/>
    <x v="4"/>
    <x v="19"/>
    <x v="1"/>
    <s v="Smartwatch"/>
    <n v="13"/>
    <n v="36052"/>
    <n v="0.05"/>
    <n v="445242.2"/>
    <n v="88547.15"/>
    <x v="2"/>
    <x v="8"/>
    <x v="0"/>
  </r>
  <r>
    <s v="ORD04907"/>
    <s v="2024-05-24"/>
    <x v="31"/>
    <x v="11"/>
    <x v="3"/>
    <s v="Printer"/>
    <n v="6"/>
    <n v="52400"/>
    <n v="0"/>
    <n v="314400"/>
    <n v="27592.13"/>
    <x v="3"/>
    <x v="6"/>
    <x v="0"/>
  </r>
  <r>
    <s v="ORD04908"/>
    <s v="2024-04-14"/>
    <x v="29"/>
    <x v="18"/>
    <x v="0"/>
    <s v="Table"/>
    <n v="11"/>
    <n v="20692"/>
    <n v="0"/>
    <n v="227612"/>
    <n v="65219.06"/>
    <x v="3"/>
    <x v="2"/>
    <x v="0"/>
  </r>
  <r>
    <s v="ORD04909"/>
    <s v="2024-10-12"/>
    <x v="29"/>
    <x v="16"/>
    <x v="3"/>
    <s v="Pen"/>
    <n v="1"/>
    <n v="54493"/>
    <n v="0.1"/>
    <n v="49043.7"/>
    <n v="4852.51"/>
    <x v="3"/>
    <x v="0"/>
    <x v="0"/>
  </r>
  <r>
    <s v="ORD04910"/>
    <s v="2023-03-16"/>
    <x v="6"/>
    <x v="21"/>
    <x v="1"/>
    <s v="Laptop"/>
    <n v="15"/>
    <n v="17927"/>
    <n v="0.05"/>
    <n v="255459.75"/>
    <n v="69870.81"/>
    <x v="1"/>
    <x v="7"/>
    <x v="1"/>
  </r>
  <r>
    <s v="ORD04911"/>
    <s v="2024-09-04"/>
    <x v="9"/>
    <x v="26"/>
    <x v="3"/>
    <s v="Paper Ream"/>
    <n v="2"/>
    <n v="43944"/>
    <n v="0"/>
    <n v="87888"/>
    <n v="7354.63"/>
    <x v="3"/>
    <x v="10"/>
    <x v="0"/>
  </r>
  <r>
    <s v="ORD04912"/>
    <s v="2023-03-22"/>
    <x v="43"/>
    <x v="20"/>
    <x v="1"/>
    <s v="Tablet"/>
    <n v="5"/>
    <n v="47691"/>
    <n v="0.05"/>
    <n v="226532.25"/>
    <n v="62099.96"/>
    <x v="2"/>
    <x v="7"/>
    <x v="1"/>
  </r>
  <r>
    <s v="ORD04913"/>
    <s v="2024-03-02"/>
    <x v="44"/>
    <x v="26"/>
    <x v="3"/>
    <s v="Paper Ream"/>
    <n v="2"/>
    <n v="23144"/>
    <n v="0.2"/>
    <n v="37030.400000000001"/>
    <n v="8899.36"/>
    <x v="1"/>
    <x v="7"/>
    <x v="0"/>
  </r>
  <r>
    <s v="ORD04914"/>
    <s v="2024-08-30"/>
    <x v="33"/>
    <x v="5"/>
    <x v="0"/>
    <s v="Cupboard"/>
    <n v="5"/>
    <n v="25463"/>
    <n v="0.1"/>
    <n v="114583.5"/>
    <n v="12673.53"/>
    <x v="2"/>
    <x v="8"/>
    <x v="0"/>
  </r>
  <r>
    <s v="ORD04915"/>
    <s v="2024-04-14"/>
    <x v="14"/>
    <x v="16"/>
    <x v="3"/>
    <s v="Pen"/>
    <n v="3"/>
    <n v="11764"/>
    <n v="0.2"/>
    <n v="28233.599999999999"/>
    <n v="5735.92"/>
    <x v="0"/>
    <x v="2"/>
    <x v="0"/>
  </r>
  <r>
    <s v="ORD04916"/>
    <s v="2023-11-18"/>
    <x v="41"/>
    <x v="20"/>
    <x v="1"/>
    <s v="Tablet"/>
    <n v="9"/>
    <n v="26402"/>
    <n v="0"/>
    <n v="237618"/>
    <n v="49819.15"/>
    <x v="2"/>
    <x v="4"/>
    <x v="1"/>
  </r>
  <r>
    <s v="ORD04917"/>
    <s v="2023-02-14"/>
    <x v="24"/>
    <x v="14"/>
    <x v="2"/>
    <s v="Dress"/>
    <n v="10"/>
    <n v="12825"/>
    <n v="0.1"/>
    <n v="115425"/>
    <n v="34278.839999999997"/>
    <x v="2"/>
    <x v="11"/>
    <x v="1"/>
  </r>
  <r>
    <s v="ORD04918"/>
    <s v="2024-01-04"/>
    <x v="33"/>
    <x v="7"/>
    <x v="0"/>
    <s v="Bed"/>
    <n v="13"/>
    <n v="17743"/>
    <n v="0"/>
    <n v="230659"/>
    <n v="32706.85"/>
    <x v="3"/>
    <x v="3"/>
    <x v="0"/>
  </r>
  <r>
    <s v="ORD04919"/>
    <s v="2024-08-25"/>
    <x v="48"/>
    <x v="19"/>
    <x v="1"/>
    <s v="Smartwatch"/>
    <n v="4"/>
    <n v="27878"/>
    <n v="0.15"/>
    <n v="94785.2"/>
    <n v="20589.21"/>
    <x v="2"/>
    <x v="8"/>
    <x v="0"/>
  </r>
  <r>
    <s v="ORD04920"/>
    <s v="2023-04-29"/>
    <x v="42"/>
    <x v="6"/>
    <x v="2"/>
    <s v="Jeans"/>
    <n v="8"/>
    <n v="28072"/>
    <n v="0.2"/>
    <n v="179660.79999999999"/>
    <n v="29501.43"/>
    <x v="2"/>
    <x v="2"/>
    <x v="1"/>
  </r>
  <r>
    <s v="ORD04921"/>
    <s v="2023-08-16"/>
    <x v="48"/>
    <x v="8"/>
    <x v="2"/>
    <s v="Sweater"/>
    <n v="2"/>
    <n v="27733"/>
    <n v="0.2"/>
    <n v="44372.800000000003"/>
    <n v="7635.95"/>
    <x v="3"/>
    <x v="8"/>
    <x v="1"/>
  </r>
  <r>
    <s v="ORD04922"/>
    <s v="2023-02-27"/>
    <x v="23"/>
    <x v="25"/>
    <x v="3"/>
    <s v="Notebook"/>
    <n v="9"/>
    <n v="32223"/>
    <n v="0.15"/>
    <n v="246505.95"/>
    <n v="45313.18"/>
    <x v="0"/>
    <x v="11"/>
    <x v="1"/>
  </r>
  <r>
    <s v="ORD04923"/>
    <s v="2024-02-16"/>
    <x v="2"/>
    <x v="25"/>
    <x v="3"/>
    <s v="Notebook"/>
    <n v="9"/>
    <n v="12535"/>
    <n v="0.05"/>
    <n v="107174.25"/>
    <n v="22523.41"/>
    <x v="1"/>
    <x v="11"/>
    <x v="0"/>
  </r>
  <r>
    <s v="ORD04924"/>
    <s v="2023-08-06"/>
    <x v="46"/>
    <x v="25"/>
    <x v="3"/>
    <s v="Notebook"/>
    <n v="4"/>
    <n v="27869"/>
    <n v="0.1"/>
    <n v="100328.4"/>
    <n v="13119.14"/>
    <x v="2"/>
    <x v="8"/>
    <x v="1"/>
  </r>
  <r>
    <s v="ORD04925"/>
    <s v="2023-10-05"/>
    <x v="36"/>
    <x v="15"/>
    <x v="0"/>
    <s v="Sofa"/>
    <n v="5"/>
    <n v="300"/>
    <n v="0.15"/>
    <n v="1275"/>
    <n v="189.59"/>
    <x v="3"/>
    <x v="0"/>
    <x v="1"/>
  </r>
  <r>
    <s v="ORD04926"/>
    <s v="2024-04-26"/>
    <x v="33"/>
    <x v="3"/>
    <x v="3"/>
    <s v="Stapler"/>
    <n v="6"/>
    <n v="1339"/>
    <n v="0.2"/>
    <n v="6427.2"/>
    <n v="1752.62"/>
    <x v="0"/>
    <x v="2"/>
    <x v="0"/>
  </r>
  <r>
    <s v="ORD04927"/>
    <s v="2023-12-18"/>
    <x v="49"/>
    <x v="10"/>
    <x v="3"/>
    <s v="Marker"/>
    <n v="4"/>
    <n v="24877"/>
    <n v="0.1"/>
    <n v="89557.2"/>
    <n v="12867.29"/>
    <x v="0"/>
    <x v="9"/>
    <x v="1"/>
  </r>
  <r>
    <s v="ORD04928"/>
    <s v="2023-11-17"/>
    <x v="42"/>
    <x v="22"/>
    <x v="1"/>
    <s v="Camera"/>
    <n v="8"/>
    <n v="16619"/>
    <n v="0.15"/>
    <n v="113009.2"/>
    <n v="24292.89"/>
    <x v="0"/>
    <x v="4"/>
    <x v="1"/>
  </r>
  <r>
    <s v="ORD04929"/>
    <s v="2023-08-30"/>
    <x v="20"/>
    <x v="7"/>
    <x v="0"/>
    <s v="Bed"/>
    <n v="3"/>
    <n v="46112"/>
    <n v="0"/>
    <n v="138336"/>
    <n v="21371.02"/>
    <x v="3"/>
    <x v="8"/>
    <x v="1"/>
  </r>
  <r>
    <s v="ORD04930"/>
    <s v="2024-11-04"/>
    <x v="20"/>
    <x v="25"/>
    <x v="3"/>
    <s v="Notebook"/>
    <n v="6"/>
    <n v="2850"/>
    <n v="0.15"/>
    <n v="14535"/>
    <n v="4029.82"/>
    <x v="1"/>
    <x v="4"/>
    <x v="0"/>
  </r>
  <r>
    <s v="ORD04931"/>
    <s v="2023-04-26"/>
    <x v="31"/>
    <x v="22"/>
    <x v="1"/>
    <s v="Camera"/>
    <n v="4"/>
    <n v="26424"/>
    <n v="0.1"/>
    <n v="95126.399999999994"/>
    <n v="19270.259999999998"/>
    <x v="1"/>
    <x v="2"/>
    <x v="1"/>
  </r>
  <r>
    <s v="ORD04932"/>
    <s v="2023-10-17"/>
    <x v="21"/>
    <x v="22"/>
    <x v="1"/>
    <s v="Camera"/>
    <n v="14"/>
    <n v="29063"/>
    <n v="0.15"/>
    <n v="345849.7"/>
    <n v="32289.85"/>
    <x v="0"/>
    <x v="0"/>
    <x v="1"/>
  </r>
  <r>
    <s v="ORD04933"/>
    <s v="2023-06-18"/>
    <x v="36"/>
    <x v="8"/>
    <x v="2"/>
    <s v="Sweater"/>
    <n v="9"/>
    <n v="10616"/>
    <n v="0.15"/>
    <n v="81212.399999999994"/>
    <n v="13008.68"/>
    <x v="1"/>
    <x v="5"/>
    <x v="1"/>
  </r>
  <r>
    <s v="ORD04934"/>
    <s v="2024-05-01"/>
    <x v="47"/>
    <x v="0"/>
    <x v="0"/>
    <s v="Chair"/>
    <n v="8"/>
    <n v="4405"/>
    <n v="0.1"/>
    <n v="31716"/>
    <n v="6473.49"/>
    <x v="0"/>
    <x v="6"/>
    <x v="0"/>
  </r>
  <r>
    <s v="ORD04935"/>
    <s v="2024-05-01"/>
    <x v="8"/>
    <x v="16"/>
    <x v="3"/>
    <s v="Pen"/>
    <n v="4"/>
    <n v="4677"/>
    <n v="0"/>
    <n v="18708"/>
    <n v="3664.86"/>
    <x v="2"/>
    <x v="6"/>
    <x v="0"/>
  </r>
  <r>
    <s v="ORD04936"/>
    <s v="2024-10-25"/>
    <x v="1"/>
    <x v="16"/>
    <x v="3"/>
    <s v="Pen"/>
    <n v="4"/>
    <n v="18099"/>
    <n v="0.05"/>
    <n v="68776.2"/>
    <n v="19740.73"/>
    <x v="0"/>
    <x v="0"/>
    <x v="0"/>
  </r>
  <r>
    <s v="ORD04937"/>
    <s v="2024-03-15"/>
    <x v="31"/>
    <x v="23"/>
    <x v="0"/>
    <s v="Desk"/>
    <n v="13"/>
    <n v="46451"/>
    <n v="0.1"/>
    <n v="543476.69999999995"/>
    <n v="121232.15"/>
    <x v="2"/>
    <x v="7"/>
    <x v="0"/>
  </r>
  <r>
    <s v="ORD04938"/>
    <s v="2024-11-03"/>
    <x v="23"/>
    <x v="11"/>
    <x v="3"/>
    <s v="Printer"/>
    <n v="11"/>
    <n v="3432"/>
    <n v="0"/>
    <n v="37752"/>
    <n v="4533.33"/>
    <x v="2"/>
    <x v="4"/>
    <x v="0"/>
  </r>
  <r>
    <s v="ORD04939"/>
    <s v="2024-05-11"/>
    <x v="7"/>
    <x v="5"/>
    <x v="0"/>
    <s v="Cupboard"/>
    <n v="8"/>
    <n v="19169"/>
    <n v="0.05"/>
    <n v="145684.4"/>
    <n v="34678.1"/>
    <x v="2"/>
    <x v="6"/>
    <x v="0"/>
  </r>
  <r>
    <s v="ORD04940"/>
    <s v="2024-07-15"/>
    <x v="11"/>
    <x v="19"/>
    <x v="1"/>
    <s v="Smartwatch"/>
    <n v="8"/>
    <n v="3288"/>
    <n v="0"/>
    <n v="26304"/>
    <n v="5548.72"/>
    <x v="2"/>
    <x v="1"/>
    <x v="0"/>
  </r>
  <r>
    <s v="ORD04941"/>
    <s v="2024-09-04"/>
    <x v="4"/>
    <x v="14"/>
    <x v="2"/>
    <s v="Dress"/>
    <n v="15"/>
    <n v="11447"/>
    <n v="0"/>
    <n v="171705"/>
    <n v="27585.74"/>
    <x v="3"/>
    <x v="10"/>
    <x v="0"/>
  </r>
  <r>
    <s v="ORD04942"/>
    <s v="2024-07-31"/>
    <x v="47"/>
    <x v="21"/>
    <x v="1"/>
    <s v="Laptop"/>
    <n v="11"/>
    <n v="6090"/>
    <n v="0.15"/>
    <n v="56941.5"/>
    <n v="12946.76"/>
    <x v="1"/>
    <x v="1"/>
    <x v="0"/>
  </r>
  <r>
    <s v="ORD04943"/>
    <s v="2024-09-23"/>
    <x v="5"/>
    <x v="12"/>
    <x v="1"/>
    <s v="Headphones"/>
    <n v="13"/>
    <n v="8791"/>
    <n v="0.05"/>
    <n v="108568.85"/>
    <n v="13190.22"/>
    <x v="1"/>
    <x v="10"/>
    <x v="0"/>
  </r>
  <r>
    <s v="ORD04944"/>
    <s v="2023-12-21"/>
    <x v="46"/>
    <x v="15"/>
    <x v="0"/>
    <s v="Sofa"/>
    <n v="12"/>
    <n v="15343"/>
    <n v="0"/>
    <n v="184116"/>
    <n v="25909.18"/>
    <x v="2"/>
    <x v="9"/>
    <x v="1"/>
  </r>
  <r>
    <s v="ORD04945"/>
    <s v="2023-05-22"/>
    <x v="6"/>
    <x v="13"/>
    <x v="2"/>
    <s v="Jacket"/>
    <n v="11"/>
    <n v="54205"/>
    <n v="0"/>
    <n v="596255"/>
    <n v="162533.07"/>
    <x v="0"/>
    <x v="6"/>
    <x v="1"/>
  </r>
  <r>
    <s v="ORD04946"/>
    <s v="2024-04-11"/>
    <x v="27"/>
    <x v="18"/>
    <x v="0"/>
    <s v="Table"/>
    <n v="6"/>
    <n v="59715"/>
    <n v="0"/>
    <n v="358290"/>
    <n v="94937.98"/>
    <x v="0"/>
    <x v="2"/>
    <x v="0"/>
  </r>
  <r>
    <s v="ORD04947"/>
    <s v="2024-08-13"/>
    <x v="41"/>
    <x v="2"/>
    <x v="2"/>
    <s v="Shoes"/>
    <n v="5"/>
    <n v="26093"/>
    <n v="0.15"/>
    <n v="110895.25"/>
    <n v="12839.9"/>
    <x v="1"/>
    <x v="8"/>
    <x v="0"/>
  </r>
  <r>
    <s v="ORD04948"/>
    <s v="2023-05-01"/>
    <x v="12"/>
    <x v="2"/>
    <x v="2"/>
    <s v="Shoes"/>
    <n v="13"/>
    <n v="35902"/>
    <n v="0.05"/>
    <n v="443389.7"/>
    <n v="112339.6"/>
    <x v="3"/>
    <x v="6"/>
    <x v="1"/>
  </r>
  <r>
    <s v="ORD04949"/>
    <s v="2024-07-18"/>
    <x v="44"/>
    <x v="6"/>
    <x v="2"/>
    <s v="Jeans"/>
    <n v="15"/>
    <n v="8707"/>
    <n v="0.2"/>
    <n v="104484"/>
    <n v="10265.49"/>
    <x v="0"/>
    <x v="1"/>
    <x v="0"/>
  </r>
  <r>
    <s v="ORD04950"/>
    <s v="2024-11-28"/>
    <x v="14"/>
    <x v="5"/>
    <x v="0"/>
    <s v="Cupboard"/>
    <n v="11"/>
    <n v="51891"/>
    <n v="0.2"/>
    <n v="456640.8"/>
    <n v="61064.7"/>
    <x v="3"/>
    <x v="4"/>
    <x v="0"/>
  </r>
  <r>
    <s v="ORD04951"/>
    <s v="2023-02-20"/>
    <x v="14"/>
    <x v="15"/>
    <x v="0"/>
    <s v="Sofa"/>
    <n v="13"/>
    <n v="17234"/>
    <n v="0"/>
    <n v="224042"/>
    <n v="63473.74"/>
    <x v="2"/>
    <x v="11"/>
    <x v="1"/>
  </r>
  <r>
    <s v="ORD04952"/>
    <s v="2023-04-01"/>
    <x v="49"/>
    <x v="9"/>
    <x v="1"/>
    <s v="Keyboard"/>
    <n v="11"/>
    <n v="45552"/>
    <n v="0.2"/>
    <n v="400857.59999999998"/>
    <n v="92297.86"/>
    <x v="3"/>
    <x v="2"/>
    <x v="1"/>
  </r>
  <r>
    <s v="ORD04953"/>
    <s v="2023-04-20"/>
    <x v="20"/>
    <x v="10"/>
    <x v="3"/>
    <s v="Marker"/>
    <n v="13"/>
    <n v="11050"/>
    <n v="0"/>
    <n v="143650"/>
    <n v="30474.55"/>
    <x v="3"/>
    <x v="2"/>
    <x v="1"/>
  </r>
  <r>
    <s v="ORD04954"/>
    <s v="2024-11-30"/>
    <x v="39"/>
    <x v="7"/>
    <x v="0"/>
    <s v="Bed"/>
    <n v="2"/>
    <n v="44310"/>
    <n v="0.1"/>
    <n v="79758"/>
    <n v="19580.52"/>
    <x v="1"/>
    <x v="4"/>
    <x v="0"/>
  </r>
  <r>
    <s v="ORD04955"/>
    <s v="2023-05-09"/>
    <x v="42"/>
    <x v="0"/>
    <x v="0"/>
    <s v="Chair"/>
    <n v="5"/>
    <n v="24918"/>
    <n v="0"/>
    <n v="124590"/>
    <n v="29561.56"/>
    <x v="2"/>
    <x v="6"/>
    <x v="1"/>
  </r>
  <r>
    <s v="ORD04956"/>
    <s v="2023-01-27"/>
    <x v="47"/>
    <x v="24"/>
    <x v="2"/>
    <s v="T-Shirt"/>
    <n v="10"/>
    <n v="16479"/>
    <n v="0.15"/>
    <n v="140071.5"/>
    <n v="18020.169999999998"/>
    <x v="1"/>
    <x v="3"/>
    <x v="1"/>
  </r>
  <r>
    <s v="ORD04957"/>
    <s v="2023-02-14"/>
    <x v="24"/>
    <x v="19"/>
    <x v="1"/>
    <s v="Smartwatch"/>
    <n v="10"/>
    <n v="43790"/>
    <n v="0.2"/>
    <n v="350320"/>
    <n v="51414.41"/>
    <x v="0"/>
    <x v="11"/>
    <x v="1"/>
  </r>
  <r>
    <s v="ORD04958"/>
    <s v="2024-02-15"/>
    <x v="37"/>
    <x v="10"/>
    <x v="3"/>
    <s v="Marker"/>
    <n v="3"/>
    <n v="28432"/>
    <n v="0.15"/>
    <n v="72501.600000000006"/>
    <n v="10099.709999999999"/>
    <x v="2"/>
    <x v="11"/>
    <x v="0"/>
  </r>
  <r>
    <s v="ORD04959"/>
    <s v="2023-06-04"/>
    <x v="11"/>
    <x v="11"/>
    <x v="3"/>
    <s v="Printer"/>
    <n v="3"/>
    <n v="22700"/>
    <n v="0.05"/>
    <n v="64695"/>
    <n v="12638.06"/>
    <x v="0"/>
    <x v="5"/>
    <x v="1"/>
  </r>
  <r>
    <s v="ORD04960"/>
    <s v="2024-02-07"/>
    <x v="1"/>
    <x v="8"/>
    <x v="2"/>
    <s v="Sweater"/>
    <n v="10"/>
    <n v="6970"/>
    <n v="0.2"/>
    <n v="55760"/>
    <n v="6919.77"/>
    <x v="0"/>
    <x v="11"/>
    <x v="0"/>
  </r>
  <r>
    <s v="ORD04961"/>
    <s v="2023-05-24"/>
    <x v="41"/>
    <x v="5"/>
    <x v="0"/>
    <s v="Cupboard"/>
    <n v="9"/>
    <n v="56492"/>
    <n v="0"/>
    <n v="508428"/>
    <n v="83130.990000000005"/>
    <x v="2"/>
    <x v="6"/>
    <x v="1"/>
  </r>
  <r>
    <s v="ORD04962"/>
    <s v="2023-11-05"/>
    <x v="37"/>
    <x v="5"/>
    <x v="0"/>
    <s v="Cupboard"/>
    <n v="14"/>
    <n v="37893"/>
    <n v="0"/>
    <n v="530502"/>
    <n v="103281.7"/>
    <x v="3"/>
    <x v="4"/>
    <x v="1"/>
  </r>
  <r>
    <s v="ORD04963"/>
    <s v="2023-02-13"/>
    <x v="17"/>
    <x v="13"/>
    <x v="2"/>
    <s v="Jacket"/>
    <n v="3"/>
    <n v="20782"/>
    <n v="0.2"/>
    <n v="49876.800000000003"/>
    <n v="11190.33"/>
    <x v="1"/>
    <x v="11"/>
    <x v="1"/>
  </r>
  <r>
    <s v="ORD04964"/>
    <s v="2023-07-23"/>
    <x v="28"/>
    <x v="2"/>
    <x v="2"/>
    <s v="Shoes"/>
    <n v="3"/>
    <n v="38584"/>
    <n v="0.1"/>
    <n v="104176.8"/>
    <n v="19012.560000000001"/>
    <x v="3"/>
    <x v="1"/>
    <x v="1"/>
  </r>
  <r>
    <s v="ORD04965"/>
    <s v="2023-09-23"/>
    <x v="31"/>
    <x v="5"/>
    <x v="0"/>
    <s v="Cupboard"/>
    <n v="2"/>
    <n v="1643"/>
    <n v="0"/>
    <n v="3286"/>
    <n v="455.83"/>
    <x v="0"/>
    <x v="10"/>
    <x v="1"/>
  </r>
  <r>
    <s v="ORD04966"/>
    <s v="2023-09-17"/>
    <x v="22"/>
    <x v="14"/>
    <x v="2"/>
    <s v="Dress"/>
    <n v="4"/>
    <n v="54466"/>
    <n v="0"/>
    <n v="217864"/>
    <n v="60041.47"/>
    <x v="0"/>
    <x v="10"/>
    <x v="1"/>
  </r>
  <r>
    <s v="ORD04967"/>
    <s v="2024-07-10"/>
    <x v="17"/>
    <x v="10"/>
    <x v="3"/>
    <s v="Marker"/>
    <n v="15"/>
    <n v="57612"/>
    <n v="0"/>
    <n v="864180"/>
    <n v="157847.07999999999"/>
    <x v="0"/>
    <x v="1"/>
    <x v="0"/>
  </r>
  <r>
    <s v="ORD04968"/>
    <s v="2024-02-24"/>
    <x v="7"/>
    <x v="3"/>
    <x v="3"/>
    <s v="Stapler"/>
    <n v="7"/>
    <n v="2620"/>
    <n v="0.1"/>
    <n v="16506"/>
    <n v="4758.79"/>
    <x v="1"/>
    <x v="11"/>
    <x v="0"/>
  </r>
  <r>
    <s v="ORD04969"/>
    <s v="2023-03-25"/>
    <x v="28"/>
    <x v="27"/>
    <x v="3"/>
    <s v="File"/>
    <n v="13"/>
    <n v="19427"/>
    <n v="0.1"/>
    <n v="227295.9"/>
    <n v="54615.82"/>
    <x v="0"/>
    <x v="7"/>
    <x v="1"/>
  </r>
  <r>
    <s v="ORD04970"/>
    <s v="2023-07-05"/>
    <x v="14"/>
    <x v="22"/>
    <x v="1"/>
    <s v="Camera"/>
    <n v="6"/>
    <n v="21458"/>
    <n v="0.15"/>
    <n v="109435.8"/>
    <n v="9916.8700000000008"/>
    <x v="3"/>
    <x v="1"/>
    <x v="1"/>
  </r>
  <r>
    <s v="ORD04971"/>
    <s v="2024-05-02"/>
    <x v="37"/>
    <x v="13"/>
    <x v="2"/>
    <s v="Jacket"/>
    <n v="9"/>
    <n v="37680"/>
    <n v="0.15"/>
    <n v="288252"/>
    <n v="40272.6"/>
    <x v="2"/>
    <x v="6"/>
    <x v="0"/>
  </r>
  <r>
    <s v="ORD04972"/>
    <s v="2024-07-28"/>
    <x v="5"/>
    <x v="2"/>
    <x v="2"/>
    <s v="Shoes"/>
    <n v="14"/>
    <n v="39548"/>
    <n v="0.2"/>
    <n v="442937.59999999998"/>
    <n v="68553.58"/>
    <x v="1"/>
    <x v="1"/>
    <x v="0"/>
  </r>
  <r>
    <s v="ORD04973"/>
    <s v="2023-07-23"/>
    <x v="12"/>
    <x v="27"/>
    <x v="3"/>
    <s v="File"/>
    <n v="7"/>
    <n v="19222"/>
    <n v="0.05"/>
    <n v="127826.3"/>
    <n v="13857.42"/>
    <x v="0"/>
    <x v="1"/>
    <x v="1"/>
  </r>
  <r>
    <s v="ORD04974"/>
    <s v="2023-10-10"/>
    <x v="41"/>
    <x v="4"/>
    <x v="0"/>
    <s v="Stool"/>
    <n v="11"/>
    <n v="22004"/>
    <n v="0.05"/>
    <n v="229941.8"/>
    <n v="47856.12"/>
    <x v="2"/>
    <x v="0"/>
    <x v="1"/>
  </r>
  <r>
    <s v="ORD04975"/>
    <s v="2024-08-08"/>
    <x v="47"/>
    <x v="25"/>
    <x v="3"/>
    <s v="Notebook"/>
    <n v="4"/>
    <n v="24130"/>
    <n v="0.1"/>
    <n v="86868"/>
    <n v="22364.73"/>
    <x v="2"/>
    <x v="8"/>
    <x v="0"/>
  </r>
  <r>
    <s v="ORD04976"/>
    <s v="2023-11-08"/>
    <x v="28"/>
    <x v="23"/>
    <x v="0"/>
    <s v="Desk"/>
    <n v="10"/>
    <n v="4935"/>
    <n v="0.05"/>
    <n v="46882.5"/>
    <n v="6425.91"/>
    <x v="3"/>
    <x v="4"/>
    <x v="1"/>
  </r>
  <r>
    <s v="ORD04977"/>
    <s v="2023-06-22"/>
    <x v="15"/>
    <x v="8"/>
    <x v="2"/>
    <s v="Sweater"/>
    <n v="10"/>
    <n v="48563"/>
    <n v="0.1"/>
    <n v="437067"/>
    <n v="40859.660000000003"/>
    <x v="0"/>
    <x v="5"/>
    <x v="1"/>
  </r>
  <r>
    <s v="ORD04978"/>
    <s v="2024-06-20"/>
    <x v="20"/>
    <x v="13"/>
    <x v="2"/>
    <s v="Jacket"/>
    <n v="7"/>
    <n v="22413"/>
    <n v="0.1"/>
    <n v="141201.9"/>
    <n v="40415.81"/>
    <x v="2"/>
    <x v="5"/>
    <x v="0"/>
  </r>
  <r>
    <s v="ORD04979"/>
    <s v="2023-08-18"/>
    <x v="24"/>
    <x v="6"/>
    <x v="2"/>
    <s v="Jeans"/>
    <n v="13"/>
    <n v="21362"/>
    <n v="0.1"/>
    <n v="249935.4"/>
    <n v="66703.649999999994"/>
    <x v="0"/>
    <x v="8"/>
    <x v="1"/>
  </r>
  <r>
    <s v="ORD04980"/>
    <s v="2023-07-16"/>
    <x v="29"/>
    <x v="14"/>
    <x v="2"/>
    <s v="Dress"/>
    <n v="10"/>
    <n v="40909"/>
    <n v="0.2"/>
    <n v="327272"/>
    <n v="94102.97"/>
    <x v="3"/>
    <x v="1"/>
    <x v="1"/>
  </r>
  <r>
    <s v="ORD04981"/>
    <s v="2024-05-22"/>
    <x v="18"/>
    <x v="2"/>
    <x v="2"/>
    <s v="Shoes"/>
    <n v="7"/>
    <n v="59261"/>
    <n v="0.1"/>
    <n v="373344.3"/>
    <n v="89157.85"/>
    <x v="3"/>
    <x v="6"/>
    <x v="0"/>
  </r>
  <r>
    <s v="ORD04982"/>
    <s v="2023-04-26"/>
    <x v="42"/>
    <x v="10"/>
    <x v="3"/>
    <s v="Marker"/>
    <n v="6"/>
    <n v="34024"/>
    <n v="0.15"/>
    <n v="173522.4"/>
    <n v="40995.47"/>
    <x v="0"/>
    <x v="2"/>
    <x v="1"/>
  </r>
  <r>
    <s v="ORD04983"/>
    <s v="2024-07-19"/>
    <x v="43"/>
    <x v="7"/>
    <x v="0"/>
    <s v="Bed"/>
    <n v="3"/>
    <n v="39142"/>
    <n v="0.1"/>
    <n v="105683.4"/>
    <n v="27397.34"/>
    <x v="2"/>
    <x v="1"/>
    <x v="0"/>
  </r>
  <r>
    <s v="ORD04984"/>
    <s v="2024-11-06"/>
    <x v="46"/>
    <x v="26"/>
    <x v="3"/>
    <s v="Paper Ream"/>
    <n v="9"/>
    <n v="43852"/>
    <n v="0.05"/>
    <n v="374934.6"/>
    <n v="48806.94"/>
    <x v="2"/>
    <x v="4"/>
    <x v="0"/>
  </r>
  <r>
    <s v="ORD04985"/>
    <s v="2023-04-03"/>
    <x v="10"/>
    <x v="6"/>
    <x v="2"/>
    <s v="Jeans"/>
    <n v="9"/>
    <n v="37719"/>
    <n v="0.1"/>
    <n v="305523.90000000002"/>
    <n v="50776.07"/>
    <x v="1"/>
    <x v="2"/>
    <x v="1"/>
  </r>
  <r>
    <s v="ORD04986"/>
    <s v="2024-08-14"/>
    <x v="12"/>
    <x v="8"/>
    <x v="2"/>
    <s v="Sweater"/>
    <n v="13"/>
    <n v="55174"/>
    <n v="0.15"/>
    <n v="609672.69999999995"/>
    <n v="103232.09"/>
    <x v="0"/>
    <x v="8"/>
    <x v="0"/>
  </r>
  <r>
    <s v="ORD04987"/>
    <s v="2024-09-23"/>
    <x v="15"/>
    <x v="12"/>
    <x v="1"/>
    <s v="Headphones"/>
    <n v="7"/>
    <n v="44812"/>
    <n v="0.2"/>
    <n v="250947.20000000001"/>
    <n v="30681.33"/>
    <x v="2"/>
    <x v="10"/>
    <x v="0"/>
  </r>
  <r>
    <s v="ORD04988"/>
    <s v="2023-03-31"/>
    <x v="31"/>
    <x v="6"/>
    <x v="2"/>
    <s v="Jeans"/>
    <n v="5"/>
    <n v="31370"/>
    <n v="0"/>
    <n v="156850"/>
    <n v="28492.79"/>
    <x v="2"/>
    <x v="7"/>
    <x v="1"/>
  </r>
  <r>
    <s v="ORD04989"/>
    <s v="2023-02-11"/>
    <x v="8"/>
    <x v="26"/>
    <x v="3"/>
    <s v="Paper Ream"/>
    <n v="2"/>
    <n v="2228"/>
    <n v="0.15"/>
    <n v="3787.6"/>
    <n v="1016.03"/>
    <x v="1"/>
    <x v="11"/>
    <x v="1"/>
  </r>
  <r>
    <s v="ORD04990"/>
    <s v="2023-01-12"/>
    <x v="28"/>
    <x v="15"/>
    <x v="0"/>
    <s v="Sofa"/>
    <n v="13"/>
    <n v="32888"/>
    <n v="0"/>
    <n v="427544"/>
    <n v="62273.919999999998"/>
    <x v="2"/>
    <x v="3"/>
    <x v="1"/>
  </r>
  <r>
    <s v="ORD04991"/>
    <s v="2023-12-12"/>
    <x v="36"/>
    <x v="14"/>
    <x v="2"/>
    <s v="Dress"/>
    <n v="11"/>
    <n v="45769"/>
    <n v="0.15"/>
    <n v="427940.15"/>
    <n v="98514.43"/>
    <x v="1"/>
    <x v="9"/>
    <x v="1"/>
  </r>
  <r>
    <s v="ORD04992"/>
    <s v="2024-08-27"/>
    <x v="26"/>
    <x v="6"/>
    <x v="2"/>
    <s v="Jeans"/>
    <n v="9"/>
    <n v="23497"/>
    <n v="0.1"/>
    <n v="190325.7"/>
    <n v="17514.34"/>
    <x v="2"/>
    <x v="8"/>
    <x v="0"/>
  </r>
  <r>
    <s v="ORD04993"/>
    <s v="2023-05-16"/>
    <x v="45"/>
    <x v="11"/>
    <x v="3"/>
    <s v="Printer"/>
    <n v="1"/>
    <n v="43806"/>
    <n v="0.2"/>
    <n v="35044.800000000003"/>
    <n v="6539.32"/>
    <x v="2"/>
    <x v="6"/>
    <x v="1"/>
  </r>
  <r>
    <s v="ORD04994"/>
    <s v="2024-09-12"/>
    <x v="12"/>
    <x v="9"/>
    <x v="1"/>
    <s v="Keyboard"/>
    <n v="11"/>
    <n v="24971"/>
    <n v="0.05"/>
    <n v="260946.95"/>
    <n v="24463.32"/>
    <x v="3"/>
    <x v="10"/>
    <x v="0"/>
  </r>
  <r>
    <s v="ORD04995"/>
    <s v="2023-01-14"/>
    <x v="30"/>
    <x v="14"/>
    <x v="2"/>
    <s v="Dress"/>
    <n v="8"/>
    <n v="12875"/>
    <n v="0.15"/>
    <n v="87550"/>
    <n v="12484.83"/>
    <x v="2"/>
    <x v="3"/>
    <x v="1"/>
  </r>
  <r>
    <s v="ORD04996"/>
    <s v="2024-07-26"/>
    <x v="29"/>
    <x v="4"/>
    <x v="0"/>
    <s v="Stool"/>
    <n v="15"/>
    <n v="46164"/>
    <n v="0.1"/>
    <n v="623214"/>
    <n v="64988.59"/>
    <x v="3"/>
    <x v="1"/>
    <x v="0"/>
  </r>
  <r>
    <s v="ORD04997"/>
    <s v="2023-09-24"/>
    <x v="22"/>
    <x v="1"/>
    <x v="1"/>
    <s v="Mobile"/>
    <n v="4"/>
    <n v="47316"/>
    <n v="0.2"/>
    <n v="151411.20000000001"/>
    <n v="43157.69"/>
    <x v="0"/>
    <x v="10"/>
    <x v="1"/>
  </r>
  <r>
    <s v="ORD04998"/>
    <s v="2023-08-15"/>
    <x v="16"/>
    <x v="22"/>
    <x v="1"/>
    <s v="Camera"/>
    <n v="10"/>
    <n v="56653"/>
    <n v="0.15"/>
    <n v="481550.5"/>
    <n v="128912.89"/>
    <x v="1"/>
    <x v="8"/>
    <x v="1"/>
  </r>
  <r>
    <s v="ORD04999"/>
    <s v="2023-09-07"/>
    <x v="7"/>
    <x v="27"/>
    <x v="3"/>
    <s v="File"/>
    <n v="8"/>
    <n v="562"/>
    <n v="0.15"/>
    <n v="3821.6"/>
    <n v="546.48"/>
    <x v="2"/>
    <x v="10"/>
    <x v="1"/>
  </r>
  <r>
    <s v="ORD05000"/>
    <s v="2023-01-01"/>
    <x v="36"/>
    <x v="22"/>
    <x v="1"/>
    <s v="Camera"/>
    <n v="3"/>
    <n v="58882"/>
    <n v="0.2"/>
    <n v="141316.79999999999"/>
    <n v="31975.49"/>
    <x v="3"/>
    <x v="3"/>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Customer Name">
  <location ref="A64:B75" firstHeaderRow="1" firstDataRow="1" firstDataCol="1"/>
  <pivotFields count="14">
    <pivotField showAll="0"/>
    <pivotField showAll="0"/>
    <pivotField axis="axisRow" showAll="0" measureFilter="1">
      <items count="51">
        <item x="35"/>
        <item x="36"/>
        <item x="3"/>
        <item x="25"/>
        <item x="8"/>
        <item x="4"/>
        <item x="28"/>
        <item x="33"/>
        <item x="45"/>
        <item x="43"/>
        <item x="24"/>
        <item x="31"/>
        <item x="40"/>
        <item x="17"/>
        <item x="41"/>
        <item x="44"/>
        <item x="0"/>
        <item x="47"/>
        <item x="22"/>
        <item x="7"/>
        <item x="2"/>
        <item x="21"/>
        <item x="37"/>
        <item x="46"/>
        <item x="42"/>
        <item x="13"/>
        <item x="38"/>
        <item x="20"/>
        <item x="11"/>
        <item x="30"/>
        <item x="5"/>
        <item x="19"/>
        <item x="49"/>
        <item x="9"/>
        <item x="27"/>
        <item x="23"/>
        <item x="1"/>
        <item x="26"/>
        <item x="10"/>
        <item x="15"/>
        <item x="48"/>
        <item x="34"/>
        <item x="16"/>
        <item x="12"/>
        <item x="29"/>
        <item x="6"/>
        <item x="32"/>
        <item x="18"/>
        <item x="39"/>
        <item x="14"/>
        <item t="default"/>
      </items>
    </pivotField>
    <pivotField showAll="0"/>
    <pivotField showAll="0">
      <items count="5">
        <item x="2"/>
        <item x="1"/>
        <item x="0"/>
        <item x="3"/>
        <item t="default"/>
      </items>
    </pivotField>
    <pivotField showAll="0"/>
    <pivotField showAll="0"/>
    <pivotField showAll="0"/>
    <pivotField showAll="0"/>
    <pivotField dataField="1" showAll="0"/>
    <pivotField showAll="0"/>
    <pivotField showAll="0">
      <items count="5">
        <item x="1"/>
        <item x="3"/>
        <item x="2"/>
        <item x="0"/>
        <item t="default"/>
      </items>
    </pivotField>
    <pivotField showAll="0">
      <items count="13">
        <item x="3"/>
        <item x="11"/>
        <item x="7"/>
        <item x="2"/>
        <item x="6"/>
        <item x="5"/>
        <item x="1"/>
        <item x="8"/>
        <item x="10"/>
        <item x="0"/>
        <item x="4"/>
        <item x="9"/>
        <item t="default"/>
      </items>
    </pivotField>
    <pivotField showAll="0">
      <items count="3">
        <item x="1"/>
        <item x="0"/>
        <item t="default"/>
      </items>
    </pivotField>
  </pivotFields>
  <rowFields count="1">
    <field x="2"/>
  </rowFields>
  <rowItems count="11">
    <i>
      <x v="1"/>
    </i>
    <i>
      <x v="4"/>
    </i>
    <i>
      <x v="8"/>
    </i>
    <i>
      <x v="11"/>
    </i>
    <i>
      <x v="14"/>
    </i>
    <i>
      <x v="18"/>
    </i>
    <i>
      <x v="36"/>
    </i>
    <i>
      <x v="43"/>
    </i>
    <i>
      <x v="46"/>
    </i>
    <i>
      <x v="48"/>
    </i>
    <i t="grand">
      <x/>
    </i>
  </rowItems>
  <colItems count="1">
    <i/>
  </colItems>
  <dataFields count="1">
    <dataField name="Sum of Sales" fld="9"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Monthly Sale Tren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7" rowHeaderCaption="Month">
  <location ref="A3:C16" firstHeaderRow="0" firstDataRow="1" firstDataCol="1"/>
  <pivotFields count="14">
    <pivotField showAll="0"/>
    <pivotField showAll="0"/>
    <pivotField showAll="0"/>
    <pivotField showAll="0"/>
    <pivotField showAll="0">
      <items count="5">
        <item x="2"/>
        <item x="1"/>
        <item x="0"/>
        <item x="3"/>
        <item t="default"/>
      </items>
    </pivotField>
    <pivotField showAll="0"/>
    <pivotField showAll="0"/>
    <pivotField showAll="0"/>
    <pivotField showAll="0"/>
    <pivotField dataField="1" showAll="0"/>
    <pivotField dataField="1" showAll="0"/>
    <pivotField showAll="0">
      <items count="5">
        <item x="1"/>
        <item x="3"/>
        <item x="2"/>
        <item x="0"/>
        <item t="default"/>
      </items>
    </pivotField>
    <pivotField axis="axisRow" showAll="0">
      <items count="13">
        <item x="3"/>
        <item x="11"/>
        <item x="7"/>
        <item x="2"/>
        <item x="6"/>
        <item x="5"/>
        <item x="1"/>
        <item x="8"/>
        <item x="10"/>
        <item x="0"/>
        <item x="4"/>
        <item x="9"/>
        <item t="default"/>
      </items>
    </pivotField>
    <pivotField showAll="0">
      <items count="3">
        <item x="1"/>
        <item x="0"/>
        <item t="default"/>
      </items>
    </pivotField>
  </pivotFields>
  <rowFields count="1">
    <field x="1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fld="9" baseField="12" baseItem="0" numFmtId="1"/>
    <dataField name="Sum of Profit" fld="10" baseField="0" baseItem="0"/>
  </dataFields>
  <formats count="1">
    <format dxfId="22">
      <pivotArea field="12" grandRow="1" outline="0" collapsedLevelsAreSubtotals="1" axis="axisRow" fieldPosition="0">
        <references count="1">
          <reference field="4294967294" count="1" selected="0">
            <x v="1"/>
          </reference>
        </references>
      </pivotArea>
    </format>
  </formats>
  <chartFormats count="8">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6" format="6">
      <pivotArea type="data" outline="0" fieldPosition="0">
        <references count="2">
          <reference field="4294967294" count="1" selected="0">
            <x v="1"/>
          </reference>
          <reference field="12" count="1" selected="0">
            <x v="11"/>
          </reference>
        </references>
      </pivotArea>
    </chartFormat>
    <chartFormat chart="6" format="7">
      <pivotArea type="data" outline="0" fieldPosition="0">
        <references count="2">
          <reference field="4294967294" count="1" selected="0">
            <x v="0"/>
          </reference>
          <reference field="12"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Region Wise Sale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Region">
  <location ref="A48:B53" firstHeaderRow="1" firstDataRow="1" firstDataCol="1"/>
  <pivotFields count="14">
    <pivotField showAll="0"/>
    <pivotField showAll="0"/>
    <pivotField showAll="0"/>
    <pivotField showAll="0"/>
    <pivotField showAll="0">
      <items count="5">
        <item x="2"/>
        <item x="1"/>
        <item x="0"/>
        <item x="3"/>
        <item t="default"/>
      </items>
    </pivotField>
    <pivotField showAll="0"/>
    <pivotField showAll="0"/>
    <pivotField showAll="0"/>
    <pivotField showAll="0"/>
    <pivotField dataField="1" showAll="0"/>
    <pivotField showAll="0"/>
    <pivotField axis="axisRow" showAll="0">
      <items count="5">
        <item x="1"/>
        <item x="3"/>
        <item x="2"/>
        <item x="0"/>
        <item t="default"/>
      </items>
    </pivotField>
    <pivotField showAll="0">
      <items count="13">
        <item x="3"/>
        <item x="11"/>
        <item x="7"/>
        <item x="2"/>
        <item x="6"/>
        <item x="5"/>
        <item x="1"/>
        <item x="8"/>
        <item x="10"/>
        <item x="0"/>
        <item x="4"/>
        <item x="9"/>
        <item t="default"/>
      </items>
    </pivotField>
    <pivotField showAll="0">
      <items count="3">
        <item x="1"/>
        <item x="0"/>
        <item t="default"/>
      </items>
    </pivotField>
  </pivotFields>
  <rowFields count="1">
    <field x="11"/>
  </rowFields>
  <rowItems count="5">
    <i>
      <x/>
    </i>
    <i>
      <x v="1"/>
    </i>
    <i>
      <x v="2"/>
    </i>
    <i>
      <x v="3"/>
    </i>
    <i t="grand">
      <x/>
    </i>
  </rowItems>
  <colItems count="1">
    <i/>
  </colItems>
  <dataFields count="1">
    <dataField name="Sum of Sales" fld="9"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Product">
  <location ref="A34:B40" firstHeaderRow="1" firstDataRow="1" firstDataCol="1"/>
  <pivotFields count="14">
    <pivotField showAll="0"/>
    <pivotField showAll="0"/>
    <pivotField showAll="0"/>
    <pivotField axis="axisRow" showAll="0" measureFilter="1">
      <items count="29">
        <item x="7"/>
        <item x="22"/>
        <item x="0"/>
        <item x="5"/>
        <item x="23"/>
        <item x="14"/>
        <item x="27"/>
        <item x="12"/>
        <item x="13"/>
        <item x="6"/>
        <item x="9"/>
        <item x="21"/>
        <item x="10"/>
        <item x="1"/>
        <item x="25"/>
        <item x="26"/>
        <item x="16"/>
        <item x="17"/>
        <item x="11"/>
        <item x="2"/>
        <item x="19"/>
        <item x="15"/>
        <item x="3"/>
        <item x="4"/>
        <item x="8"/>
        <item x="18"/>
        <item x="20"/>
        <item x="24"/>
        <item t="default"/>
      </items>
    </pivotField>
    <pivotField showAll="0">
      <items count="5">
        <item x="2"/>
        <item x="1"/>
        <item x="0"/>
        <item x="3"/>
        <item t="default"/>
      </items>
    </pivotField>
    <pivotField showAll="0"/>
    <pivotField showAll="0"/>
    <pivotField showAll="0"/>
    <pivotField showAll="0"/>
    <pivotField dataField="1" showAll="0"/>
    <pivotField showAll="0"/>
    <pivotField showAll="0">
      <items count="5">
        <item x="1"/>
        <item x="3"/>
        <item x="2"/>
        <item x="0"/>
        <item t="default"/>
      </items>
    </pivotField>
    <pivotField showAll="0">
      <items count="13">
        <item x="3"/>
        <item x="11"/>
        <item x="7"/>
        <item x="2"/>
        <item x="6"/>
        <item x="5"/>
        <item x="1"/>
        <item x="8"/>
        <item x="10"/>
        <item x="0"/>
        <item x="4"/>
        <item x="9"/>
        <item t="default"/>
      </items>
    </pivotField>
    <pivotField showAll="0">
      <items count="3">
        <item x="1"/>
        <item x="0"/>
        <item t="default"/>
      </items>
    </pivotField>
  </pivotFields>
  <rowFields count="1">
    <field x="3"/>
  </rowFields>
  <rowItems count="6">
    <i>
      <x v="5"/>
    </i>
    <i>
      <x v="8"/>
    </i>
    <i>
      <x v="19"/>
    </i>
    <i>
      <x v="24"/>
    </i>
    <i>
      <x v="27"/>
    </i>
    <i t="grand">
      <x/>
    </i>
  </rowItems>
  <colItems count="1">
    <i/>
  </colItems>
  <dataFields count="1">
    <dataField name="Sum of Sales" fld="9"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Category wise Perfformanc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Category">
  <location ref="A19:C24" firstHeaderRow="0" firstDataRow="1" firstDataCol="1"/>
  <pivotFields count="14">
    <pivotField showAll="0"/>
    <pivotField showAll="0"/>
    <pivotField showAll="0"/>
    <pivotField showAll="0"/>
    <pivotField axis="axisRow" showAll="0">
      <items count="5">
        <item x="2"/>
        <item x="1"/>
        <item x="0"/>
        <item x="3"/>
        <item t="default"/>
      </items>
    </pivotField>
    <pivotField showAll="0"/>
    <pivotField showAll="0"/>
    <pivotField showAll="0"/>
    <pivotField showAll="0"/>
    <pivotField dataField="1" showAll="0"/>
    <pivotField dataField="1" showAll="0"/>
    <pivotField showAll="0">
      <items count="5">
        <item x="1"/>
        <item x="3"/>
        <item x="2"/>
        <item x="0"/>
        <item t="default"/>
      </items>
    </pivotField>
    <pivotField showAll="0">
      <items count="13">
        <item x="3"/>
        <item x="11"/>
        <item x="7"/>
        <item x="2"/>
        <item x="6"/>
        <item x="5"/>
        <item x="1"/>
        <item x="8"/>
        <item x="10"/>
        <item x="0"/>
        <item x="4"/>
        <item x="9"/>
        <item t="default"/>
      </items>
    </pivotField>
    <pivotField showAll="0">
      <items count="3">
        <item x="1"/>
        <item x="0"/>
        <item t="default"/>
      </items>
    </pivotField>
  </pivotFields>
  <rowFields count="1">
    <field x="4"/>
  </rowFields>
  <rowItems count="5">
    <i>
      <x/>
    </i>
    <i>
      <x v="1"/>
    </i>
    <i>
      <x v="2"/>
    </i>
    <i>
      <x v="3"/>
    </i>
    <i t="grand">
      <x/>
    </i>
  </rowItems>
  <colFields count="1">
    <field x="-2"/>
  </colFields>
  <colItems count="2">
    <i>
      <x/>
    </i>
    <i i="1">
      <x v="1"/>
    </i>
  </colItems>
  <dataFields count="2">
    <dataField name="Sum of Sales" fld="9" baseField="0" baseItem="0"/>
    <dataField name="Sum of Profit" fld="10" baseField="0" baseItem="0"/>
  </dataFields>
  <formats count="1">
    <format dxfId="23">
      <pivotArea field="4" grandRow="1" outline="0" collapsedLevelsAreSubtotals="1" axis="axisRow"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3:C4" firstHeaderRow="0" firstDataRow="1" firstDataCol="0"/>
  <pivotFields count="14">
    <pivotField dataField="1" showAll="0"/>
    <pivotField showAll="0"/>
    <pivotField showAll="0"/>
    <pivotField showAll="0"/>
    <pivotField showAll="0">
      <items count="5">
        <item x="2"/>
        <item x="1"/>
        <item x="0"/>
        <item x="3"/>
        <item t="default"/>
      </items>
    </pivotField>
    <pivotField showAll="0"/>
    <pivotField showAll="0"/>
    <pivotField showAll="0"/>
    <pivotField showAll="0"/>
    <pivotField dataField="1" showAll="0"/>
    <pivotField dataField="1" showAll="0"/>
    <pivotField showAll="0"/>
    <pivotField showAll="0">
      <items count="13">
        <item x="3"/>
        <item x="11"/>
        <item x="7"/>
        <item x="2"/>
        <item x="6"/>
        <item x="5"/>
        <item x="1"/>
        <item x="8"/>
        <item x="10"/>
        <item x="0"/>
        <item x="4"/>
        <item x="9"/>
        <item t="default"/>
      </items>
    </pivotField>
    <pivotField showAll="0"/>
  </pivotFields>
  <rowItems count="1">
    <i/>
  </rowItems>
  <colFields count="1">
    <field x="-2"/>
  </colFields>
  <colItems count="3">
    <i>
      <x/>
    </i>
    <i i="1">
      <x v="1"/>
    </i>
    <i i="2">
      <x v="2"/>
    </i>
  </colItems>
  <dataFields count="3">
    <dataField name="Sum of Sales" fld="9" baseField="0" baseItem="0" numFmtId="3"/>
    <dataField name="Sum of Profit" fld="10" baseField="0" baseItem="0" numFmtId="3"/>
    <dataField name="Count of Order ID" fld="0" subtotal="count" baseField="0" baseItem="0" numFmtId="3"/>
  </dataFields>
  <formats count="3">
    <format dxfId="21">
      <pivotArea outline="0" collapsedLevelsAreSubtotals="1" fieldPosition="0">
        <references count="1">
          <reference field="4294967294" count="1" selected="0">
            <x v="0"/>
          </reference>
        </references>
      </pivotArea>
    </format>
    <format dxfId="20">
      <pivotArea outline="0" fieldPosition="0">
        <references count="1">
          <reference field="4294967294" count="1">
            <x v="1"/>
          </reference>
        </references>
      </pivotArea>
    </format>
    <format dxfId="19">
      <pivotArea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2" name="Monthly Sale Trend"/>
    <pivotTable tabId="2" name="Category wise Perfformance"/>
    <pivotTable tabId="2" name="PivotTable1"/>
    <pivotTable tabId="2" name="PivotTable2"/>
    <pivotTable tabId="2" name="Region Wise Sales"/>
    <pivotTable tabId="4" name="PivotTable1"/>
  </pivotTables>
  <data>
    <tabular pivotCacheId="1">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2" name="Monthly Sale Trend"/>
    <pivotTable tabId="2" name="Category wise Perfformance"/>
    <pivotTable tabId="2" name="PivotTable1"/>
    <pivotTable tabId="2" name="PivotTable2"/>
    <pivotTable tabId="2" name="Region Wise Sales"/>
  </pivotTables>
  <data>
    <tabular pivotCacheId="1">
      <items count="4">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2" name="Monthly Sale Trend"/>
    <pivotTable tabId="2" name="Category wise Perfformance"/>
    <pivotTable tabId="2" name="PivotTable1"/>
    <pivotTable tabId="2" name="PivotTable2"/>
    <pivotTable tabId="2" name="Region Wise Sales"/>
    <pivotTable tabId="4" name="PivotTable1"/>
  </pivotTables>
  <data>
    <tabular pivotCacheId="1">
      <items count="12">
        <i x="3" s="1"/>
        <i x="11" s="1"/>
        <i x="7" s="1"/>
        <i x="2" s="1"/>
        <i x="6" s="1"/>
        <i x="5" s="1"/>
        <i x="1" s="1"/>
        <i x="8" s="1"/>
        <i x="10" s="1"/>
        <i x="0" s="1"/>
        <i x="4" s="1"/>
        <i x="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Year" sourceName="Year">
  <pivotTables>
    <pivotTable tabId="2" name="Monthly Sale Trend"/>
    <pivotTable tabId="2" name="Category wise Perfformance"/>
    <pivotTable tabId="2" name="PivotTable1"/>
    <pivotTable tabId="2" name="PivotTable2"/>
    <pivotTable tabId="2" name="Region Wise Sales"/>
  </pivotTables>
  <data>
    <tabular pivotCacheId="1">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ategory" cache="Slicer_Category" caption="Category" rowHeight="241300"/>
  <slicer name="Region" cache="Slicer_Region" caption="Region" rowHeight="241300"/>
  <slicer name="Month" cache="Slicer_Month" caption="Month" rowHeight="241300"/>
  <slicer name="Year"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Category 1" cache="Slicer_Category" caption="Category" rowHeight="241300"/>
  <slicer name="Region 1" cache="Slicer_Region" caption="Region" rowHeight="241300"/>
  <slicer name="Month 1" cache="Slicer_Month" caption="Month" rowHeight="241300"/>
  <slicer name="Year 1" cache="Slicer_Year" caption="Year" rowHeight="241300"/>
</slicers>
</file>

<file path=xl/tables/table1.xml><?xml version="1.0" encoding="utf-8"?>
<table xmlns="http://schemas.openxmlformats.org/spreadsheetml/2006/main" id="1" name="Table1" displayName="Table1" ref="A1:N5001" totalsRowShown="0" headerRowDxfId="39" dataDxfId="38">
  <autoFilter ref="A1:N5001"/>
  <tableColumns count="14">
    <tableColumn id="1" name="Order ID" dataDxfId="37"/>
    <tableColumn id="2" name="Order Date" dataDxfId="36"/>
    <tableColumn id="3" name="Customer Name" dataDxfId="35"/>
    <tableColumn id="4" name="Product" dataDxfId="34"/>
    <tableColumn id="5" name="Category" dataDxfId="33"/>
    <tableColumn id="6" name="Sub-Category" dataDxfId="32"/>
    <tableColumn id="7" name="Quantity" dataDxfId="31"/>
    <tableColumn id="8" name="Price" dataDxfId="30"/>
    <tableColumn id="9" name="Discount" dataDxfId="29"/>
    <tableColumn id="10" name="Sales" dataDxfId="28"/>
    <tableColumn id="11" name="Profit" dataDxfId="27"/>
    <tableColumn id="12" name="Region" dataDxfId="26"/>
    <tableColumn id="13" name="Month" dataDxfId="25">
      <calculatedColumnFormula>TEXT(Table1[[#This Row],[Order Date]],"mmm")</calculatedColumnFormula>
    </tableColumn>
    <tableColumn id="14" name="Year" dataDxfId="24">
      <calculatedColumnFormula>YEAR(Table1[[#This Row],[Order Date]])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001"/>
  <sheetViews>
    <sheetView topLeftCell="A2" workbookViewId="0">
      <selection activeCell="B1" sqref="B1:N5001"/>
    </sheetView>
  </sheetViews>
  <sheetFormatPr defaultRowHeight="14.5" x14ac:dyDescent="0.35"/>
  <cols>
    <col min="1" max="1" width="12.54296875" bestFit="1" customWidth="1"/>
    <col min="2" max="2" width="14.7265625" bestFit="1" customWidth="1"/>
    <col min="3" max="3" width="19" bestFit="1" customWidth="1"/>
    <col min="4" max="4" width="12" bestFit="1" customWidth="1"/>
    <col min="5" max="5" width="13.1796875" bestFit="1" customWidth="1"/>
    <col min="6" max="6" width="16.54296875" bestFit="1" customWidth="1"/>
    <col min="7" max="7" width="12.7265625" bestFit="1" customWidth="1"/>
    <col min="8" max="8" width="9.453125" bestFit="1" customWidth="1"/>
    <col min="9" max="9" width="12.7265625" bestFit="1" customWidth="1"/>
    <col min="10" max="10" width="9.81640625" bestFit="1" customWidth="1"/>
    <col min="11" max="11" width="10.08984375" bestFit="1" customWidth="1"/>
    <col min="12" max="12" width="11" bestFit="1" customWidth="1"/>
    <col min="13" max="13" width="11.08984375" bestFit="1" customWidth="1"/>
    <col min="14" max="14" width="9.08984375" bestFit="1" customWidth="1"/>
  </cols>
  <sheetData>
    <row r="1" spans="1:14" x14ac:dyDescent="0.35">
      <c r="A1" s="1" t="s">
        <v>0</v>
      </c>
      <c r="B1" s="1" t="s">
        <v>1</v>
      </c>
      <c r="C1" s="1" t="s">
        <v>2</v>
      </c>
      <c r="D1" s="1" t="s">
        <v>3</v>
      </c>
      <c r="E1" s="1" t="s">
        <v>4</v>
      </c>
      <c r="F1" s="1" t="s">
        <v>5</v>
      </c>
      <c r="G1" s="1" t="s">
        <v>6</v>
      </c>
      <c r="H1" s="1" t="s">
        <v>7</v>
      </c>
      <c r="I1" s="1" t="s">
        <v>8</v>
      </c>
      <c r="J1" s="1" t="s">
        <v>9</v>
      </c>
      <c r="K1" s="1" t="s">
        <v>10</v>
      </c>
      <c r="L1" s="1" t="s">
        <v>11</v>
      </c>
      <c r="M1" s="1" t="s">
        <v>5799</v>
      </c>
      <c r="N1" s="1" t="s">
        <v>5800</v>
      </c>
    </row>
    <row r="2" spans="1:14" x14ac:dyDescent="0.35">
      <c r="A2" s="1" t="s">
        <v>12</v>
      </c>
      <c r="B2" s="1" t="s">
        <v>13</v>
      </c>
      <c r="C2" s="1" t="s">
        <v>14</v>
      </c>
      <c r="D2" s="1" t="s">
        <v>15</v>
      </c>
      <c r="E2" s="1" t="s">
        <v>16</v>
      </c>
      <c r="F2" s="1" t="s">
        <v>15</v>
      </c>
      <c r="G2" s="1">
        <v>2</v>
      </c>
      <c r="H2" s="1">
        <v>24023</v>
      </c>
      <c r="I2" s="1">
        <v>0.1</v>
      </c>
      <c r="J2" s="1">
        <v>43241.4</v>
      </c>
      <c r="K2" s="1">
        <v>7724.77</v>
      </c>
      <c r="L2" s="1" t="s">
        <v>17</v>
      </c>
      <c r="M2" s="1" t="str">
        <f>TEXT(Table1[[#This Row],[Order Date]],"mmm")</f>
        <v>Oct</v>
      </c>
      <c r="N2" s="1">
        <f>YEAR(Table1[[#This Row],[Order Date]])</f>
        <v>2024</v>
      </c>
    </row>
    <row r="3" spans="1:14" x14ac:dyDescent="0.35">
      <c r="A3" s="1" t="s">
        <v>18</v>
      </c>
      <c r="B3" s="1" t="s">
        <v>19</v>
      </c>
      <c r="C3" s="1" t="s">
        <v>20</v>
      </c>
      <c r="D3" s="1" t="s">
        <v>21</v>
      </c>
      <c r="E3" s="1" t="s">
        <v>22</v>
      </c>
      <c r="F3" s="1" t="s">
        <v>21</v>
      </c>
      <c r="G3" s="1">
        <v>11</v>
      </c>
      <c r="H3" s="1">
        <v>55342</v>
      </c>
      <c r="I3" s="1">
        <v>0.15</v>
      </c>
      <c r="J3" s="1">
        <v>517447.7</v>
      </c>
      <c r="K3" s="1">
        <v>75476.69</v>
      </c>
      <c r="L3" s="1" t="s">
        <v>23</v>
      </c>
      <c r="M3" s="1" t="str">
        <f>TEXT(Table1[[#This Row],[Order Date]],"mmm")</f>
        <v>Jul</v>
      </c>
      <c r="N3" s="1">
        <f>YEAR(Table1[[#This Row],[Order Date]])</f>
        <v>2023</v>
      </c>
    </row>
    <row r="4" spans="1:14" x14ac:dyDescent="0.35">
      <c r="A4" s="1" t="s">
        <v>24</v>
      </c>
      <c r="B4" s="1" t="s">
        <v>25</v>
      </c>
      <c r="C4" s="1" t="s">
        <v>26</v>
      </c>
      <c r="D4" s="1" t="s">
        <v>27</v>
      </c>
      <c r="E4" s="1" t="s">
        <v>28</v>
      </c>
      <c r="F4" s="1" t="s">
        <v>27</v>
      </c>
      <c r="G4" s="1">
        <v>2</v>
      </c>
      <c r="H4" s="1">
        <v>5322</v>
      </c>
      <c r="I4" s="1">
        <v>0.2</v>
      </c>
      <c r="J4" s="1">
        <v>8515.2000000000007</v>
      </c>
      <c r="K4" s="1">
        <v>2374.42</v>
      </c>
      <c r="L4" s="1" t="s">
        <v>23</v>
      </c>
      <c r="M4" s="1" t="str">
        <f>TEXT(Table1[[#This Row],[Order Date]],"mmm")</f>
        <v>Apr</v>
      </c>
      <c r="N4" s="1">
        <f>YEAR(Table1[[#This Row],[Order Date]])</f>
        <v>2023</v>
      </c>
    </row>
    <row r="5" spans="1:14" x14ac:dyDescent="0.35">
      <c r="A5" s="1" t="s">
        <v>29</v>
      </c>
      <c r="B5" s="1" t="s">
        <v>30</v>
      </c>
      <c r="C5" s="1" t="s">
        <v>31</v>
      </c>
      <c r="D5" s="1" t="s">
        <v>32</v>
      </c>
      <c r="E5" s="1" t="s">
        <v>33</v>
      </c>
      <c r="F5" s="1" t="s">
        <v>32</v>
      </c>
      <c r="G5" s="1">
        <v>1</v>
      </c>
      <c r="H5" s="1">
        <v>25164</v>
      </c>
      <c r="I5" s="1">
        <v>0.2</v>
      </c>
      <c r="J5" s="1">
        <v>20131.2</v>
      </c>
      <c r="K5" s="1">
        <v>3047.59</v>
      </c>
      <c r="L5" s="1" t="s">
        <v>23</v>
      </c>
      <c r="M5" s="1" t="str">
        <f>TEXT(Table1[[#This Row],[Order Date]],"mmm")</f>
        <v>Apr</v>
      </c>
      <c r="N5" s="1">
        <f>YEAR(Table1[[#This Row],[Order Date]])</f>
        <v>2023</v>
      </c>
    </row>
    <row r="6" spans="1:14" x14ac:dyDescent="0.35">
      <c r="A6" s="1" t="s">
        <v>34</v>
      </c>
      <c r="B6" s="1" t="s">
        <v>35</v>
      </c>
      <c r="C6" s="1" t="s">
        <v>36</v>
      </c>
      <c r="D6" s="1" t="s">
        <v>37</v>
      </c>
      <c r="E6" s="1" t="s">
        <v>16</v>
      </c>
      <c r="F6" s="1" t="s">
        <v>37</v>
      </c>
      <c r="G6" s="1">
        <v>14</v>
      </c>
      <c r="H6" s="1">
        <v>35143</v>
      </c>
      <c r="I6" s="1">
        <v>0.05</v>
      </c>
      <c r="J6" s="1">
        <v>467401.9</v>
      </c>
      <c r="K6" s="1">
        <v>115578.17</v>
      </c>
      <c r="L6" s="1" t="s">
        <v>23</v>
      </c>
      <c r="M6" s="1" t="str">
        <f>TEXT(Table1[[#This Row],[Order Date]],"mmm")</f>
        <v>Jan</v>
      </c>
      <c r="N6" s="1">
        <f>YEAR(Table1[[#This Row],[Order Date]])</f>
        <v>2023</v>
      </c>
    </row>
    <row r="7" spans="1:14" x14ac:dyDescent="0.35">
      <c r="A7" s="1" t="s">
        <v>38</v>
      </c>
      <c r="B7" s="1" t="s">
        <v>39</v>
      </c>
      <c r="C7" s="1" t="s">
        <v>40</v>
      </c>
      <c r="D7" s="1" t="s">
        <v>41</v>
      </c>
      <c r="E7" s="1" t="s">
        <v>16</v>
      </c>
      <c r="F7" s="1" t="s">
        <v>41</v>
      </c>
      <c r="G7" s="1">
        <v>9</v>
      </c>
      <c r="H7" s="1">
        <v>21728</v>
      </c>
      <c r="I7" s="1">
        <v>0.15</v>
      </c>
      <c r="J7" s="1">
        <v>166219.20000000001</v>
      </c>
      <c r="K7" s="1">
        <v>47439.87</v>
      </c>
      <c r="L7" s="1" t="s">
        <v>23</v>
      </c>
      <c r="M7" s="1" t="str">
        <f>TEXT(Table1[[#This Row],[Order Date]],"mmm")</f>
        <v>Nov</v>
      </c>
      <c r="N7" s="1">
        <f>YEAR(Table1[[#This Row],[Order Date]])</f>
        <v>2023</v>
      </c>
    </row>
    <row r="8" spans="1:14" x14ac:dyDescent="0.35">
      <c r="A8" s="1" t="s">
        <v>42</v>
      </c>
      <c r="B8" s="1" t="s">
        <v>43</v>
      </c>
      <c r="C8" s="1" t="s">
        <v>31</v>
      </c>
      <c r="D8" s="1" t="s">
        <v>44</v>
      </c>
      <c r="E8" s="1" t="s">
        <v>28</v>
      </c>
      <c r="F8" s="1" t="s">
        <v>44</v>
      </c>
      <c r="G8" s="1">
        <v>8</v>
      </c>
      <c r="H8" s="1">
        <v>1632</v>
      </c>
      <c r="I8" s="1">
        <v>0.15</v>
      </c>
      <c r="J8" s="1">
        <v>11097.6</v>
      </c>
      <c r="K8" s="1">
        <v>1595.06</v>
      </c>
      <c r="L8" s="1" t="s">
        <v>45</v>
      </c>
      <c r="M8" s="1" t="str">
        <f>TEXT(Table1[[#This Row],[Order Date]],"mmm")</f>
        <v>Jun</v>
      </c>
      <c r="N8" s="1">
        <f>YEAR(Table1[[#This Row],[Order Date]])</f>
        <v>2023</v>
      </c>
    </row>
    <row r="9" spans="1:14" x14ac:dyDescent="0.35">
      <c r="A9" s="1" t="s">
        <v>46</v>
      </c>
      <c r="B9" s="1" t="s">
        <v>47</v>
      </c>
      <c r="C9" s="1" t="s">
        <v>40</v>
      </c>
      <c r="D9" s="1" t="s">
        <v>48</v>
      </c>
      <c r="E9" s="1" t="s">
        <v>16</v>
      </c>
      <c r="F9" s="1" t="s">
        <v>48</v>
      </c>
      <c r="G9" s="1">
        <v>11</v>
      </c>
      <c r="H9" s="1">
        <v>10430</v>
      </c>
      <c r="I9" s="1">
        <v>0.1</v>
      </c>
      <c r="J9" s="1">
        <v>103257</v>
      </c>
      <c r="K9" s="1">
        <v>27205.87</v>
      </c>
      <c r="L9" s="1" t="s">
        <v>17</v>
      </c>
      <c r="M9" s="1" t="str">
        <f>TEXT(Table1[[#This Row],[Order Date]],"mmm")</f>
        <v>May</v>
      </c>
      <c r="N9" s="1">
        <f>YEAR(Table1[[#This Row],[Order Date]])</f>
        <v>2023</v>
      </c>
    </row>
    <row r="10" spans="1:14" x14ac:dyDescent="0.35">
      <c r="A10" s="1" t="s">
        <v>49</v>
      </c>
      <c r="B10" s="1" t="s">
        <v>50</v>
      </c>
      <c r="C10" s="1" t="s">
        <v>51</v>
      </c>
      <c r="D10" s="1" t="s">
        <v>52</v>
      </c>
      <c r="E10" s="1" t="s">
        <v>28</v>
      </c>
      <c r="F10" s="1" t="s">
        <v>52</v>
      </c>
      <c r="G10" s="1">
        <v>9</v>
      </c>
      <c r="H10" s="1">
        <v>30559</v>
      </c>
      <c r="I10" s="1">
        <v>0.05</v>
      </c>
      <c r="J10" s="1">
        <v>261279.45</v>
      </c>
      <c r="K10" s="1">
        <v>42986.66</v>
      </c>
      <c r="L10" s="1" t="s">
        <v>23</v>
      </c>
      <c r="M10" s="1" t="str">
        <f>TEXT(Table1[[#This Row],[Order Date]],"mmm")</f>
        <v>May</v>
      </c>
      <c r="N10" s="1">
        <f>YEAR(Table1[[#This Row],[Order Date]])</f>
        <v>2023</v>
      </c>
    </row>
    <row r="11" spans="1:14" x14ac:dyDescent="0.35">
      <c r="A11" s="1" t="s">
        <v>53</v>
      </c>
      <c r="B11" s="1" t="s">
        <v>54</v>
      </c>
      <c r="C11" s="1" t="s">
        <v>55</v>
      </c>
      <c r="D11" s="1" t="s">
        <v>56</v>
      </c>
      <c r="E11" s="1" t="s">
        <v>22</v>
      </c>
      <c r="F11" s="1" t="s">
        <v>56</v>
      </c>
      <c r="G11" s="1">
        <v>9</v>
      </c>
      <c r="H11" s="1">
        <v>37175</v>
      </c>
      <c r="I11" s="1">
        <v>0.1</v>
      </c>
      <c r="J11" s="1">
        <v>301117.5</v>
      </c>
      <c r="K11" s="1">
        <v>86865.45</v>
      </c>
      <c r="L11" s="1" t="s">
        <v>45</v>
      </c>
      <c r="M11" s="1" t="str">
        <f>TEXT(Table1[[#This Row],[Order Date]],"mmm")</f>
        <v>Mar</v>
      </c>
      <c r="N11" s="1">
        <f>YEAR(Table1[[#This Row],[Order Date]])</f>
        <v>2023</v>
      </c>
    </row>
    <row r="12" spans="1:14" x14ac:dyDescent="0.35">
      <c r="A12" s="1" t="s">
        <v>57</v>
      </c>
      <c r="B12" s="1" t="s">
        <v>58</v>
      </c>
      <c r="C12" s="1" t="s">
        <v>59</v>
      </c>
      <c r="D12" s="1" t="s">
        <v>60</v>
      </c>
      <c r="E12" s="1" t="s">
        <v>33</v>
      </c>
      <c r="F12" s="1" t="s">
        <v>60</v>
      </c>
      <c r="G12" s="1">
        <v>13</v>
      </c>
      <c r="H12" s="1">
        <v>32254</v>
      </c>
      <c r="I12" s="1">
        <v>0.05</v>
      </c>
      <c r="J12" s="1">
        <v>398336.9</v>
      </c>
      <c r="K12" s="1">
        <v>108350.83</v>
      </c>
      <c r="L12" s="1" t="s">
        <v>17</v>
      </c>
      <c r="M12" s="1" t="str">
        <f>TEXT(Table1[[#This Row],[Order Date]],"mmm")</f>
        <v>Aug</v>
      </c>
      <c r="N12" s="1">
        <f>YEAR(Table1[[#This Row],[Order Date]])</f>
        <v>2024</v>
      </c>
    </row>
    <row r="13" spans="1:14" x14ac:dyDescent="0.35">
      <c r="A13" s="1" t="s">
        <v>61</v>
      </c>
      <c r="B13" s="1" t="s">
        <v>62</v>
      </c>
      <c r="C13" s="1" t="s">
        <v>63</v>
      </c>
      <c r="D13" s="1" t="s">
        <v>64</v>
      </c>
      <c r="E13" s="1" t="s">
        <v>33</v>
      </c>
      <c r="F13" s="1" t="s">
        <v>64</v>
      </c>
      <c r="G13" s="1">
        <v>4</v>
      </c>
      <c r="H13" s="1">
        <v>49901</v>
      </c>
      <c r="I13" s="1">
        <v>0.05</v>
      </c>
      <c r="J13" s="1">
        <v>189623.8</v>
      </c>
      <c r="K13" s="1">
        <v>48844.08</v>
      </c>
      <c r="L13" s="1" t="s">
        <v>17</v>
      </c>
      <c r="M13" s="1" t="str">
        <f>TEXT(Table1[[#This Row],[Order Date]],"mmm")</f>
        <v>Dec</v>
      </c>
      <c r="N13" s="1">
        <f>YEAR(Table1[[#This Row],[Order Date]])</f>
        <v>2023</v>
      </c>
    </row>
    <row r="14" spans="1:14" x14ac:dyDescent="0.35">
      <c r="A14" s="1" t="s">
        <v>65</v>
      </c>
      <c r="B14" s="1" t="s">
        <v>66</v>
      </c>
      <c r="C14" s="1" t="s">
        <v>67</v>
      </c>
      <c r="D14" s="1" t="s">
        <v>37</v>
      </c>
      <c r="E14" s="1" t="s">
        <v>16</v>
      </c>
      <c r="F14" s="1" t="s">
        <v>37</v>
      </c>
      <c r="G14" s="1">
        <v>1</v>
      </c>
      <c r="H14" s="1">
        <v>28995</v>
      </c>
      <c r="I14" s="1">
        <v>0.1</v>
      </c>
      <c r="J14" s="1">
        <v>26095.5</v>
      </c>
      <c r="K14" s="1">
        <v>6042.96</v>
      </c>
      <c r="L14" s="1" t="s">
        <v>23</v>
      </c>
      <c r="M14" s="1" t="str">
        <f>TEXT(Table1[[#This Row],[Order Date]],"mmm")</f>
        <v>Sep</v>
      </c>
      <c r="N14" s="1">
        <f>YEAR(Table1[[#This Row],[Order Date]])</f>
        <v>2024</v>
      </c>
    </row>
    <row r="15" spans="1:14" x14ac:dyDescent="0.35">
      <c r="A15" s="1" t="s">
        <v>68</v>
      </c>
      <c r="B15" s="1" t="s">
        <v>69</v>
      </c>
      <c r="C15" s="1" t="s">
        <v>40</v>
      </c>
      <c r="D15" s="1" t="s">
        <v>64</v>
      </c>
      <c r="E15" s="1" t="s">
        <v>33</v>
      </c>
      <c r="F15" s="1" t="s">
        <v>64</v>
      </c>
      <c r="G15" s="1">
        <v>11</v>
      </c>
      <c r="H15" s="1">
        <v>41622</v>
      </c>
      <c r="I15" s="1">
        <v>0</v>
      </c>
      <c r="J15" s="1">
        <v>457842</v>
      </c>
      <c r="K15" s="1">
        <v>123146.1</v>
      </c>
      <c r="L15" s="1" t="s">
        <v>70</v>
      </c>
      <c r="M15" s="1" t="str">
        <f>TEXT(Table1[[#This Row],[Order Date]],"mmm")</f>
        <v>Mar</v>
      </c>
      <c r="N15" s="1">
        <f>YEAR(Table1[[#This Row],[Order Date]])</f>
        <v>2023</v>
      </c>
    </row>
    <row r="16" spans="1:14" x14ac:dyDescent="0.35">
      <c r="A16" s="1" t="s">
        <v>71</v>
      </c>
      <c r="B16" s="1" t="s">
        <v>72</v>
      </c>
      <c r="C16" s="1" t="s">
        <v>73</v>
      </c>
      <c r="D16" s="1" t="s">
        <v>74</v>
      </c>
      <c r="E16" s="1" t="s">
        <v>22</v>
      </c>
      <c r="F16" s="1" t="s">
        <v>74</v>
      </c>
      <c r="G16" s="1">
        <v>14</v>
      </c>
      <c r="H16" s="1">
        <v>46391</v>
      </c>
      <c r="I16" s="1">
        <v>0.05</v>
      </c>
      <c r="J16" s="1">
        <v>617000.30000000005</v>
      </c>
      <c r="K16" s="1">
        <v>167529.51999999999</v>
      </c>
      <c r="L16" s="1" t="s">
        <v>23</v>
      </c>
      <c r="M16" s="1" t="str">
        <f>TEXT(Table1[[#This Row],[Order Date]],"mmm")</f>
        <v>Aug</v>
      </c>
      <c r="N16" s="1">
        <f>YEAR(Table1[[#This Row],[Order Date]])</f>
        <v>2023</v>
      </c>
    </row>
    <row r="17" spans="1:14" x14ac:dyDescent="0.35">
      <c r="A17" s="1" t="s">
        <v>75</v>
      </c>
      <c r="B17" s="1" t="s">
        <v>76</v>
      </c>
      <c r="C17" s="1" t="s">
        <v>77</v>
      </c>
      <c r="D17" s="1" t="s">
        <v>78</v>
      </c>
      <c r="E17" s="1" t="s">
        <v>28</v>
      </c>
      <c r="F17" s="1" t="s">
        <v>78</v>
      </c>
      <c r="G17" s="1">
        <v>2</v>
      </c>
      <c r="H17" s="1">
        <v>56695</v>
      </c>
      <c r="I17" s="1">
        <v>0.05</v>
      </c>
      <c r="J17" s="1">
        <v>107720.5</v>
      </c>
      <c r="K17" s="1">
        <v>28757.57</v>
      </c>
      <c r="L17" s="1" t="s">
        <v>23</v>
      </c>
      <c r="M17" s="1" t="str">
        <f>TEXT(Table1[[#This Row],[Order Date]],"mmm")</f>
        <v>Sep</v>
      </c>
      <c r="N17" s="1">
        <f>YEAR(Table1[[#This Row],[Order Date]])</f>
        <v>2024</v>
      </c>
    </row>
    <row r="18" spans="1:14" x14ac:dyDescent="0.35">
      <c r="A18" s="1" t="s">
        <v>79</v>
      </c>
      <c r="B18" s="1" t="s">
        <v>80</v>
      </c>
      <c r="C18" s="1" t="s">
        <v>81</v>
      </c>
      <c r="D18" s="1" t="s">
        <v>60</v>
      </c>
      <c r="E18" s="1" t="s">
        <v>33</v>
      </c>
      <c r="F18" s="1" t="s">
        <v>60</v>
      </c>
      <c r="G18" s="1">
        <v>15</v>
      </c>
      <c r="H18" s="1">
        <v>12878</v>
      </c>
      <c r="I18" s="1">
        <v>0.15</v>
      </c>
      <c r="J18" s="1">
        <v>164194.5</v>
      </c>
      <c r="K18" s="1">
        <v>39561.11</v>
      </c>
      <c r="L18" s="1" t="s">
        <v>23</v>
      </c>
      <c r="M18" s="1" t="str">
        <f>TEXT(Table1[[#This Row],[Order Date]],"mmm")</f>
        <v>Jan</v>
      </c>
      <c r="N18" s="1">
        <f>YEAR(Table1[[#This Row],[Order Date]])</f>
        <v>2023</v>
      </c>
    </row>
    <row r="19" spans="1:14" x14ac:dyDescent="0.35">
      <c r="A19" s="1" t="s">
        <v>82</v>
      </c>
      <c r="B19" s="1" t="s">
        <v>83</v>
      </c>
      <c r="C19" s="1" t="s">
        <v>84</v>
      </c>
      <c r="D19" s="1" t="s">
        <v>85</v>
      </c>
      <c r="E19" s="1" t="s">
        <v>28</v>
      </c>
      <c r="F19" s="1" t="s">
        <v>85</v>
      </c>
      <c r="G19" s="1">
        <v>14</v>
      </c>
      <c r="H19" s="1">
        <v>8729</v>
      </c>
      <c r="I19" s="1">
        <v>0.1</v>
      </c>
      <c r="J19" s="1">
        <v>109985.4</v>
      </c>
      <c r="K19" s="1">
        <v>32456.560000000001</v>
      </c>
      <c r="L19" s="1" t="s">
        <v>23</v>
      </c>
      <c r="M19" s="1" t="str">
        <f>TEXT(Table1[[#This Row],[Order Date]],"mmm")</f>
        <v>Mar</v>
      </c>
      <c r="N19" s="1">
        <f>YEAR(Table1[[#This Row],[Order Date]])</f>
        <v>2024</v>
      </c>
    </row>
    <row r="20" spans="1:14" x14ac:dyDescent="0.35">
      <c r="A20" s="1" t="s">
        <v>86</v>
      </c>
      <c r="B20" s="1" t="s">
        <v>87</v>
      </c>
      <c r="C20" s="1" t="s">
        <v>88</v>
      </c>
      <c r="D20" s="1" t="s">
        <v>48</v>
      </c>
      <c r="E20" s="1" t="s">
        <v>16</v>
      </c>
      <c r="F20" s="1" t="s">
        <v>48</v>
      </c>
      <c r="G20" s="1">
        <v>15</v>
      </c>
      <c r="H20" s="1">
        <v>33120</v>
      </c>
      <c r="I20" s="1">
        <v>0</v>
      </c>
      <c r="J20" s="1">
        <v>496800</v>
      </c>
      <c r="K20" s="1">
        <v>107574.55</v>
      </c>
      <c r="L20" s="1" t="s">
        <v>70</v>
      </c>
      <c r="M20" s="1" t="str">
        <f>TEXT(Table1[[#This Row],[Order Date]],"mmm")</f>
        <v>Nov</v>
      </c>
      <c r="N20" s="1">
        <f>YEAR(Table1[[#This Row],[Order Date]])</f>
        <v>2024</v>
      </c>
    </row>
    <row r="21" spans="1:14" x14ac:dyDescent="0.35">
      <c r="A21" s="1" t="s">
        <v>89</v>
      </c>
      <c r="B21" s="1" t="s">
        <v>90</v>
      </c>
      <c r="C21" s="1" t="s">
        <v>31</v>
      </c>
      <c r="D21" s="1" t="s">
        <v>91</v>
      </c>
      <c r="E21" s="1" t="s">
        <v>16</v>
      </c>
      <c r="F21" s="1" t="s">
        <v>91</v>
      </c>
      <c r="G21" s="1">
        <v>1</v>
      </c>
      <c r="H21" s="1">
        <v>41190</v>
      </c>
      <c r="I21" s="1">
        <v>0.1</v>
      </c>
      <c r="J21" s="1">
        <v>37071</v>
      </c>
      <c r="K21" s="1">
        <v>3135.18</v>
      </c>
      <c r="L21" s="1" t="s">
        <v>70</v>
      </c>
      <c r="M21" s="1" t="str">
        <f>TEXT(Table1[[#This Row],[Order Date]],"mmm")</f>
        <v>Sep</v>
      </c>
      <c r="N21" s="1">
        <f>YEAR(Table1[[#This Row],[Order Date]])</f>
        <v>2023</v>
      </c>
    </row>
    <row r="22" spans="1:14" x14ac:dyDescent="0.35">
      <c r="A22" s="1" t="s">
        <v>92</v>
      </c>
      <c r="B22" s="1" t="s">
        <v>93</v>
      </c>
      <c r="C22" s="1" t="s">
        <v>94</v>
      </c>
      <c r="D22" s="1" t="s">
        <v>95</v>
      </c>
      <c r="E22" s="1" t="s">
        <v>33</v>
      </c>
      <c r="F22" s="1" t="s">
        <v>95</v>
      </c>
      <c r="G22" s="1">
        <v>11</v>
      </c>
      <c r="H22" s="1">
        <v>57103</v>
      </c>
      <c r="I22" s="1">
        <v>0.15</v>
      </c>
      <c r="J22" s="1">
        <v>533913.05000000005</v>
      </c>
      <c r="K22" s="1">
        <v>155409.51</v>
      </c>
      <c r="L22" s="1" t="s">
        <v>45</v>
      </c>
      <c r="M22" s="1" t="str">
        <f>TEXT(Table1[[#This Row],[Order Date]],"mmm")</f>
        <v>Mar</v>
      </c>
      <c r="N22" s="1">
        <f>YEAR(Table1[[#This Row],[Order Date]])</f>
        <v>2024</v>
      </c>
    </row>
    <row r="23" spans="1:14" x14ac:dyDescent="0.35">
      <c r="A23" s="1" t="s">
        <v>96</v>
      </c>
      <c r="B23" s="1" t="s">
        <v>97</v>
      </c>
      <c r="C23" s="1" t="s">
        <v>98</v>
      </c>
      <c r="D23" s="1" t="s">
        <v>78</v>
      </c>
      <c r="E23" s="1" t="s">
        <v>28</v>
      </c>
      <c r="F23" s="1" t="s">
        <v>78</v>
      </c>
      <c r="G23" s="1">
        <v>3</v>
      </c>
      <c r="H23" s="1">
        <v>51855</v>
      </c>
      <c r="I23" s="1">
        <v>0.15</v>
      </c>
      <c r="J23" s="1">
        <v>132230.25</v>
      </c>
      <c r="K23" s="1">
        <v>16978.349999999999</v>
      </c>
      <c r="L23" s="1" t="s">
        <v>17</v>
      </c>
      <c r="M23" s="1" t="str">
        <f>TEXT(Table1[[#This Row],[Order Date]],"mmm")</f>
        <v>Oct</v>
      </c>
      <c r="N23" s="1">
        <f>YEAR(Table1[[#This Row],[Order Date]])</f>
        <v>2023</v>
      </c>
    </row>
    <row r="24" spans="1:14" x14ac:dyDescent="0.35">
      <c r="A24" s="1" t="s">
        <v>99</v>
      </c>
      <c r="B24" s="1" t="s">
        <v>100</v>
      </c>
      <c r="C24" s="1" t="s">
        <v>101</v>
      </c>
      <c r="D24" s="1" t="s">
        <v>27</v>
      </c>
      <c r="E24" s="1" t="s">
        <v>28</v>
      </c>
      <c r="F24" s="1" t="s">
        <v>27</v>
      </c>
      <c r="G24" s="1">
        <v>3</v>
      </c>
      <c r="H24" s="1">
        <v>39420</v>
      </c>
      <c r="I24" s="1">
        <v>0</v>
      </c>
      <c r="J24" s="1">
        <v>118260</v>
      </c>
      <c r="K24" s="1">
        <v>32986.44</v>
      </c>
      <c r="L24" s="1" t="s">
        <v>17</v>
      </c>
      <c r="M24" s="1" t="str">
        <f>TEXT(Table1[[#This Row],[Order Date]],"mmm")</f>
        <v>Nov</v>
      </c>
      <c r="N24" s="1">
        <f>YEAR(Table1[[#This Row],[Order Date]])</f>
        <v>2023</v>
      </c>
    </row>
    <row r="25" spans="1:14" x14ac:dyDescent="0.35">
      <c r="A25" s="1" t="s">
        <v>102</v>
      </c>
      <c r="B25" s="1" t="s">
        <v>103</v>
      </c>
      <c r="C25" s="1" t="s">
        <v>104</v>
      </c>
      <c r="D25" s="1" t="s">
        <v>95</v>
      </c>
      <c r="E25" s="1" t="s">
        <v>33</v>
      </c>
      <c r="F25" s="1" t="s">
        <v>95</v>
      </c>
      <c r="G25" s="1">
        <v>2</v>
      </c>
      <c r="H25" s="1">
        <v>24918</v>
      </c>
      <c r="I25" s="1">
        <v>0</v>
      </c>
      <c r="J25" s="1">
        <v>49836</v>
      </c>
      <c r="K25" s="1">
        <v>7548.53</v>
      </c>
      <c r="L25" s="1" t="s">
        <v>70</v>
      </c>
      <c r="M25" s="1" t="str">
        <f>TEXT(Table1[[#This Row],[Order Date]],"mmm")</f>
        <v>Nov</v>
      </c>
      <c r="N25" s="1">
        <f>YEAR(Table1[[#This Row],[Order Date]])</f>
        <v>2023</v>
      </c>
    </row>
    <row r="26" spans="1:14" x14ac:dyDescent="0.35">
      <c r="A26" s="1" t="s">
        <v>105</v>
      </c>
      <c r="B26" s="1" t="s">
        <v>106</v>
      </c>
      <c r="C26" s="1" t="s">
        <v>107</v>
      </c>
      <c r="D26" s="1" t="s">
        <v>108</v>
      </c>
      <c r="E26" s="1" t="s">
        <v>22</v>
      </c>
      <c r="F26" s="1" t="s">
        <v>108</v>
      </c>
      <c r="G26" s="1">
        <v>9</v>
      </c>
      <c r="H26" s="1">
        <v>13426</v>
      </c>
      <c r="I26" s="1">
        <v>0.05</v>
      </c>
      <c r="J26" s="1">
        <v>114792.3</v>
      </c>
      <c r="K26" s="1">
        <v>17712.04</v>
      </c>
      <c r="L26" s="1" t="s">
        <v>23</v>
      </c>
      <c r="M26" s="1" t="str">
        <f>TEXT(Table1[[#This Row],[Order Date]],"mmm")</f>
        <v>Jun</v>
      </c>
      <c r="N26" s="1">
        <f>YEAR(Table1[[#This Row],[Order Date]])</f>
        <v>2023</v>
      </c>
    </row>
    <row r="27" spans="1:14" x14ac:dyDescent="0.35">
      <c r="A27" s="1" t="s">
        <v>109</v>
      </c>
      <c r="B27" s="1" t="s">
        <v>110</v>
      </c>
      <c r="C27" s="1" t="s">
        <v>111</v>
      </c>
      <c r="D27" s="1" t="s">
        <v>78</v>
      </c>
      <c r="E27" s="1" t="s">
        <v>28</v>
      </c>
      <c r="F27" s="1" t="s">
        <v>78</v>
      </c>
      <c r="G27" s="1">
        <v>11</v>
      </c>
      <c r="H27" s="1">
        <v>9850</v>
      </c>
      <c r="I27" s="1">
        <v>0</v>
      </c>
      <c r="J27" s="1">
        <v>108350</v>
      </c>
      <c r="K27" s="1">
        <v>24076.32</v>
      </c>
      <c r="L27" s="1" t="s">
        <v>45</v>
      </c>
      <c r="M27" s="1" t="str">
        <f>TEXT(Table1[[#This Row],[Order Date]],"mmm")</f>
        <v>Jan</v>
      </c>
      <c r="N27" s="1">
        <f>YEAR(Table1[[#This Row],[Order Date]])</f>
        <v>2023</v>
      </c>
    </row>
    <row r="28" spans="1:14" x14ac:dyDescent="0.35">
      <c r="A28" s="1" t="s">
        <v>112</v>
      </c>
      <c r="B28" s="1" t="s">
        <v>113</v>
      </c>
      <c r="C28" s="1" t="s">
        <v>81</v>
      </c>
      <c r="D28" s="1" t="s">
        <v>114</v>
      </c>
      <c r="E28" s="1" t="s">
        <v>16</v>
      </c>
      <c r="F28" s="1" t="s">
        <v>114</v>
      </c>
      <c r="G28" s="1">
        <v>13</v>
      </c>
      <c r="H28" s="1">
        <v>38524</v>
      </c>
      <c r="I28" s="1">
        <v>0.2</v>
      </c>
      <c r="J28" s="1">
        <v>400649.6</v>
      </c>
      <c r="K28" s="1">
        <v>92403.61</v>
      </c>
      <c r="L28" s="1" t="s">
        <v>70</v>
      </c>
      <c r="M28" s="1" t="str">
        <f>TEXT(Table1[[#This Row],[Order Date]],"mmm")</f>
        <v>Jul</v>
      </c>
      <c r="N28" s="1">
        <f>YEAR(Table1[[#This Row],[Order Date]])</f>
        <v>2023</v>
      </c>
    </row>
    <row r="29" spans="1:14" x14ac:dyDescent="0.35">
      <c r="A29" s="1" t="s">
        <v>115</v>
      </c>
      <c r="B29" s="1" t="s">
        <v>116</v>
      </c>
      <c r="C29" s="1" t="s">
        <v>117</v>
      </c>
      <c r="D29" s="1" t="s">
        <v>56</v>
      </c>
      <c r="E29" s="1" t="s">
        <v>22</v>
      </c>
      <c r="F29" s="1" t="s">
        <v>56</v>
      </c>
      <c r="G29" s="1">
        <v>13</v>
      </c>
      <c r="H29" s="1">
        <v>57657</v>
      </c>
      <c r="I29" s="1">
        <v>0.2</v>
      </c>
      <c r="J29" s="1">
        <v>599632.80000000005</v>
      </c>
      <c r="K29" s="1">
        <v>174262.88</v>
      </c>
      <c r="L29" s="1" t="s">
        <v>70</v>
      </c>
      <c r="M29" s="1" t="str">
        <f>TEXT(Table1[[#This Row],[Order Date]],"mmm")</f>
        <v>Jan</v>
      </c>
      <c r="N29" s="1">
        <f>YEAR(Table1[[#This Row],[Order Date]])</f>
        <v>2023</v>
      </c>
    </row>
    <row r="30" spans="1:14" x14ac:dyDescent="0.35">
      <c r="A30" s="1" t="s">
        <v>118</v>
      </c>
      <c r="B30" s="1" t="s">
        <v>119</v>
      </c>
      <c r="C30" s="1" t="s">
        <v>120</v>
      </c>
      <c r="D30" s="1" t="s">
        <v>78</v>
      </c>
      <c r="E30" s="1" t="s">
        <v>28</v>
      </c>
      <c r="F30" s="1" t="s">
        <v>78</v>
      </c>
      <c r="G30" s="1">
        <v>15</v>
      </c>
      <c r="H30" s="1">
        <v>22204</v>
      </c>
      <c r="I30" s="1">
        <v>0.05</v>
      </c>
      <c r="J30" s="1">
        <v>316407</v>
      </c>
      <c r="K30" s="1">
        <v>33564.42</v>
      </c>
      <c r="L30" s="1" t="s">
        <v>17</v>
      </c>
      <c r="M30" s="1" t="str">
        <f>TEXT(Table1[[#This Row],[Order Date]],"mmm")</f>
        <v>Apr</v>
      </c>
      <c r="N30" s="1">
        <f>YEAR(Table1[[#This Row],[Order Date]])</f>
        <v>2024</v>
      </c>
    </row>
    <row r="31" spans="1:14" x14ac:dyDescent="0.35">
      <c r="A31" s="1" t="s">
        <v>121</v>
      </c>
      <c r="B31" s="1" t="s">
        <v>122</v>
      </c>
      <c r="C31" s="1" t="s">
        <v>73</v>
      </c>
      <c r="D31" s="1" t="s">
        <v>15</v>
      </c>
      <c r="E31" s="1" t="s">
        <v>16</v>
      </c>
      <c r="F31" s="1" t="s">
        <v>15</v>
      </c>
      <c r="G31" s="1">
        <v>3</v>
      </c>
      <c r="H31" s="1">
        <v>672</v>
      </c>
      <c r="I31" s="1">
        <v>0.2</v>
      </c>
      <c r="J31" s="1">
        <v>1612.8</v>
      </c>
      <c r="K31" s="1">
        <v>259.10000000000002</v>
      </c>
      <c r="L31" s="1" t="s">
        <v>45</v>
      </c>
      <c r="M31" s="1" t="str">
        <f>TEXT(Table1[[#This Row],[Order Date]],"mmm")</f>
        <v>Jul</v>
      </c>
      <c r="N31" s="1">
        <f>YEAR(Table1[[#This Row],[Order Date]])</f>
        <v>2024</v>
      </c>
    </row>
    <row r="32" spans="1:14" x14ac:dyDescent="0.35">
      <c r="A32" s="1" t="s">
        <v>123</v>
      </c>
      <c r="B32" s="1" t="s">
        <v>124</v>
      </c>
      <c r="C32" s="1" t="s">
        <v>125</v>
      </c>
      <c r="D32" s="1" t="s">
        <v>27</v>
      </c>
      <c r="E32" s="1" t="s">
        <v>28</v>
      </c>
      <c r="F32" s="1" t="s">
        <v>27</v>
      </c>
      <c r="G32" s="1">
        <v>7</v>
      </c>
      <c r="H32" s="1">
        <v>36573</v>
      </c>
      <c r="I32" s="1">
        <v>0.2</v>
      </c>
      <c r="J32" s="1">
        <v>204808.8</v>
      </c>
      <c r="K32" s="1">
        <v>35054.57</v>
      </c>
      <c r="L32" s="1" t="s">
        <v>45</v>
      </c>
      <c r="M32" s="1" t="str">
        <f>TEXT(Table1[[#This Row],[Order Date]],"mmm")</f>
        <v>Apr</v>
      </c>
      <c r="N32" s="1">
        <f>YEAR(Table1[[#This Row],[Order Date]])</f>
        <v>2024</v>
      </c>
    </row>
    <row r="33" spans="1:14" x14ac:dyDescent="0.35">
      <c r="A33" s="1" t="s">
        <v>126</v>
      </c>
      <c r="B33" s="1" t="s">
        <v>127</v>
      </c>
      <c r="C33" s="1" t="s">
        <v>128</v>
      </c>
      <c r="D33" s="1" t="s">
        <v>52</v>
      </c>
      <c r="E33" s="1" t="s">
        <v>28</v>
      </c>
      <c r="F33" s="1" t="s">
        <v>52</v>
      </c>
      <c r="G33" s="1">
        <v>15</v>
      </c>
      <c r="H33" s="1">
        <v>309</v>
      </c>
      <c r="I33" s="1">
        <v>0.05</v>
      </c>
      <c r="J33" s="1">
        <v>4403.25</v>
      </c>
      <c r="K33" s="1">
        <v>377.07</v>
      </c>
      <c r="L33" s="1" t="s">
        <v>70</v>
      </c>
      <c r="M33" s="1" t="str">
        <f>TEXT(Table1[[#This Row],[Order Date]],"mmm")</f>
        <v>Nov</v>
      </c>
      <c r="N33" s="1">
        <f>YEAR(Table1[[#This Row],[Order Date]])</f>
        <v>2024</v>
      </c>
    </row>
    <row r="34" spans="1:14" x14ac:dyDescent="0.35">
      <c r="A34" s="1" t="s">
        <v>129</v>
      </c>
      <c r="B34" s="1" t="s">
        <v>130</v>
      </c>
      <c r="C34" s="1" t="s">
        <v>117</v>
      </c>
      <c r="D34" s="1" t="s">
        <v>56</v>
      </c>
      <c r="E34" s="1" t="s">
        <v>22</v>
      </c>
      <c r="F34" s="1" t="s">
        <v>56</v>
      </c>
      <c r="G34" s="1">
        <v>13</v>
      </c>
      <c r="H34" s="1">
        <v>1726</v>
      </c>
      <c r="I34" s="1">
        <v>0.2</v>
      </c>
      <c r="J34" s="1">
        <v>17950.400000000001</v>
      </c>
      <c r="K34" s="1">
        <v>1765.55</v>
      </c>
      <c r="L34" s="1" t="s">
        <v>70</v>
      </c>
      <c r="M34" s="1" t="str">
        <f>TEXT(Table1[[#This Row],[Order Date]],"mmm")</f>
        <v>May</v>
      </c>
      <c r="N34" s="1">
        <f>YEAR(Table1[[#This Row],[Order Date]])</f>
        <v>2023</v>
      </c>
    </row>
    <row r="35" spans="1:14" x14ac:dyDescent="0.35">
      <c r="A35" s="1" t="s">
        <v>131</v>
      </c>
      <c r="B35" s="1" t="s">
        <v>132</v>
      </c>
      <c r="C35" s="1" t="s">
        <v>63</v>
      </c>
      <c r="D35" s="1" t="s">
        <v>133</v>
      </c>
      <c r="E35" s="1" t="s">
        <v>22</v>
      </c>
      <c r="F35" s="1" t="s">
        <v>133</v>
      </c>
      <c r="G35" s="1">
        <v>13</v>
      </c>
      <c r="H35" s="1">
        <v>10769</v>
      </c>
      <c r="I35" s="1">
        <v>0.2</v>
      </c>
      <c r="J35" s="1">
        <v>111997.6</v>
      </c>
      <c r="K35" s="1">
        <v>25139.79</v>
      </c>
      <c r="L35" s="1" t="s">
        <v>23</v>
      </c>
      <c r="M35" s="1" t="str">
        <f>TEXT(Table1[[#This Row],[Order Date]],"mmm")</f>
        <v>Feb</v>
      </c>
      <c r="N35" s="1">
        <f>YEAR(Table1[[#This Row],[Order Date]])</f>
        <v>2023</v>
      </c>
    </row>
    <row r="36" spans="1:14" x14ac:dyDescent="0.35">
      <c r="A36" s="1" t="s">
        <v>134</v>
      </c>
      <c r="B36" s="1" t="s">
        <v>135</v>
      </c>
      <c r="C36" s="1" t="s">
        <v>136</v>
      </c>
      <c r="D36" s="1" t="s">
        <v>137</v>
      </c>
      <c r="E36" s="1" t="s">
        <v>22</v>
      </c>
      <c r="F36" s="1" t="s">
        <v>137</v>
      </c>
      <c r="G36" s="1">
        <v>12</v>
      </c>
      <c r="H36" s="1">
        <v>28715</v>
      </c>
      <c r="I36" s="1">
        <v>0</v>
      </c>
      <c r="J36" s="1">
        <v>344580</v>
      </c>
      <c r="K36" s="1">
        <v>82177.66</v>
      </c>
      <c r="L36" s="1" t="s">
        <v>70</v>
      </c>
      <c r="M36" s="1" t="str">
        <f>TEXT(Table1[[#This Row],[Order Date]],"mmm")</f>
        <v>Sep</v>
      </c>
      <c r="N36" s="1">
        <f>YEAR(Table1[[#This Row],[Order Date]])</f>
        <v>2024</v>
      </c>
    </row>
    <row r="37" spans="1:14" x14ac:dyDescent="0.35">
      <c r="A37" s="1" t="s">
        <v>138</v>
      </c>
      <c r="B37" s="1" t="s">
        <v>139</v>
      </c>
      <c r="C37" s="1" t="s">
        <v>140</v>
      </c>
      <c r="D37" s="1" t="s">
        <v>141</v>
      </c>
      <c r="E37" s="1" t="s">
        <v>22</v>
      </c>
      <c r="F37" s="1" t="s">
        <v>141</v>
      </c>
      <c r="G37" s="1">
        <v>10</v>
      </c>
      <c r="H37" s="1">
        <v>1085</v>
      </c>
      <c r="I37" s="1">
        <v>0.1</v>
      </c>
      <c r="J37" s="1">
        <v>9765</v>
      </c>
      <c r="K37" s="1">
        <v>2128.4499999999998</v>
      </c>
      <c r="L37" s="1" t="s">
        <v>70</v>
      </c>
      <c r="M37" s="1" t="str">
        <f>TEXT(Table1[[#This Row],[Order Date]],"mmm")</f>
        <v>Dec</v>
      </c>
      <c r="N37" s="1">
        <f>YEAR(Table1[[#This Row],[Order Date]])</f>
        <v>2023</v>
      </c>
    </row>
    <row r="38" spans="1:14" x14ac:dyDescent="0.35">
      <c r="A38" s="1" t="s">
        <v>142</v>
      </c>
      <c r="B38" s="1" t="s">
        <v>143</v>
      </c>
      <c r="C38" s="1" t="s">
        <v>81</v>
      </c>
      <c r="D38" s="1" t="s">
        <v>64</v>
      </c>
      <c r="E38" s="1" t="s">
        <v>33</v>
      </c>
      <c r="F38" s="1" t="s">
        <v>64</v>
      </c>
      <c r="G38" s="1">
        <v>11</v>
      </c>
      <c r="H38" s="1">
        <v>31691</v>
      </c>
      <c r="I38" s="1">
        <v>0</v>
      </c>
      <c r="J38" s="1">
        <v>348601</v>
      </c>
      <c r="K38" s="1">
        <v>63326.89</v>
      </c>
      <c r="L38" s="1" t="s">
        <v>45</v>
      </c>
      <c r="M38" s="1" t="str">
        <f>TEXT(Table1[[#This Row],[Order Date]],"mmm")</f>
        <v>Jul</v>
      </c>
      <c r="N38" s="1">
        <f>YEAR(Table1[[#This Row],[Order Date]])</f>
        <v>2023</v>
      </c>
    </row>
    <row r="39" spans="1:14" x14ac:dyDescent="0.35">
      <c r="A39" s="1" t="s">
        <v>144</v>
      </c>
      <c r="B39" s="1" t="s">
        <v>145</v>
      </c>
      <c r="C39" s="1" t="s">
        <v>146</v>
      </c>
      <c r="D39" s="1" t="s">
        <v>56</v>
      </c>
      <c r="E39" s="1" t="s">
        <v>22</v>
      </c>
      <c r="F39" s="1" t="s">
        <v>56</v>
      </c>
      <c r="G39" s="1">
        <v>8</v>
      </c>
      <c r="H39" s="1">
        <v>40761</v>
      </c>
      <c r="I39" s="1">
        <v>0.2</v>
      </c>
      <c r="J39" s="1">
        <v>260870.39999999999</v>
      </c>
      <c r="K39" s="1">
        <v>51429.16</v>
      </c>
      <c r="L39" s="1" t="s">
        <v>70</v>
      </c>
      <c r="M39" s="1" t="str">
        <f>TEXT(Table1[[#This Row],[Order Date]],"mmm")</f>
        <v>Sep</v>
      </c>
      <c r="N39" s="1">
        <f>YEAR(Table1[[#This Row],[Order Date]])</f>
        <v>2024</v>
      </c>
    </row>
    <row r="40" spans="1:14" x14ac:dyDescent="0.35">
      <c r="A40" s="1" t="s">
        <v>147</v>
      </c>
      <c r="B40" s="1" t="s">
        <v>148</v>
      </c>
      <c r="C40" s="1" t="s">
        <v>140</v>
      </c>
      <c r="D40" s="1" t="s">
        <v>52</v>
      </c>
      <c r="E40" s="1" t="s">
        <v>28</v>
      </c>
      <c r="F40" s="1" t="s">
        <v>52</v>
      </c>
      <c r="G40" s="1">
        <v>11</v>
      </c>
      <c r="H40" s="1">
        <v>15587</v>
      </c>
      <c r="I40" s="1">
        <v>0</v>
      </c>
      <c r="J40" s="1">
        <v>171457</v>
      </c>
      <c r="K40" s="1">
        <v>41573.1</v>
      </c>
      <c r="L40" s="1" t="s">
        <v>70</v>
      </c>
      <c r="M40" s="1" t="str">
        <f>TEXT(Table1[[#This Row],[Order Date]],"mmm")</f>
        <v>Jan</v>
      </c>
      <c r="N40" s="1">
        <f>YEAR(Table1[[#This Row],[Order Date]])</f>
        <v>2024</v>
      </c>
    </row>
    <row r="41" spans="1:14" x14ac:dyDescent="0.35">
      <c r="A41" s="1" t="s">
        <v>149</v>
      </c>
      <c r="B41" s="1" t="s">
        <v>150</v>
      </c>
      <c r="C41" s="1" t="s">
        <v>81</v>
      </c>
      <c r="D41" s="1" t="s">
        <v>151</v>
      </c>
      <c r="E41" s="1" t="s">
        <v>22</v>
      </c>
      <c r="F41" s="1" t="s">
        <v>151</v>
      </c>
      <c r="G41" s="1">
        <v>13</v>
      </c>
      <c r="H41" s="1">
        <v>23088</v>
      </c>
      <c r="I41" s="1">
        <v>0.2</v>
      </c>
      <c r="J41" s="1">
        <v>240115.20000000001</v>
      </c>
      <c r="K41" s="1">
        <v>71453.119999999995</v>
      </c>
      <c r="L41" s="1" t="s">
        <v>23</v>
      </c>
      <c r="M41" s="1" t="str">
        <f>TEXT(Table1[[#This Row],[Order Date]],"mmm")</f>
        <v>Aug</v>
      </c>
      <c r="N41" s="1">
        <f>YEAR(Table1[[#This Row],[Order Date]])</f>
        <v>2023</v>
      </c>
    </row>
    <row r="42" spans="1:14" x14ac:dyDescent="0.35">
      <c r="A42" s="1" t="s">
        <v>152</v>
      </c>
      <c r="B42" s="1" t="s">
        <v>153</v>
      </c>
      <c r="C42" s="1" t="s">
        <v>146</v>
      </c>
      <c r="D42" s="1" t="s">
        <v>91</v>
      </c>
      <c r="E42" s="1" t="s">
        <v>16</v>
      </c>
      <c r="F42" s="1" t="s">
        <v>91</v>
      </c>
      <c r="G42" s="1">
        <v>8</v>
      </c>
      <c r="H42" s="1">
        <v>45283</v>
      </c>
      <c r="I42" s="1">
        <v>0.1</v>
      </c>
      <c r="J42" s="1">
        <v>326037.59999999998</v>
      </c>
      <c r="K42" s="1">
        <v>46779.83</v>
      </c>
      <c r="L42" s="1" t="s">
        <v>70</v>
      </c>
      <c r="M42" s="1" t="str">
        <f>TEXT(Table1[[#This Row],[Order Date]],"mmm")</f>
        <v>Feb</v>
      </c>
      <c r="N42" s="1">
        <f>YEAR(Table1[[#This Row],[Order Date]])</f>
        <v>2024</v>
      </c>
    </row>
    <row r="43" spans="1:14" x14ac:dyDescent="0.35">
      <c r="A43" s="1" t="s">
        <v>154</v>
      </c>
      <c r="B43" s="1" t="s">
        <v>119</v>
      </c>
      <c r="C43" s="1" t="s">
        <v>155</v>
      </c>
      <c r="D43" s="1" t="s">
        <v>15</v>
      </c>
      <c r="E43" s="1" t="s">
        <v>16</v>
      </c>
      <c r="F43" s="1" t="s">
        <v>15</v>
      </c>
      <c r="G43" s="1">
        <v>6</v>
      </c>
      <c r="H43" s="1">
        <v>59847</v>
      </c>
      <c r="I43" s="1">
        <v>0.1</v>
      </c>
      <c r="J43" s="1">
        <v>323173.8</v>
      </c>
      <c r="K43" s="1">
        <v>36115.67</v>
      </c>
      <c r="L43" s="1" t="s">
        <v>45</v>
      </c>
      <c r="M43" s="1" t="str">
        <f>TEXT(Table1[[#This Row],[Order Date]],"mmm")</f>
        <v>Apr</v>
      </c>
      <c r="N43" s="1">
        <f>YEAR(Table1[[#This Row],[Order Date]])</f>
        <v>2024</v>
      </c>
    </row>
    <row r="44" spans="1:14" x14ac:dyDescent="0.35">
      <c r="A44" s="1" t="s">
        <v>156</v>
      </c>
      <c r="B44" s="1" t="s">
        <v>157</v>
      </c>
      <c r="C44" s="1" t="s">
        <v>158</v>
      </c>
      <c r="D44" s="1" t="s">
        <v>60</v>
      </c>
      <c r="E44" s="1" t="s">
        <v>33</v>
      </c>
      <c r="F44" s="1" t="s">
        <v>60</v>
      </c>
      <c r="G44" s="1">
        <v>14</v>
      </c>
      <c r="H44" s="1">
        <v>8133</v>
      </c>
      <c r="I44" s="1">
        <v>0.05</v>
      </c>
      <c r="J44" s="1">
        <v>108168.9</v>
      </c>
      <c r="K44" s="1">
        <v>28291.66</v>
      </c>
      <c r="L44" s="1" t="s">
        <v>70</v>
      </c>
      <c r="M44" s="1" t="str">
        <f>TEXT(Table1[[#This Row],[Order Date]],"mmm")</f>
        <v>Jan</v>
      </c>
      <c r="N44" s="1">
        <f>YEAR(Table1[[#This Row],[Order Date]])</f>
        <v>2024</v>
      </c>
    </row>
    <row r="45" spans="1:14" x14ac:dyDescent="0.35">
      <c r="A45" s="1" t="s">
        <v>159</v>
      </c>
      <c r="B45" s="1" t="s">
        <v>160</v>
      </c>
      <c r="C45" s="1" t="s">
        <v>51</v>
      </c>
      <c r="D45" s="1" t="s">
        <v>85</v>
      </c>
      <c r="E45" s="1" t="s">
        <v>28</v>
      </c>
      <c r="F45" s="1" t="s">
        <v>85</v>
      </c>
      <c r="G45" s="1">
        <v>12</v>
      </c>
      <c r="H45" s="1">
        <v>28270</v>
      </c>
      <c r="I45" s="1">
        <v>0.1</v>
      </c>
      <c r="J45" s="1">
        <v>305316</v>
      </c>
      <c r="K45" s="1">
        <v>46675.11</v>
      </c>
      <c r="L45" s="1" t="s">
        <v>17</v>
      </c>
      <c r="M45" s="1" t="str">
        <f>TEXT(Table1[[#This Row],[Order Date]],"mmm")</f>
        <v>Feb</v>
      </c>
      <c r="N45" s="1">
        <f>YEAR(Table1[[#This Row],[Order Date]])</f>
        <v>2023</v>
      </c>
    </row>
    <row r="46" spans="1:14" x14ac:dyDescent="0.35">
      <c r="A46" s="1" t="s">
        <v>161</v>
      </c>
      <c r="B46" s="1" t="s">
        <v>87</v>
      </c>
      <c r="C46" s="1" t="s">
        <v>162</v>
      </c>
      <c r="D46" s="1" t="s">
        <v>64</v>
      </c>
      <c r="E46" s="1" t="s">
        <v>33</v>
      </c>
      <c r="F46" s="1" t="s">
        <v>64</v>
      </c>
      <c r="G46" s="1">
        <v>3</v>
      </c>
      <c r="H46" s="1">
        <v>54394</v>
      </c>
      <c r="I46" s="1">
        <v>0.1</v>
      </c>
      <c r="J46" s="1">
        <v>146863.79999999999</v>
      </c>
      <c r="K46" s="1">
        <v>33022.300000000003</v>
      </c>
      <c r="L46" s="1" t="s">
        <v>23</v>
      </c>
      <c r="M46" s="1" t="str">
        <f>TEXT(Table1[[#This Row],[Order Date]],"mmm")</f>
        <v>Nov</v>
      </c>
      <c r="N46" s="1">
        <f>YEAR(Table1[[#This Row],[Order Date]])</f>
        <v>2024</v>
      </c>
    </row>
    <row r="47" spans="1:14" x14ac:dyDescent="0.35">
      <c r="A47" s="1" t="s">
        <v>163</v>
      </c>
      <c r="B47" s="1" t="s">
        <v>164</v>
      </c>
      <c r="C47" s="1" t="s">
        <v>125</v>
      </c>
      <c r="D47" s="1" t="s">
        <v>21</v>
      </c>
      <c r="E47" s="1" t="s">
        <v>22</v>
      </c>
      <c r="F47" s="1" t="s">
        <v>21</v>
      </c>
      <c r="G47" s="1">
        <v>12</v>
      </c>
      <c r="H47" s="1">
        <v>54209</v>
      </c>
      <c r="I47" s="1">
        <v>0.1</v>
      </c>
      <c r="J47" s="1">
        <v>585457.19999999995</v>
      </c>
      <c r="K47" s="1">
        <v>113769.53</v>
      </c>
      <c r="L47" s="1" t="s">
        <v>70</v>
      </c>
      <c r="M47" s="1" t="str">
        <f>TEXT(Table1[[#This Row],[Order Date]],"mmm")</f>
        <v>May</v>
      </c>
      <c r="N47" s="1">
        <f>YEAR(Table1[[#This Row],[Order Date]])</f>
        <v>2023</v>
      </c>
    </row>
    <row r="48" spans="1:14" x14ac:dyDescent="0.35">
      <c r="A48" s="1" t="s">
        <v>165</v>
      </c>
      <c r="B48" s="1" t="s">
        <v>166</v>
      </c>
      <c r="C48" s="1" t="s">
        <v>140</v>
      </c>
      <c r="D48" s="1" t="s">
        <v>167</v>
      </c>
      <c r="E48" s="1" t="s">
        <v>16</v>
      </c>
      <c r="F48" s="1" t="s">
        <v>167</v>
      </c>
      <c r="G48" s="1">
        <v>11</v>
      </c>
      <c r="H48" s="1">
        <v>19359</v>
      </c>
      <c r="I48" s="1">
        <v>0.2</v>
      </c>
      <c r="J48" s="1">
        <v>170359.2</v>
      </c>
      <c r="K48" s="1">
        <v>38752.050000000003</v>
      </c>
      <c r="L48" s="1" t="s">
        <v>70</v>
      </c>
      <c r="M48" s="1" t="str">
        <f>TEXT(Table1[[#This Row],[Order Date]],"mmm")</f>
        <v>Jan</v>
      </c>
      <c r="N48" s="1">
        <f>YEAR(Table1[[#This Row],[Order Date]])</f>
        <v>2024</v>
      </c>
    </row>
    <row r="49" spans="1:14" x14ac:dyDescent="0.35">
      <c r="A49" s="1" t="s">
        <v>168</v>
      </c>
      <c r="B49" s="1" t="s">
        <v>169</v>
      </c>
      <c r="C49" s="1" t="s">
        <v>170</v>
      </c>
      <c r="D49" s="1" t="s">
        <v>41</v>
      </c>
      <c r="E49" s="1" t="s">
        <v>16</v>
      </c>
      <c r="F49" s="1" t="s">
        <v>41</v>
      </c>
      <c r="G49" s="1">
        <v>7</v>
      </c>
      <c r="H49" s="1">
        <v>54285</v>
      </c>
      <c r="I49" s="1">
        <v>0.2</v>
      </c>
      <c r="J49" s="1">
        <v>303996</v>
      </c>
      <c r="K49" s="1">
        <v>65574.34</v>
      </c>
      <c r="L49" s="1" t="s">
        <v>45</v>
      </c>
      <c r="M49" s="1" t="str">
        <f>TEXT(Table1[[#This Row],[Order Date]],"mmm")</f>
        <v>Nov</v>
      </c>
      <c r="N49" s="1">
        <f>YEAR(Table1[[#This Row],[Order Date]])</f>
        <v>2024</v>
      </c>
    </row>
    <row r="50" spans="1:14" x14ac:dyDescent="0.35">
      <c r="A50" s="1" t="s">
        <v>171</v>
      </c>
      <c r="B50" s="1" t="s">
        <v>172</v>
      </c>
      <c r="C50" s="1" t="s">
        <v>155</v>
      </c>
      <c r="D50" s="1" t="s">
        <v>78</v>
      </c>
      <c r="E50" s="1" t="s">
        <v>28</v>
      </c>
      <c r="F50" s="1" t="s">
        <v>78</v>
      </c>
      <c r="G50" s="1">
        <v>8</v>
      </c>
      <c r="H50" s="1">
        <v>23583</v>
      </c>
      <c r="I50" s="1">
        <v>0.2</v>
      </c>
      <c r="J50" s="1">
        <v>150931.20000000001</v>
      </c>
      <c r="K50" s="1">
        <v>43238.05</v>
      </c>
      <c r="L50" s="1" t="s">
        <v>45</v>
      </c>
      <c r="M50" s="1" t="str">
        <f>TEXT(Table1[[#This Row],[Order Date]],"mmm")</f>
        <v>Mar</v>
      </c>
      <c r="N50" s="1">
        <f>YEAR(Table1[[#This Row],[Order Date]])</f>
        <v>2023</v>
      </c>
    </row>
    <row r="51" spans="1:14" x14ac:dyDescent="0.35">
      <c r="A51" s="1" t="s">
        <v>173</v>
      </c>
      <c r="B51" s="1" t="s">
        <v>174</v>
      </c>
      <c r="C51" s="1" t="s">
        <v>175</v>
      </c>
      <c r="D51" s="1" t="s">
        <v>52</v>
      </c>
      <c r="E51" s="1" t="s">
        <v>28</v>
      </c>
      <c r="F51" s="1" t="s">
        <v>52</v>
      </c>
      <c r="G51" s="1">
        <v>6</v>
      </c>
      <c r="H51" s="1">
        <v>21292</v>
      </c>
      <c r="I51" s="1">
        <v>0.05</v>
      </c>
      <c r="J51" s="1">
        <v>121364.4</v>
      </c>
      <c r="K51" s="1">
        <v>19470.79</v>
      </c>
      <c r="L51" s="1" t="s">
        <v>45</v>
      </c>
      <c r="M51" s="1" t="str">
        <f>TEXT(Table1[[#This Row],[Order Date]],"mmm")</f>
        <v>Jun</v>
      </c>
      <c r="N51" s="1">
        <f>YEAR(Table1[[#This Row],[Order Date]])</f>
        <v>2024</v>
      </c>
    </row>
    <row r="52" spans="1:14" x14ac:dyDescent="0.35">
      <c r="A52" s="1" t="s">
        <v>176</v>
      </c>
      <c r="B52" s="1" t="s">
        <v>177</v>
      </c>
      <c r="C52" s="1" t="s">
        <v>178</v>
      </c>
      <c r="D52" s="1" t="s">
        <v>179</v>
      </c>
      <c r="E52" s="1" t="s">
        <v>28</v>
      </c>
      <c r="F52" s="1" t="s">
        <v>179</v>
      </c>
      <c r="G52" s="1">
        <v>4</v>
      </c>
      <c r="H52" s="1">
        <v>23516</v>
      </c>
      <c r="I52" s="1">
        <v>0.05</v>
      </c>
      <c r="J52" s="1">
        <v>89360.8</v>
      </c>
      <c r="K52" s="1">
        <v>7960.06</v>
      </c>
      <c r="L52" s="1" t="s">
        <v>70</v>
      </c>
      <c r="M52" s="1" t="str">
        <f>TEXT(Table1[[#This Row],[Order Date]],"mmm")</f>
        <v>Jun</v>
      </c>
      <c r="N52" s="1">
        <f>YEAR(Table1[[#This Row],[Order Date]])</f>
        <v>2023</v>
      </c>
    </row>
    <row r="53" spans="1:14" x14ac:dyDescent="0.35">
      <c r="A53" s="1" t="s">
        <v>180</v>
      </c>
      <c r="B53" s="1" t="s">
        <v>181</v>
      </c>
      <c r="C53" s="1" t="s">
        <v>120</v>
      </c>
      <c r="D53" s="1" t="s">
        <v>21</v>
      </c>
      <c r="E53" s="1" t="s">
        <v>22</v>
      </c>
      <c r="F53" s="1" t="s">
        <v>21</v>
      </c>
      <c r="G53" s="1">
        <v>2</v>
      </c>
      <c r="H53" s="1">
        <v>332</v>
      </c>
      <c r="I53" s="1">
        <v>0</v>
      </c>
      <c r="J53" s="1">
        <v>664</v>
      </c>
      <c r="K53" s="1">
        <v>144.19999999999999</v>
      </c>
      <c r="L53" s="1" t="s">
        <v>70</v>
      </c>
      <c r="M53" s="1" t="str">
        <f>TEXT(Table1[[#This Row],[Order Date]],"mmm")</f>
        <v>May</v>
      </c>
      <c r="N53" s="1">
        <f>YEAR(Table1[[#This Row],[Order Date]])</f>
        <v>2023</v>
      </c>
    </row>
    <row r="54" spans="1:14" x14ac:dyDescent="0.35">
      <c r="A54" s="1" t="s">
        <v>182</v>
      </c>
      <c r="B54" s="1" t="s">
        <v>183</v>
      </c>
      <c r="C54" s="1" t="s">
        <v>67</v>
      </c>
      <c r="D54" s="1" t="s">
        <v>60</v>
      </c>
      <c r="E54" s="1" t="s">
        <v>33</v>
      </c>
      <c r="F54" s="1" t="s">
        <v>60</v>
      </c>
      <c r="G54" s="1">
        <v>4</v>
      </c>
      <c r="H54" s="1">
        <v>17478</v>
      </c>
      <c r="I54" s="1">
        <v>0.1</v>
      </c>
      <c r="J54" s="1">
        <v>62920.800000000003</v>
      </c>
      <c r="K54" s="1">
        <v>16469.28</v>
      </c>
      <c r="L54" s="1" t="s">
        <v>17</v>
      </c>
      <c r="M54" s="1" t="str">
        <f>TEXT(Table1[[#This Row],[Order Date]],"mmm")</f>
        <v>Jul</v>
      </c>
      <c r="N54" s="1">
        <f>YEAR(Table1[[#This Row],[Order Date]])</f>
        <v>2024</v>
      </c>
    </row>
    <row r="55" spans="1:14" x14ac:dyDescent="0.35">
      <c r="A55" s="1" t="s">
        <v>184</v>
      </c>
      <c r="B55" s="1" t="s">
        <v>185</v>
      </c>
      <c r="C55" s="1" t="s">
        <v>98</v>
      </c>
      <c r="D55" s="1" t="s">
        <v>85</v>
      </c>
      <c r="E55" s="1" t="s">
        <v>28</v>
      </c>
      <c r="F55" s="1" t="s">
        <v>85</v>
      </c>
      <c r="G55" s="1">
        <v>1</v>
      </c>
      <c r="H55" s="1">
        <v>48283</v>
      </c>
      <c r="I55" s="1">
        <v>0.05</v>
      </c>
      <c r="J55" s="1">
        <v>45868.85</v>
      </c>
      <c r="K55" s="1">
        <v>3939.67</v>
      </c>
      <c r="L55" s="1" t="s">
        <v>17</v>
      </c>
      <c r="M55" s="1" t="str">
        <f>TEXT(Table1[[#This Row],[Order Date]],"mmm")</f>
        <v>Jun</v>
      </c>
      <c r="N55" s="1">
        <f>YEAR(Table1[[#This Row],[Order Date]])</f>
        <v>2023</v>
      </c>
    </row>
    <row r="56" spans="1:14" x14ac:dyDescent="0.35">
      <c r="A56" s="1" t="s">
        <v>186</v>
      </c>
      <c r="B56" s="1" t="s">
        <v>187</v>
      </c>
      <c r="C56" s="1" t="s">
        <v>188</v>
      </c>
      <c r="D56" s="1" t="s">
        <v>133</v>
      </c>
      <c r="E56" s="1" t="s">
        <v>22</v>
      </c>
      <c r="F56" s="1" t="s">
        <v>133</v>
      </c>
      <c r="G56" s="1">
        <v>1</v>
      </c>
      <c r="H56" s="1">
        <v>2324</v>
      </c>
      <c r="I56" s="1">
        <v>0.1</v>
      </c>
      <c r="J56" s="1">
        <v>2091.6</v>
      </c>
      <c r="K56" s="1">
        <v>374.94</v>
      </c>
      <c r="L56" s="1" t="s">
        <v>23</v>
      </c>
      <c r="M56" s="1" t="str">
        <f>TEXT(Table1[[#This Row],[Order Date]],"mmm")</f>
        <v>Sep</v>
      </c>
      <c r="N56" s="1">
        <f>YEAR(Table1[[#This Row],[Order Date]])</f>
        <v>2024</v>
      </c>
    </row>
    <row r="57" spans="1:14" x14ac:dyDescent="0.35">
      <c r="A57" s="1" t="s">
        <v>189</v>
      </c>
      <c r="B57" s="1" t="s">
        <v>190</v>
      </c>
      <c r="C57" s="1" t="s">
        <v>191</v>
      </c>
      <c r="D57" s="1" t="s">
        <v>133</v>
      </c>
      <c r="E57" s="1" t="s">
        <v>22</v>
      </c>
      <c r="F57" s="1" t="s">
        <v>133</v>
      </c>
      <c r="G57" s="1">
        <v>1</v>
      </c>
      <c r="H57" s="1">
        <v>50683</v>
      </c>
      <c r="I57" s="1">
        <v>0</v>
      </c>
      <c r="J57" s="1">
        <v>50683</v>
      </c>
      <c r="K57" s="1">
        <v>10546.56</v>
      </c>
      <c r="L57" s="1" t="s">
        <v>70</v>
      </c>
      <c r="M57" s="1" t="str">
        <f>TEXT(Table1[[#This Row],[Order Date]],"mmm")</f>
        <v>Mar</v>
      </c>
      <c r="N57" s="1">
        <f>YEAR(Table1[[#This Row],[Order Date]])</f>
        <v>2024</v>
      </c>
    </row>
    <row r="58" spans="1:14" x14ac:dyDescent="0.35">
      <c r="A58" s="1" t="s">
        <v>192</v>
      </c>
      <c r="B58" s="1" t="s">
        <v>193</v>
      </c>
      <c r="C58" s="1" t="s">
        <v>146</v>
      </c>
      <c r="D58" s="1" t="s">
        <v>60</v>
      </c>
      <c r="E58" s="1" t="s">
        <v>33</v>
      </c>
      <c r="F58" s="1" t="s">
        <v>60</v>
      </c>
      <c r="G58" s="1">
        <v>12</v>
      </c>
      <c r="H58" s="1">
        <v>25305</v>
      </c>
      <c r="I58" s="1">
        <v>0.15</v>
      </c>
      <c r="J58" s="1">
        <v>258111</v>
      </c>
      <c r="K58" s="1">
        <v>52508.85</v>
      </c>
      <c r="L58" s="1" t="s">
        <v>23</v>
      </c>
      <c r="M58" s="1" t="str">
        <f>TEXT(Table1[[#This Row],[Order Date]],"mmm")</f>
        <v>Jun</v>
      </c>
      <c r="N58" s="1">
        <f>YEAR(Table1[[#This Row],[Order Date]])</f>
        <v>2023</v>
      </c>
    </row>
    <row r="59" spans="1:14" x14ac:dyDescent="0.35">
      <c r="A59" s="1" t="s">
        <v>194</v>
      </c>
      <c r="B59" s="1" t="s">
        <v>195</v>
      </c>
      <c r="C59" s="1" t="s">
        <v>26</v>
      </c>
      <c r="D59" s="1" t="s">
        <v>95</v>
      </c>
      <c r="E59" s="1" t="s">
        <v>33</v>
      </c>
      <c r="F59" s="1" t="s">
        <v>95</v>
      </c>
      <c r="G59" s="1">
        <v>4</v>
      </c>
      <c r="H59" s="1">
        <v>35169</v>
      </c>
      <c r="I59" s="1">
        <v>0.05</v>
      </c>
      <c r="J59" s="1">
        <v>133642.20000000001</v>
      </c>
      <c r="K59" s="1">
        <v>10805.52</v>
      </c>
      <c r="L59" s="1" t="s">
        <v>23</v>
      </c>
      <c r="M59" s="1" t="str">
        <f>TEXT(Table1[[#This Row],[Order Date]],"mmm")</f>
        <v>Mar</v>
      </c>
      <c r="N59" s="1">
        <f>YEAR(Table1[[#This Row],[Order Date]])</f>
        <v>2024</v>
      </c>
    </row>
    <row r="60" spans="1:14" x14ac:dyDescent="0.35">
      <c r="A60" s="1" t="s">
        <v>196</v>
      </c>
      <c r="B60" s="1" t="s">
        <v>197</v>
      </c>
      <c r="C60" s="1" t="s">
        <v>55</v>
      </c>
      <c r="D60" s="1" t="s">
        <v>91</v>
      </c>
      <c r="E60" s="1" t="s">
        <v>16</v>
      </c>
      <c r="F60" s="1" t="s">
        <v>91</v>
      </c>
      <c r="G60" s="1">
        <v>2</v>
      </c>
      <c r="H60" s="1">
        <v>35144</v>
      </c>
      <c r="I60" s="1">
        <v>0.05</v>
      </c>
      <c r="J60" s="1">
        <v>66773.600000000006</v>
      </c>
      <c r="K60" s="1">
        <v>13562.39</v>
      </c>
      <c r="L60" s="1" t="s">
        <v>70</v>
      </c>
      <c r="M60" s="1" t="str">
        <f>TEXT(Table1[[#This Row],[Order Date]],"mmm")</f>
        <v>Feb</v>
      </c>
      <c r="N60" s="1">
        <f>YEAR(Table1[[#This Row],[Order Date]])</f>
        <v>2024</v>
      </c>
    </row>
    <row r="61" spans="1:14" x14ac:dyDescent="0.35">
      <c r="A61" s="1" t="s">
        <v>198</v>
      </c>
      <c r="B61" s="1" t="s">
        <v>199</v>
      </c>
      <c r="C61" s="1" t="s">
        <v>200</v>
      </c>
      <c r="D61" s="1" t="s">
        <v>74</v>
      </c>
      <c r="E61" s="1" t="s">
        <v>22</v>
      </c>
      <c r="F61" s="1" t="s">
        <v>74</v>
      </c>
      <c r="G61" s="1">
        <v>1</v>
      </c>
      <c r="H61" s="1">
        <v>7119</v>
      </c>
      <c r="I61" s="1">
        <v>0</v>
      </c>
      <c r="J61" s="1">
        <v>7119</v>
      </c>
      <c r="K61" s="1">
        <v>1544.51</v>
      </c>
      <c r="L61" s="1" t="s">
        <v>23</v>
      </c>
      <c r="M61" s="1" t="str">
        <f>TEXT(Table1[[#This Row],[Order Date]],"mmm")</f>
        <v>Nov</v>
      </c>
      <c r="N61" s="1">
        <f>YEAR(Table1[[#This Row],[Order Date]])</f>
        <v>2023</v>
      </c>
    </row>
    <row r="62" spans="1:14" x14ac:dyDescent="0.35">
      <c r="A62" s="1" t="s">
        <v>201</v>
      </c>
      <c r="B62" s="1" t="s">
        <v>202</v>
      </c>
      <c r="C62" s="1" t="s">
        <v>203</v>
      </c>
      <c r="D62" s="1" t="s">
        <v>179</v>
      </c>
      <c r="E62" s="1" t="s">
        <v>28</v>
      </c>
      <c r="F62" s="1" t="s">
        <v>179</v>
      </c>
      <c r="G62" s="1">
        <v>8</v>
      </c>
      <c r="H62" s="1">
        <v>26632</v>
      </c>
      <c r="I62" s="1">
        <v>0</v>
      </c>
      <c r="J62" s="1">
        <v>213056</v>
      </c>
      <c r="K62" s="1">
        <v>56907.9</v>
      </c>
      <c r="L62" s="1" t="s">
        <v>17</v>
      </c>
      <c r="M62" s="1" t="str">
        <f>TEXT(Table1[[#This Row],[Order Date]],"mmm")</f>
        <v>Jun</v>
      </c>
      <c r="N62" s="1">
        <f>YEAR(Table1[[#This Row],[Order Date]])</f>
        <v>2023</v>
      </c>
    </row>
    <row r="63" spans="1:14" x14ac:dyDescent="0.35">
      <c r="A63" s="1" t="s">
        <v>204</v>
      </c>
      <c r="B63" s="1" t="s">
        <v>205</v>
      </c>
      <c r="C63" s="1" t="s">
        <v>140</v>
      </c>
      <c r="D63" s="1" t="s">
        <v>95</v>
      </c>
      <c r="E63" s="1" t="s">
        <v>33</v>
      </c>
      <c r="F63" s="1" t="s">
        <v>95</v>
      </c>
      <c r="G63" s="1">
        <v>3</v>
      </c>
      <c r="H63" s="1">
        <v>32305</v>
      </c>
      <c r="I63" s="1">
        <v>0.15</v>
      </c>
      <c r="J63" s="1">
        <v>82377.75</v>
      </c>
      <c r="K63" s="1">
        <v>11722.31</v>
      </c>
      <c r="L63" s="1" t="s">
        <v>70</v>
      </c>
      <c r="M63" s="1" t="str">
        <f>TEXT(Table1[[#This Row],[Order Date]],"mmm")</f>
        <v>Feb</v>
      </c>
      <c r="N63" s="1">
        <f>YEAR(Table1[[#This Row],[Order Date]])</f>
        <v>2023</v>
      </c>
    </row>
    <row r="64" spans="1:14" x14ac:dyDescent="0.35">
      <c r="A64" s="1" t="s">
        <v>206</v>
      </c>
      <c r="B64" s="1" t="s">
        <v>207</v>
      </c>
      <c r="C64" s="1" t="s">
        <v>208</v>
      </c>
      <c r="D64" s="1" t="s">
        <v>137</v>
      </c>
      <c r="E64" s="1" t="s">
        <v>22</v>
      </c>
      <c r="F64" s="1" t="s">
        <v>137</v>
      </c>
      <c r="G64" s="1">
        <v>4</v>
      </c>
      <c r="H64" s="1">
        <v>42393</v>
      </c>
      <c r="I64" s="1">
        <v>0</v>
      </c>
      <c r="J64" s="1">
        <v>169572</v>
      </c>
      <c r="K64" s="1">
        <v>17926.61</v>
      </c>
      <c r="L64" s="1" t="s">
        <v>17</v>
      </c>
      <c r="M64" s="1" t="str">
        <f>TEXT(Table1[[#This Row],[Order Date]],"mmm")</f>
        <v>Jun</v>
      </c>
      <c r="N64" s="1">
        <f>YEAR(Table1[[#This Row],[Order Date]])</f>
        <v>2024</v>
      </c>
    </row>
    <row r="65" spans="1:14" x14ac:dyDescent="0.35">
      <c r="A65" s="1" t="s">
        <v>209</v>
      </c>
      <c r="B65" s="1" t="s">
        <v>210</v>
      </c>
      <c r="C65" s="1" t="s">
        <v>14</v>
      </c>
      <c r="D65" s="1" t="s">
        <v>27</v>
      </c>
      <c r="E65" s="1" t="s">
        <v>28</v>
      </c>
      <c r="F65" s="1" t="s">
        <v>27</v>
      </c>
      <c r="G65" s="1">
        <v>3</v>
      </c>
      <c r="H65" s="1">
        <v>30971</v>
      </c>
      <c r="I65" s="1">
        <v>0.1</v>
      </c>
      <c r="J65" s="1">
        <v>83621.7</v>
      </c>
      <c r="K65" s="1">
        <v>11300.63</v>
      </c>
      <c r="L65" s="1" t="s">
        <v>45</v>
      </c>
      <c r="M65" s="1" t="str">
        <f>TEXT(Table1[[#This Row],[Order Date]],"mmm")</f>
        <v>Jun</v>
      </c>
      <c r="N65" s="1">
        <f>YEAR(Table1[[#This Row],[Order Date]])</f>
        <v>2023</v>
      </c>
    </row>
    <row r="66" spans="1:14" x14ac:dyDescent="0.35">
      <c r="A66" s="1" t="s">
        <v>211</v>
      </c>
      <c r="B66" s="1" t="s">
        <v>127</v>
      </c>
      <c r="C66" s="1" t="s">
        <v>84</v>
      </c>
      <c r="D66" s="1" t="s">
        <v>74</v>
      </c>
      <c r="E66" s="1" t="s">
        <v>22</v>
      </c>
      <c r="F66" s="1" t="s">
        <v>74</v>
      </c>
      <c r="G66" s="1">
        <v>11</v>
      </c>
      <c r="H66" s="1">
        <v>34283</v>
      </c>
      <c r="I66" s="1">
        <v>0</v>
      </c>
      <c r="J66" s="1">
        <v>377113</v>
      </c>
      <c r="K66" s="1">
        <v>59069.62</v>
      </c>
      <c r="L66" s="1" t="s">
        <v>70</v>
      </c>
      <c r="M66" s="1" t="str">
        <f>TEXT(Table1[[#This Row],[Order Date]],"mmm")</f>
        <v>Nov</v>
      </c>
      <c r="N66" s="1">
        <f>YEAR(Table1[[#This Row],[Order Date]])</f>
        <v>2024</v>
      </c>
    </row>
    <row r="67" spans="1:14" x14ac:dyDescent="0.35">
      <c r="A67" s="1" t="s">
        <v>212</v>
      </c>
      <c r="B67" s="1" t="s">
        <v>213</v>
      </c>
      <c r="C67" s="1" t="s">
        <v>120</v>
      </c>
      <c r="D67" s="1" t="s">
        <v>78</v>
      </c>
      <c r="E67" s="1" t="s">
        <v>28</v>
      </c>
      <c r="F67" s="1" t="s">
        <v>78</v>
      </c>
      <c r="G67" s="1">
        <v>15</v>
      </c>
      <c r="H67" s="1">
        <v>8245</v>
      </c>
      <c r="I67" s="1">
        <v>0.05</v>
      </c>
      <c r="J67" s="1">
        <v>117491.25</v>
      </c>
      <c r="K67" s="1">
        <v>35185.25</v>
      </c>
      <c r="L67" s="1" t="s">
        <v>45</v>
      </c>
      <c r="M67" s="1" t="str">
        <f>TEXT(Table1[[#This Row],[Order Date]],"mmm")</f>
        <v>Sep</v>
      </c>
      <c r="N67" s="1">
        <f>YEAR(Table1[[#This Row],[Order Date]])</f>
        <v>2024</v>
      </c>
    </row>
    <row r="68" spans="1:14" x14ac:dyDescent="0.35">
      <c r="A68" s="1" t="s">
        <v>214</v>
      </c>
      <c r="B68" s="1" t="s">
        <v>215</v>
      </c>
      <c r="C68" s="1" t="s">
        <v>104</v>
      </c>
      <c r="D68" s="1" t="s">
        <v>108</v>
      </c>
      <c r="E68" s="1" t="s">
        <v>22</v>
      </c>
      <c r="F68" s="1" t="s">
        <v>108</v>
      </c>
      <c r="G68" s="1">
        <v>4</v>
      </c>
      <c r="H68" s="1">
        <v>16819</v>
      </c>
      <c r="I68" s="1">
        <v>0.05</v>
      </c>
      <c r="J68" s="1">
        <v>63912.2</v>
      </c>
      <c r="K68" s="1">
        <v>10306.16</v>
      </c>
      <c r="L68" s="1" t="s">
        <v>23</v>
      </c>
      <c r="M68" s="1" t="str">
        <f>TEXT(Table1[[#This Row],[Order Date]],"mmm")</f>
        <v>Jul</v>
      </c>
      <c r="N68" s="1">
        <f>YEAR(Table1[[#This Row],[Order Date]])</f>
        <v>2024</v>
      </c>
    </row>
    <row r="69" spans="1:14" x14ac:dyDescent="0.35">
      <c r="A69" s="1" t="s">
        <v>216</v>
      </c>
      <c r="B69" s="1" t="s">
        <v>217</v>
      </c>
      <c r="C69" s="1" t="s">
        <v>36</v>
      </c>
      <c r="D69" s="1" t="s">
        <v>32</v>
      </c>
      <c r="E69" s="1" t="s">
        <v>33</v>
      </c>
      <c r="F69" s="1" t="s">
        <v>32</v>
      </c>
      <c r="G69" s="1">
        <v>15</v>
      </c>
      <c r="H69" s="1">
        <v>18062</v>
      </c>
      <c r="I69" s="1">
        <v>0.1</v>
      </c>
      <c r="J69" s="1">
        <v>243837</v>
      </c>
      <c r="K69" s="1">
        <v>37985.61</v>
      </c>
      <c r="L69" s="1" t="s">
        <v>23</v>
      </c>
      <c r="M69" s="1" t="str">
        <f>TEXT(Table1[[#This Row],[Order Date]],"mmm")</f>
        <v>Sep</v>
      </c>
      <c r="N69" s="1">
        <f>YEAR(Table1[[#This Row],[Order Date]])</f>
        <v>2023</v>
      </c>
    </row>
    <row r="70" spans="1:14" x14ac:dyDescent="0.35">
      <c r="A70" s="1" t="s">
        <v>218</v>
      </c>
      <c r="B70" s="1" t="s">
        <v>164</v>
      </c>
      <c r="C70" s="1" t="s">
        <v>117</v>
      </c>
      <c r="D70" s="1" t="s">
        <v>15</v>
      </c>
      <c r="E70" s="1" t="s">
        <v>16</v>
      </c>
      <c r="F70" s="1" t="s">
        <v>15</v>
      </c>
      <c r="G70" s="1">
        <v>6</v>
      </c>
      <c r="H70" s="1">
        <v>1597</v>
      </c>
      <c r="I70" s="1">
        <v>0.1</v>
      </c>
      <c r="J70" s="1">
        <v>8623.7999999999993</v>
      </c>
      <c r="K70" s="1">
        <v>1480.49</v>
      </c>
      <c r="L70" s="1" t="s">
        <v>70</v>
      </c>
      <c r="M70" s="1" t="str">
        <f>TEXT(Table1[[#This Row],[Order Date]],"mmm")</f>
        <v>May</v>
      </c>
      <c r="N70" s="1">
        <f>YEAR(Table1[[#This Row],[Order Date]])</f>
        <v>2023</v>
      </c>
    </row>
    <row r="71" spans="1:14" x14ac:dyDescent="0.35">
      <c r="A71" s="1" t="s">
        <v>219</v>
      </c>
      <c r="B71" s="1" t="s">
        <v>58</v>
      </c>
      <c r="C71" s="1" t="s">
        <v>208</v>
      </c>
      <c r="D71" s="1" t="s">
        <v>41</v>
      </c>
      <c r="E71" s="1" t="s">
        <v>16</v>
      </c>
      <c r="F71" s="1" t="s">
        <v>41</v>
      </c>
      <c r="G71" s="1">
        <v>1</v>
      </c>
      <c r="H71" s="1">
        <v>59076</v>
      </c>
      <c r="I71" s="1">
        <v>0</v>
      </c>
      <c r="J71" s="1">
        <v>59076</v>
      </c>
      <c r="K71" s="1">
        <v>5129.22</v>
      </c>
      <c r="L71" s="1" t="s">
        <v>23</v>
      </c>
      <c r="M71" s="1" t="str">
        <f>TEXT(Table1[[#This Row],[Order Date]],"mmm")</f>
        <v>Aug</v>
      </c>
      <c r="N71" s="1">
        <f>YEAR(Table1[[#This Row],[Order Date]])</f>
        <v>2024</v>
      </c>
    </row>
    <row r="72" spans="1:14" x14ac:dyDescent="0.35">
      <c r="A72" s="1" t="s">
        <v>220</v>
      </c>
      <c r="B72" s="1" t="s">
        <v>221</v>
      </c>
      <c r="C72" s="1" t="s">
        <v>104</v>
      </c>
      <c r="D72" s="1" t="s">
        <v>141</v>
      </c>
      <c r="E72" s="1" t="s">
        <v>22</v>
      </c>
      <c r="F72" s="1" t="s">
        <v>141</v>
      </c>
      <c r="G72" s="1">
        <v>9</v>
      </c>
      <c r="H72" s="1">
        <v>25229</v>
      </c>
      <c r="I72" s="1">
        <v>0.05</v>
      </c>
      <c r="J72" s="1">
        <v>215707.95</v>
      </c>
      <c r="K72" s="1">
        <v>63704.86</v>
      </c>
      <c r="L72" s="1" t="s">
        <v>45</v>
      </c>
      <c r="M72" s="1" t="str">
        <f>TEXT(Table1[[#This Row],[Order Date]],"mmm")</f>
        <v>Dec</v>
      </c>
      <c r="N72" s="1">
        <f>YEAR(Table1[[#This Row],[Order Date]])</f>
        <v>2023</v>
      </c>
    </row>
    <row r="73" spans="1:14" x14ac:dyDescent="0.35">
      <c r="A73" s="1" t="s">
        <v>222</v>
      </c>
      <c r="B73" s="1" t="s">
        <v>223</v>
      </c>
      <c r="C73" s="1" t="s">
        <v>111</v>
      </c>
      <c r="D73" s="1" t="s">
        <v>224</v>
      </c>
      <c r="E73" s="1" t="s">
        <v>33</v>
      </c>
      <c r="F73" s="1" t="s">
        <v>224</v>
      </c>
      <c r="G73" s="1">
        <v>8</v>
      </c>
      <c r="H73" s="1">
        <v>18584</v>
      </c>
      <c r="I73" s="1">
        <v>0.2</v>
      </c>
      <c r="J73" s="1">
        <v>118937.60000000001</v>
      </c>
      <c r="K73" s="1">
        <v>24849.27</v>
      </c>
      <c r="L73" s="1" t="s">
        <v>17</v>
      </c>
      <c r="M73" s="1" t="str">
        <f>TEXT(Table1[[#This Row],[Order Date]],"mmm")</f>
        <v>Jan</v>
      </c>
      <c r="N73" s="1">
        <f>YEAR(Table1[[#This Row],[Order Date]])</f>
        <v>2024</v>
      </c>
    </row>
    <row r="74" spans="1:14" x14ac:dyDescent="0.35">
      <c r="A74" s="1" t="s">
        <v>225</v>
      </c>
      <c r="B74" s="1" t="s">
        <v>226</v>
      </c>
      <c r="C74" s="1" t="s">
        <v>227</v>
      </c>
      <c r="D74" s="1" t="s">
        <v>21</v>
      </c>
      <c r="E74" s="1" t="s">
        <v>22</v>
      </c>
      <c r="F74" s="1" t="s">
        <v>21</v>
      </c>
      <c r="G74" s="1">
        <v>3</v>
      </c>
      <c r="H74" s="1">
        <v>23827</v>
      </c>
      <c r="I74" s="1">
        <v>0.1</v>
      </c>
      <c r="J74" s="1">
        <v>64332.9</v>
      </c>
      <c r="K74" s="1">
        <v>9794.24</v>
      </c>
      <c r="L74" s="1" t="s">
        <v>23</v>
      </c>
      <c r="M74" s="1" t="str">
        <f>TEXT(Table1[[#This Row],[Order Date]],"mmm")</f>
        <v>Oct</v>
      </c>
      <c r="N74" s="1">
        <f>YEAR(Table1[[#This Row],[Order Date]])</f>
        <v>2024</v>
      </c>
    </row>
    <row r="75" spans="1:14" x14ac:dyDescent="0.35">
      <c r="A75" s="1" t="s">
        <v>228</v>
      </c>
      <c r="B75" s="1" t="s">
        <v>166</v>
      </c>
      <c r="C75" s="1" t="s">
        <v>40</v>
      </c>
      <c r="D75" s="1" t="s">
        <v>56</v>
      </c>
      <c r="E75" s="1" t="s">
        <v>22</v>
      </c>
      <c r="F75" s="1" t="s">
        <v>56</v>
      </c>
      <c r="G75" s="1">
        <v>10</v>
      </c>
      <c r="H75" s="1">
        <v>13732</v>
      </c>
      <c r="I75" s="1">
        <v>0.15</v>
      </c>
      <c r="J75" s="1">
        <v>116722</v>
      </c>
      <c r="K75" s="1">
        <v>10080.700000000001</v>
      </c>
      <c r="L75" s="1" t="s">
        <v>45</v>
      </c>
      <c r="M75" s="1" t="str">
        <f>TEXT(Table1[[#This Row],[Order Date]],"mmm")</f>
        <v>Jan</v>
      </c>
      <c r="N75" s="1">
        <f>YEAR(Table1[[#This Row],[Order Date]])</f>
        <v>2024</v>
      </c>
    </row>
    <row r="76" spans="1:14" x14ac:dyDescent="0.35">
      <c r="A76" s="1" t="s">
        <v>229</v>
      </c>
      <c r="B76" s="1" t="s">
        <v>19</v>
      </c>
      <c r="C76" s="1" t="s">
        <v>26</v>
      </c>
      <c r="D76" s="1" t="s">
        <v>179</v>
      </c>
      <c r="E76" s="1" t="s">
        <v>28</v>
      </c>
      <c r="F76" s="1" t="s">
        <v>179</v>
      </c>
      <c r="G76" s="1">
        <v>2</v>
      </c>
      <c r="H76" s="1">
        <v>50349</v>
      </c>
      <c r="I76" s="1">
        <v>0.1</v>
      </c>
      <c r="J76" s="1">
        <v>90628.2</v>
      </c>
      <c r="K76" s="1">
        <v>10998</v>
      </c>
      <c r="L76" s="1" t="s">
        <v>17</v>
      </c>
      <c r="M76" s="1" t="str">
        <f>TEXT(Table1[[#This Row],[Order Date]],"mmm")</f>
        <v>Jul</v>
      </c>
      <c r="N76" s="1">
        <f>YEAR(Table1[[#This Row],[Order Date]])</f>
        <v>2023</v>
      </c>
    </row>
    <row r="77" spans="1:14" x14ac:dyDescent="0.35">
      <c r="A77" s="1" t="s">
        <v>230</v>
      </c>
      <c r="B77" s="1" t="s">
        <v>231</v>
      </c>
      <c r="C77" s="1" t="s">
        <v>14</v>
      </c>
      <c r="D77" s="1" t="s">
        <v>52</v>
      </c>
      <c r="E77" s="1" t="s">
        <v>28</v>
      </c>
      <c r="F77" s="1" t="s">
        <v>52</v>
      </c>
      <c r="G77" s="1">
        <v>5</v>
      </c>
      <c r="H77" s="1">
        <v>12999</v>
      </c>
      <c r="I77" s="1">
        <v>0</v>
      </c>
      <c r="J77" s="1">
        <v>64995</v>
      </c>
      <c r="K77" s="1">
        <v>17204.71</v>
      </c>
      <c r="L77" s="1" t="s">
        <v>70</v>
      </c>
      <c r="M77" s="1" t="str">
        <f>TEXT(Table1[[#This Row],[Order Date]],"mmm")</f>
        <v>Sep</v>
      </c>
      <c r="N77" s="1">
        <f>YEAR(Table1[[#This Row],[Order Date]])</f>
        <v>2024</v>
      </c>
    </row>
    <row r="78" spans="1:14" x14ac:dyDescent="0.35">
      <c r="A78" s="1" t="s">
        <v>232</v>
      </c>
      <c r="B78" s="1" t="s">
        <v>76</v>
      </c>
      <c r="C78" s="1" t="s">
        <v>81</v>
      </c>
      <c r="D78" s="1" t="s">
        <v>52</v>
      </c>
      <c r="E78" s="1" t="s">
        <v>28</v>
      </c>
      <c r="F78" s="1" t="s">
        <v>52</v>
      </c>
      <c r="G78" s="1">
        <v>10</v>
      </c>
      <c r="H78" s="1">
        <v>20749</v>
      </c>
      <c r="I78" s="1">
        <v>0.2</v>
      </c>
      <c r="J78" s="1">
        <v>165992</v>
      </c>
      <c r="K78" s="1">
        <v>47855.1</v>
      </c>
      <c r="L78" s="1" t="s">
        <v>17</v>
      </c>
      <c r="M78" s="1" t="str">
        <f>TEXT(Table1[[#This Row],[Order Date]],"mmm")</f>
        <v>Sep</v>
      </c>
      <c r="N78" s="1">
        <f>YEAR(Table1[[#This Row],[Order Date]])</f>
        <v>2024</v>
      </c>
    </row>
    <row r="79" spans="1:14" x14ac:dyDescent="0.35">
      <c r="A79" s="1" t="s">
        <v>233</v>
      </c>
      <c r="B79" s="1" t="s">
        <v>234</v>
      </c>
      <c r="C79" s="1" t="s">
        <v>67</v>
      </c>
      <c r="D79" s="1" t="s">
        <v>91</v>
      </c>
      <c r="E79" s="1" t="s">
        <v>16</v>
      </c>
      <c r="F79" s="1" t="s">
        <v>91</v>
      </c>
      <c r="G79" s="1">
        <v>12</v>
      </c>
      <c r="H79" s="1">
        <v>53561</v>
      </c>
      <c r="I79" s="1">
        <v>0.05</v>
      </c>
      <c r="J79" s="1">
        <v>610595.4</v>
      </c>
      <c r="K79" s="1">
        <v>61515.88</v>
      </c>
      <c r="L79" s="1" t="s">
        <v>45</v>
      </c>
      <c r="M79" s="1" t="str">
        <f>TEXT(Table1[[#This Row],[Order Date]],"mmm")</f>
        <v>May</v>
      </c>
      <c r="N79" s="1">
        <f>YEAR(Table1[[#This Row],[Order Date]])</f>
        <v>2024</v>
      </c>
    </row>
    <row r="80" spans="1:14" x14ac:dyDescent="0.35">
      <c r="A80" s="1" t="s">
        <v>235</v>
      </c>
      <c r="B80" s="1" t="s">
        <v>236</v>
      </c>
      <c r="C80" s="1" t="s">
        <v>40</v>
      </c>
      <c r="D80" s="1" t="s">
        <v>21</v>
      </c>
      <c r="E80" s="1" t="s">
        <v>22</v>
      </c>
      <c r="F80" s="1" t="s">
        <v>21</v>
      </c>
      <c r="G80" s="1">
        <v>3</v>
      </c>
      <c r="H80" s="1">
        <v>59406</v>
      </c>
      <c r="I80" s="1">
        <v>0.2</v>
      </c>
      <c r="J80" s="1">
        <v>142574.39999999999</v>
      </c>
      <c r="K80" s="1">
        <v>27849.59</v>
      </c>
      <c r="L80" s="1" t="s">
        <v>45</v>
      </c>
      <c r="M80" s="1" t="str">
        <f>TEXT(Table1[[#This Row],[Order Date]],"mmm")</f>
        <v>May</v>
      </c>
      <c r="N80" s="1">
        <f>YEAR(Table1[[#This Row],[Order Date]])</f>
        <v>2024</v>
      </c>
    </row>
    <row r="81" spans="1:14" x14ac:dyDescent="0.35">
      <c r="A81" s="1" t="s">
        <v>237</v>
      </c>
      <c r="B81" s="1" t="s">
        <v>238</v>
      </c>
      <c r="C81" s="1" t="s">
        <v>125</v>
      </c>
      <c r="D81" s="1" t="s">
        <v>91</v>
      </c>
      <c r="E81" s="1" t="s">
        <v>16</v>
      </c>
      <c r="F81" s="1" t="s">
        <v>91</v>
      </c>
      <c r="G81" s="1">
        <v>15</v>
      </c>
      <c r="H81" s="1">
        <v>13485</v>
      </c>
      <c r="I81" s="1">
        <v>0.15</v>
      </c>
      <c r="J81" s="1">
        <v>171933.75</v>
      </c>
      <c r="K81" s="1">
        <v>19641.64</v>
      </c>
      <c r="L81" s="1" t="s">
        <v>23</v>
      </c>
      <c r="M81" s="1" t="str">
        <f>TEXT(Table1[[#This Row],[Order Date]],"mmm")</f>
        <v>Dec</v>
      </c>
      <c r="N81" s="1">
        <f>YEAR(Table1[[#This Row],[Order Date]])</f>
        <v>2023</v>
      </c>
    </row>
    <row r="82" spans="1:14" x14ac:dyDescent="0.35">
      <c r="A82" s="1" t="s">
        <v>239</v>
      </c>
      <c r="B82" s="1" t="s">
        <v>240</v>
      </c>
      <c r="C82" s="1" t="s">
        <v>111</v>
      </c>
      <c r="D82" s="1" t="s">
        <v>91</v>
      </c>
      <c r="E82" s="1" t="s">
        <v>16</v>
      </c>
      <c r="F82" s="1" t="s">
        <v>91</v>
      </c>
      <c r="G82" s="1">
        <v>10</v>
      </c>
      <c r="H82" s="1">
        <v>43090</v>
      </c>
      <c r="I82" s="1">
        <v>0.15</v>
      </c>
      <c r="J82" s="1">
        <v>366265</v>
      </c>
      <c r="K82" s="1">
        <v>66853.39</v>
      </c>
      <c r="L82" s="1" t="s">
        <v>45</v>
      </c>
      <c r="M82" s="1" t="str">
        <f>TEXT(Table1[[#This Row],[Order Date]],"mmm")</f>
        <v>Sep</v>
      </c>
      <c r="N82" s="1">
        <f>YEAR(Table1[[#This Row],[Order Date]])</f>
        <v>2024</v>
      </c>
    </row>
    <row r="83" spans="1:14" x14ac:dyDescent="0.35">
      <c r="A83" s="1" t="s">
        <v>241</v>
      </c>
      <c r="B83" s="1" t="s">
        <v>242</v>
      </c>
      <c r="C83" s="1" t="s">
        <v>88</v>
      </c>
      <c r="D83" s="1" t="s">
        <v>60</v>
      </c>
      <c r="E83" s="1" t="s">
        <v>33</v>
      </c>
      <c r="F83" s="1" t="s">
        <v>60</v>
      </c>
      <c r="G83" s="1">
        <v>15</v>
      </c>
      <c r="H83" s="1">
        <v>33777</v>
      </c>
      <c r="I83" s="1">
        <v>0</v>
      </c>
      <c r="J83" s="1">
        <v>506655</v>
      </c>
      <c r="K83" s="1">
        <v>110871.55</v>
      </c>
      <c r="L83" s="1" t="s">
        <v>70</v>
      </c>
      <c r="M83" s="1" t="str">
        <f>TEXT(Table1[[#This Row],[Order Date]],"mmm")</f>
        <v>May</v>
      </c>
      <c r="N83" s="1">
        <f>YEAR(Table1[[#This Row],[Order Date]])</f>
        <v>2023</v>
      </c>
    </row>
    <row r="84" spans="1:14" x14ac:dyDescent="0.35">
      <c r="A84" s="1" t="s">
        <v>243</v>
      </c>
      <c r="B84" s="1" t="s">
        <v>244</v>
      </c>
      <c r="C84" s="1" t="s">
        <v>208</v>
      </c>
      <c r="D84" s="1" t="s">
        <v>48</v>
      </c>
      <c r="E84" s="1" t="s">
        <v>16</v>
      </c>
      <c r="F84" s="1" t="s">
        <v>48</v>
      </c>
      <c r="G84" s="1">
        <v>11</v>
      </c>
      <c r="H84" s="1">
        <v>47221</v>
      </c>
      <c r="I84" s="1">
        <v>0</v>
      </c>
      <c r="J84" s="1">
        <v>519431</v>
      </c>
      <c r="K84" s="1">
        <v>134733.5</v>
      </c>
      <c r="L84" s="1" t="s">
        <v>70</v>
      </c>
      <c r="M84" s="1" t="str">
        <f>TEXT(Table1[[#This Row],[Order Date]],"mmm")</f>
        <v>Dec</v>
      </c>
      <c r="N84" s="1">
        <f>YEAR(Table1[[#This Row],[Order Date]])</f>
        <v>2023</v>
      </c>
    </row>
    <row r="85" spans="1:14" x14ac:dyDescent="0.35">
      <c r="A85" s="1" t="s">
        <v>245</v>
      </c>
      <c r="B85" s="1" t="s">
        <v>246</v>
      </c>
      <c r="C85" s="1" t="s">
        <v>158</v>
      </c>
      <c r="D85" s="1" t="s">
        <v>224</v>
      </c>
      <c r="E85" s="1" t="s">
        <v>33</v>
      </c>
      <c r="F85" s="1" t="s">
        <v>224</v>
      </c>
      <c r="G85" s="1">
        <v>8</v>
      </c>
      <c r="H85" s="1">
        <v>23064</v>
      </c>
      <c r="I85" s="1">
        <v>0.15</v>
      </c>
      <c r="J85" s="1">
        <v>156835.20000000001</v>
      </c>
      <c r="K85" s="1">
        <v>20429.3</v>
      </c>
      <c r="L85" s="1" t="s">
        <v>23</v>
      </c>
      <c r="M85" s="1" t="str">
        <f>TEXT(Table1[[#This Row],[Order Date]],"mmm")</f>
        <v>Feb</v>
      </c>
      <c r="N85" s="1">
        <f>YEAR(Table1[[#This Row],[Order Date]])</f>
        <v>2023</v>
      </c>
    </row>
    <row r="86" spans="1:14" x14ac:dyDescent="0.35">
      <c r="A86" s="1" t="s">
        <v>247</v>
      </c>
      <c r="B86" s="1" t="s">
        <v>248</v>
      </c>
      <c r="C86" s="1" t="s">
        <v>191</v>
      </c>
      <c r="D86" s="1" t="s">
        <v>32</v>
      </c>
      <c r="E86" s="1" t="s">
        <v>33</v>
      </c>
      <c r="F86" s="1" t="s">
        <v>32</v>
      </c>
      <c r="G86" s="1">
        <v>2</v>
      </c>
      <c r="H86" s="1">
        <v>2970</v>
      </c>
      <c r="I86" s="1">
        <v>0.2</v>
      </c>
      <c r="J86" s="1">
        <v>4752</v>
      </c>
      <c r="K86" s="1">
        <v>871.62</v>
      </c>
      <c r="L86" s="1" t="s">
        <v>23</v>
      </c>
      <c r="M86" s="1" t="str">
        <f>TEXT(Table1[[#This Row],[Order Date]],"mmm")</f>
        <v>Oct</v>
      </c>
      <c r="N86" s="1">
        <f>YEAR(Table1[[#This Row],[Order Date]])</f>
        <v>2024</v>
      </c>
    </row>
    <row r="87" spans="1:14" x14ac:dyDescent="0.35">
      <c r="A87" s="1" t="s">
        <v>249</v>
      </c>
      <c r="B87" s="1" t="s">
        <v>250</v>
      </c>
      <c r="C87" s="1" t="s">
        <v>59</v>
      </c>
      <c r="D87" s="1" t="s">
        <v>44</v>
      </c>
      <c r="E87" s="1" t="s">
        <v>28</v>
      </c>
      <c r="F87" s="1" t="s">
        <v>44</v>
      </c>
      <c r="G87" s="1">
        <v>11</v>
      </c>
      <c r="H87" s="1">
        <v>22029</v>
      </c>
      <c r="I87" s="1">
        <v>0.05</v>
      </c>
      <c r="J87" s="1">
        <v>230203.05</v>
      </c>
      <c r="K87" s="1">
        <v>51985.9</v>
      </c>
      <c r="L87" s="1" t="s">
        <v>23</v>
      </c>
      <c r="M87" s="1" t="str">
        <f>TEXT(Table1[[#This Row],[Order Date]],"mmm")</f>
        <v>Aug</v>
      </c>
      <c r="N87" s="1">
        <f>YEAR(Table1[[#This Row],[Order Date]])</f>
        <v>2023</v>
      </c>
    </row>
    <row r="88" spans="1:14" x14ac:dyDescent="0.35">
      <c r="A88" s="1" t="s">
        <v>251</v>
      </c>
      <c r="B88" s="1" t="s">
        <v>166</v>
      </c>
      <c r="C88" s="1" t="s">
        <v>178</v>
      </c>
      <c r="D88" s="1" t="s">
        <v>179</v>
      </c>
      <c r="E88" s="1" t="s">
        <v>28</v>
      </c>
      <c r="F88" s="1" t="s">
        <v>179</v>
      </c>
      <c r="G88" s="1">
        <v>5</v>
      </c>
      <c r="H88" s="1">
        <v>14505</v>
      </c>
      <c r="I88" s="1">
        <v>0.15</v>
      </c>
      <c r="J88" s="1">
        <v>61646.25</v>
      </c>
      <c r="K88" s="1">
        <v>5212.18</v>
      </c>
      <c r="L88" s="1" t="s">
        <v>70</v>
      </c>
      <c r="M88" s="1" t="str">
        <f>TEXT(Table1[[#This Row],[Order Date]],"mmm")</f>
        <v>Jan</v>
      </c>
      <c r="N88" s="1">
        <f>YEAR(Table1[[#This Row],[Order Date]])</f>
        <v>2024</v>
      </c>
    </row>
    <row r="89" spans="1:14" x14ac:dyDescent="0.35">
      <c r="A89" s="1" t="s">
        <v>252</v>
      </c>
      <c r="B89" s="1" t="s">
        <v>253</v>
      </c>
      <c r="C89" s="1" t="s">
        <v>140</v>
      </c>
      <c r="D89" s="1" t="s">
        <v>91</v>
      </c>
      <c r="E89" s="1" t="s">
        <v>16</v>
      </c>
      <c r="F89" s="1" t="s">
        <v>91</v>
      </c>
      <c r="G89" s="1">
        <v>11</v>
      </c>
      <c r="H89" s="1">
        <v>14746</v>
      </c>
      <c r="I89" s="1">
        <v>0</v>
      </c>
      <c r="J89" s="1">
        <v>162206</v>
      </c>
      <c r="K89" s="1">
        <v>23296.28</v>
      </c>
      <c r="L89" s="1" t="s">
        <v>17</v>
      </c>
      <c r="M89" s="1" t="str">
        <f>TEXT(Table1[[#This Row],[Order Date]],"mmm")</f>
        <v>Apr</v>
      </c>
      <c r="N89" s="1">
        <f>YEAR(Table1[[#This Row],[Order Date]])</f>
        <v>2024</v>
      </c>
    </row>
    <row r="90" spans="1:14" x14ac:dyDescent="0.35">
      <c r="A90" s="1" t="s">
        <v>254</v>
      </c>
      <c r="B90" s="1" t="s">
        <v>242</v>
      </c>
      <c r="C90" s="1" t="s">
        <v>255</v>
      </c>
      <c r="D90" s="1" t="s">
        <v>44</v>
      </c>
      <c r="E90" s="1" t="s">
        <v>28</v>
      </c>
      <c r="F90" s="1" t="s">
        <v>44</v>
      </c>
      <c r="G90" s="1">
        <v>11</v>
      </c>
      <c r="H90" s="1">
        <v>44695</v>
      </c>
      <c r="I90" s="1">
        <v>0.2</v>
      </c>
      <c r="J90" s="1">
        <v>393316</v>
      </c>
      <c r="K90" s="1">
        <v>42867.06</v>
      </c>
      <c r="L90" s="1" t="s">
        <v>70</v>
      </c>
      <c r="M90" s="1" t="str">
        <f>TEXT(Table1[[#This Row],[Order Date]],"mmm")</f>
        <v>May</v>
      </c>
      <c r="N90" s="1">
        <f>YEAR(Table1[[#This Row],[Order Date]])</f>
        <v>2023</v>
      </c>
    </row>
    <row r="91" spans="1:14" x14ac:dyDescent="0.35">
      <c r="A91" s="1" t="s">
        <v>256</v>
      </c>
      <c r="B91" s="1" t="s">
        <v>257</v>
      </c>
      <c r="C91" s="1" t="s">
        <v>155</v>
      </c>
      <c r="D91" s="1" t="s">
        <v>48</v>
      </c>
      <c r="E91" s="1" t="s">
        <v>16</v>
      </c>
      <c r="F91" s="1" t="s">
        <v>48</v>
      </c>
      <c r="G91" s="1">
        <v>15</v>
      </c>
      <c r="H91" s="1">
        <v>22395</v>
      </c>
      <c r="I91" s="1">
        <v>0.1</v>
      </c>
      <c r="J91" s="1">
        <v>302332.5</v>
      </c>
      <c r="K91" s="1">
        <v>61325.32</v>
      </c>
      <c r="L91" s="1" t="s">
        <v>17</v>
      </c>
      <c r="M91" s="1" t="str">
        <f>TEXT(Table1[[#This Row],[Order Date]],"mmm")</f>
        <v>Aug</v>
      </c>
      <c r="N91" s="1">
        <f>YEAR(Table1[[#This Row],[Order Date]])</f>
        <v>2024</v>
      </c>
    </row>
    <row r="92" spans="1:14" x14ac:dyDescent="0.35">
      <c r="A92" s="1" t="s">
        <v>258</v>
      </c>
      <c r="B92" s="1" t="s">
        <v>259</v>
      </c>
      <c r="C92" s="1" t="s">
        <v>260</v>
      </c>
      <c r="D92" s="1" t="s">
        <v>44</v>
      </c>
      <c r="E92" s="1" t="s">
        <v>28</v>
      </c>
      <c r="F92" s="1" t="s">
        <v>44</v>
      </c>
      <c r="G92" s="1">
        <v>15</v>
      </c>
      <c r="H92" s="1">
        <v>30853</v>
      </c>
      <c r="I92" s="1">
        <v>0</v>
      </c>
      <c r="J92" s="1">
        <v>462795</v>
      </c>
      <c r="K92" s="1">
        <v>82209.2</v>
      </c>
      <c r="L92" s="1" t="s">
        <v>17</v>
      </c>
      <c r="M92" s="1" t="str">
        <f>TEXT(Table1[[#This Row],[Order Date]],"mmm")</f>
        <v>Oct</v>
      </c>
      <c r="N92" s="1">
        <f>YEAR(Table1[[#This Row],[Order Date]])</f>
        <v>2024</v>
      </c>
    </row>
    <row r="93" spans="1:14" x14ac:dyDescent="0.35">
      <c r="A93" s="1" t="s">
        <v>261</v>
      </c>
      <c r="B93" s="1" t="s">
        <v>262</v>
      </c>
      <c r="C93" s="1" t="s">
        <v>158</v>
      </c>
      <c r="D93" s="1" t="s">
        <v>15</v>
      </c>
      <c r="E93" s="1" t="s">
        <v>16</v>
      </c>
      <c r="F93" s="1" t="s">
        <v>15</v>
      </c>
      <c r="G93" s="1">
        <v>3</v>
      </c>
      <c r="H93" s="1">
        <v>29717</v>
      </c>
      <c r="I93" s="1">
        <v>0.2</v>
      </c>
      <c r="J93" s="1">
        <v>71320.800000000003</v>
      </c>
      <c r="K93" s="1">
        <v>11799.31</v>
      </c>
      <c r="L93" s="1" t="s">
        <v>70</v>
      </c>
      <c r="M93" s="1" t="str">
        <f>TEXT(Table1[[#This Row],[Order Date]],"mmm")</f>
        <v>Jul</v>
      </c>
      <c r="N93" s="1">
        <f>YEAR(Table1[[#This Row],[Order Date]])</f>
        <v>2023</v>
      </c>
    </row>
    <row r="94" spans="1:14" x14ac:dyDescent="0.35">
      <c r="A94" s="1" t="s">
        <v>263</v>
      </c>
      <c r="B94" s="1" t="s">
        <v>106</v>
      </c>
      <c r="C94" s="1" t="s">
        <v>77</v>
      </c>
      <c r="D94" s="1" t="s">
        <v>74</v>
      </c>
      <c r="E94" s="1" t="s">
        <v>22</v>
      </c>
      <c r="F94" s="1" t="s">
        <v>74</v>
      </c>
      <c r="G94" s="1">
        <v>3</v>
      </c>
      <c r="H94" s="1">
        <v>19774</v>
      </c>
      <c r="I94" s="1">
        <v>0.1</v>
      </c>
      <c r="J94" s="1">
        <v>53389.8</v>
      </c>
      <c r="K94" s="1">
        <v>7091.3</v>
      </c>
      <c r="L94" s="1" t="s">
        <v>70</v>
      </c>
      <c r="M94" s="1" t="str">
        <f>TEXT(Table1[[#This Row],[Order Date]],"mmm")</f>
        <v>Jun</v>
      </c>
      <c r="N94" s="1">
        <f>YEAR(Table1[[#This Row],[Order Date]])</f>
        <v>2023</v>
      </c>
    </row>
    <row r="95" spans="1:14" x14ac:dyDescent="0.35">
      <c r="A95" s="1" t="s">
        <v>264</v>
      </c>
      <c r="B95" s="1" t="s">
        <v>265</v>
      </c>
      <c r="C95" s="1" t="s">
        <v>208</v>
      </c>
      <c r="D95" s="1" t="s">
        <v>167</v>
      </c>
      <c r="E95" s="1" t="s">
        <v>16</v>
      </c>
      <c r="F95" s="1" t="s">
        <v>167</v>
      </c>
      <c r="G95" s="1">
        <v>5</v>
      </c>
      <c r="H95" s="1">
        <v>37216</v>
      </c>
      <c r="I95" s="1">
        <v>0.05</v>
      </c>
      <c r="J95" s="1">
        <v>176776</v>
      </c>
      <c r="K95" s="1">
        <v>29256.83</v>
      </c>
      <c r="L95" s="1" t="s">
        <v>23</v>
      </c>
      <c r="M95" s="1" t="str">
        <f>TEXT(Table1[[#This Row],[Order Date]],"mmm")</f>
        <v>Aug</v>
      </c>
      <c r="N95" s="1">
        <f>YEAR(Table1[[#This Row],[Order Date]])</f>
        <v>2023</v>
      </c>
    </row>
    <row r="96" spans="1:14" x14ac:dyDescent="0.35">
      <c r="A96" s="1" t="s">
        <v>266</v>
      </c>
      <c r="B96" s="1" t="s">
        <v>267</v>
      </c>
      <c r="C96" s="1" t="s">
        <v>84</v>
      </c>
      <c r="D96" s="1" t="s">
        <v>41</v>
      </c>
      <c r="E96" s="1" t="s">
        <v>16</v>
      </c>
      <c r="F96" s="1" t="s">
        <v>41</v>
      </c>
      <c r="G96" s="1">
        <v>13</v>
      </c>
      <c r="H96" s="1">
        <v>25534</v>
      </c>
      <c r="I96" s="1">
        <v>0.1</v>
      </c>
      <c r="J96" s="1">
        <v>298747.8</v>
      </c>
      <c r="K96" s="1">
        <v>46400.28</v>
      </c>
      <c r="L96" s="1" t="s">
        <v>45</v>
      </c>
      <c r="M96" s="1" t="str">
        <f>TEXT(Table1[[#This Row],[Order Date]],"mmm")</f>
        <v>Jun</v>
      </c>
      <c r="N96" s="1">
        <f>YEAR(Table1[[#This Row],[Order Date]])</f>
        <v>2023</v>
      </c>
    </row>
    <row r="97" spans="1:14" x14ac:dyDescent="0.35">
      <c r="A97" s="1" t="s">
        <v>268</v>
      </c>
      <c r="B97" s="1" t="s">
        <v>269</v>
      </c>
      <c r="C97" s="1" t="s">
        <v>170</v>
      </c>
      <c r="D97" s="1" t="s">
        <v>91</v>
      </c>
      <c r="E97" s="1" t="s">
        <v>16</v>
      </c>
      <c r="F97" s="1" t="s">
        <v>91</v>
      </c>
      <c r="G97" s="1">
        <v>8</v>
      </c>
      <c r="H97" s="1">
        <v>43871</v>
      </c>
      <c r="I97" s="1">
        <v>0.1</v>
      </c>
      <c r="J97" s="1">
        <v>315871.2</v>
      </c>
      <c r="K97" s="1">
        <v>58336.44</v>
      </c>
      <c r="L97" s="1" t="s">
        <v>70</v>
      </c>
      <c r="M97" s="1" t="str">
        <f>TEXT(Table1[[#This Row],[Order Date]],"mmm")</f>
        <v>Dec</v>
      </c>
      <c r="N97" s="1">
        <f>YEAR(Table1[[#This Row],[Order Date]])</f>
        <v>2023</v>
      </c>
    </row>
    <row r="98" spans="1:14" x14ac:dyDescent="0.35">
      <c r="A98" s="1" t="s">
        <v>270</v>
      </c>
      <c r="B98" s="1" t="s">
        <v>13</v>
      </c>
      <c r="C98" s="1" t="s">
        <v>200</v>
      </c>
      <c r="D98" s="1" t="s">
        <v>44</v>
      </c>
      <c r="E98" s="1" t="s">
        <v>28</v>
      </c>
      <c r="F98" s="1" t="s">
        <v>44</v>
      </c>
      <c r="G98" s="1">
        <v>15</v>
      </c>
      <c r="H98" s="1">
        <v>29380</v>
      </c>
      <c r="I98" s="1">
        <v>0</v>
      </c>
      <c r="J98" s="1">
        <v>440700</v>
      </c>
      <c r="K98" s="1">
        <v>91945.31</v>
      </c>
      <c r="L98" s="1" t="s">
        <v>70</v>
      </c>
      <c r="M98" s="1" t="str">
        <f>TEXT(Table1[[#This Row],[Order Date]],"mmm")</f>
        <v>Oct</v>
      </c>
      <c r="N98" s="1">
        <f>YEAR(Table1[[#This Row],[Order Date]])</f>
        <v>2024</v>
      </c>
    </row>
    <row r="99" spans="1:14" x14ac:dyDescent="0.35">
      <c r="A99" s="1" t="s">
        <v>271</v>
      </c>
      <c r="B99" s="1" t="s">
        <v>272</v>
      </c>
      <c r="C99" s="1" t="s">
        <v>178</v>
      </c>
      <c r="D99" s="1" t="s">
        <v>137</v>
      </c>
      <c r="E99" s="1" t="s">
        <v>22</v>
      </c>
      <c r="F99" s="1" t="s">
        <v>137</v>
      </c>
      <c r="G99" s="1">
        <v>10</v>
      </c>
      <c r="H99" s="1">
        <v>45875</v>
      </c>
      <c r="I99" s="1">
        <v>0.1</v>
      </c>
      <c r="J99" s="1">
        <v>412875</v>
      </c>
      <c r="K99" s="1">
        <v>99694.58</v>
      </c>
      <c r="L99" s="1" t="s">
        <v>23</v>
      </c>
      <c r="M99" s="1" t="str">
        <f>TEXT(Table1[[#This Row],[Order Date]],"mmm")</f>
        <v>Jun</v>
      </c>
      <c r="N99" s="1">
        <f>YEAR(Table1[[#This Row],[Order Date]])</f>
        <v>2023</v>
      </c>
    </row>
    <row r="100" spans="1:14" x14ac:dyDescent="0.35">
      <c r="A100" s="1" t="s">
        <v>273</v>
      </c>
      <c r="B100" s="1" t="s">
        <v>242</v>
      </c>
      <c r="C100" s="1" t="s">
        <v>128</v>
      </c>
      <c r="D100" s="1" t="s">
        <v>151</v>
      </c>
      <c r="E100" s="1" t="s">
        <v>22</v>
      </c>
      <c r="F100" s="1" t="s">
        <v>151</v>
      </c>
      <c r="G100" s="1">
        <v>7</v>
      </c>
      <c r="H100" s="1">
        <v>40706</v>
      </c>
      <c r="I100" s="1">
        <v>0</v>
      </c>
      <c r="J100" s="1">
        <v>284942</v>
      </c>
      <c r="K100" s="1">
        <v>51131.93</v>
      </c>
      <c r="L100" s="1" t="s">
        <v>70</v>
      </c>
      <c r="M100" s="1" t="str">
        <f>TEXT(Table1[[#This Row],[Order Date]],"mmm")</f>
        <v>May</v>
      </c>
      <c r="N100" s="1">
        <f>YEAR(Table1[[#This Row],[Order Date]])</f>
        <v>2023</v>
      </c>
    </row>
    <row r="101" spans="1:14" x14ac:dyDescent="0.35">
      <c r="A101" s="1" t="s">
        <v>274</v>
      </c>
      <c r="B101" s="1" t="s">
        <v>231</v>
      </c>
      <c r="C101" s="1" t="s">
        <v>203</v>
      </c>
      <c r="D101" s="1" t="s">
        <v>56</v>
      </c>
      <c r="E101" s="1" t="s">
        <v>22</v>
      </c>
      <c r="F101" s="1" t="s">
        <v>56</v>
      </c>
      <c r="G101" s="1">
        <v>14</v>
      </c>
      <c r="H101" s="1">
        <v>2134</v>
      </c>
      <c r="I101" s="1">
        <v>0.2</v>
      </c>
      <c r="J101" s="1">
        <v>23900.799999999999</v>
      </c>
      <c r="K101" s="1">
        <v>4991.8100000000004</v>
      </c>
      <c r="L101" s="1" t="s">
        <v>70</v>
      </c>
      <c r="M101" s="1" t="str">
        <f>TEXT(Table1[[#This Row],[Order Date]],"mmm")</f>
        <v>Sep</v>
      </c>
      <c r="N101" s="1">
        <f>YEAR(Table1[[#This Row],[Order Date]])</f>
        <v>2024</v>
      </c>
    </row>
    <row r="102" spans="1:14" x14ac:dyDescent="0.35">
      <c r="A102" s="1" t="s">
        <v>275</v>
      </c>
      <c r="B102" s="1" t="s">
        <v>276</v>
      </c>
      <c r="C102" s="1" t="s">
        <v>107</v>
      </c>
      <c r="D102" s="1" t="s">
        <v>108</v>
      </c>
      <c r="E102" s="1" t="s">
        <v>22</v>
      </c>
      <c r="F102" s="1" t="s">
        <v>108</v>
      </c>
      <c r="G102" s="1">
        <v>11</v>
      </c>
      <c r="H102" s="1">
        <v>59261</v>
      </c>
      <c r="I102" s="1">
        <v>0.2</v>
      </c>
      <c r="J102" s="1">
        <v>521496.8</v>
      </c>
      <c r="K102" s="1">
        <v>62996.78</v>
      </c>
      <c r="L102" s="1" t="s">
        <v>45</v>
      </c>
      <c r="M102" s="1" t="str">
        <f>TEXT(Table1[[#This Row],[Order Date]],"mmm")</f>
        <v>Apr</v>
      </c>
      <c r="N102" s="1">
        <f>YEAR(Table1[[#This Row],[Order Date]])</f>
        <v>2024</v>
      </c>
    </row>
    <row r="103" spans="1:14" x14ac:dyDescent="0.35">
      <c r="A103" s="1" t="s">
        <v>277</v>
      </c>
      <c r="B103" s="1" t="s">
        <v>278</v>
      </c>
      <c r="C103" s="1" t="s">
        <v>36</v>
      </c>
      <c r="D103" s="1" t="s">
        <v>167</v>
      </c>
      <c r="E103" s="1" t="s">
        <v>16</v>
      </c>
      <c r="F103" s="1" t="s">
        <v>167</v>
      </c>
      <c r="G103" s="1">
        <v>1</v>
      </c>
      <c r="H103" s="1">
        <v>6085</v>
      </c>
      <c r="I103" s="1">
        <v>0.1</v>
      </c>
      <c r="J103" s="1">
        <v>5476.5</v>
      </c>
      <c r="K103" s="1">
        <v>489.43</v>
      </c>
      <c r="L103" s="1" t="s">
        <v>23</v>
      </c>
      <c r="M103" s="1" t="str">
        <f>TEXT(Table1[[#This Row],[Order Date]],"mmm")</f>
        <v>May</v>
      </c>
      <c r="N103" s="1">
        <f>YEAR(Table1[[#This Row],[Order Date]])</f>
        <v>2024</v>
      </c>
    </row>
    <row r="104" spans="1:14" x14ac:dyDescent="0.35">
      <c r="A104" s="1" t="s">
        <v>279</v>
      </c>
      <c r="B104" s="1" t="s">
        <v>280</v>
      </c>
      <c r="C104" s="1" t="s">
        <v>14</v>
      </c>
      <c r="D104" s="1" t="s">
        <v>37</v>
      </c>
      <c r="E104" s="1" t="s">
        <v>16</v>
      </c>
      <c r="F104" s="1" t="s">
        <v>37</v>
      </c>
      <c r="G104" s="1">
        <v>3</v>
      </c>
      <c r="H104" s="1">
        <v>54543</v>
      </c>
      <c r="I104" s="1">
        <v>0</v>
      </c>
      <c r="J104" s="1">
        <v>163629</v>
      </c>
      <c r="K104" s="1">
        <v>21985.49</v>
      </c>
      <c r="L104" s="1" t="s">
        <v>17</v>
      </c>
      <c r="M104" s="1" t="str">
        <f>TEXT(Table1[[#This Row],[Order Date]],"mmm")</f>
        <v>Oct</v>
      </c>
      <c r="N104" s="1">
        <f>YEAR(Table1[[#This Row],[Order Date]])</f>
        <v>2024</v>
      </c>
    </row>
    <row r="105" spans="1:14" x14ac:dyDescent="0.35">
      <c r="A105" s="1" t="s">
        <v>281</v>
      </c>
      <c r="B105" s="1" t="s">
        <v>282</v>
      </c>
      <c r="C105" s="1" t="s">
        <v>111</v>
      </c>
      <c r="D105" s="1" t="s">
        <v>91</v>
      </c>
      <c r="E105" s="1" t="s">
        <v>16</v>
      </c>
      <c r="F105" s="1" t="s">
        <v>91</v>
      </c>
      <c r="G105" s="1">
        <v>11</v>
      </c>
      <c r="H105" s="1">
        <v>4510</v>
      </c>
      <c r="I105" s="1">
        <v>0.2</v>
      </c>
      <c r="J105" s="1">
        <v>39688</v>
      </c>
      <c r="K105" s="1">
        <v>3357.17</v>
      </c>
      <c r="L105" s="1" t="s">
        <v>45</v>
      </c>
      <c r="M105" s="1" t="str">
        <f>TEXT(Table1[[#This Row],[Order Date]],"mmm")</f>
        <v>Nov</v>
      </c>
      <c r="N105" s="1">
        <f>YEAR(Table1[[#This Row],[Order Date]])</f>
        <v>2024</v>
      </c>
    </row>
    <row r="106" spans="1:14" x14ac:dyDescent="0.35">
      <c r="A106" s="1" t="s">
        <v>283</v>
      </c>
      <c r="B106" s="1" t="s">
        <v>284</v>
      </c>
      <c r="C106" s="1" t="s">
        <v>77</v>
      </c>
      <c r="D106" s="1" t="s">
        <v>27</v>
      </c>
      <c r="E106" s="1" t="s">
        <v>28</v>
      </c>
      <c r="F106" s="1" t="s">
        <v>27</v>
      </c>
      <c r="G106" s="1">
        <v>11</v>
      </c>
      <c r="H106" s="1">
        <v>7096</v>
      </c>
      <c r="I106" s="1">
        <v>0.2</v>
      </c>
      <c r="J106" s="1">
        <v>62444.800000000003</v>
      </c>
      <c r="K106" s="1">
        <v>18004.55</v>
      </c>
      <c r="L106" s="1" t="s">
        <v>23</v>
      </c>
      <c r="M106" s="1" t="str">
        <f>TEXT(Table1[[#This Row],[Order Date]],"mmm")</f>
        <v>Nov</v>
      </c>
      <c r="N106" s="1">
        <f>YEAR(Table1[[#This Row],[Order Date]])</f>
        <v>2023</v>
      </c>
    </row>
    <row r="107" spans="1:14" x14ac:dyDescent="0.35">
      <c r="A107" s="1" t="s">
        <v>285</v>
      </c>
      <c r="B107" s="1" t="s">
        <v>286</v>
      </c>
      <c r="C107" s="1" t="s">
        <v>111</v>
      </c>
      <c r="D107" s="1" t="s">
        <v>41</v>
      </c>
      <c r="E107" s="1" t="s">
        <v>16</v>
      </c>
      <c r="F107" s="1" t="s">
        <v>41</v>
      </c>
      <c r="G107" s="1">
        <v>10</v>
      </c>
      <c r="H107" s="1">
        <v>56663</v>
      </c>
      <c r="I107" s="1">
        <v>0</v>
      </c>
      <c r="J107" s="1">
        <v>566630</v>
      </c>
      <c r="K107" s="1">
        <v>114894.94</v>
      </c>
      <c r="L107" s="1" t="s">
        <v>17</v>
      </c>
      <c r="M107" s="1" t="str">
        <f>TEXT(Table1[[#This Row],[Order Date]],"mmm")</f>
        <v>Mar</v>
      </c>
      <c r="N107" s="1">
        <f>YEAR(Table1[[#This Row],[Order Date]])</f>
        <v>2024</v>
      </c>
    </row>
    <row r="108" spans="1:14" x14ac:dyDescent="0.35">
      <c r="A108" s="1" t="s">
        <v>287</v>
      </c>
      <c r="B108" s="1" t="s">
        <v>288</v>
      </c>
      <c r="C108" s="1" t="s">
        <v>255</v>
      </c>
      <c r="D108" s="1" t="s">
        <v>85</v>
      </c>
      <c r="E108" s="1" t="s">
        <v>28</v>
      </c>
      <c r="F108" s="1" t="s">
        <v>85</v>
      </c>
      <c r="G108" s="1">
        <v>6</v>
      </c>
      <c r="H108" s="1">
        <v>17408</v>
      </c>
      <c r="I108" s="1">
        <v>0</v>
      </c>
      <c r="J108" s="1">
        <v>104448</v>
      </c>
      <c r="K108" s="1">
        <v>15824.69</v>
      </c>
      <c r="L108" s="1" t="s">
        <v>45</v>
      </c>
      <c r="M108" s="1" t="str">
        <f>TEXT(Table1[[#This Row],[Order Date]],"mmm")</f>
        <v>Jun</v>
      </c>
      <c r="N108" s="1">
        <f>YEAR(Table1[[#This Row],[Order Date]])</f>
        <v>2024</v>
      </c>
    </row>
    <row r="109" spans="1:14" x14ac:dyDescent="0.35">
      <c r="A109" s="1" t="s">
        <v>289</v>
      </c>
      <c r="B109" s="1" t="s">
        <v>290</v>
      </c>
      <c r="C109" s="1" t="s">
        <v>175</v>
      </c>
      <c r="D109" s="1" t="s">
        <v>95</v>
      </c>
      <c r="E109" s="1" t="s">
        <v>33</v>
      </c>
      <c r="F109" s="1" t="s">
        <v>95</v>
      </c>
      <c r="G109" s="1">
        <v>3</v>
      </c>
      <c r="H109" s="1">
        <v>28272</v>
      </c>
      <c r="I109" s="1">
        <v>0.05</v>
      </c>
      <c r="J109" s="1">
        <v>80575.199999999997</v>
      </c>
      <c r="K109" s="1">
        <v>18090.09</v>
      </c>
      <c r="L109" s="1" t="s">
        <v>70</v>
      </c>
      <c r="M109" s="1" t="str">
        <f>TEXT(Table1[[#This Row],[Order Date]],"mmm")</f>
        <v>Oct</v>
      </c>
      <c r="N109" s="1">
        <f>YEAR(Table1[[#This Row],[Order Date]])</f>
        <v>2023</v>
      </c>
    </row>
    <row r="110" spans="1:14" x14ac:dyDescent="0.35">
      <c r="A110" s="1" t="s">
        <v>291</v>
      </c>
      <c r="B110" s="1" t="s">
        <v>292</v>
      </c>
      <c r="C110" s="1" t="s">
        <v>63</v>
      </c>
      <c r="D110" s="1" t="s">
        <v>293</v>
      </c>
      <c r="E110" s="1" t="s">
        <v>33</v>
      </c>
      <c r="F110" s="1" t="s">
        <v>293</v>
      </c>
      <c r="G110" s="1">
        <v>12</v>
      </c>
      <c r="H110" s="1">
        <v>52571</v>
      </c>
      <c r="I110" s="1">
        <v>0.05</v>
      </c>
      <c r="J110" s="1">
        <v>599309.4</v>
      </c>
      <c r="K110" s="1">
        <v>99976.639999999999</v>
      </c>
      <c r="L110" s="1" t="s">
        <v>17</v>
      </c>
      <c r="M110" s="1" t="str">
        <f>TEXT(Table1[[#This Row],[Order Date]],"mmm")</f>
        <v>Aug</v>
      </c>
      <c r="N110" s="1">
        <f>YEAR(Table1[[#This Row],[Order Date]])</f>
        <v>2024</v>
      </c>
    </row>
    <row r="111" spans="1:14" x14ac:dyDescent="0.35">
      <c r="A111" s="1" t="s">
        <v>294</v>
      </c>
      <c r="B111" s="1" t="s">
        <v>181</v>
      </c>
      <c r="C111" s="1" t="s">
        <v>36</v>
      </c>
      <c r="D111" s="1" t="s">
        <v>95</v>
      </c>
      <c r="E111" s="1" t="s">
        <v>33</v>
      </c>
      <c r="F111" s="1" t="s">
        <v>95</v>
      </c>
      <c r="G111" s="1">
        <v>6</v>
      </c>
      <c r="H111" s="1">
        <v>54288</v>
      </c>
      <c r="I111" s="1">
        <v>0.2</v>
      </c>
      <c r="J111" s="1">
        <v>260582.39999999999</v>
      </c>
      <c r="K111" s="1">
        <v>51719.08</v>
      </c>
      <c r="L111" s="1" t="s">
        <v>45</v>
      </c>
      <c r="M111" s="1" t="str">
        <f>TEXT(Table1[[#This Row],[Order Date]],"mmm")</f>
        <v>May</v>
      </c>
      <c r="N111" s="1">
        <f>YEAR(Table1[[#This Row],[Order Date]])</f>
        <v>2023</v>
      </c>
    </row>
    <row r="112" spans="1:14" x14ac:dyDescent="0.35">
      <c r="A112" s="1" t="s">
        <v>295</v>
      </c>
      <c r="B112" s="1" t="s">
        <v>296</v>
      </c>
      <c r="C112" s="1" t="s">
        <v>188</v>
      </c>
      <c r="D112" s="1" t="s">
        <v>293</v>
      </c>
      <c r="E112" s="1" t="s">
        <v>33</v>
      </c>
      <c r="F112" s="1" t="s">
        <v>293</v>
      </c>
      <c r="G112" s="1">
        <v>6</v>
      </c>
      <c r="H112" s="1">
        <v>33092</v>
      </c>
      <c r="I112" s="1">
        <v>0</v>
      </c>
      <c r="J112" s="1">
        <v>198552</v>
      </c>
      <c r="K112" s="1">
        <v>20004</v>
      </c>
      <c r="L112" s="1" t="s">
        <v>45</v>
      </c>
      <c r="M112" s="1" t="str">
        <f>TEXT(Table1[[#This Row],[Order Date]],"mmm")</f>
        <v>Aug</v>
      </c>
      <c r="N112" s="1">
        <f>YEAR(Table1[[#This Row],[Order Date]])</f>
        <v>2023</v>
      </c>
    </row>
    <row r="113" spans="1:14" x14ac:dyDescent="0.35">
      <c r="A113" s="1" t="s">
        <v>297</v>
      </c>
      <c r="B113" s="1" t="s">
        <v>172</v>
      </c>
      <c r="C113" s="1" t="s">
        <v>227</v>
      </c>
      <c r="D113" s="1" t="s">
        <v>60</v>
      </c>
      <c r="E113" s="1" t="s">
        <v>33</v>
      </c>
      <c r="F113" s="1" t="s">
        <v>60</v>
      </c>
      <c r="G113" s="1">
        <v>4</v>
      </c>
      <c r="H113" s="1">
        <v>19575</v>
      </c>
      <c r="I113" s="1">
        <v>0.2</v>
      </c>
      <c r="J113" s="1">
        <v>62640</v>
      </c>
      <c r="K113" s="1">
        <v>13997.25</v>
      </c>
      <c r="L113" s="1" t="s">
        <v>70</v>
      </c>
      <c r="M113" s="1" t="str">
        <f>TEXT(Table1[[#This Row],[Order Date]],"mmm")</f>
        <v>Mar</v>
      </c>
      <c r="N113" s="1">
        <f>YEAR(Table1[[#This Row],[Order Date]])</f>
        <v>2023</v>
      </c>
    </row>
    <row r="114" spans="1:14" x14ac:dyDescent="0.35">
      <c r="A114" s="1" t="s">
        <v>298</v>
      </c>
      <c r="B114" s="1" t="s">
        <v>299</v>
      </c>
      <c r="C114" s="1" t="s">
        <v>14</v>
      </c>
      <c r="D114" s="1" t="s">
        <v>78</v>
      </c>
      <c r="E114" s="1" t="s">
        <v>28</v>
      </c>
      <c r="F114" s="1" t="s">
        <v>78</v>
      </c>
      <c r="G114" s="1">
        <v>13</v>
      </c>
      <c r="H114" s="1">
        <v>59531</v>
      </c>
      <c r="I114" s="1">
        <v>0.2</v>
      </c>
      <c r="J114" s="1">
        <v>619122.4</v>
      </c>
      <c r="K114" s="1">
        <v>83192.95</v>
      </c>
      <c r="L114" s="1" t="s">
        <v>70</v>
      </c>
      <c r="M114" s="1" t="str">
        <f>TEXT(Table1[[#This Row],[Order Date]],"mmm")</f>
        <v>May</v>
      </c>
      <c r="N114" s="1">
        <f>YEAR(Table1[[#This Row],[Order Date]])</f>
        <v>2023</v>
      </c>
    </row>
    <row r="115" spans="1:14" x14ac:dyDescent="0.35">
      <c r="A115" s="1" t="s">
        <v>300</v>
      </c>
      <c r="B115" s="1" t="s">
        <v>301</v>
      </c>
      <c r="C115" s="1" t="s">
        <v>73</v>
      </c>
      <c r="D115" s="1" t="s">
        <v>108</v>
      </c>
      <c r="E115" s="1" t="s">
        <v>22</v>
      </c>
      <c r="F115" s="1" t="s">
        <v>108</v>
      </c>
      <c r="G115" s="1">
        <v>13</v>
      </c>
      <c r="H115" s="1">
        <v>58432</v>
      </c>
      <c r="I115" s="1">
        <v>0</v>
      </c>
      <c r="J115" s="1">
        <v>759616</v>
      </c>
      <c r="K115" s="1">
        <v>216509.73</v>
      </c>
      <c r="L115" s="1" t="s">
        <v>45</v>
      </c>
      <c r="M115" s="1" t="str">
        <f>TEXT(Table1[[#This Row],[Order Date]],"mmm")</f>
        <v>Jul</v>
      </c>
      <c r="N115" s="1">
        <f>YEAR(Table1[[#This Row],[Order Date]])</f>
        <v>2023</v>
      </c>
    </row>
    <row r="116" spans="1:14" x14ac:dyDescent="0.35">
      <c r="A116" s="1" t="s">
        <v>302</v>
      </c>
      <c r="B116" s="1" t="s">
        <v>303</v>
      </c>
      <c r="C116" s="1" t="s">
        <v>101</v>
      </c>
      <c r="D116" s="1" t="s">
        <v>133</v>
      </c>
      <c r="E116" s="1" t="s">
        <v>22</v>
      </c>
      <c r="F116" s="1" t="s">
        <v>133</v>
      </c>
      <c r="G116" s="1">
        <v>6</v>
      </c>
      <c r="H116" s="1">
        <v>7343</v>
      </c>
      <c r="I116" s="1">
        <v>0.2</v>
      </c>
      <c r="J116" s="1">
        <v>35246.400000000001</v>
      </c>
      <c r="K116" s="1">
        <v>4622.53</v>
      </c>
      <c r="L116" s="1" t="s">
        <v>17</v>
      </c>
      <c r="M116" s="1" t="str">
        <f>TEXT(Table1[[#This Row],[Order Date]],"mmm")</f>
        <v>Jun</v>
      </c>
      <c r="N116" s="1">
        <f>YEAR(Table1[[#This Row],[Order Date]])</f>
        <v>2024</v>
      </c>
    </row>
    <row r="117" spans="1:14" x14ac:dyDescent="0.35">
      <c r="A117" s="1" t="s">
        <v>304</v>
      </c>
      <c r="B117" s="1" t="s">
        <v>100</v>
      </c>
      <c r="C117" s="1" t="s">
        <v>178</v>
      </c>
      <c r="D117" s="1" t="s">
        <v>52</v>
      </c>
      <c r="E117" s="1" t="s">
        <v>28</v>
      </c>
      <c r="F117" s="1" t="s">
        <v>52</v>
      </c>
      <c r="G117" s="1">
        <v>1</v>
      </c>
      <c r="H117" s="1">
        <v>26228</v>
      </c>
      <c r="I117" s="1">
        <v>0.1</v>
      </c>
      <c r="J117" s="1">
        <v>23605.200000000001</v>
      </c>
      <c r="K117" s="1">
        <v>3422.27</v>
      </c>
      <c r="L117" s="1" t="s">
        <v>17</v>
      </c>
      <c r="M117" s="1" t="str">
        <f>TEXT(Table1[[#This Row],[Order Date]],"mmm")</f>
        <v>Nov</v>
      </c>
      <c r="N117" s="1">
        <f>YEAR(Table1[[#This Row],[Order Date]])</f>
        <v>2023</v>
      </c>
    </row>
    <row r="118" spans="1:14" x14ac:dyDescent="0.35">
      <c r="A118" s="1" t="s">
        <v>305</v>
      </c>
      <c r="B118" s="1" t="s">
        <v>306</v>
      </c>
      <c r="C118" s="1" t="s">
        <v>26</v>
      </c>
      <c r="D118" s="1" t="s">
        <v>37</v>
      </c>
      <c r="E118" s="1" t="s">
        <v>16</v>
      </c>
      <c r="F118" s="1" t="s">
        <v>37</v>
      </c>
      <c r="G118" s="1">
        <v>9</v>
      </c>
      <c r="H118" s="1">
        <v>26457</v>
      </c>
      <c r="I118" s="1">
        <v>0.05</v>
      </c>
      <c r="J118" s="1">
        <v>226207.35</v>
      </c>
      <c r="K118" s="1">
        <v>40517.699999999997</v>
      </c>
      <c r="L118" s="1" t="s">
        <v>70</v>
      </c>
      <c r="M118" s="1" t="str">
        <f>TEXT(Table1[[#This Row],[Order Date]],"mmm")</f>
        <v>Jul</v>
      </c>
      <c r="N118" s="1">
        <f>YEAR(Table1[[#This Row],[Order Date]])</f>
        <v>2024</v>
      </c>
    </row>
    <row r="119" spans="1:14" x14ac:dyDescent="0.35">
      <c r="A119" s="1" t="s">
        <v>307</v>
      </c>
      <c r="B119" s="1" t="s">
        <v>308</v>
      </c>
      <c r="C119" s="1" t="s">
        <v>81</v>
      </c>
      <c r="D119" s="1" t="s">
        <v>179</v>
      </c>
      <c r="E119" s="1" t="s">
        <v>28</v>
      </c>
      <c r="F119" s="1" t="s">
        <v>179</v>
      </c>
      <c r="G119" s="1">
        <v>12</v>
      </c>
      <c r="H119" s="1">
        <v>9754</v>
      </c>
      <c r="I119" s="1">
        <v>0.15</v>
      </c>
      <c r="J119" s="1">
        <v>99490.8</v>
      </c>
      <c r="K119" s="1">
        <v>10178.120000000001</v>
      </c>
      <c r="L119" s="1" t="s">
        <v>23</v>
      </c>
      <c r="M119" s="1" t="str">
        <f>TEXT(Table1[[#This Row],[Order Date]],"mmm")</f>
        <v>Jul</v>
      </c>
      <c r="N119" s="1">
        <f>YEAR(Table1[[#This Row],[Order Date]])</f>
        <v>2024</v>
      </c>
    </row>
    <row r="120" spans="1:14" x14ac:dyDescent="0.35">
      <c r="A120" s="1" t="s">
        <v>309</v>
      </c>
      <c r="B120" s="1" t="s">
        <v>310</v>
      </c>
      <c r="C120" s="1" t="s">
        <v>81</v>
      </c>
      <c r="D120" s="1" t="s">
        <v>78</v>
      </c>
      <c r="E120" s="1" t="s">
        <v>28</v>
      </c>
      <c r="F120" s="1" t="s">
        <v>78</v>
      </c>
      <c r="G120" s="1">
        <v>4</v>
      </c>
      <c r="H120" s="1">
        <v>9680</v>
      </c>
      <c r="I120" s="1">
        <v>0.15</v>
      </c>
      <c r="J120" s="1">
        <v>32912</v>
      </c>
      <c r="K120" s="1">
        <v>8115.93</v>
      </c>
      <c r="L120" s="1" t="s">
        <v>45</v>
      </c>
      <c r="M120" s="1" t="str">
        <f>TEXT(Table1[[#This Row],[Order Date]],"mmm")</f>
        <v>Feb</v>
      </c>
      <c r="N120" s="1">
        <f>YEAR(Table1[[#This Row],[Order Date]])</f>
        <v>2023</v>
      </c>
    </row>
    <row r="121" spans="1:14" x14ac:dyDescent="0.35">
      <c r="A121" s="1" t="s">
        <v>311</v>
      </c>
      <c r="B121" s="1" t="s">
        <v>312</v>
      </c>
      <c r="C121" s="1" t="s">
        <v>59</v>
      </c>
      <c r="D121" s="1" t="s">
        <v>74</v>
      </c>
      <c r="E121" s="1" t="s">
        <v>22</v>
      </c>
      <c r="F121" s="1" t="s">
        <v>74</v>
      </c>
      <c r="G121" s="1">
        <v>14</v>
      </c>
      <c r="H121" s="1">
        <v>25211</v>
      </c>
      <c r="I121" s="1">
        <v>0.1</v>
      </c>
      <c r="J121" s="1">
        <v>317658.59999999998</v>
      </c>
      <c r="K121" s="1">
        <v>28139.56</v>
      </c>
      <c r="L121" s="1" t="s">
        <v>23</v>
      </c>
      <c r="M121" s="1" t="str">
        <f>TEXT(Table1[[#This Row],[Order Date]],"mmm")</f>
        <v>May</v>
      </c>
      <c r="N121" s="1">
        <f>YEAR(Table1[[#This Row],[Order Date]])</f>
        <v>2024</v>
      </c>
    </row>
    <row r="122" spans="1:14" x14ac:dyDescent="0.35">
      <c r="A122" s="1" t="s">
        <v>313</v>
      </c>
      <c r="B122" s="1" t="s">
        <v>314</v>
      </c>
      <c r="C122" s="1" t="s">
        <v>162</v>
      </c>
      <c r="D122" s="1" t="s">
        <v>56</v>
      </c>
      <c r="E122" s="1" t="s">
        <v>22</v>
      </c>
      <c r="F122" s="1" t="s">
        <v>56</v>
      </c>
      <c r="G122" s="1">
        <v>3</v>
      </c>
      <c r="H122" s="1">
        <v>30643</v>
      </c>
      <c r="I122" s="1">
        <v>0.15</v>
      </c>
      <c r="J122" s="1">
        <v>78139.649999999994</v>
      </c>
      <c r="K122" s="1">
        <v>22459.01</v>
      </c>
      <c r="L122" s="1" t="s">
        <v>45</v>
      </c>
      <c r="M122" s="1" t="str">
        <f>TEXT(Table1[[#This Row],[Order Date]],"mmm")</f>
        <v>Nov</v>
      </c>
      <c r="N122" s="1">
        <f>YEAR(Table1[[#This Row],[Order Date]])</f>
        <v>2024</v>
      </c>
    </row>
    <row r="123" spans="1:14" x14ac:dyDescent="0.35">
      <c r="A123" s="1" t="s">
        <v>315</v>
      </c>
      <c r="B123" s="1" t="s">
        <v>316</v>
      </c>
      <c r="C123" s="1" t="s">
        <v>67</v>
      </c>
      <c r="D123" s="1" t="s">
        <v>78</v>
      </c>
      <c r="E123" s="1" t="s">
        <v>28</v>
      </c>
      <c r="F123" s="1" t="s">
        <v>78</v>
      </c>
      <c r="G123" s="1">
        <v>5</v>
      </c>
      <c r="H123" s="1">
        <v>27415</v>
      </c>
      <c r="I123" s="1">
        <v>0.1</v>
      </c>
      <c r="J123" s="1">
        <v>123367.5</v>
      </c>
      <c r="K123" s="1">
        <v>24153.98</v>
      </c>
      <c r="L123" s="1" t="s">
        <v>70</v>
      </c>
      <c r="M123" s="1" t="str">
        <f>TEXT(Table1[[#This Row],[Order Date]],"mmm")</f>
        <v>Nov</v>
      </c>
      <c r="N123" s="1">
        <f>YEAR(Table1[[#This Row],[Order Date]])</f>
        <v>2023</v>
      </c>
    </row>
    <row r="124" spans="1:14" x14ac:dyDescent="0.35">
      <c r="A124" s="1" t="s">
        <v>317</v>
      </c>
      <c r="B124" s="1" t="s">
        <v>318</v>
      </c>
      <c r="C124" s="1" t="s">
        <v>178</v>
      </c>
      <c r="D124" s="1" t="s">
        <v>41</v>
      </c>
      <c r="E124" s="1" t="s">
        <v>16</v>
      </c>
      <c r="F124" s="1" t="s">
        <v>41</v>
      </c>
      <c r="G124" s="1">
        <v>8</v>
      </c>
      <c r="H124" s="1">
        <v>24814</v>
      </c>
      <c r="I124" s="1">
        <v>0.05</v>
      </c>
      <c r="J124" s="1">
        <v>188586.4</v>
      </c>
      <c r="K124" s="1">
        <v>25335.35</v>
      </c>
      <c r="L124" s="1" t="s">
        <v>45</v>
      </c>
      <c r="M124" s="1" t="str">
        <f>TEXT(Table1[[#This Row],[Order Date]],"mmm")</f>
        <v>Aug</v>
      </c>
      <c r="N124" s="1">
        <f>YEAR(Table1[[#This Row],[Order Date]])</f>
        <v>2023</v>
      </c>
    </row>
    <row r="125" spans="1:14" x14ac:dyDescent="0.35">
      <c r="A125" s="1" t="s">
        <v>319</v>
      </c>
      <c r="B125" s="1" t="s">
        <v>87</v>
      </c>
      <c r="C125" s="1" t="s">
        <v>227</v>
      </c>
      <c r="D125" s="1" t="s">
        <v>137</v>
      </c>
      <c r="E125" s="1" t="s">
        <v>22</v>
      </c>
      <c r="F125" s="1" t="s">
        <v>137</v>
      </c>
      <c r="G125" s="1">
        <v>7</v>
      </c>
      <c r="H125" s="1">
        <v>9227</v>
      </c>
      <c r="I125" s="1">
        <v>0.15</v>
      </c>
      <c r="J125" s="1">
        <v>54900.65</v>
      </c>
      <c r="K125" s="1">
        <v>13657.14</v>
      </c>
      <c r="L125" s="1" t="s">
        <v>45</v>
      </c>
      <c r="M125" s="1" t="str">
        <f>TEXT(Table1[[#This Row],[Order Date]],"mmm")</f>
        <v>Nov</v>
      </c>
      <c r="N125" s="1">
        <f>YEAR(Table1[[#This Row],[Order Date]])</f>
        <v>2024</v>
      </c>
    </row>
    <row r="126" spans="1:14" x14ac:dyDescent="0.35">
      <c r="A126" s="1" t="s">
        <v>320</v>
      </c>
      <c r="B126" s="1" t="s">
        <v>217</v>
      </c>
      <c r="C126" s="1" t="s">
        <v>136</v>
      </c>
      <c r="D126" s="1" t="s">
        <v>224</v>
      </c>
      <c r="E126" s="1" t="s">
        <v>33</v>
      </c>
      <c r="F126" s="1" t="s">
        <v>224</v>
      </c>
      <c r="G126" s="1">
        <v>1</v>
      </c>
      <c r="H126" s="1">
        <v>29763</v>
      </c>
      <c r="I126" s="1">
        <v>0.05</v>
      </c>
      <c r="J126" s="1">
        <v>28274.85</v>
      </c>
      <c r="K126" s="1">
        <v>7505.1</v>
      </c>
      <c r="L126" s="1" t="s">
        <v>23</v>
      </c>
      <c r="M126" s="1" t="str">
        <f>TEXT(Table1[[#This Row],[Order Date]],"mmm")</f>
        <v>Sep</v>
      </c>
      <c r="N126" s="1">
        <f>YEAR(Table1[[#This Row],[Order Date]])</f>
        <v>2023</v>
      </c>
    </row>
    <row r="127" spans="1:14" x14ac:dyDescent="0.35">
      <c r="A127" s="1" t="s">
        <v>321</v>
      </c>
      <c r="B127" s="1" t="s">
        <v>322</v>
      </c>
      <c r="C127" s="1" t="s">
        <v>88</v>
      </c>
      <c r="D127" s="1" t="s">
        <v>323</v>
      </c>
      <c r="E127" s="1" t="s">
        <v>33</v>
      </c>
      <c r="F127" s="1" t="s">
        <v>323</v>
      </c>
      <c r="G127" s="1">
        <v>9</v>
      </c>
      <c r="H127" s="1">
        <v>7140</v>
      </c>
      <c r="I127" s="1">
        <v>0</v>
      </c>
      <c r="J127" s="1">
        <v>64260</v>
      </c>
      <c r="K127" s="1">
        <v>6826.11</v>
      </c>
      <c r="L127" s="1" t="s">
        <v>17</v>
      </c>
      <c r="M127" s="1" t="str">
        <f>TEXT(Table1[[#This Row],[Order Date]],"mmm")</f>
        <v>Sep</v>
      </c>
      <c r="N127" s="1">
        <f>YEAR(Table1[[#This Row],[Order Date]])</f>
        <v>2023</v>
      </c>
    </row>
    <row r="128" spans="1:14" x14ac:dyDescent="0.35">
      <c r="A128" s="1" t="s">
        <v>324</v>
      </c>
      <c r="B128" s="1" t="s">
        <v>325</v>
      </c>
      <c r="C128" s="1" t="s">
        <v>136</v>
      </c>
      <c r="D128" s="1" t="s">
        <v>167</v>
      </c>
      <c r="E128" s="1" t="s">
        <v>16</v>
      </c>
      <c r="F128" s="1" t="s">
        <v>167</v>
      </c>
      <c r="G128" s="1">
        <v>1</v>
      </c>
      <c r="H128" s="1">
        <v>56707</v>
      </c>
      <c r="I128" s="1">
        <v>0.2</v>
      </c>
      <c r="J128" s="1">
        <v>45365.599999999999</v>
      </c>
      <c r="K128" s="1">
        <v>9226.36</v>
      </c>
      <c r="L128" s="1" t="s">
        <v>17</v>
      </c>
      <c r="M128" s="1" t="str">
        <f>TEXT(Table1[[#This Row],[Order Date]],"mmm")</f>
        <v>Aug</v>
      </c>
      <c r="N128" s="1">
        <f>YEAR(Table1[[#This Row],[Order Date]])</f>
        <v>2023</v>
      </c>
    </row>
    <row r="129" spans="1:14" x14ac:dyDescent="0.35">
      <c r="A129" s="1" t="s">
        <v>326</v>
      </c>
      <c r="B129" s="1" t="s">
        <v>327</v>
      </c>
      <c r="C129" s="1" t="s">
        <v>111</v>
      </c>
      <c r="D129" s="1" t="s">
        <v>108</v>
      </c>
      <c r="E129" s="1" t="s">
        <v>22</v>
      </c>
      <c r="F129" s="1" t="s">
        <v>108</v>
      </c>
      <c r="G129" s="1">
        <v>5</v>
      </c>
      <c r="H129" s="1">
        <v>34307</v>
      </c>
      <c r="I129" s="1">
        <v>0.15</v>
      </c>
      <c r="J129" s="1">
        <v>145804.75</v>
      </c>
      <c r="K129" s="1">
        <v>12905.77</v>
      </c>
      <c r="L129" s="1" t="s">
        <v>70</v>
      </c>
      <c r="M129" s="1" t="str">
        <f>TEXT(Table1[[#This Row],[Order Date]],"mmm")</f>
        <v>Nov</v>
      </c>
      <c r="N129" s="1">
        <f>YEAR(Table1[[#This Row],[Order Date]])</f>
        <v>2024</v>
      </c>
    </row>
    <row r="130" spans="1:14" x14ac:dyDescent="0.35">
      <c r="A130" s="1" t="s">
        <v>328</v>
      </c>
      <c r="B130" s="1" t="s">
        <v>329</v>
      </c>
      <c r="C130" s="1" t="s">
        <v>146</v>
      </c>
      <c r="D130" s="1" t="s">
        <v>64</v>
      </c>
      <c r="E130" s="1" t="s">
        <v>33</v>
      </c>
      <c r="F130" s="1" t="s">
        <v>64</v>
      </c>
      <c r="G130" s="1">
        <v>14</v>
      </c>
      <c r="H130" s="1">
        <v>15015</v>
      </c>
      <c r="I130" s="1">
        <v>0.2</v>
      </c>
      <c r="J130" s="1">
        <v>168168</v>
      </c>
      <c r="K130" s="1">
        <v>30549.05</v>
      </c>
      <c r="L130" s="1" t="s">
        <v>23</v>
      </c>
      <c r="M130" s="1" t="str">
        <f>TEXT(Table1[[#This Row],[Order Date]],"mmm")</f>
        <v>Aug</v>
      </c>
      <c r="N130" s="1">
        <f>YEAR(Table1[[#This Row],[Order Date]])</f>
        <v>2024</v>
      </c>
    </row>
    <row r="131" spans="1:14" x14ac:dyDescent="0.35">
      <c r="A131" s="1" t="s">
        <v>330</v>
      </c>
      <c r="B131" s="1" t="s">
        <v>331</v>
      </c>
      <c r="C131" s="1" t="s">
        <v>332</v>
      </c>
      <c r="D131" s="1" t="s">
        <v>293</v>
      </c>
      <c r="E131" s="1" t="s">
        <v>33</v>
      </c>
      <c r="F131" s="1" t="s">
        <v>293</v>
      </c>
      <c r="G131" s="1">
        <v>5</v>
      </c>
      <c r="H131" s="1">
        <v>22091</v>
      </c>
      <c r="I131" s="1">
        <v>0.2</v>
      </c>
      <c r="J131" s="1">
        <v>88364</v>
      </c>
      <c r="K131" s="1">
        <v>25022.87</v>
      </c>
      <c r="L131" s="1" t="s">
        <v>17</v>
      </c>
      <c r="M131" s="1" t="str">
        <f>TEXT(Table1[[#This Row],[Order Date]],"mmm")</f>
        <v>Oct</v>
      </c>
      <c r="N131" s="1">
        <f>YEAR(Table1[[#This Row],[Order Date]])</f>
        <v>2024</v>
      </c>
    </row>
    <row r="132" spans="1:14" x14ac:dyDescent="0.35">
      <c r="A132" s="1" t="s">
        <v>333</v>
      </c>
      <c r="B132" s="1" t="s">
        <v>334</v>
      </c>
      <c r="C132" s="1" t="s">
        <v>335</v>
      </c>
      <c r="D132" s="1" t="s">
        <v>108</v>
      </c>
      <c r="E132" s="1" t="s">
        <v>22</v>
      </c>
      <c r="F132" s="1" t="s">
        <v>108</v>
      </c>
      <c r="G132" s="1">
        <v>8</v>
      </c>
      <c r="H132" s="1">
        <v>34275</v>
      </c>
      <c r="I132" s="1">
        <v>0</v>
      </c>
      <c r="J132" s="1">
        <v>274200</v>
      </c>
      <c r="K132" s="1">
        <v>45521.55</v>
      </c>
      <c r="L132" s="1" t="s">
        <v>23</v>
      </c>
      <c r="M132" s="1" t="str">
        <f>TEXT(Table1[[#This Row],[Order Date]],"mmm")</f>
        <v>Sep</v>
      </c>
      <c r="N132" s="1">
        <f>YEAR(Table1[[#This Row],[Order Date]])</f>
        <v>2023</v>
      </c>
    </row>
    <row r="133" spans="1:14" x14ac:dyDescent="0.35">
      <c r="A133" s="1" t="s">
        <v>336</v>
      </c>
      <c r="B133" s="1" t="s">
        <v>337</v>
      </c>
      <c r="C133" s="1" t="s">
        <v>120</v>
      </c>
      <c r="D133" s="1" t="s">
        <v>44</v>
      </c>
      <c r="E133" s="1" t="s">
        <v>28</v>
      </c>
      <c r="F133" s="1" t="s">
        <v>44</v>
      </c>
      <c r="G133" s="1">
        <v>5</v>
      </c>
      <c r="H133" s="1">
        <v>43109</v>
      </c>
      <c r="I133" s="1">
        <v>0.05</v>
      </c>
      <c r="J133" s="1">
        <v>204767.75</v>
      </c>
      <c r="K133" s="1">
        <v>37038.589999999997</v>
      </c>
      <c r="L133" s="1" t="s">
        <v>70</v>
      </c>
      <c r="M133" s="1" t="str">
        <f>TEXT(Table1[[#This Row],[Order Date]],"mmm")</f>
        <v>May</v>
      </c>
      <c r="N133" s="1">
        <f>YEAR(Table1[[#This Row],[Order Date]])</f>
        <v>2024</v>
      </c>
    </row>
    <row r="134" spans="1:14" x14ac:dyDescent="0.35">
      <c r="A134" s="1" t="s">
        <v>338</v>
      </c>
      <c r="B134" s="1" t="s">
        <v>339</v>
      </c>
      <c r="C134" s="1" t="s">
        <v>155</v>
      </c>
      <c r="D134" s="1" t="s">
        <v>52</v>
      </c>
      <c r="E134" s="1" t="s">
        <v>28</v>
      </c>
      <c r="F134" s="1" t="s">
        <v>52</v>
      </c>
      <c r="G134" s="1">
        <v>2</v>
      </c>
      <c r="H134" s="1">
        <v>59805</v>
      </c>
      <c r="I134" s="1">
        <v>0.1</v>
      </c>
      <c r="J134" s="1">
        <v>107649</v>
      </c>
      <c r="K134" s="1">
        <v>23395.42</v>
      </c>
      <c r="L134" s="1" t="s">
        <v>23</v>
      </c>
      <c r="M134" s="1" t="str">
        <f>TEXT(Table1[[#This Row],[Order Date]],"mmm")</f>
        <v>Jun</v>
      </c>
      <c r="N134" s="1">
        <f>YEAR(Table1[[#This Row],[Order Date]])</f>
        <v>2024</v>
      </c>
    </row>
    <row r="135" spans="1:14" x14ac:dyDescent="0.35">
      <c r="A135" s="1" t="s">
        <v>340</v>
      </c>
      <c r="B135" s="1" t="s">
        <v>341</v>
      </c>
      <c r="C135" s="1" t="s">
        <v>67</v>
      </c>
      <c r="D135" s="1" t="s">
        <v>37</v>
      </c>
      <c r="E135" s="1" t="s">
        <v>16</v>
      </c>
      <c r="F135" s="1" t="s">
        <v>37</v>
      </c>
      <c r="G135" s="1">
        <v>12</v>
      </c>
      <c r="H135" s="1">
        <v>30472</v>
      </c>
      <c r="I135" s="1">
        <v>0.1</v>
      </c>
      <c r="J135" s="1">
        <v>329097.59999999998</v>
      </c>
      <c r="K135" s="1">
        <v>41227.69</v>
      </c>
      <c r="L135" s="1" t="s">
        <v>45</v>
      </c>
      <c r="M135" s="1" t="str">
        <f>TEXT(Table1[[#This Row],[Order Date]],"mmm")</f>
        <v>May</v>
      </c>
      <c r="N135" s="1">
        <f>YEAR(Table1[[#This Row],[Order Date]])</f>
        <v>2023</v>
      </c>
    </row>
    <row r="136" spans="1:14" x14ac:dyDescent="0.35">
      <c r="A136" s="1" t="s">
        <v>342</v>
      </c>
      <c r="B136" s="1" t="s">
        <v>343</v>
      </c>
      <c r="C136" s="1" t="s">
        <v>84</v>
      </c>
      <c r="D136" s="1" t="s">
        <v>44</v>
      </c>
      <c r="E136" s="1" t="s">
        <v>28</v>
      </c>
      <c r="F136" s="1" t="s">
        <v>44</v>
      </c>
      <c r="G136" s="1">
        <v>12</v>
      </c>
      <c r="H136" s="1">
        <v>42053</v>
      </c>
      <c r="I136" s="1">
        <v>0</v>
      </c>
      <c r="J136" s="1">
        <v>504636</v>
      </c>
      <c r="K136" s="1">
        <v>136181.65</v>
      </c>
      <c r="L136" s="1" t="s">
        <v>70</v>
      </c>
      <c r="M136" s="1" t="str">
        <f>TEXT(Table1[[#This Row],[Order Date]],"mmm")</f>
        <v>Feb</v>
      </c>
      <c r="N136" s="1">
        <f>YEAR(Table1[[#This Row],[Order Date]])</f>
        <v>2024</v>
      </c>
    </row>
    <row r="137" spans="1:14" x14ac:dyDescent="0.35">
      <c r="A137" s="1" t="s">
        <v>344</v>
      </c>
      <c r="B137" s="1" t="s">
        <v>113</v>
      </c>
      <c r="C137" s="1" t="s">
        <v>40</v>
      </c>
      <c r="D137" s="1" t="s">
        <v>167</v>
      </c>
      <c r="E137" s="1" t="s">
        <v>16</v>
      </c>
      <c r="F137" s="1" t="s">
        <v>167</v>
      </c>
      <c r="G137" s="1">
        <v>5</v>
      </c>
      <c r="H137" s="1">
        <v>47622</v>
      </c>
      <c r="I137" s="1">
        <v>0.15</v>
      </c>
      <c r="J137" s="1">
        <v>202393.5</v>
      </c>
      <c r="K137" s="1">
        <v>24552.43</v>
      </c>
      <c r="L137" s="1" t="s">
        <v>70</v>
      </c>
      <c r="M137" s="1" t="str">
        <f>TEXT(Table1[[#This Row],[Order Date]],"mmm")</f>
        <v>Jul</v>
      </c>
      <c r="N137" s="1">
        <f>YEAR(Table1[[#This Row],[Order Date]])</f>
        <v>2023</v>
      </c>
    </row>
    <row r="138" spans="1:14" x14ac:dyDescent="0.35">
      <c r="A138" s="1" t="s">
        <v>345</v>
      </c>
      <c r="B138" s="1" t="s">
        <v>346</v>
      </c>
      <c r="C138" s="1" t="s">
        <v>63</v>
      </c>
      <c r="D138" s="1" t="s">
        <v>108</v>
      </c>
      <c r="E138" s="1" t="s">
        <v>22</v>
      </c>
      <c r="F138" s="1" t="s">
        <v>108</v>
      </c>
      <c r="G138" s="1">
        <v>1</v>
      </c>
      <c r="H138" s="1">
        <v>34091</v>
      </c>
      <c r="I138" s="1">
        <v>0.15</v>
      </c>
      <c r="J138" s="1">
        <v>28977.35</v>
      </c>
      <c r="K138" s="1">
        <v>7847.03</v>
      </c>
      <c r="L138" s="1" t="s">
        <v>17</v>
      </c>
      <c r="M138" s="1" t="str">
        <f>TEXT(Table1[[#This Row],[Order Date]],"mmm")</f>
        <v>Oct</v>
      </c>
      <c r="N138" s="1">
        <f>YEAR(Table1[[#This Row],[Order Date]])</f>
        <v>2023</v>
      </c>
    </row>
    <row r="139" spans="1:14" x14ac:dyDescent="0.35">
      <c r="A139" s="1" t="s">
        <v>347</v>
      </c>
      <c r="B139" s="1" t="s">
        <v>348</v>
      </c>
      <c r="C139" s="1" t="s">
        <v>349</v>
      </c>
      <c r="D139" s="1" t="s">
        <v>64</v>
      </c>
      <c r="E139" s="1" t="s">
        <v>33</v>
      </c>
      <c r="F139" s="1" t="s">
        <v>64</v>
      </c>
      <c r="G139" s="1">
        <v>3</v>
      </c>
      <c r="H139" s="1">
        <v>6684</v>
      </c>
      <c r="I139" s="1">
        <v>0.2</v>
      </c>
      <c r="J139" s="1">
        <v>16041.6</v>
      </c>
      <c r="K139" s="1">
        <v>3623.29</v>
      </c>
      <c r="L139" s="1" t="s">
        <v>45</v>
      </c>
      <c r="M139" s="1" t="str">
        <f>TEXT(Table1[[#This Row],[Order Date]],"mmm")</f>
        <v>May</v>
      </c>
      <c r="N139" s="1">
        <f>YEAR(Table1[[#This Row],[Order Date]])</f>
        <v>2024</v>
      </c>
    </row>
    <row r="140" spans="1:14" x14ac:dyDescent="0.35">
      <c r="A140" s="1" t="s">
        <v>350</v>
      </c>
      <c r="B140" s="1" t="s">
        <v>351</v>
      </c>
      <c r="C140" s="1" t="s">
        <v>175</v>
      </c>
      <c r="D140" s="1" t="s">
        <v>52</v>
      </c>
      <c r="E140" s="1" t="s">
        <v>28</v>
      </c>
      <c r="F140" s="1" t="s">
        <v>52</v>
      </c>
      <c r="G140" s="1">
        <v>8</v>
      </c>
      <c r="H140" s="1">
        <v>10247</v>
      </c>
      <c r="I140" s="1">
        <v>0.1</v>
      </c>
      <c r="J140" s="1">
        <v>73778.399999999994</v>
      </c>
      <c r="K140" s="1">
        <v>15506.21</v>
      </c>
      <c r="L140" s="1" t="s">
        <v>17</v>
      </c>
      <c r="M140" s="1" t="str">
        <f>TEXT(Table1[[#This Row],[Order Date]],"mmm")</f>
        <v>Apr</v>
      </c>
      <c r="N140" s="1">
        <f>YEAR(Table1[[#This Row],[Order Date]])</f>
        <v>2023</v>
      </c>
    </row>
    <row r="141" spans="1:14" x14ac:dyDescent="0.35">
      <c r="A141" s="1" t="s">
        <v>352</v>
      </c>
      <c r="B141" s="1" t="s">
        <v>353</v>
      </c>
      <c r="C141" s="1" t="s">
        <v>63</v>
      </c>
      <c r="D141" s="1" t="s">
        <v>95</v>
      </c>
      <c r="E141" s="1" t="s">
        <v>33</v>
      </c>
      <c r="F141" s="1" t="s">
        <v>95</v>
      </c>
      <c r="G141" s="1">
        <v>10</v>
      </c>
      <c r="H141" s="1">
        <v>56952</v>
      </c>
      <c r="I141" s="1">
        <v>0</v>
      </c>
      <c r="J141" s="1">
        <v>569520</v>
      </c>
      <c r="K141" s="1">
        <v>61595.11</v>
      </c>
      <c r="L141" s="1" t="s">
        <v>23</v>
      </c>
      <c r="M141" s="1" t="str">
        <f>TEXT(Table1[[#This Row],[Order Date]],"mmm")</f>
        <v>Apr</v>
      </c>
      <c r="N141" s="1">
        <f>YEAR(Table1[[#This Row],[Order Date]])</f>
        <v>2024</v>
      </c>
    </row>
    <row r="142" spans="1:14" x14ac:dyDescent="0.35">
      <c r="A142" s="1" t="s">
        <v>354</v>
      </c>
      <c r="B142" s="1" t="s">
        <v>355</v>
      </c>
      <c r="C142" s="1" t="s">
        <v>111</v>
      </c>
      <c r="D142" s="1" t="s">
        <v>133</v>
      </c>
      <c r="E142" s="1" t="s">
        <v>22</v>
      </c>
      <c r="F142" s="1" t="s">
        <v>133</v>
      </c>
      <c r="G142" s="1">
        <v>11</v>
      </c>
      <c r="H142" s="1">
        <v>59034</v>
      </c>
      <c r="I142" s="1">
        <v>0.1</v>
      </c>
      <c r="J142" s="1">
        <v>584436.6</v>
      </c>
      <c r="K142" s="1">
        <v>51525.19</v>
      </c>
      <c r="L142" s="1" t="s">
        <v>23</v>
      </c>
      <c r="M142" s="1" t="str">
        <f>TEXT(Table1[[#This Row],[Order Date]],"mmm")</f>
        <v>Dec</v>
      </c>
      <c r="N142" s="1">
        <f>YEAR(Table1[[#This Row],[Order Date]])</f>
        <v>2023</v>
      </c>
    </row>
    <row r="143" spans="1:14" x14ac:dyDescent="0.35">
      <c r="A143" s="1" t="s">
        <v>356</v>
      </c>
      <c r="B143" s="1" t="s">
        <v>357</v>
      </c>
      <c r="C143" s="1" t="s">
        <v>208</v>
      </c>
      <c r="D143" s="1" t="s">
        <v>114</v>
      </c>
      <c r="E143" s="1" t="s">
        <v>16</v>
      </c>
      <c r="F143" s="1" t="s">
        <v>114</v>
      </c>
      <c r="G143" s="1">
        <v>12</v>
      </c>
      <c r="H143" s="1">
        <v>50228</v>
      </c>
      <c r="I143" s="1">
        <v>0</v>
      </c>
      <c r="J143" s="1">
        <v>602736</v>
      </c>
      <c r="K143" s="1">
        <v>180392.84</v>
      </c>
      <c r="L143" s="1" t="s">
        <v>17</v>
      </c>
      <c r="M143" s="1" t="str">
        <f>TEXT(Table1[[#This Row],[Order Date]],"mmm")</f>
        <v>Apr</v>
      </c>
      <c r="N143" s="1">
        <f>YEAR(Table1[[#This Row],[Order Date]])</f>
        <v>2023</v>
      </c>
    </row>
    <row r="144" spans="1:14" x14ac:dyDescent="0.35">
      <c r="A144" s="1" t="s">
        <v>358</v>
      </c>
      <c r="B144" s="1" t="s">
        <v>143</v>
      </c>
      <c r="C144" s="1" t="s">
        <v>59</v>
      </c>
      <c r="D144" s="1" t="s">
        <v>293</v>
      </c>
      <c r="E144" s="1" t="s">
        <v>33</v>
      </c>
      <c r="F144" s="1" t="s">
        <v>293</v>
      </c>
      <c r="G144" s="1">
        <v>5</v>
      </c>
      <c r="H144" s="1">
        <v>24453</v>
      </c>
      <c r="I144" s="1">
        <v>0.2</v>
      </c>
      <c r="J144" s="1">
        <v>97812</v>
      </c>
      <c r="K144" s="1">
        <v>27697.03</v>
      </c>
      <c r="L144" s="1" t="s">
        <v>70</v>
      </c>
      <c r="M144" s="1" t="str">
        <f>TEXT(Table1[[#This Row],[Order Date]],"mmm")</f>
        <v>Jul</v>
      </c>
      <c r="N144" s="1">
        <f>YEAR(Table1[[#This Row],[Order Date]])</f>
        <v>2023</v>
      </c>
    </row>
    <row r="145" spans="1:14" x14ac:dyDescent="0.35">
      <c r="A145" s="1" t="s">
        <v>359</v>
      </c>
      <c r="B145" s="1" t="s">
        <v>360</v>
      </c>
      <c r="C145" s="1" t="s">
        <v>175</v>
      </c>
      <c r="D145" s="1" t="s">
        <v>85</v>
      </c>
      <c r="E145" s="1" t="s">
        <v>28</v>
      </c>
      <c r="F145" s="1" t="s">
        <v>85</v>
      </c>
      <c r="G145" s="1">
        <v>5</v>
      </c>
      <c r="H145" s="1">
        <v>35692</v>
      </c>
      <c r="I145" s="1">
        <v>0.05</v>
      </c>
      <c r="J145" s="1">
        <v>169537</v>
      </c>
      <c r="K145" s="1">
        <v>21352.639999999999</v>
      </c>
      <c r="L145" s="1" t="s">
        <v>45</v>
      </c>
      <c r="M145" s="1" t="str">
        <f>TEXT(Table1[[#This Row],[Order Date]],"mmm")</f>
        <v>Jun</v>
      </c>
      <c r="N145" s="1">
        <f>YEAR(Table1[[#This Row],[Order Date]])</f>
        <v>2023</v>
      </c>
    </row>
    <row r="146" spans="1:14" x14ac:dyDescent="0.35">
      <c r="A146" s="1" t="s">
        <v>361</v>
      </c>
      <c r="B146" s="1" t="s">
        <v>50</v>
      </c>
      <c r="C146" s="1" t="s">
        <v>362</v>
      </c>
      <c r="D146" s="1" t="s">
        <v>74</v>
      </c>
      <c r="E146" s="1" t="s">
        <v>22</v>
      </c>
      <c r="F146" s="1" t="s">
        <v>74</v>
      </c>
      <c r="G146" s="1">
        <v>8</v>
      </c>
      <c r="H146" s="1">
        <v>11608</v>
      </c>
      <c r="I146" s="1">
        <v>0.1</v>
      </c>
      <c r="J146" s="1">
        <v>83577.600000000006</v>
      </c>
      <c r="K146" s="1">
        <v>17232.53</v>
      </c>
      <c r="L146" s="1" t="s">
        <v>70</v>
      </c>
      <c r="M146" s="1" t="str">
        <f>TEXT(Table1[[#This Row],[Order Date]],"mmm")</f>
        <v>May</v>
      </c>
      <c r="N146" s="1">
        <f>YEAR(Table1[[#This Row],[Order Date]])</f>
        <v>2023</v>
      </c>
    </row>
    <row r="147" spans="1:14" x14ac:dyDescent="0.35">
      <c r="A147" s="1" t="s">
        <v>363</v>
      </c>
      <c r="B147" s="1" t="s">
        <v>193</v>
      </c>
      <c r="C147" s="1" t="s">
        <v>158</v>
      </c>
      <c r="D147" s="1" t="s">
        <v>32</v>
      </c>
      <c r="E147" s="1" t="s">
        <v>33</v>
      </c>
      <c r="F147" s="1" t="s">
        <v>32</v>
      </c>
      <c r="G147" s="1">
        <v>11</v>
      </c>
      <c r="H147" s="1">
        <v>4059</v>
      </c>
      <c r="I147" s="1">
        <v>0</v>
      </c>
      <c r="J147" s="1">
        <v>44649</v>
      </c>
      <c r="K147" s="1">
        <v>11416.05</v>
      </c>
      <c r="L147" s="1" t="s">
        <v>17</v>
      </c>
      <c r="M147" s="1" t="str">
        <f>TEXT(Table1[[#This Row],[Order Date]],"mmm")</f>
        <v>Jun</v>
      </c>
      <c r="N147" s="1">
        <f>YEAR(Table1[[#This Row],[Order Date]])</f>
        <v>2023</v>
      </c>
    </row>
    <row r="148" spans="1:14" x14ac:dyDescent="0.35">
      <c r="A148" s="1" t="s">
        <v>364</v>
      </c>
      <c r="B148" s="1" t="s">
        <v>365</v>
      </c>
      <c r="C148" s="1" t="s">
        <v>203</v>
      </c>
      <c r="D148" s="1" t="s">
        <v>137</v>
      </c>
      <c r="E148" s="1" t="s">
        <v>22</v>
      </c>
      <c r="F148" s="1" t="s">
        <v>137</v>
      </c>
      <c r="G148" s="1">
        <v>13</v>
      </c>
      <c r="H148" s="1">
        <v>47338</v>
      </c>
      <c r="I148" s="1">
        <v>0.05</v>
      </c>
      <c r="J148" s="1">
        <v>584624.30000000005</v>
      </c>
      <c r="K148" s="1">
        <v>149700.28</v>
      </c>
      <c r="L148" s="1" t="s">
        <v>45</v>
      </c>
      <c r="M148" s="1" t="str">
        <f>TEXT(Table1[[#This Row],[Order Date]],"mmm")</f>
        <v>Jun</v>
      </c>
      <c r="N148" s="1">
        <f>YEAR(Table1[[#This Row],[Order Date]])</f>
        <v>2023</v>
      </c>
    </row>
    <row r="149" spans="1:14" x14ac:dyDescent="0.35">
      <c r="A149" s="1" t="s">
        <v>366</v>
      </c>
      <c r="B149" s="1" t="s">
        <v>367</v>
      </c>
      <c r="C149" s="1" t="s">
        <v>63</v>
      </c>
      <c r="D149" s="1" t="s">
        <v>56</v>
      </c>
      <c r="E149" s="1" t="s">
        <v>22</v>
      </c>
      <c r="F149" s="1" t="s">
        <v>56</v>
      </c>
      <c r="G149" s="1">
        <v>9</v>
      </c>
      <c r="H149" s="1">
        <v>54870</v>
      </c>
      <c r="I149" s="1">
        <v>0.2</v>
      </c>
      <c r="J149" s="1">
        <v>395064</v>
      </c>
      <c r="K149" s="1">
        <v>76327.69</v>
      </c>
      <c r="L149" s="1" t="s">
        <v>45</v>
      </c>
      <c r="M149" s="1" t="str">
        <f>TEXT(Table1[[#This Row],[Order Date]],"mmm")</f>
        <v>Mar</v>
      </c>
      <c r="N149" s="1">
        <f>YEAR(Table1[[#This Row],[Order Date]])</f>
        <v>2024</v>
      </c>
    </row>
    <row r="150" spans="1:14" x14ac:dyDescent="0.35">
      <c r="A150" s="1" t="s">
        <v>368</v>
      </c>
      <c r="B150" s="1" t="s">
        <v>369</v>
      </c>
      <c r="C150" s="1" t="s">
        <v>370</v>
      </c>
      <c r="D150" s="1" t="s">
        <v>95</v>
      </c>
      <c r="E150" s="1" t="s">
        <v>33</v>
      </c>
      <c r="F150" s="1" t="s">
        <v>95</v>
      </c>
      <c r="G150" s="1">
        <v>2</v>
      </c>
      <c r="H150" s="1">
        <v>29801</v>
      </c>
      <c r="I150" s="1">
        <v>0.2</v>
      </c>
      <c r="J150" s="1">
        <v>47681.599999999999</v>
      </c>
      <c r="K150" s="1">
        <v>5545.75</v>
      </c>
      <c r="L150" s="1" t="s">
        <v>70</v>
      </c>
      <c r="M150" s="1" t="str">
        <f>TEXT(Table1[[#This Row],[Order Date]],"mmm")</f>
        <v>Sep</v>
      </c>
      <c r="N150" s="1">
        <f>YEAR(Table1[[#This Row],[Order Date]])</f>
        <v>2024</v>
      </c>
    </row>
    <row r="151" spans="1:14" x14ac:dyDescent="0.35">
      <c r="A151" s="1" t="s">
        <v>371</v>
      </c>
      <c r="B151" s="1" t="s">
        <v>372</v>
      </c>
      <c r="C151" s="1" t="s">
        <v>200</v>
      </c>
      <c r="D151" s="1" t="s">
        <v>137</v>
      </c>
      <c r="E151" s="1" t="s">
        <v>22</v>
      </c>
      <c r="F151" s="1" t="s">
        <v>137</v>
      </c>
      <c r="G151" s="1">
        <v>4</v>
      </c>
      <c r="H151" s="1">
        <v>51811</v>
      </c>
      <c r="I151" s="1">
        <v>0.15</v>
      </c>
      <c r="J151" s="1">
        <v>176157.4</v>
      </c>
      <c r="K151" s="1">
        <v>34855.18</v>
      </c>
      <c r="L151" s="1" t="s">
        <v>23</v>
      </c>
      <c r="M151" s="1" t="str">
        <f>TEXT(Table1[[#This Row],[Order Date]],"mmm")</f>
        <v>Jan</v>
      </c>
      <c r="N151" s="1">
        <f>YEAR(Table1[[#This Row],[Order Date]])</f>
        <v>2023</v>
      </c>
    </row>
    <row r="152" spans="1:14" x14ac:dyDescent="0.35">
      <c r="A152" s="1" t="s">
        <v>373</v>
      </c>
      <c r="B152" s="1" t="s">
        <v>374</v>
      </c>
      <c r="C152" s="1" t="s">
        <v>77</v>
      </c>
      <c r="D152" s="1" t="s">
        <v>78</v>
      </c>
      <c r="E152" s="1" t="s">
        <v>28</v>
      </c>
      <c r="F152" s="1" t="s">
        <v>78</v>
      </c>
      <c r="G152" s="1">
        <v>13</v>
      </c>
      <c r="H152" s="1">
        <v>18434</v>
      </c>
      <c r="I152" s="1">
        <v>0.15</v>
      </c>
      <c r="J152" s="1">
        <v>203695.7</v>
      </c>
      <c r="K152" s="1">
        <v>43393.07</v>
      </c>
      <c r="L152" s="1" t="s">
        <v>45</v>
      </c>
      <c r="M152" s="1" t="str">
        <f>TEXT(Table1[[#This Row],[Order Date]],"mmm")</f>
        <v>Oct</v>
      </c>
      <c r="N152" s="1">
        <f>YEAR(Table1[[#This Row],[Order Date]])</f>
        <v>2023</v>
      </c>
    </row>
    <row r="153" spans="1:14" x14ac:dyDescent="0.35">
      <c r="A153" s="1" t="s">
        <v>375</v>
      </c>
      <c r="B153" s="1" t="s">
        <v>19</v>
      </c>
      <c r="C153" s="1" t="s">
        <v>178</v>
      </c>
      <c r="D153" s="1" t="s">
        <v>85</v>
      </c>
      <c r="E153" s="1" t="s">
        <v>28</v>
      </c>
      <c r="F153" s="1" t="s">
        <v>85</v>
      </c>
      <c r="G153" s="1">
        <v>4</v>
      </c>
      <c r="H153" s="1">
        <v>17088</v>
      </c>
      <c r="I153" s="1">
        <v>0.1</v>
      </c>
      <c r="J153" s="1">
        <v>61516.800000000003</v>
      </c>
      <c r="K153" s="1">
        <v>6530.03</v>
      </c>
      <c r="L153" s="1" t="s">
        <v>17</v>
      </c>
      <c r="M153" s="1" t="str">
        <f>TEXT(Table1[[#This Row],[Order Date]],"mmm")</f>
        <v>Jul</v>
      </c>
      <c r="N153" s="1">
        <f>YEAR(Table1[[#This Row],[Order Date]])</f>
        <v>2023</v>
      </c>
    </row>
    <row r="154" spans="1:14" x14ac:dyDescent="0.35">
      <c r="A154" s="1" t="s">
        <v>376</v>
      </c>
      <c r="B154" s="1" t="s">
        <v>377</v>
      </c>
      <c r="C154" s="1" t="s">
        <v>14</v>
      </c>
      <c r="D154" s="1" t="s">
        <v>21</v>
      </c>
      <c r="E154" s="1" t="s">
        <v>22</v>
      </c>
      <c r="F154" s="1" t="s">
        <v>21</v>
      </c>
      <c r="G154" s="1">
        <v>1</v>
      </c>
      <c r="H154" s="1">
        <v>28058</v>
      </c>
      <c r="I154" s="1">
        <v>0</v>
      </c>
      <c r="J154" s="1">
        <v>28058</v>
      </c>
      <c r="K154" s="1">
        <v>2297.15</v>
      </c>
      <c r="L154" s="1" t="s">
        <v>70</v>
      </c>
      <c r="M154" s="1" t="str">
        <f>TEXT(Table1[[#This Row],[Order Date]],"mmm")</f>
        <v>Jul</v>
      </c>
      <c r="N154" s="1">
        <f>YEAR(Table1[[#This Row],[Order Date]])</f>
        <v>2024</v>
      </c>
    </row>
    <row r="155" spans="1:14" x14ac:dyDescent="0.35">
      <c r="A155" s="1" t="s">
        <v>378</v>
      </c>
      <c r="B155" s="1" t="s">
        <v>379</v>
      </c>
      <c r="C155" s="1" t="s">
        <v>332</v>
      </c>
      <c r="D155" s="1" t="s">
        <v>48</v>
      </c>
      <c r="E155" s="1" t="s">
        <v>16</v>
      </c>
      <c r="F155" s="1" t="s">
        <v>48</v>
      </c>
      <c r="G155" s="1">
        <v>2</v>
      </c>
      <c r="H155" s="1">
        <v>48583</v>
      </c>
      <c r="I155" s="1">
        <v>0.1</v>
      </c>
      <c r="J155" s="1">
        <v>87449.4</v>
      </c>
      <c r="K155" s="1">
        <v>12043.89</v>
      </c>
      <c r="L155" s="1" t="s">
        <v>45</v>
      </c>
      <c r="M155" s="1" t="str">
        <f>TEXT(Table1[[#This Row],[Order Date]],"mmm")</f>
        <v>Feb</v>
      </c>
      <c r="N155" s="1">
        <f>YEAR(Table1[[#This Row],[Order Date]])</f>
        <v>2023</v>
      </c>
    </row>
    <row r="156" spans="1:14" x14ac:dyDescent="0.35">
      <c r="A156" s="1" t="s">
        <v>380</v>
      </c>
      <c r="B156" s="1" t="s">
        <v>381</v>
      </c>
      <c r="C156" s="1" t="s">
        <v>349</v>
      </c>
      <c r="D156" s="1" t="s">
        <v>224</v>
      </c>
      <c r="E156" s="1" t="s">
        <v>33</v>
      </c>
      <c r="F156" s="1" t="s">
        <v>224</v>
      </c>
      <c r="G156" s="1">
        <v>8</v>
      </c>
      <c r="H156" s="1">
        <v>51504</v>
      </c>
      <c r="I156" s="1">
        <v>0.2</v>
      </c>
      <c r="J156" s="1">
        <v>329625.59999999998</v>
      </c>
      <c r="K156" s="1">
        <v>97893.41</v>
      </c>
      <c r="L156" s="1" t="s">
        <v>70</v>
      </c>
      <c r="M156" s="1" t="str">
        <f>TEXT(Table1[[#This Row],[Order Date]],"mmm")</f>
        <v>Dec</v>
      </c>
      <c r="N156" s="1">
        <f>YEAR(Table1[[#This Row],[Order Date]])</f>
        <v>2023</v>
      </c>
    </row>
    <row r="157" spans="1:14" x14ac:dyDescent="0.35">
      <c r="A157" s="1" t="s">
        <v>382</v>
      </c>
      <c r="B157" s="1" t="s">
        <v>383</v>
      </c>
      <c r="C157" s="1" t="s">
        <v>77</v>
      </c>
      <c r="D157" s="1" t="s">
        <v>141</v>
      </c>
      <c r="E157" s="1" t="s">
        <v>22</v>
      </c>
      <c r="F157" s="1" t="s">
        <v>141</v>
      </c>
      <c r="G157" s="1">
        <v>1</v>
      </c>
      <c r="H157" s="1">
        <v>46271</v>
      </c>
      <c r="I157" s="1">
        <v>0</v>
      </c>
      <c r="J157" s="1">
        <v>46271</v>
      </c>
      <c r="K157" s="1">
        <v>6694.9</v>
      </c>
      <c r="L157" s="1" t="s">
        <v>23</v>
      </c>
      <c r="M157" s="1" t="str">
        <f>TEXT(Table1[[#This Row],[Order Date]],"mmm")</f>
        <v>Jun</v>
      </c>
      <c r="N157" s="1">
        <f>YEAR(Table1[[#This Row],[Order Date]])</f>
        <v>2024</v>
      </c>
    </row>
    <row r="158" spans="1:14" x14ac:dyDescent="0.35">
      <c r="A158" s="1" t="s">
        <v>384</v>
      </c>
      <c r="B158" s="1" t="s">
        <v>385</v>
      </c>
      <c r="C158" s="1" t="s">
        <v>178</v>
      </c>
      <c r="D158" s="1" t="s">
        <v>137</v>
      </c>
      <c r="E158" s="1" t="s">
        <v>22</v>
      </c>
      <c r="F158" s="1" t="s">
        <v>137</v>
      </c>
      <c r="G158" s="1">
        <v>14</v>
      </c>
      <c r="H158" s="1">
        <v>41023</v>
      </c>
      <c r="I158" s="1">
        <v>0.05</v>
      </c>
      <c r="J158" s="1">
        <v>545605.9</v>
      </c>
      <c r="K158" s="1">
        <v>159638.37</v>
      </c>
      <c r="L158" s="1" t="s">
        <v>70</v>
      </c>
      <c r="M158" s="1" t="str">
        <f>TEXT(Table1[[#This Row],[Order Date]],"mmm")</f>
        <v>Jan</v>
      </c>
      <c r="N158" s="1">
        <f>YEAR(Table1[[#This Row],[Order Date]])</f>
        <v>2023</v>
      </c>
    </row>
    <row r="159" spans="1:14" x14ac:dyDescent="0.35">
      <c r="A159" s="1" t="s">
        <v>386</v>
      </c>
      <c r="B159" s="1" t="s">
        <v>387</v>
      </c>
      <c r="C159" s="1" t="s">
        <v>67</v>
      </c>
      <c r="D159" s="1" t="s">
        <v>323</v>
      </c>
      <c r="E159" s="1" t="s">
        <v>33</v>
      </c>
      <c r="F159" s="1" t="s">
        <v>323</v>
      </c>
      <c r="G159" s="1">
        <v>2</v>
      </c>
      <c r="H159" s="1">
        <v>49237</v>
      </c>
      <c r="I159" s="1">
        <v>0.15</v>
      </c>
      <c r="J159" s="1">
        <v>83702.899999999994</v>
      </c>
      <c r="K159" s="1">
        <v>21949.03</v>
      </c>
      <c r="L159" s="1" t="s">
        <v>70</v>
      </c>
      <c r="M159" s="1" t="str">
        <f>TEXT(Table1[[#This Row],[Order Date]],"mmm")</f>
        <v>May</v>
      </c>
      <c r="N159" s="1">
        <f>YEAR(Table1[[#This Row],[Order Date]])</f>
        <v>2024</v>
      </c>
    </row>
    <row r="160" spans="1:14" x14ac:dyDescent="0.35">
      <c r="A160" s="1" t="s">
        <v>388</v>
      </c>
      <c r="B160" s="1" t="s">
        <v>389</v>
      </c>
      <c r="C160" s="1" t="s">
        <v>128</v>
      </c>
      <c r="D160" s="1" t="s">
        <v>91</v>
      </c>
      <c r="E160" s="1" t="s">
        <v>16</v>
      </c>
      <c r="F160" s="1" t="s">
        <v>91</v>
      </c>
      <c r="G160" s="1">
        <v>3</v>
      </c>
      <c r="H160" s="1">
        <v>12475</v>
      </c>
      <c r="I160" s="1">
        <v>0.2</v>
      </c>
      <c r="J160" s="1">
        <v>29940</v>
      </c>
      <c r="K160" s="1">
        <v>6935.58</v>
      </c>
      <c r="L160" s="1" t="s">
        <v>23</v>
      </c>
      <c r="M160" s="1" t="str">
        <f>TEXT(Table1[[#This Row],[Order Date]],"mmm")</f>
        <v>May</v>
      </c>
      <c r="N160" s="1">
        <f>YEAR(Table1[[#This Row],[Order Date]])</f>
        <v>2023</v>
      </c>
    </row>
    <row r="161" spans="1:14" x14ac:dyDescent="0.35">
      <c r="A161" s="1" t="s">
        <v>390</v>
      </c>
      <c r="B161" s="1" t="s">
        <v>316</v>
      </c>
      <c r="C161" s="1" t="s">
        <v>349</v>
      </c>
      <c r="D161" s="1" t="s">
        <v>74</v>
      </c>
      <c r="E161" s="1" t="s">
        <v>22</v>
      </c>
      <c r="F161" s="1" t="s">
        <v>74</v>
      </c>
      <c r="G161" s="1">
        <v>6</v>
      </c>
      <c r="H161" s="1">
        <v>2456</v>
      </c>
      <c r="I161" s="1">
        <v>0.15</v>
      </c>
      <c r="J161" s="1">
        <v>12525.6</v>
      </c>
      <c r="K161" s="1">
        <v>3127.98</v>
      </c>
      <c r="L161" s="1" t="s">
        <v>70</v>
      </c>
      <c r="M161" s="1" t="str">
        <f>TEXT(Table1[[#This Row],[Order Date]],"mmm")</f>
        <v>Nov</v>
      </c>
      <c r="N161" s="1">
        <f>YEAR(Table1[[#This Row],[Order Date]])</f>
        <v>2023</v>
      </c>
    </row>
    <row r="162" spans="1:14" x14ac:dyDescent="0.35">
      <c r="A162" s="1" t="s">
        <v>391</v>
      </c>
      <c r="B162" s="1" t="s">
        <v>392</v>
      </c>
      <c r="C162" s="1" t="s">
        <v>188</v>
      </c>
      <c r="D162" s="1" t="s">
        <v>52</v>
      </c>
      <c r="E162" s="1" t="s">
        <v>28</v>
      </c>
      <c r="F162" s="1" t="s">
        <v>52</v>
      </c>
      <c r="G162" s="1">
        <v>2</v>
      </c>
      <c r="H162" s="1">
        <v>44581</v>
      </c>
      <c r="I162" s="1">
        <v>0.15</v>
      </c>
      <c r="J162" s="1">
        <v>75787.7</v>
      </c>
      <c r="K162" s="1">
        <v>16444.349999999999</v>
      </c>
      <c r="L162" s="1" t="s">
        <v>45</v>
      </c>
      <c r="M162" s="1" t="str">
        <f>TEXT(Table1[[#This Row],[Order Date]],"mmm")</f>
        <v>May</v>
      </c>
      <c r="N162" s="1">
        <f>YEAR(Table1[[#This Row],[Order Date]])</f>
        <v>2024</v>
      </c>
    </row>
    <row r="163" spans="1:14" x14ac:dyDescent="0.35">
      <c r="A163" s="1" t="s">
        <v>393</v>
      </c>
      <c r="B163" s="1" t="s">
        <v>394</v>
      </c>
      <c r="C163" s="1" t="s">
        <v>51</v>
      </c>
      <c r="D163" s="1" t="s">
        <v>224</v>
      </c>
      <c r="E163" s="1" t="s">
        <v>33</v>
      </c>
      <c r="F163" s="1" t="s">
        <v>224</v>
      </c>
      <c r="G163" s="1">
        <v>9</v>
      </c>
      <c r="H163" s="1">
        <v>18839</v>
      </c>
      <c r="I163" s="1">
        <v>0.2</v>
      </c>
      <c r="J163" s="1">
        <v>135640.79999999999</v>
      </c>
      <c r="K163" s="1">
        <v>13721.72</v>
      </c>
      <c r="L163" s="1" t="s">
        <v>17</v>
      </c>
      <c r="M163" s="1" t="str">
        <f>TEXT(Table1[[#This Row],[Order Date]],"mmm")</f>
        <v>Sep</v>
      </c>
      <c r="N163" s="1">
        <f>YEAR(Table1[[#This Row],[Order Date]])</f>
        <v>2023</v>
      </c>
    </row>
    <row r="164" spans="1:14" x14ac:dyDescent="0.35">
      <c r="A164" s="1" t="s">
        <v>395</v>
      </c>
      <c r="B164" s="1" t="s">
        <v>396</v>
      </c>
      <c r="C164" s="1" t="s">
        <v>51</v>
      </c>
      <c r="D164" s="1" t="s">
        <v>27</v>
      </c>
      <c r="E164" s="1" t="s">
        <v>28</v>
      </c>
      <c r="F164" s="1" t="s">
        <v>27</v>
      </c>
      <c r="G164" s="1">
        <v>9</v>
      </c>
      <c r="H164" s="1">
        <v>41056</v>
      </c>
      <c r="I164" s="1">
        <v>0.05</v>
      </c>
      <c r="J164" s="1">
        <v>351028.8</v>
      </c>
      <c r="K164" s="1">
        <v>88842.55</v>
      </c>
      <c r="L164" s="1" t="s">
        <v>17</v>
      </c>
      <c r="M164" s="1" t="str">
        <f>TEXT(Table1[[#This Row],[Order Date]],"mmm")</f>
        <v>Jul</v>
      </c>
      <c r="N164" s="1">
        <f>YEAR(Table1[[#This Row],[Order Date]])</f>
        <v>2023</v>
      </c>
    </row>
    <row r="165" spans="1:14" x14ac:dyDescent="0.35">
      <c r="A165" s="1" t="s">
        <v>397</v>
      </c>
      <c r="B165" s="1" t="s">
        <v>398</v>
      </c>
      <c r="C165" s="1" t="s">
        <v>31</v>
      </c>
      <c r="D165" s="1" t="s">
        <v>41</v>
      </c>
      <c r="E165" s="1" t="s">
        <v>16</v>
      </c>
      <c r="F165" s="1" t="s">
        <v>41</v>
      </c>
      <c r="G165" s="1">
        <v>7</v>
      </c>
      <c r="H165" s="1">
        <v>58602</v>
      </c>
      <c r="I165" s="1">
        <v>0.2</v>
      </c>
      <c r="J165" s="1">
        <v>328171.2</v>
      </c>
      <c r="K165" s="1">
        <v>84793.48</v>
      </c>
      <c r="L165" s="1" t="s">
        <v>45</v>
      </c>
      <c r="M165" s="1" t="str">
        <f>TEXT(Table1[[#This Row],[Order Date]],"mmm")</f>
        <v>Sep</v>
      </c>
      <c r="N165" s="1">
        <f>YEAR(Table1[[#This Row],[Order Date]])</f>
        <v>2023</v>
      </c>
    </row>
    <row r="166" spans="1:14" x14ac:dyDescent="0.35">
      <c r="A166" s="1" t="s">
        <v>399</v>
      </c>
      <c r="B166" s="1" t="s">
        <v>400</v>
      </c>
      <c r="C166" s="1" t="s">
        <v>128</v>
      </c>
      <c r="D166" s="1" t="s">
        <v>74</v>
      </c>
      <c r="E166" s="1" t="s">
        <v>22</v>
      </c>
      <c r="F166" s="1" t="s">
        <v>74</v>
      </c>
      <c r="G166" s="1">
        <v>11</v>
      </c>
      <c r="H166" s="1">
        <v>30176</v>
      </c>
      <c r="I166" s="1">
        <v>0.05</v>
      </c>
      <c r="J166" s="1">
        <v>315339.2</v>
      </c>
      <c r="K166" s="1">
        <v>82639.39</v>
      </c>
      <c r="L166" s="1" t="s">
        <v>23</v>
      </c>
      <c r="M166" s="1" t="str">
        <f>TEXT(Table1[[#This Row],[Order Date]],"mmm")</f>
        <v>Aug</v>
      </c>
      <c r="N166" s="1">
        <f>YEAR(Table1[[#This Row],[Order Date]])</f>
        <v>2023</v>
      </c>
    </row>
    <row r="167" spans="1:14" x14ac:dyDescent="0.35">
      <c r="A167" s="1" t="s">
        <v>401</v>
      </c>
      <c r="B167" s="1" t="s">
        <v>402</v>
      </c>
      <c r="C167" s="1" t="s">
        <v>136</v>
      </c>
      <c r="D167" s="1" t="s">
        <v>21</v>
      </c>
      <c r="E167" s="1" t="s">
        <v>22</v>
      </c>
      <c r="F167" s="1" t="s">
        <v>21</v>
      </c>
      <c r="G167" s="1">
        <v>1</v>
      </c>
      <c r="H167" s="1">
        <v>5056</v>
      </c>
      <c r="I167" s="1">
        <v>0</v>
      </c>
      <c r="J167" s="1">
        <v>5056</v>
      </c>
      <c r="K167" s="1">
        <v>1080.0999999999999</v>
      </c>
      <c r="L167" s="1" t="s">
        <v>17</v>
      </c>
      <c r="M167" s="1" t="str">
        <f>TEXT(Table1[[#This Row],[Order Date]],"mmm")</f>
        <v>Feb</v>
      </c>
      <c r="N167" s="1">
        <f>YEAR(Table1[[#This Row],[Order Date]])</f>
        <v>2023</v>
      </c>
    </row>
    <row r="168" spans="1:14" x14ac:dyDescent="0.35">
      <c r="A168" s="1" t="s">
        <v>403</v>
      </c>
      <c r="B168" s="1" t="s">
        <v>404</v>
      </c>
      <c r="C168" s="1" t="s">
        <v>255</v>
      </c>
      <c r="D168" s="1" t="s">
        <v>48</v>
      </c>
      <c r="E168" s="1" t="s">
        <v>16</v>
      </c>
      <c r="F168" s="1" t="s">
        <v>48</v>
      </c>
      <c r="G168" s="1">
        <v>15</v>
      </c>
      <c r="H168" s="1">
        <v>1446</v>
      </c>
      <c r="I168" s="1">
        <v>0.05</v>
      </c>
      <c r="J168" s="1">
        <v>20605.5</v>
      </c>
      <c r="K168" s="1">
        <v>2193.11</v>
      </c>
      <c r="L168" s="1" t="s">
        <v>17</v>
      </c>
      <c r="M168" s="1" t="str">
        <f>TEXT(Table1[[#This Row],[Order Date]],"mmm")</f>
        <v>Jan</v>
      </c>
      <c r="N168" s="1">
        <f>YEAR(Table1[[#This Row],[Order Date]])</f>
        <v>2023</v>
      </c>
    </row>
    <row r="169" spans="1:14" x14ac:dyDescent="0.35">
      <c r="A169" s="1" t="s">
        <v>405</v>
      </c>
      <c r="B169" s="1" t="s">
        <v>406</v>
      </c>
      <c r="C169" s="1" t="s">
        <v>104</v>
      </c>
      <c r="D169" s="1" t="s">
        <v>224</v>
      </c>
      <c r="E169" s="1" t="s">
        <v>33</v>
      </c>
      <c r="F169" s="1" t="s">
        <v>224</v>
      </c>
      <c r="G169" s="1">
        <v>1</v>
      </c>
      <c r="H169" s="1">
        <v>47886</v>
      </c>
      <c r="I169" s="1">
        <v>0.1</v>
      </c>
      <c r="J169" s="1">
        <v>43097.4</v>
      </c>
      <c r="K169" s="1">
        <v>5370.2</v>
      </c>
      <c r="L169" s="1" t="s">
        <v>17</v>
      </c>
      <c r="M169" s="1" t="str">
        <f>TEXT(Table1[[#This Row],[Order Date]],"mmm")</f>
        <v>Mar</v>
      </c>
      <c r="N169" s="1">
        <f>YEAR(Table1[[#This Row],[Order Date]])</f>
        <v>2023</v>
      </c>
    </row>
    <row r="170" spans="1:14" x14ac:dyDescent="0.35">
      <c r="A170" s="1" t="s">
        <v>407</v>
      </c>
      <c r="B170" s="1" t="s">
        <v>408</v>
      </c>
      <c r="C170" s="1" t="s">
        <v>178</v>
      </c>
      <c r="D170" s="1" t="s">
        <v>27</v>
      </c>
      <c r="E170" s="1" t="s">
        <v>28</v>
      </c>
      <c r="F170" s="1" t="s">
        <v>27</v>
      </c>
      <c r="G170" s="1">
        <v>9</v>
      </c>
      <c r="H170" s="1">
        <v>58086</v>
      </c>
      <c r="I170" s="1">
        <v>0.05</v>
      </c>
      <c r="J170" s="1">
        <v>496635.3</v>
      </c>
      <c r="K170" s="1">
        <v>57875.78</v>
      </c>
      <c r="L170" s="1" t="s">
        <v>45</v>
      </c>
      <c r="M170" s="1" t="str">
        <f>TEXT(Table1[[#This Row],[Order Date]],"mmm")</f>
        <v>Jul</v>
      </c>
      <c r="N170" s="1">
        <f>YEAR(Table1[[#This Row],[Order Date]])</f>
        <v>2023</v>
      </c>
    </row>
    <row r="171" spans="1:14" x14ac:dyDescent="0.35">
      <c r="A171" s="1" t="s">
        <v>409</v>
      </c>
      <c r="B171" s="1" t="s">
        <v>410</v>
      </c>
      <c r="C171" s="1" t="s">
        <v>332</v>
      </c>
      <c r="D171" s="1" t="s">
        <v>21</v>
      </c>
      <c r="E171" s="1" t="s">
        <v>22</v>
      </c>
      <c r="F171" s="1" t="s">
        <v>21</v>
      </c>
      <c r="G171" s="1">
        <v>10</v>
      </c>
      <c r="H171" s="1">
        <v>12995</v>
      </c>
      <c r="I171" s="1">
        <v>0.05</v>
      </c>
      <c r="J171" s="1">
        <v>123452.5</v>
      </c>
      <c r="K171" s="1">
        <v>11721.19</v>
      </c>
      <c r="L171" s="1" t="s">
        <v>17</v>
      </c>
      <c r="M171" s="1" t="str">
        <f>TEXT(Table1[[#This Row],[Order Date]],"mmm")</f>
        <v>Sep</v>
      </c>
      <c r="N171" s="1">
        <f>YEAR(Table1[[#This Row],[Order Date]])</f>
        <v>2024</v>
      </c>
    </row>
    <row r="172" spans="1:14" x14ac:dyDescent="0.35">
      <c r="A172" s="1" t="s">
        <v>411</v>
      </c>
      <c r="B172" s="1" t="s">
        <v>217</v>
      </c>
      <c r="C172" s="1" t="s">
        <v>255</v>
      </c>
      <c r="D172" s="1" t="s">
        <v>27</v>
      </c>
      <c r="E172" s="1" t="s">
        <v>28</v>
      </c>
      <c r="F172" s="1" t="s">
        <v>27</v>
      </c>
      <c r="G172" s="1">
        <v>6</v>
      </c>
      <c r="H172" s="1">
        <v>56204</v>
      </c>
      <c r="I172" s="1">
        <v>0.15</v>
      </c>
      <c r="J172" s="1">
        <v>286640.40000000002</v>
      </c>
      <c r="K172" s="1">
        <v>48251.53</v>
      </c>
      <c r="L172" s="1" t="s">
        <v>23</v>
      </c>
      <c r="M172" s="1" t="str">
        <f>TEXT(Table1[[#This Row],[Order Date]],"mmm")</f>
        <v>Sep</v>
      </c>
      <c r="N172" s="1">
        <f>YEAR(Table1[[#This Row],[Order Date]])</f>
        <v>2023</v>
      </c>
    </row>
    <row r="173" spans="1:14" x14ac:dyDescent="0.35">
      <c r="A173" s="1" t="s">
        <v>412</v>
      </c>
      <c r="B173" s="1" t="s">
        <v>413</v>
      </c>
      <c r="C173" s="1" t="s">
        <v>227</v>
      </c>
      <c r="D173" s="1" t="s">
        <v>52</v>
      </c>
      <c r="E173" s="1" t="s">
        <v>28</v>
      </c>
      <c r="F173" s="1" t="s">
        <v>52</v>
      </c>
      <c r="G173" s="1">
        <v>7</v>
      </c>
      <c r="H173" s="1">
        <v>29580</v>
      </c>
      <c r="I173" s="1">
        <v>0</v>
      </c>
      <c r="J173" s="1">
        <v>207060</v>
      </c>
      <c r="K173" s="1">
        <v>21266.959999999999</v>
      </c>
      <c r="L173" s="1" t="s">
        <v>17</v>
      </c>
      <c r="M173" s="1" t="str">
        <f>TEXT(Table1[[#This Row],[Order Date]],"mmm")</f>
        <v>May</v>
      </c>
      <c r="N173" s="1">
        <f>YEAR(Table1[[#This Row],[Order Date]])</f>
        <v>2024</v>
      </c>
    </row>
    <row r="174" spans="1:14" x14ac:dyDescent="0.35">
      <c r="A174" s="1" t="s">
        <v>414</v>
      </c>
      <c r="B174" s="1" t="s">
        <v>415</v>
      </c>
      <c r="C174" s="1" t="s">
        <v>67</v>
      </c>
      <c r="D174" s="1" t="s">
        <v>91</v>
      </c>
      <c r="E174" s="1" t="s">
        <v>16</v>
      </c>
      <c r="F174" s="1" t="s">
        <v>91</v>
      </c>
      <c r="G174" s="1">
        <v>10</v>
      </c>
      <c r="H174" s="1">
        <v>28734</v>
      </c>
      <c r="I174" s="1">
        <v>0</v>
      </c>
      <c r="J174" s="1">
        <v>287340</v>
      </c>
      <c r="K174" s="1">
        <v>27162.61</v>
      </c>
      <c r="L174" s="1" t="s">
        <v>45</v>
      </c>
      <c r="M174" s="1" t="str">
        <f>TEXT(Table1[[#This Row],[Order Date]],"mmm")</f>
        <v>Jan</v>
      </c>
      <c r="N174" s="1">
        <f>YEAR(Table1[[#This Row],[Order Date]])</f>
        <v>2024</v>
      </c>
    </row>
    <row r="175" spans="1:14" x14ac:dyDescent="0.35">
      <c r="A175" s="1" t="s">
        <v>416</v>
      </c>
      <c r="B175" s="1" t="s">
        <v>417</v>
      </c>
      <c r="C175" s="1" t="s">
        <v>14</v>
      </c>
      <c r="D175" s="1" t="s">
        <v>133</v>
      </c>
      <c r="E175" s="1" t="s">
        <v>22</v>
      </c>
      <c r="F175" s="1" t="s">
        <v>133</v>
      </c>
      <c r="G175" s="1">
        <v>13</v>
      </c>
      <c r="H175" s="1">
        <v>35893</v>
      </c>
      <c r="I175" s="1">
        <v>0.05</v>
      </c>
      <c r="J175" s="1">
        <v>443278.55</v>
      </c>
      <c r="K175" s="1">
        <v>103692.28</v>
      </c>
      <c r="L175" s="1" t="s">
        <v>45</v>
      </c>
      <c r="M175" s="1" t="str">
        <f>TEXT(Table1[[#This Row],[Order Date]],"mmm")</f>
        <v>Jul</v>
      </c>
      <c r="N175" s="1">
        <f>YEAR(Table1[[#This Row],[Order Date]])</f>
        <v>2024</v>
      </c>
    </row>
    <row r="176" spans="1:14" x14ac:dyDescent="0.35">
      <c r="A176" s="1" t="s">
        <v>418</v>
      </c>
      <c r="B176" s="1" t="s">
        <v>419</v>
      </c>
      <c r="C176" s="1" t="s">
        <v>162</v>
      </c>
      <c r="D176" s="1" t="s">
        <v>114</v>
      </c>
      <c r="E176" s="1" t="s">
        <v>16</v>
      </c>
      <c r="F176" s="1" t="s">
        <v>114</v>
      </c>
      <c r="G176" s="1">
        <v>5</v>
      </c>
      <c r="H176" s="1">
        <v>52203</v>
      </c>
      <c r="I176" s="1">
        <v>0</v>
      </c>
      <c r="J176" s="1">
        <v>261015</v>
      </c>
      <c r="K176" s="1">
        <v>39530.639999999999</v>
      </c>
      <c r="L176" s="1" t="s">
        <v>17</v>
      </c>
      <c r="M176" s="1" t="str">
        <f>TEXT(Table1[[#This Row],[Order Date]],"mmm")</f>
        <v>Feb</v>
      </c>
      <c r="N176" s="1">
        <f>YEAR(Table1[[#This Row],[Order Date]])</f>
        <v>2024</v>
      </c>
    </row>
    <row r="177" spans="1:14" x14ac:dyDescent="0.35">
      <c r="A177" s="1" t="s">
        <v>420</v>
      </c>
      <c r="B177" s="1" t="s">
        <v>421</v>
      </c>
      <c r="C177" s="1" t="s">
        <v>362</v>
      </c>
      <c r="D177" s="1" t="s">
        <v>133</v>
      </c>
      <c r="E177" s="1" t="s">
        <v>22</v>
      </c>
      <c r="F177" s="1" t="s">
        <v>133</v>
      </c>
      <c r="G177" s="1">
        <v>5</v>
      </c>
      <c r="H177" s="1">
        <v>26120</v>
      </c>
      <c r="I177" s="1">
        <v>0</v>
      </c>
      <c r="J177" s="1">
        <v>130600</v>
      </c>
      <c r="K177" s="1">
        <v>15473.83</v>
      </c>
      <c r="L177" s="1" t="s">
        <v>23</v>
      </c>
      <c r="M177" s="1" t="str">
        <f>TEXT(Table1[[#This Row],[Order Date]],"mmm")</f>
        <v>Nov</v>
      </c>
      <c r="N177" s="1">
        <f>YEAR(Table1[[#This Row],[Order Date]])</f>
        <v>2023</v>
      </c>
    </row>
    <row r="178" spans="1:14" x14ac:dyDescent="0.35">
      <c r="A178" s="1" t="s">
        <v>422</v>
      </c>
      <c r="B178" s="1" t="s">
        <v>423</v>
      </c>
      <c r="C178" s="1" t="s">
        <v>155</v>
      </c>
      <c r="D178" s="1" t="s">
        <v>108</v>
      </c>
      <c r="E178" s="1" t="s">
        <v>22</v>
      </c>
      <c r="F178" s="1" t="s">
        <v>108</v>
      </c>
      <c r="G178" s="1">
        <v>12</v>
      </c>
      <c r="H178" s="1">
        <v>53374</v>
      </c>
      <c r="I178" s="1">
        <v>0.05</v>
      </c>
      <c r="J178" s="1">
        <v>608463.6</v>
      </c>
      <c r="K178" s="1">
        <v>74406.649999999994</v>
      </c>
      <c r="L178" s="1" t="s">
        <v>70</v>
      </c>
      <c r="M178" s="1" t="str">
        <f>TEXT(Table1[[#This Row],[Order Date]],"mmm")</f>
        <v>May</v>
      </c>
      <c r="N178" s="1">
        <f>YEAR(Table1[[#This Row],[Order Date]])</f>
        <v>2023</v>
      </c>
    </row>
    <row r="179" spans="1:14" x14ac:dyDescent="0.35">
      <c r="A179" s="1" t="s">
        <v>424</v>
      </c>
      <c r="B179" s="1" t="s">
        <v>425</v>
      </c>
      <c r="C179" s="1" t="s">
        <v>20</v>
      </c>
      <c r="D179" s="1" t="s">
        <v>44</v>
      </c>
      <c r="E179" s="1" t="s">
        <v>28</v>
      </c>
      <c r="F179" s="1" t="s">
        <v>44</v>
      </c>
      <c r="G179" s="1">
        <v>11</v>
      </c>
      <c r="H179" s="1">
        <v>47621</v>
      </c>
      <c r="I179" s="1">
        <v>0</v>
      </c>
      <c r="J179" s="1">
        <v>523831</v>
      </c>
      <c r="K179" s="1">
        <v>96801.8</v>
      </c>
      <c r="L179" s="1" t="s">
        <v>70</v>
      </c>
      <c r="M179" s="1" t="str">
        <f>TEXT(Table1[[#This Row],[Order Date]],"mmm")</f>
        <v>Oct</v>
      </c>
      <c r="N179" s="1">
        <f>YEAR(Table1[[#This Row],[Order Date]])</f>
        <v>2024</v>
      </c>
    </row>
    <row r="180" spans="1:14" x14ac:dyDescent="0.35">
      <c r="A180" s="1" t="s">
        <v>426</v>
      </c>
      <c r="B180" s="1" t="s">
        <v>427</v>
      </c>
      <c r="C180" s="1" t="s">
        <v>178</v>
      </c>
      <c r="D180" s="1" t="s">
        <v>179</v>
      </c>
      <c r="E180" s="1" t="s">
        <v>28</v>
      </c>
      <c r="F180" s="1" t="s">
        <v>179</v>
      </c>
      <c r="G180" s="1">
        <v>7</v>
      </c>
      <c r="H180" s="1">
        <v>33254</v>
      </c>
      <c r="I180" s="1">
        <v>0.2</v>
      </c>
      <c r="J180" s="1">
        <v>186222.4</v>
      </c>
      <c r="K180" s="1">
        <v>41028.67</v>
      </c>
      <c r="L180" s="1" t="s">
        <v>17</v>
      </c>
      <c r="M180" s="1" t="str">
        <f>TEXT(Table1[[#This Row],[Order Date]],"mmm")</f>
        <v>Jan</v>
      </c>
      <c r="N180" s="1">
        <f>YEAR(Table1[[#This Row],[Order Date]])</f>
        <v>2023</v>
      </c>
    </row>
    <row r="181" spans="1:14" x14ac:dyDescent="0.35">
      <c r="A181" s="1" t="s">
        <v>428</v>
      </c>
      <c r="B181" s="1" t="s">
        <v>429</v>
      </c>
      <c r="C181" s="1" t="s">
        <v>227</v>
      </c>
      <c r="D181" s="1" t="s">
        <v>85</v>
      </c>
      <c r="E181" s="1" t="s">
        <v>28</v>
      </c>
      <c r="F181" s="1" t="s">
        <v>85</v>
      </c>
      <c r="G181" s="1">
        <v>12</v>
      </c>
      <c r="H181" s="1">
        <v>49576</v>
      </c>
      <c r="I181" s="1">
        <v>0.2</v>
      </c>
      <c r="J181" s="1">
        <v>475929.59999999998</v>
      </c>
      <c r="K181" s="1">
        <v>113737.25</v>
      </c>
      <c r="L181" s="1" t="s">
        <v>23</v>
      </c>
      <c r="M181" s="1" t="str">
        <f>TEXT(Table1[[#This Row],[Order Date]],"mmm")</f>
        <v>Apr</v>
      </c>
      <c r="N181" s="1">
        <f>YEAR(Table1[[#This Row],[Order Date]])</f>
        <v>2024</v>
      </c>
    </row>
    <row r="182" spans="1:14" x14ac:dyDescent="0.35">
      <c r="A182" s="1" t="s">
        <v>430</v>
      </c>
      <c r="B182" s="1" t="s">
        <v>431</v>
      </c>
      <c r="C182" s="1" t="s">
        <v>26</v>
      </c>
      <c r="D182" s="1" t="s">
        <v>114</v>
      </c>
      <c r="E182" s="1" t="s">
        <v>16</v>
      </c>
      <c r="F182" s="1" t="s">
        <v>114</v>
      </c>
      <c r="G182" s="1">
        <v>1</v>
      </c>
      <c r="H182" s="1">
        <v>58221</v>
      </c>
      <c r="I182" s="1">
        <v>0</v>
      </c>
      <c r="J182" s="1">
        <v>58221</v>
      </c>
      <c r="K182" s="1">
        <v>11403.8</v>
      </c>
      <c r="L182" s="1" t="s">
        <v>17</v>
      </c>
      <c r="M182" s="1" t="str">
        <f>TEXT(Table1[[#This Row],[Order Date]],"mmm")</f>
        <v>Sep</v>
      </c>
      <c r="N182" s="1">
        <f>YEAR(Table1[[#This Row],[Order Date]])</f>
        <v>2023</v>
      </c>
    </row>
    <row r="183" spans="1:14" x14ac:dyDescent="0.35">
      <c r="A183" s="1" t="s">
        <v>432</v>
      </c>
      <c r="B183" s="1" t="s">
        <v>223</v>
      </c>
      <c r="C183" s="1" t="s">
        <v>120</v>
      </c>
      <c r="D183" s="1" t="s">
        <v>52</v>
      </c>
      <c r="E183" s="1" t="s">
        <v>28</v>
      </c>
      <c r="F183" s="1" t="s">
        <v>52</v>
      </c>
      <c r="G183" s="1">
        <v>9</v>
      </c>
      <c r="H183" s="1">
        <v>10183</v>
      </c>
      <c r="I183" s="1">
        <v>0.2</v>
      </c>
      <c r="J183" s="1">
        <v>73317.600000000006</v>
      </c>
      <c r="K183" s="1">
        <v>16350.43</v>
      </c>
      <c r="L183" s="1" t="s">
        <v>17</v>
      </c>
      <c r="M183" s="1" t="str">
        <f>TEXT(Table1[[#This Row],[Order Date]],"mmm")</f>
        <v>Jan</v>
      </c>
      <c r="N183" s="1">
        <f>YEAR(Table1[[#This Row],[Order Date]])</f>
        <v>2024</v>
      </c>
    </row>
    <row r="184" spans="1:14" x14ac:dyDescent="0.35">
      <c r="A184" s="1" t="s">
        <v>433</v>
      </c>
      <c r="B184" s="1" t="s">
        <v>223</v>
      </c>
      <c r="C184" s="1" t="s">
        <v>59</v>
      </c>
      <c r="D184" s="1" t="s">
        <v>32</v>
      </c>
      <c r="E184" s="1" t="s">
        <v>33</v>
      </c>
      <c r="F184" s="1" t="s">
        <v>32</v>
      </c>
      <c r="G184" s="1">
        <v>14</v>
      </c>
      <c r="H184" s="1">
        <v>22542</v>
      </c>
      <c r="I184" s="1">
        <v>0.1</v>
      </c>
      <c r="J184" s="1">
        <v>284029.2</v>
      </c>
      <c r="K184" s="1">
        <v>45324.65</v>
      </c>
      <c r="L184" s="1" t="s">
        <v>23</v>
      </c>
      <c r="M184" s="1" t="str">
        <f>TEXT(Table1[[#This Row],[Order Date]],"mmm")</f>
        <v>Jan</v>
      </c>
      <c r="N184" s="1">
        <f>YEAR(Table1[[#This Row],[Order Date]])</f>
        <v>2024</v>
      </c>
    </row>
    <row r="185" spans="1:14" x14ac:dyDescent="0.35">
      <c r="A185" s="1" t="s">
        <v>434</v>
      </c>
      <c r="B185" s="1" t="s">
        <v>435</v>
      </c>
      <c r="C185" s="1" t="s">
        <v>40</v>
      </c>
      <c r="D185" s="1" t="s">
        <v>52</v>
      </c>
      <c r="E185" s="1" t="s">
        <v>28</v>
      </c>
      <c r="F185" s="1" t="s">
        <v>52</v>
      </c>
      <c r="G185" s="1">
        <v>11</v>
      </c>
      <c r="H185" s="1">
        <v>2058</v>
      </c>
      <c r="I185" s="1">
        <v>0.2</v>
      </c>
      <c r="J185" s="1">
        <v>18110.400000000001</v>
      </c>
      <c r="K185" s="1">
        <v>4130.3999999999996</v>
      </c>
      <c r="L185" s="1" t="s">
        <v>45</v>
      </c>
      <c r="M185" s="1" t="str">
        <f>TEXT(Table1[[#This Row],[Order Date]],"mmm")</f>
        <v>Nov</v>
      </c>
      <c r="N185" s="1">
        <f>YEAR(Table1[[#This Row],[Order Date]])</f>
        <v>2024</v>
      </c>
    </row>
    <row r="186" spans="1:14" x14ac:dyDescent="0.35">
      <c r="A186" s="1" t="s">
        <v>436</v>
      </c>
      <c r="B186" s="1" t="s">
        <v>437</v>
      </c>
      <c r="C186" s="1" t="s">
        <v>20</v>
      </c>
      <c r="D186" s="1" t="s">
        <v>323</v>
      </c>
      <c r="E186" s="1" t="s">
        <v>33</v>
      </c>
      <c r="F186" s="1" t="s">
        <v>323</v>
      </c>
      <c r="G186" s="1">
        <v>9</v>
      </c>
      <c r="H186" s="1">
        <v>4388</v>
      </c>
      <c r="I186" s="1">
        <v>0</v>
      </c>
      <c r="J186" s="1">
        <v>39492</v>
      </c>
      <c r="K186" s="1">
        <v>6754.47</v>
      </c>
      <c r="L186" s="1" t="s">
        <v>23</v>
      </c>
      <c r="M186" s="1" t="str">
        <f>TEXT(Table1[[#This Row],[Order Date]],"mmm")</f>
        <v>Mar</v>
      </c>
      <c r="N186" s="1">
        <f>YEAR(Table1[[#This Row],[Order Date]])</f>
        <v>2023</v>
      </c>
    </row>
    <row r="187" spans="1:14" x14ac:dyDescent="0.35">
      <c r="A187" s="1" t="s">
        <v>438</v>
      </c>
      <c r="B187" s="1" t="s">
        <v>439</v>
      </c>
      <c r="C187" s="1" t="s">
        <v>77</v>
      </c>
      <c r="D187" s="1" t="s">
        <v>141</v>
      </c>
      <c r="E187" s="1" t="s">
        <v>22</v>
      </c>
      <c r="F187" s="1" t="s">
        <v>141</v>
      </c>
      <c r="G187" s="1">
        <v>12</v>
      </c>
      <c r="H187" s="1">
        <v>9982</v>
      </c>
      <c r="I187" s="1">
        <v>0.05</v>
      </c>
      <c r="J187" s="1">
        <v>113794.8</v>
      </c>
      <c r="K187" s="1">
        <v>9845.66</v>
      </c>
      <c r="L187" s="1" t="s">
        <v>70</v>
      </c>
      <c r="M187" s="1" t="str">
        <f>TEXT(Table1[[#This Row],[Order Date]],"mmm")</f>
        <v>Jan</v>
      </c>
      <c r="N187" s="1">
        <f>YEAR(Table1[[#This Row],[Order Date]])</f>
        <v>2023</v>
      </c>
    </row>
    <row r="188" spans="1:14" x14ac:dyDescent="0.35">
      <c r="A188" s="1" t="s">
        <v>440</v>
      </c>
      <c r="B188" s="1" t="s">
        <v>35</v>
      </c>
      <c r="C188" s="1" t="s">
        <v>175</v>
      </c>
      <c r="D188" s="1" t="s">
        <v>179</v>
      </c>
      <c r="E188" s="1" t="s">
        <v>28</v>
      </c>
      <c r="F188" s="1" t="s">
        <v>179</v>
      </c>
      <c r="G188" s="1">
        <v>5</v>
      </c>
      <c r="H188" s="1">
        <v>21080</v>
      </c>
      <c r="I188" s="1">
        <v>0.1</v>
      </c>
      <c r="J188" s="1">
        <v>94860</v>
      </c>
      <c r="K188" s="1">
        <v>11525.43</v>
      </c>
      <c r="L188" s="1" t="s">
        <v>17</v>
      </c>
      <c r="M188" s="1" t="str">
        <f>TEXT(Table1[[#This Row],[Order Date]],"mmm")</f>
        <v>Jan</v>
      </c>
      <c r="N188" s="1">
        <f>YEAR(Table1[[#This Row],[Order Date]])</f>
        <v>2023</v>
      </c>
    </row>
    <row r="189" spans="1:14" x14ac:dyDescent="0.35">
      <c r="A189" s="1" t="s">
        <v>441</v>
      </c>
      <c r="B189" s="1" t="s">
        <v>442</v>
      </c>
      <c r="C189" s="1" t="s">
        <v>255</v>
      </c>
      <c r="D189" s="1" t="s">
        <v>95</v>
      </c>
      <c r="E189" s="1" t="s">
        <v>33</v>
      </c>
      <c r="F189" s="1" t="s">
        <v>95</v>
      </c>
      <c r="G189" s="1">
        <v>9</v>
      </c>
      <c r="H189" s="1">
        <v>3702</v>
      </c>
      <c r="I189" s="1">
        <v>0.1</v>
      </c>
      <c r="J189" s="1">
        <v>29986.2</v>
      </c>
      <c r="K189" s="1">
        <v>6633.19</v>
      </c>
      <c r="L189" s="1" t="s">
        <v>23</v>
      </c>
      <c r="M189" s="1" t="str">
        <f>TEXT(Table1[[#This Row],[Order Date]],"mmm")</f>
        <v>Jul</v>
      </c>
      <c r="N189" s="1">
        <f>YEAR(Table1[[#This Row],[Order Date]])</f>
        <v>2024</v>
      </c>
    </row>
    <row r="190" spans="1:14" x14ac:dyDescent="0.35">
      <c r="A190" s="1" t="s">
        <v>443</v>
      </c>
      <c r="B190" s="1" t="s">
        <v>421</v>
      </c>
      <c r="C190" s="1" t="s">
        <v>146</v>
      </c>
      <c r="D190" s="1" t="s">
        <v>56</v>
      </c>
      <c r="E190" s="1" t="s">
        <v>22</v>
      </c>
      <c r="F190" s="1" t="s">
        <v>56</v>
      </c>
      <c r="G190" s="1">
        <v>13</v>
      </c>
      <c r="H190" s="1">
        <v>26136</v>
      </c>
      <c r="I190" s="1">
        <v>0.05</v>
      </c>
      <c r="J190" s="1">
        <v>322779.59999999998</v>
      </c>
      <c r="K190" s="1">
        <v>86693.97</v>
      </c>
      <c r="L190" s="1" t="s">
        <v>23</v>
      </c>
      <c r="M190" s="1" t="str">
        <f>TEXT(Table1[[#This Row],[Order Date]],"mmm")</f>
        <v>Nov</v>
      </c>
      <c r="N190" s="1">
        <f>YEAR(Table1[[#This Row],[Order Date]])</f>
        <v>2023</v>
      </c>
    </row>
    <row r="191" spans="1:14" x14ac:dyDescent="0.35">
      <c r="A191" s="1" t="s">
        <v>444</v>
      </c>
      <c r="B191" s="1" t="s">
        <v>445</v>
      </c>
      <c r="C191" s="1" t="s">
        <v>120</v>
      </c>
      <c r="D191" s="1" t="s">
        <v>74</v>
      </c>
      <c r="E191" s="1" t="s">
        <v>22</v>
      </c>
      <c r="F191" s="1" t="s">
        <v>74</v>
      </c>
      <c r="G191" s="1">
        <v>9</v>
      </c>
      <c r="H191" s="1">
        <v>43462</v>
      </c>
      <c r="I191" s="1">
        <v>0</v>
      </c>
      <c r="J191" s="1">
        <v>391158</v>
      </c>
      <c r="K191" s="1">
        <v>97408.98</v>
      </c>
      <c r="L191" s="1" t="s">
        <v>23</v>
      </c>
      <c r="M191" s="1" t="str">
        <f>TEXT(Table1[[#This Row],[Order Date]],"mmm")</f>
        <v>Sep</v>
      </c>
      <c r="N191" s="1">
        <f>YEAR(Table1[[#This Row],[Order Date]])</f>
        <v>2023</v>
      </c>
    </row>
    <row r="192" spans="1:14" x14ac:dyDescent="0.35">
      <c r="A192" s="1" t="s">
        <v>446</v>
      </c>
      <c r="B192" s="1" t="s">
        <v>447</v>
      </c>
      <c r="C192" s="1" t="s">
        <v>73</v>
      </c>
      <c r="D192" s="1" t="s">
        <v>32</v>
      </c>
      <c r="E192" s="1" t="s">
        <v>33</v>
      </c>
      <c r="F192" s="1" t="s">
        <v>32</v>
      </c>
      <c r="G192" s="1">
        <v>13</v>
      </c>
      <c r="H192" s="1">
        <v>40251</v>
      </c>
      <c r="I192" s="1">
        <v>0.2</v>
      </c>
      <c r="J192" s="1">
        <v>418610.4</v>
      </c>
      <c r="K192" s="1">
        <v>77947.56</v>
      </c>
      <c r="L192" s="1" t="s">
        <v>45</v>
      </c>
      <c r="M192" s="1" t="str">
        <f>TEXT(Table1[[#This Row],[Order Date]],"mmm")</f>
        <v>Dec</v>
      </c>
      <c r="N192" s="1">
        <f>YEAR(Table1[[#This Row],[Order Date]])</f>
        <v>2023</v>
      </c>
    </row>
    <row r="193" spans="1:14" x14ac:dyDescent="0.35">
      <c r="A193" s="1" t="s">
        <v>448</v>
      </c>
      <c r="B193" s="1" t="s">
        <v>449</v>
      </c>
      <c r="C193" s="1" t="s">
        <v>14</v>
      </c>
      <c r="D193" s="1" t="s">
        <v>27</v>
      </c>
      <c r="E193" s="1" t="s">
        <v>28</v>
      </c>
      <c r="F193" s="1" t="s">
        <v>27</v>
      </c>
      <c r="G193" s="1">
        <v>5</v>
      </c>
      <c r="H193" s="1">
        <v>28514</v>
      </c>
      <c r="I193" s="1">
        <v>0</v>
      </c>
      <c r="J193" s="1">
        <v>142570</v>
      </c>
      <c r="K193" s="1">
        <v>41083.33</v>
      </c>
      <c r="L193" s="1" t="s">
        <v>70</v>
      </c>
      <c r="M193" s="1" t="str">
        <f>TEXT(Table1[[#This Row],[Order Date]],"mmm")</f>
        <v>Jan</v>
      </c>
      <c r="N193" s="1">
        <f>YEAR(Table1[[#This Row],[Order Date]])</f>
        <v>2024</v>
      </c>
    </row>
    <row r="194" spans="1:14" x14ac:dyDescent="0.35">
      <c r="A194" s="1" t="s">
        <v>450</v>
      </c>
      <c r="B194" s="1" t="s">
        <v>451</v>
      </c>
      <c r="C194" s="1" t="s">
        <v>94</v>
      </c>
      <c r="D194" s="1" t="s">
        <v>32</v>
      </c>
      <c r="E194" s="1" t="s">
        <v>33</v>
      </c>
      <c r="F194" s="1" t="s">
        <v>32</v>
      </c>
      <c r="G194" s="1">
        <v>5</v>
      </c>
      <c r="H194" s="1">
        <v>28040</v>
      </c>
      <c r="I194" s="1">
        <v>0.2</v>
      </c>
      <c r="J194" s="1">
        <v>112160</v>
      </c>
      <c r="K194" s="1">
        <v>11173.99</v>
      </c>
      <c r="L194" s="1" t="s">
        <v>23</v>
      </c>
      <c r="M194" s="1" t="str">
        <f>TEXT(Table1[[#This Row],[Order Date]],"mmm")</f>
        <v>Nov</v>
      </c>
      <c r="N194" s="1">
        <f>YEAR(Table1[[#This Row],[Order Date]])</f>
        <v>2024</v>
      </c>
    </row>
    <row r="195" spans="1:14" x14ac:dyDescent="0.35">
      <c r="A195" s="1" t="s">
        <v>452</v>
      </c>
      <c r="B195" s="1" t="s">
        <v>453</v>
      </c>
      <c r="C195" s="1" t="s">
        <v>20</v>
      </c>
      <c r="D195" s="1" t="s">
        <v>27</v>
      </c>
      <c r="E195" s="1" t="s">
        <v>28</v>
      </c>
      <c r="F195" s="1" t="s">
        <v>27</v>
      </c>
      <c r="G195" s="1">
        <v>15</v>
      </c>
      <c r="H195" s="1">
        <v>9856</v>
      </c>
      <c r="I195" s="1">
        <v>0</v>
      </c>
      <c r="J195" s="1">
        <v>147840</v>
      </c>
      <c r="K195" s="1">
        <v>13007.86</v>
      </c>
      <c r="L195" s="1" t="s">
        <v>17</v>
      </c>
      <c r="M195" s="1" t="str">
        <f>TEXT(Table1[[#This Row],[Order Date]],"mmm")</f>
        <v>Jul</v>
      </c>
      <c r="N195" s="1">
        <f>YEAR(Table1[[#This Row],[Order Date]])</f>
        <v>2023</v>
      </c>
    </row>
    <row r="196" spans="1:14" x14ac:dyDescent="0.35">
      <c r="A196" s="1" t="s">
        <v>454</v>
      </c>
      <c r="B196" s="1" t="s">
        <v>455</v>
      </c>
      <c r="C196" s="1" t="s">
        <v>51</v>
      </c>
      <c r="D196" s="1" t="s">
        <v>85</v>
      </c>
      <c r="E196" s="1" t="s">
        <v>28</v>
      </c>
      <c r="F196" s="1" t="s">
        <v>85</v>
      </c>
      <c r="G196" s="1">
        <v>8</v>
      </c>
      <c r="H196" s="1">
        <v>2357</v>
      </c>
      <c r="I196" s="1">
        <v>0.2</v>
      </c>
      <c r="J196" s="1">
        <v>15084.8</v>
      </c>
      <c r="K196" s="1">
        <v>4330.3100000000004</v>
      </c>
      <c r="L196" s="1" t="s">
        <v>17</v>
      </c>
      <c r="M196" s="1" t="str">
        <f>TEXT(Table1[[#This Row],[Order Date]],"mmm")</f>
        <v>Mar</v>
      </c>
      <c r="N196" s="1">
        <f>YEAR(Table1[[#This Row],[Order Date]])</f>
        <v>2024</v>
      </c>
    </row>
    <row r="197" spans="1:14" x14ac:dyDescent="0.35">
      <c r="A197" s="1" t="s">
        <v>456</v>
      </c>
      <c r="B197" s="1" t="s">
        <v>457</v>
      </c>
      <c r="C197" s="1" t="s">
        <v>203</v>
      </c>
      <c r="D197" s="1" t="s">
        <v>133</v>
      </c>
      <c r="E197" s="1" t="s">
        <v>22</v>
      </c>
      <c r="F197" s="1" t="s">
        <v>133</v>
      </c>
      <c r="G197" s="1">
        <v>7</v>
      </c>
      <c r="H197" s="1">
        <v>40278</v>
      </c>
      <c r="I197" s="1">
        <v>0.1</v>
      </c>
      <c r="J197" s="1">
        <v>253751.4</v>
      </c>
      <c r="K197" s="1">
        <v>23948.84</v>
      </c>
      <c r="L197" s="1" t="s">
        <v>17</v>
      </c>
      <c r="M197" s="1" t="str">
        <f>TEXT(Table1[[#This Row],[Order Date]],"mmm")</f>
        <v>Mar</v>
      </c>
      <c r="N197" s="1">
        <f>YEAR(Table1[[#This Row],[Order Date]])</f>
        <v>2024</v>
      </c>
    </row>
    <row r="198" spans="1:14" x14ac:dyDescent="0.35">
      <c r="A198" s="1" t="s">
        <v>458</v>
      </c>
      <c r="B198" s="1" t="s">
        <v>459</v>
      </c>
      <c r="C198" s="1" t="s">
        <v>84</v>
      </c>
      <c r="D198" s="1" t="s">
        <v>64</v>
      </c>
      <c r="E198" s="1" t="s">
        <v>33</v>
      </c>
      <c r="F198" s="1" t="s">
        <v>64</v>
      </c>
      <c r="G198" s="1">
        <v>2</v>
      </c>
      <c r="H198" s="1">
        <v>23375</v>
      </c>
      <c r="I198" s="1">
        <v>0.1</v>
      </c>
      <c r="J198" s="1">
        <v>42075</v>
      </c>
      <c r="K198" s="1">
        <v>12045.41</v>
      </c>
      <c r="L198" s="1" t="s">
        <v>17</v>
      </c>
      <c r="M198" s="1" t="str">
        <f>TEXT(Table1[[#This Row],[Order Date]],"mmm")</f>
        <v>Feb</v>
      </c>
      <c r="N198" s="1">
        <f>YEAR(Table1[[#This Row],[Order Date]])</f>
        <v>2023</v>
      </c>
    </row>
    <row r="199" spans="1:14" x14ac:dyDescent="0.35">
      <c r="A199" s="1" t="s">
        <v>460</v>
      </c>
      <c r="B199" s="1" t="s">
        <v>413</v>
      </c>
      <c r="C199" s="1" t="s">
        <v>370</v>
      </c>
      <c r="D199" s="1" t="s">
        <v>78</v>
      </c>
      <c r="E199" s="1" t="s">
        <v>28</v>
      </c>
      <c r="F199" s="1" t="s">
        <v>78</v>
      </c>
      <c r="G199" s="1">
        <v>12</v>
      </c>
      <c r="H199" s="1">
        <v>43840</v>
      </c>
      <c r="I199" s="1">
        <v>0</v>
      </c>
      <c r="J199" s="1">
        <v>526080</v>
      </c>
      <c r="K199" s="1">
        <v>134344.04</v>
      </c>
      <c r="L199" s="1" t="s">
        <v>23</v>
      </c>
      <c r="M199" s="1" t="str">
        <f>TEXT(Table1[[#This Row],[Order Date]],"mmm")</f>
        <v>May</v>
      </c>
      <c r="N199" s="1">
        <f>YEAR(Table1[[#This Row],[Order Date]])</f>
        <v>2024</v>
      </c>
    </row>
    <row r="200" spans="1:14" x14ac:dyDescent="0.35">
      <c r="A200" s="1" t="s">
        <v>461</v>
      </c>
      <c r="B200" s="1" t="s">
        <v>462</v>
      </c>
      <c r="C200" s="1" t="s">
        <v>77</v>
      </c>
      <c r="D200" s="1" t="s">
        <v>37</v>
      </c>
      <c r="E200" s="1" t="s">
        <v>16</v>
      </c>
      <c r="F200" s="1" t="s">
        <v>37</v>
      </c>
      <c r="G200" s="1">
        <v>3</v>
      </c>
      <c r="H200" s="1">
        <v>36486</v>
      </c>
      <c r="I200" s="1">
        <v>0.1</v>
      </c>
      <c r="J200" s="1">
        <v>98512.2</v>
      </c>
      <c r="K200" s="1">
        <v>25127.85</v>
      </c>
      <c r="L200" s="1" t="s">
        <v>45</v>
      </c>
      <c r="M200" s="1" t="str">
        <f>TEXT(Table1[[#This Row],[Order Date]],"mmm")</f>
        <v>Jul</v>
      </c>
      <c r="N200" s="1">
        <f>YEAR(Table1[[#This Row],[Order Date]])</f>
        <v>2024</v>
      </c>
    </row>
    <row r="201" spans="1:14" x14ac:dyDescent="0.35">
      <c r="A201" s="1" t="s">
        <v>463</v>
      </c>
      <c r="B201" s="1" t="s">
        <v>464</v>
      </c>
      <c r="C201" s="1" t="s">
        <v>146</v>
      </c>
      <c r="D201" s="1" t="s">
        <v>224</v>
      </c>
      <c r="E201" s="1" t="s">
        <v>33</v>
      </c>
      <c r="F201" s="1" t="s">
        <v>224</v>
      </c>
      <c r="G201" s="1">
        <v>14</v>
      </c>
      <c r="H201" s="1">
        <v>52253</v>
      </c>
      <c r="I201" s="1">
        <v>0.15</v>
      </c>
      <c r="J201" s="1">
        <v>621810.69999999995</v>
      </c>
      <c r="K201" s="1">
        <v>89878.63</v>
      </c>
      <c r="L201" s="1" t="s">
        <v>45</v>
      </c>
      <c r="M201" s="1" t="str">
        <f>TEXT(Table1[[#This Row],[Order Date]],"mmm")</f>
        <v>Mar</v>
      </c>
      <c r="N201" s="1">
        <f>YEAR(Table1[[#This Row],[Order Date]])</f>
        <v>2024</v>
      </c>
    </row>
    <row r="202" spans="1:14" x14ac:dyDescent="0.35">
      <c r="A202" s="1" t="s">
        <v>465</v>
      </c>
      <c r="B202" s="1" t="s">
        <v>466</v>
      </c>
      <c r="C202" s="1" t="s">
        <v>40</v>
      </c>
      <c r="D202" s="1" t="s">
        <v>108</v>
      </c>
      <c r="E202" s="1" t="s">
        <v>22</v>
      </c>
      <c r="F202" s="1" t="s">
        <v>108</v>
      </c>
      <c r="G202" s="1">
        <v>2</v>
      </c>
      <c r="H202" s="1">
        <v>54901</v>
      </c>
      <c r="I202" s="1">
        <v>0.1</v>
      </c>
      <c r="J202" s="1">
        <v>98821.8</v>
      </c>
      <c r="K202" s="1">
        <v>16348.82</v>
      </c>
      <c r="L202" s="1" t="s">
        <v>23</v>
      </c>
      <c r="M202" s="1" t="str">
        <f>TEXT(Table1[[#This Row],[Order Date]],"mmm")</f>
        <v>Feb</v>
      </c>
      <c r="N202" s="1">
        <f>YEAR(Table1[[#This Row],[Order Date]])</f>
        <v>2024</v>
      </c>
    </row>
    <row r="203" spans="1:14" x14ac:dyDescent="0.35">
      <c r="A203" s="1" t="s">
        <v>467</v>
      </c>
      <c r="B203" s="1" t="s">
        <v>80</v>
      </c>
      <c r="C203" s="1" t="s">
        <v>98</v>
      </c>
      <c r="D203" s="1" t="s">
        <v>91</v>
      </c>
      <c r="E203" s="1" t="s">
        <v>16</v>
      </c>
      <c r="F203" s="1" t="s">
        <v>91</v>
      </c>
      <c r="G203" s="1">
        <v>2</v>
      </c>
      <c r="H203" s="1">
        <v>45588</v>
      </c>
      <c r="I203" s="1">
        <v>0.05</v>
      </c>
      <c r="J203" s="1">
        <v>86617.2</v>
      </c>
      <c r="K203" s="1">
        <v>23075.55</v>
      </c>
      <c r="L203" s="1" t="s">
        <v>23</v>
      </c>
      <c r="M203" s="1" t="str">
        <f>TEXT(Table1[[#This Row],[Order Date]],"mmm")</f>
        <v>Jan</v>
      </c>
      <c r="N203" s="1">
        <f>YEAR(Table1[[#This Row],[Order Date]])</f>
        <v>2023</v>
      </c>
    </row>
    <row r="204" spans="1:14" x14ac:dyDescent="0.35">
      <c r="A204" s="1" t="s">
        <v>468</v>
      </c>
      <c r="B204" s="1" t="s">
        <v>469</v>
      </c>
      <c r="C204" s="1" t="s">
        <v>120</v>
      </c>
      <c r="D204" s="1" t="s">
        <v>64</v>
      </c>
      <c r="E204" s="1" t="s">
        <v>33</v>
      </c>
      <c r="F204" s="1" t="s">
        <v>64</v>
      </c>
      <c r="G204" s="1">
        <v>3</v>
      </c>
      <c r="H204" s="1">
        <v>21710</v>
      </c>
      <c r="I204" s="1">
        <v>0.1</v>
      </c>
      <c r="J204" s="1">
        <v>58617</v>
      </c>
      <c r="K204" s="1">
        <v>10218.07</v>
      </c>
      <c r="L204" s="1" t="s">
        <v>45</v>
      </c>
      <c r="M204" s="1" t="str">
        <f>TEXT(Table1[[#This Row],[Order Date]],"mmm")</f>
        <v>Apr</v>
      </c>
      <c r="N204" s="1">
        <f>YEAR(Table1[[#This Row],[Order Date]])</f>
        <v>2023</v>
      </c>
    </row>
    <row r="205" spans="1:14" x14ac:dyDescent="0.35">
      <c r="A205" s="1" t="s">
        <v>470</v>
      </c>
      <c r="B205" s="1" t="s">
        <v>205</v>
      </c>
      <c r="C205" s="1" t="s">
        <v>20</v>
      </c>
      <c r="D205" s="1" t="s">
        <v>167</v>
      </c>
      <c r="E205" s="1" t="s">
        <v>16</v>
      </c>
      <c r="F205" s="1" t="s">
        <v>167</v>
      </c>
      <c r="G205" s="1">
        <v>13</v>
      </c>
      <c r="H205" s="1">
        <v>40518</v>
      </c>
      <c r="I205" s="1">
        <v>0.2</v>
      </c>
      <c r="J205" s="1">
        <v>421387.2</v>
      </c>
      <c r="K205" s="1">
        <v>56812.09</v>
      </c>
      <c r="L205" s="1" t="s">
        <v>70</v>
      </c>
      <c r="M205" s="1" t="str">
        <f>TEXT(Table1[[#This Row],[Order Date]],"mmm")</f>
        <v>Feb</v>
      </c>
      <c r="N205" s="1">
        <f>YEAR(Table1[[#This Row],[Order Date]])</f>
        <v>2023</v>
      </c>
    </row>
    <row r="206" spans="1:14" x14ac:dyDescent="0.35">
      <c r="A206" s="1" t="s">
        <v>471</v>
      </c>
      <c r="B206" s="1" t="s">
        <v>472</v>
      </c>
      <c r="C206" s="1" t="s">
        <v>125</v>
      </c>
      <c r="D206" s="1" t="s">
        <v>151</v>
      </c>
      <c r="E206" s="1" t="s">
        <v>22</v>
      </c>
      <c r="F206" s="1" t="s">
        <v>151</v>
      </c>
      <c r="G206" s="1">
        <v>9</v>
      </c>
      <c r="H206" s="1">
        <v>11902</v>
      </c>
      <c r="I206" s="1">
        <v>0.05</v>
      </c>
      <c r="J206" s="1">
        <v>101762.1</v>
      </c>
      <c r="K206" s="1">
        <v>17503.759999999998</v>
      </c>
      <c r="L206" s="1" t="s">
        <v>70</v>
      </c>
      <c r="M206" s="1" t="str">
        <f>TEXT(Table1[[#This Row],[Order Date]],"mmm")</f>
        <v>Feb</v>
      </c>
      <c r="N206" s="1">
        <f>YEAR(Table1[[#This Row],[Order Date]])</f>
        <v>2024</v>
      </c>
    </row>
    <row r="207" spans="1:14" x14ac:dyDescent="0.35">
      <c r="A207" s="1" t="s">
        <v>473</v>
      </c>
      <c r="B207" s="1" t="s">
        <v>238</v>
      </c>
      <c r="C207" s="1" t="s">
        <v>188</v>
      </c>
      <c r="D207" s="1" t="s">
        <v>52</v>
      </c>
      <c r="E207" s="1" t="s">
        <v>28</v>
      </c>
      <c r="F207" s="1" t="s">
        <v>52</v>
      </c>
      <c r="G207" s="1">
        <v>3</v>
      </c>
      <c r="H207" s="1">
        <v>16106</v>
      </c>
      <c r="I207" s="1">
        <v>0</v>
      </c>
      <c r="J207" s="1">
        <v>48318</v>
      </c>
      <c r="K207" s="1">
        <v>7738.08</v>
      </c>
      <c r="L207" s="1" t="s">
        <v>23</v>
      </c>
      <c r="M207" s="1" t="str">
        <f>TEXT(Table1[[#This Row],[Order Date]],"mmm")</f>
        <v>Dec</v>
      </c>
      <c r="N207" s="1">
        <f>YEAR(Table1[[#This Row],[Order Date]])</f>
        <v>2023</v>
      </c>
    </row>
    <row r="208" spans="1:14" x14ac:dyDescent="0.35">
      <c r="A208" s="1" t="s">
        <v>474</v>
      </c>
      <c r="B208" s="1" t="s">
        <v>475</v>
      </c>
      <c r="C208" s="1" t="s">
        <v>88</v>
      </c>
      <c r="D208" s="1" t="s">
        <v>91</v>
      </c>
      <c r="E208" s="1" t="s">
        <v>16</v>
      </c>
      <c r="F208" s="1" t="s">
        <v>91</v>
      </c>
      <c r="G208" s="1">
        <v>3</v>
      </c>
      <c r="H208" s="1">
        <v>27179</v>
      </c>
      <c r="I208" s="1">
        <v>0</v>
      </c>
      <c r="J208" s="1">
        <v>81537</v>
      </c>
      <c r="K208" s="1">
        <v>13517.12</v>
      </c>
      <c r="L208" s="1" t="s">
        <v>23</v>
      </c>
      <c r="M208" s="1" t="str">
        <f>TEXT(Table1[[#This Row],[Order Date]],"mmm")</f>
        <v>Jun</v>
      </c>
      <c r="N208" s="1">
        <f>YEAR(Table1[[#This Row],[Order Date]])</f>
        <v>2023</v>
      </c>
    </row>
    <row r="209" spans="1:14" x14ac:dyDescent="0.35">
      <c r="A209" s="1" t="s">
        <v>476</v>
      </c>
      <c r="B209" s="1" t="s">
        <v>195</v>
      </c>
      <c r="C209" s="1" t="s">
        <v>88</v>
      </c>
      <c r="D209" s="1" t="s">
        <v>151</v>
      </c>
      <c r="E209" s="1" t="s">
        <v>22</v>
      </c>
      <c r="F209" s="1" t="s">
        <v>151</v>
      </c>
      <c r="G209" s="1">
        <v>4</v>
      </c>
      <c r="H209" s="1">
        <v>38690</v>
      </c>
      <c r="I209" s="1">
        <v>0</v>
      </c>
      <c r="J209" s="1">
        <v>154760</v>
      </c>
      <c r="K209" s="1">
        <v>35288.93</v>
      </c>
      <c r="L209" s="1" t="s">
        <v>70</v>
      </c>
      <c r="M209" s="1" t="str">
        <f>TEXT(Table1[[#This Row],[Order Date]],"mmm")</f>
        <v>Mar</v>
      </c>
      <c r="N209" s="1">
        <f>YEAR(Table1[[#This Row],[Order Date]])</f>
        <v>2024</v>
      </c>
    </row>
    <row r="210" spans="1:14" x14ac:dyDescent="0.35">
      <c r="A210" s="1" t="s">
        <v>477</v>
      </c>
      <c r="B210" s="1" t="s">
        <v>478</v>
      </c>
      <c r="C210" s="1" t="s">
        <v>55</v>
      </c>
      <c r="D210" s="1" t="s">
        <v>137</v>
      </c>
      <c r="E210" s="1" t="s">
        <v>22</v>
      </c>
      <c r="F210" s="1" t="s">
        <v>137</v>
      </c>
      <c r="G210" s="1">
        <v>13</v>
      </c>
      <c r="H210" s="1">
        <v>52011</v>
      </c>
      <c r="I210" s="1">
        <v>0</v>
      </c>
      <c r="J210" s="1">
        <v>676143</v>
      </c>
      <c r="K210" s="1">
        <v>151256</v>
      </c>
      <c r="L210" s="1" t="s">
        <v>70</v>
      </c>
      <c r="M210" s="1" t="str">
        <f>TEXT(Table1[[#This Row],[Order Date]],"mmm")</f>
        <v>May</v>
      </c>
      <c r="N210" s="1">
        <f>YEAR(Table1[[#This Row],[Order Date]])</f>
        <v>2024</v>
      </c>
    </row>
    <row r="211" spans="1:14" x14ac:dyDescent="0.35">
      <c r="A211" s="1" t="s">
        <v>479</v>
      </c>
      <c r="B211" s="1" t="s">
        <v>66</v>
      </c>
      <c r="C211" s="1" t="s">
        <v>158</v>
      </c>
      <c r="D211" s="1" t="s">
        <v>114</v>
      </c>
      <c r="E211" s="1" t="s">
        <v>16</v>
      </c>
      <c r="F211" s="1" t="s">
        <v>114</v>
      </c>
      <c r="G211" s="1">
        <v>7</v>
      </c>
      <c r="H211" s="1">
        <v>47229</v>
      </c>
      <c r="I211" s="1">
        <v>0.1</v>
      </c>
      <c r="J211" s="1">
        <v>297542.7</v>
      </c>
      <c r="K211" s="1">
        <v>43647.839999999997</v>
      </c>
      <c r="L211" s="1" t="s">
        <v>23</v>
      </c>
      <c r="M211" s="1" t="str">
        <f>TEXT(Table1[[#This Row],[Order Date]],"mmm")</f>
        <v>Sep</v>
      </c>
      <c r="N211" s="1">
        <f>YEAR(Table1[[#This Row],[Order Date]])</f>
        <v>2024</v>
      </c>
    </row>
    <row r="212" spans="1:14" x14ac:dyDescent="0.35">
      <c r="A212" s="1" t="s">
        <v>480</v>
      </c>
      <c r="B212" s="1" t="s">
        <v>481</v>
      </c>
      <c r="C212" s="1" t="s">
        <v>107</v>
      </c>
      <c r="D212" s="1" t="s">
        <v>78</v>
      </c>
      <c r="E212" s="1" t="s">
        <v>28</v>
      </c>
      <c r="F212" s="1" t="s">
        <v>78</v>
      </c>
      <c r="G212" s="1">
        <v>14</v>
      </c>
      <c r="H212" s="1">
        <v>334</v>
      </c>
      <c r="I212" s="1">
        <v>0.05</v>
      </c>
      <c r="J212" s="1">
        <v>4442.2</v>
      </c>
      <c r="K212" s="1">
        <v>546.54999999999995</v>
      </c>
      <c r="L212" s="1" t="s">
        <v>17</v>
      </c>
      <c r="M212" s="1" t="str">
        <f>TEXT(Table1[[#This Row],[Order Date]],"mmm")</f>
        <v>Oct</v>
      </c>
      <c r="N212" s="1">
        <f>YEAR(Table1[[#This Row],[Order Date]])</f>
        <v>2024</v>
      </c>
    </row>
    <row r="213" spans="1:14" x14ac:dyDescent="0.35">
      <c r="A213" s="1" t="s">
        <v>482</v>
      </c>
      <c r="B213" s="1" t="s">
        <v>483</v>
      </c>
      <c r="C213" s="1" t="s">
        <v>255</v>
      </c>
      <c r="D213" s="1" t="s">
        <v>48</v>
      </c>
      <c r="E213" s="1" t="s">
        <v>16</v>
      </c>
      <c r="F213" s="1" t="s">
        <v>48</v>
      </c>
      <c r="G213" s="1">
        <v>10</v>
      </c>
      <c r="H213" s="1">
        <v>49717</v>
      </c>
      <c r="I213" s="1">
        <v>0.1</v>
      </c>
      <c r="J213" s="1">
        <v>447453</v>
      </c>
      <c r="K213" s="1">
        <v>120660.94</v>
      </c>
      <c r="L213" s="1" t="s">
        <v>17</v>
      </c>
      <c r="M213" s="1" t="str">
        <f>TEXT(Table1[[#This Row],[Order Date]],"mmm")</f>
        <v>Apr</v>
      </c>
      <c r="N213" s="1">
        <f>YEAR(Table1[[#This Row],[Order Date]])</f>
        <v>2023</v>
      </c>
    </row>
    <row r="214" spans="1:14" x14ac:dyDescent="0.35">
      <c r="A214" s="1" t="s">
        <v>484</v>
      </c>
      <c r="B214" s="1" t="s">
        <v>485</v>
      </c>
      <c r="C214" s="1" t="s">
        <v>362</v>
      </c>
      <c r="D214" s="1" t="s">
        <v>293</v>
      </c>
      <c r="E214" s="1" t="s">
        <v>33</v>
      </c>
      <c r="F214" s="1" t="s">
        <v>293</v>
      </c>
      <c r="G214" s="1">
        <v>10</v>
      </c>
      <c r="H214" s="1">
        <v>53283</v>
      </c>
      <c r="I214" s="1">
        <v>0</v>
      </c>
      <c r="J214" s="1">
        <v>532830</v>
      </c>
      <c r="K214" s="1">
        <v>109292.45</v>
      </c>
      <c r="L214" s="1" t="s">
        <v>45</v>
      </c>
      <c r="M214" s="1" t="str">
        <f>TEXT(Table1[[#This Row],[Order Date]],"mmm")</f>
        <v>Nov</v>
      </c>
      <c r="N214" s="1">
        <f>YEAR(Table1[[#This Row],[Order Date]])</f>
        <v>2024</v>
      </c>
    </row>
    <row r="215" spans="1:14" x14ac:dyDescent="0.35">
      <c r="A215" s="1" t="s">
        <v>486</v>
      </c>
      <c r="B215" s="1" t="s">
        <v>487</v>
      </c>
      <c r="C215" s="1" t="s">
        <v>200</v>
      </c>
      <c r="D215" s="1" t="s">
        <v>95</v>
      </c>
      <c r="E215" s="1" t="s">
        <v>33</v>
      </c>
      <c r="F215" s="1" t="s">
        <v>95</v>
      </c>
      <c r="G215" s="1">
        <v>7</v>
      </c>
      <c r="H215" s="1">
        <v>35922</v>
      </c>
      <c r="I215" s="1">
        <v>0.1</v>
      </c>
      <c r="J215" s="1">
        <v>226308.6</v>
      </c>
      <c r="K215" s="1">
        <v>43682.81</v>
      </c>
      <c r="L215" s="1" t="s">
        <v>70</v>
      </c>
      <c r="M215" s="1" t="str">
        <f>TEXT(Table1[[#This Row],[Order Date]],"mmm")</f>
        <v>Mar</v>
      </c>
      <c r="N215" s="1">
        <f>YEAR(Table1[[#This Row],[Order Date]])</f>
        <v>2024</v>
      </c>
    </row>
    <row r="216" spans="1:14" x14ac:dyDescent="0.35">
      <c r="A216" s="1" t="s">
        <v>488</v>
      </c>
      <c r="B216" s="1" t="s">
        <v>489</v>
      </c>
      <c r="C216" s="1" t="s">
        <v>370</v>
      </c>
      <c r="D216" s="1" t="s">
        <v>114</v>
      </c>
      <c r="E216" s="1" t="s">
        <v>16</v>
      </c>
      <c r="F216" s="1" t="s">
        <v>114</v>
      </c>
      <c r="G216" s="1">
        <v>8</v>
      </c>
      <c r="H216" s="1">
        <v>364</v>
      </c>
      <c r="I216" s="1">
        <v>0.15</v>
      </c>
      <c r="J216" s="1">
        <v>2475.1999999999998</v>
      </c>
      <c r="K216" s="1">
        <v>558.32000000000005</v>
      </c>
      <c r="L216" s="1" t="s">
        <v>23</v>
      </c>
      <c r="M216" s="1" t="str">
        <f>TEXT(Table1[[#This Row],[Order Date]],"mmm")</f>
        <v>Aug</v>
      </c>
      <c r="N216" s="1">
        <f>YEAR(Table1[[#This Row],[Order Date]])</f>
        <v>2023</v>
      </c>
    </row>
    <row r="217" spans="1:14" x14ac:dyDescent="0.35">
      <c r="A217" s="1" t="s">
        <v>490</v>
      </c>
      <c r="B217" s="1" t="s">
        <v>491</v>
      </c>
      <c r="C217" s="1" t="s">
        <v>260</v>
      </c>
      <c r="D217" s="1" t="s">
        <v>74</v>
      </c>
      <c r="E217" s="1" t="s">
        <v>22</v>
      </c>
      <c r="F217" s="1" t="s">
        <v>74</v>
      </c>
      <c r="G217" s="1">
        <v>12</v>
      </c>
      <c r="H217" s="1">
        <v>14901</v>
      </c>
      <c r="I217" s="1">
        <v>0.05</v>
      </c>
      <c r="J217" s="1">
        <v>169871.4</v>
      </c>
      <c r="K217" s="1">
        <v>23256.99</v>
      </c>
      <c r="L217" s="1" t="s">
        <v>70</v>
      </c>
      <c r="M217" s="1" t="str">
        <f>TEXT(Table1[[#This Row],[Order Date]],"mmm")</f>
        <v>Aug</v>
      </c>
      <c r="N217" s="1">
        <f>YEAR(Table1[[#This Row],[Order Date]])</f>
        <v>2024</v>
      </c>
    </row>
    <row r="218" spans="1:14" x14ac:dyDescent="0.35">
      <c r="A218" s="1" t="s">
        <v>492</v>
      </c>
      <c r="B218" s="1" t="s">
        <v>493</v>
      </c>
      <c r="C218" s="1" t="s">
        <v>77</v>
      </c>
      <c r="D218" s="1" t="s">
        <v>78</v>
      </c>
      <c r="E218" s="1" t="s">
        <v>28</v>
      </c>
      <c r="F218" s="1" t="s">
        <v>78</v>
      </c>
      <c r="G218" s="1">
        <v>1</v>
      </c>
      <c r="H218" s="1">
        <v>53715</v>
      </c>
      <c r="I218" s="1">
        <v>0.05</v>
      </c>
      <c r="J218" s="1">
        <v>51029.25</v>
      </c>
      <c r="K218" s="1">
        <v>14975.06</v>
      </c>
      <c r="L218" s="1" t="s">
        <v>17</v>
      </c>
      <c r="M218" s="1" t="str">
        <f>TEXT(Table1[[#This Row],[Order Date]],"mmm")</f>
        <v>Nov</v>
      </c>
      <c r="N218" s="1">
        <f>YEAR(Table1[[#This Row],[Order Date]])</f>
        <v>2024</v>
      </c>
    </row>
    <row r="219" spans="1:14" x14ac:dyDescent="0.35">
      <c r="A219" s="1" t="s">
        <v>494</v>
      </c>
      <c r="B219" s="1" t="s">
        <v>495</v>
      </c>
      <c r="C219" s="1" t="s">
        <v>146</v>
      </c>
      <c r="D219" s="1" t="s">
        <v>64</v>
      </c>
      <c r="E219" s="1" t="s">
        <v>33</v>
      </c>
      <c r="F219" s="1" t="s">
        <v>64</v>
      </c>
      <c r="G219" s="1">
        <v>15</v>
      </c>
      <c r="H219" s="1">
        <v>34076</v>
      </c>
      <c r="I219" s="1">
        <v>0.2</v>
      </c>
      <c r="J219" s="1">
        <v>408912</v>
      </c>
      <c r="K219" s="1">
        <v>100243</v>
      </c>
      <c r="L219" s="1" t="s">
        <v>17</v>
      </c>
      <c r="M219" s="1" t="str">
        <f>TEXT(Table1[[#This Row],[Order Date]],"mmm")</f>
        <v>Jun</v>
      </c>
      <c r="N219" s="1">
        <f>YEAR(Table1[[#This Row],[Order Date]])</f>
        <v>2024</v>
      </c>
    </row>
    <row r="220" spans="1:14" x14ac:dyDescent="0.35">
      <c r="A220" s="1" t="s">
        <v>496</v>
      </c>
      <c r="B220" s="1" t="s">
        <v>497</v>
      </c>
      <c r="C220" s="1" t="s">
        <v>120</v>
      </c>
      <c r="D220" s="1" t="s">
        <v>37</v>
      </c>
      <c r="E220" s="1" t="s">
        <v>16</v>
      </c>
      <c r="F220" s="1" t="s">
        <v>37</v>
      </c>
      <c r="G220" s="1">
        <v>6</v>
      </c>
      <c r="H220" s="1">
        <v>28770</v>
      </c>
      <c r="I220" s="1">
        <v>0</v>
      </c>
      <c r="J220" s="1">
        <v>172620</v>
      </c>
      <c r="K220" s="1">
        <v>49821.83</v>
      </c>
      <c r="L220" s="1" t="s">
        <v>17</v>
      </c>
      <c r="M220" s="1" t="str">
        <f>TEXT(Table1[[#This Row],[Order Date]],"mmm")</f>
        <v>Jul</v>
      </c>
      <c r="N220" s="1">
        <f>YEAR(Table1[[#This Row],[Order Date]])</f>
        <v>2024</v>
      </c>
    </row>
    <row r="221" spans="1:14" x14ac:dyDescent="0.35">
      <c r="A221" s="1" t="s">
        <v>498</v>
      </c>
      <c r="B221" s="1" t="s">
        <v>499</v>
      </c>
      <c r="C221" s="1" t="s">
        <v>136</v>
      </c>
      <c r="D221" s="1" t="s">
        <v>74</v>
      </c>
      <c r="E221" s="1" t="s">
        <v>22</v>
      </c>
      <c r="F221" s="1" t="s">
        <v>74</v>
      </c>
      <c r="G221" s="1">
        <v>14</v>
      </c>
      <c r="H221" s="1">
        <v>13926</v>
      </c>
      <c r="I221" s="1">
        <v>0.05</v>
      </c>
      <c r="J221" s="1">
        <v>185215.8</v>
      </c>
      <c r="K221" s="1">
        <v>41066.69</v>
      </c>
      <c r="L221" s="1" t="s">
        <v>45</v>
      </c>
      <c r="M221" s="1" t="str">
        <f>TEXT(Table1[[#This Row],[Order Date]],"mmm")</f>
        <v>May</v>
      </c>
      <c r="N221" s="1">
        <f>YEAR(Table1[[#This Row],[Order Date]])</f>
        <v>2024</v>
      </c>
    </row>
    <row r="222" spans="1:14" x14ac:dyDescent="0.35">
      <c r="A222" s="1" t="s">
        <v>500</v>
      </c>
      <c r="B222" s="1" t="s">
        <v>501</v>
      </c>
      <c r="C222" s="1" t="s">
        <v>111</v>
      </c>
      <c r="D222" s="1" t="s">
        <v>167</v>
      </c>
      <c r="E222" s="1" t="s">
        <v>16</v>
      </c>
      <c r="F222" s="1" t="s">
        <v>167</v>
      </c>
      <c r="G222" s="1">
        <v>2</v>
      </c>
      <c r="H222" s="1">
        <v>7764</v>
      </c>
      <c r="I222" s="1">
        <v>0.05</v>
      </c>
      <c r="J222" s="1">
        <v>14751.6</v>
      </c>
      <c r="K222" s="1">
        <v>2518.3000000000002</v>
      </c>
      <c r="L222" s="1" t="s">
        <v>23</v>
      </c>
      <c r="M222" s="1" t="str">
        <f>TEXT(Table1[[#This Row],[Order Date]],"mmm")</f>
        <v>Nov</v>
      </c>
      <c r="N222" s="1">
        <f>YEAR(Table1[[#This Row],[Order Date]])</f>
        <v>2024</v>
      </c>
    </row>
    <row r="223" spans="1:14" x14ac:dyDescent="0.35">
      <c r="A223" s="1" t="s">
        <v>502</v>
      </c>
      <c r="B223" s="1" t="s">
        <v>177</v>
      </c>
      <c r="C223" s="1" t="s">
        <v>67</v>
      </c>
      <c r="D223" s="1" t="s">
        <v>27</v>
      </c>
      <c r="E223" s="1" t="s">
        <v>28</v>
      </c>
      <c r="F223" s="1" t="s">
        <v>27</v>
      </c>
      <c r="G223" s="1">
        <v>7</v>
      </c>
      <c r="H223" s="1">
        <v>40687</v>
      </c>
      <c r="I223" s="1">
        <v>0.2</v>
      </c>
      <c r="J223" s="1">
        <v>227847.2</v>
      </c>
      <c r="K223" s="1">
        <v>28930.12</v>
      </c>
      <c r="L223" s="1" t="s">
        <v>45</v>
      </c>
      <c r="M223" s="1" t="str">
        <f>TEXT(Table1[[#This Row],[Order Date]],"mmm")</f>
        <v>Jun</v>
      </c>
      <c r="N223" s="1">
        <f>YEAR(Table1[[#This Row],[Order Date]])</f>
        <v>2023</v>
      </c>
    </row>
    <row r="224" spans="1:14" x14ac:dyDescent="0.35">
      <c r="A224" s="1" t="s">
        <v>503</v>
      </c>
      <c r="B224" s="1" t="s">
        <v>504</v>
      </c>
      <c r="C224" s="1" t="s">
        <v>128</v>
      </c>
      <c r="D224" s="1" t="s">
        <v>85</v>
      </c>
      <c r="E224" s="1" t="s">
        <v>28</v>
      </c>
      <c r="F224" s="1" t="s">
        <v>85</v>
      </c>
      <c r="G224" s="1">
        <v>2</v>
      </c>
      <c r="H224" s="1">
        <v>59428</v>
      </c>
      <c r="I224" s="1">
        <v>0.05</v>
      </c>
      <c r="J224" s="1">
        <v>112913.2</v>
      </c>
      <c r="K224" s="1">
        <v>31646.2</v>
      </c>
      <c r="L224" s="1" t="s">
        <v>45</v>
      </c>
      <c r="M224" s="1" t="str">
        <f>TEXT(Table1[[#This Row],[Order Date]],"mmm")</f>
        <v>Aug</v>
      </c>
      <c r="N224" s="1">
        <f>YEAR(Table1[[#This Row],[Order Date]])</f>
        <v>2023</v>
      </c>
    </row>
    <row r="225" spans="1:14" x14ac:dyDescent="0.35">
      <c r="A225" s="1" t="s">
        <v>505</v>
      </c>
      <c r="B225" s="1" t="s">
        <v>506</v>
      </c>
      <c r="C225" s="1" t="s">
        <v>507</v>
      </c>
      <c r="D225" s="1" t="s">
        <v>167</v>
      </c>
      <c r="E225" s="1" t="s">
        <v>16</v>
      </c>
      <c r="F225" s="1" t="s">
        <v>167</v>
      </c>
      <c r="G225" s="1">
        <v>5</v>
      </c>
      <c r="H225" s="1">
        <v>5161</v>
      </c>
      <c r="I225" s="1">
        <v>0.15</v>
      </c>
      <c r="J225" s="1">
        <v>21934.25</v>
      </c>
      <c r="K225" s="1">
        <v>3890.48</v>
      </c>
      <c r="L225" s="1" t="s">
        <v>23</v>
      </c>
      <c r="M225" s="1" t="str">
        <f>TEXT(Table1[[#This Row],[Order Date]],"mmm")</f>
        <v>Jul</v>
      </c>
      <c r="N225" s="1">
        <f>YEAR(Table1[[#This Row],[Order Date]])</f>
        <v>2024</v>
      </c>
    </row>
    <row r="226" spans="1:14" x14ac:dyDescent="0.35">
      <c r="A226" s="1" t="s">
        <v>508</v>
      </c>
      <c r="B226" s="1" t="s">
        <v>509</v>
      </c>
      <c r="C226" s="1" t="s">
        <v>170</v>
      </c>
      <c r="D226" s="1" t="s">
        <v>108</v>
      </c>
      <c r="E226" s="1" t="s">
        <v>22</v>
      </c>
      <c r="F226" s="1" t="s">
        <v>108</v>
      </c>
      <c r="G226" s="1">
        <v>15</v>
      </c>
      <c r="H226" s="1">
        <v>58891</v>
      </c>
      <c r="I226" s="1">
        <v>0</v>
      </c>
      <c r="J226" s="1">
        <v>883365</v>
      </c>
      <c r="K226" s="1">
        <v>165815.53</v>
      </c>
      <c r="L226" s="1" t="s">
        <v>23</v>
      </c>
      <c r="M226" s="1" t="str">
        <f>TEXT(Table1[[#This Row],[Order Date]],"mmm")</f>
        <v>Jan</v>
      </c>
      <c r="N226" s="1">
        <f>YEAR(Table1[[#This Row],[Order Date]])</f>
        <v>2023</v>
      </c>
    </row>
    <row r="227" spans="1:14" x14ac:dyDescent="0.35">
      <c r="A227" s="1" t="s">
        <v>510</v>
      </c>
      <c r="B227" s="1" t="s">
        <v>511</v>
      </c>
      <c r="C227" s="1" t="s">
        <v>136</v>
      </c>
      <c r="D227" s="1" t="s">
        <v>85</v>
      </c>
      <c r="E227" s="1" t="s">
        <v>28</v>
      </c>
      <c r="F227" s="1" t="s">
        <v>85</v>
      </c>
      <c r="G227" s="1">
        <v>5</v>
      </c>
      <c r="H227" s="1">
        <v>59018</v>
      </c>
      <c r="I227" s="1">
        <v>0</v>
      </c>
      <c r="J227" s="1">
        <v>295090</v>
      </c>
      <c r="K227" s="1">
        <v>70399.429999999993</v>
      </c>
      <c r="L227" s="1" t="s">
        <v>45</v>
      </c>
      <c r="M227" s="1" t="str">
        <f>TEXT(Table1[[#This Row],[Order Date]],"mmm")</f>
        <v>Sep</v>
      </c>
      <c r="N227" s="1">
        <f>YEAR(Table1[[#This Row],[Order Date]])</f>
        <v>2023</v>
      </c>
    </row>
    <row r="228" spans="1:14" x14ac:dyDescent="0.35">
      <c r="A228" s="1" t="s">
        <v>512</v>
      </c>
      <c r="B228" s="1" t="s">
        <v>513</v>
      </c>
      <c r="C228" s="1" t="s">
        <v>200</v>
      </c>
      <c r="D228" s="1" t="s">
        <v>64</v>
      </c>
      <c r="E228" s="1" t="s">
        <v>33</v>
      </c>
      <c r="F228" s="1" t="s">
        <v>64</v>
      </c>
      <c r="G228" s="1">
        <v>11</v>
      </c>
      <c r="H228" s="1">
        <v>7375</v>
      </c>
      <c r="I228" s="1">
        <v>0.15</v>
      </c>
      <c r="J228" s="1">
        <v>68956.25</v>
      </c>
      <c r="K228" s="1">
        <v>7845.39</v>
      </c>
      <c r="L228" s="1" t="s">
        <v>45</v>
      </c>
      <c r="M228" s="1" t="str">
        <f>TEXT(Table1[[#This Row],[Order Date]],"mmm")</f>
        <v>Sep</v>
      </c>
      <c r="N228" s="1">
        <f>YEAR(Table1[[#This Row],[Order Date]])</f>
        <v>2023</v>
      </c>
    </row>
    <row r="229" spans="1:14" x14ac:dyDescent="0.35">
      <c r="A229" s="1" t="s">
        <v>514</v>
      </c>
      <c r="B229" s="1" t="s">
        <v>515</v>
      </c>
      <c r="C229" s="1" t="s">
        <v>335</v>
      </c>
      <c r="D229" s="1" t="s">
        <v>32</v>
      </c>
      <c r="E229" s="1" t="s">
        <v>33</v>
      </c>
      <c r="F229" s="1" t="s">
        <v>32</v>
      </c>
      <c r="G229" s="1">
        <v>3</v>
      </c>
      <c r="H229" s="1">
        <v>27761</v>
      </c>
      <c r="I229" s="1">
        <v>0.15</v>
      </c>
      <c r="J229" s="1">
        <v>70790.55</v>
      </c>
      <c r="K229" s="1">
        <v>6731.79</v>
      </c>
      <c r="L229" s="1" t="s">
        <v>17</v>
      </c>
      <c r="M229" s="1" t="str">
        <f>TEXT(Table1[[#This Row],[Order Date]],"mmm")</f>
        <v>Apr</v>
      </c>
      <c r="N229" s="1">
        <f>YEAR(Table1[[#This Row],[Order Date]])</f>
        <v>2024</v>
      </c>
    </row>
    <row r="230" spans="1:14" x14ac:dyDescent="0.35">
      <c r="A230" s="1" t="s">
        <v>516</v>
      </c>
      <c r="B230" s="1" t="s">
        <v>517</v>
      </c>
      <c r="C230" s="1" t="s">
        <v>120</v>
      </c>
      <c r="D230" s="1" t="s">
        <v>32</v>
      </c>
      <c r="E230" s="1" t="s">
        <v>33</v>
      </c>
      <c r="F230" s="1" t="s">
        <v>32</v>
      </c>
      <c r="G230" s="1">
        <v>14</v>
      </c>
      <c r="H230" s="1">
        <v>53426</v>
      </c>
      <c r="I230" s="1">
        <v>0.1</v>
      </c>
      <c r="J230" s="1">
        <v>673167.6</v>
      </c>
      <c r="K230" s="1">
        <v>61798.69</v>
      </c>
      <c r="L230" s="1" t="s">
        <v>45</v>
      </c>
      <c r="M230" s="1" t="str">
        <f>TEXT(Table1[[#This Row],[Order Date]],"mmm")</f>
        <v>Jun</v>
      </c>
      <c r="N230" s="1">
        <f>YEAR(Table1[[#This Row],[Order Date]])</f>
        <v>2024</v>
      </c>
    </row>
    <row r="231" spans="1:14" x14ac:dyDescent="0.35">
      <c r="A231" s="1" t="s">
        <v>518</v>
      </c>
      <c r="B231" s="1" t="s">
        <v>190</v>
      </c>
      <c r="C231" s="1" t="s">
        <v>178</v>
      </c>
      <c r="D231" s="1" t="s">
        <v>293</v>
      </c>
      <c r="E231" s="1" t="s">
        <v>33</v>
      </c>
      <c r="F231" s="1" t="s">
        <v>293</v>
      </c>
      <c r="G231" s="1">
        <v>2</v>
      </c>
      <c r="H231" s="1">
        <v>48553</v>
      </c>
      <c r="I231" s="1">
        <v>0.05</v>
      </c>
      <c r="J231" s="1">
        <v>92250.7</v>
      </c>
      <c r="K231" s="1">
        <v>12332.78</v>
      </c>
      <c r="L231" s="1" t="s">
        <v>45</v>
      </c>
      <c r="M231" s="1" t="str">
        <f>TEXT(Table1[[#This Row],[Order Date]],"mmm")</f>
        <v>Mar</v>
      </c>
      <c r="N231" s="1">
        <f>YEAR(Table1[[#This Row],[Order Date]])</f>
        <v>2024</v>
      </c>
    </row>
    <row r="232" spans="1:14" x14ac:dyDescent="0.35">
      <c r="A232" s="1" t="s">
        <v>519</v>
      </c>
      <c r="B232" s="1" t="s">
        <v>520</v>
      </c>
      <c r="C232" s="1" t="s">
        <v>140</v>
      </c>
      <c r="D232" s="1" t="s">
        <v>48</v>
      </c>
      <c r="E232" s="1" t="s">
        <v>16</v>
      </c>
      <c r="F232" s="1" t="s">
        <v>48</v>
      </c>
      <c r="G232" s="1">
        <v>3</v>
      </c>
      <c r="H232" s="1">
        <v>45486</v>
      </c>
      <c r="I232" s="1">
        <v>0.05</v>
      </c>
      <c r="J232" s="1">
        <v>129635.1</v>
      </c>
      <c r="K232" s="1">
        <v>30859.06</v>
      </c>
      <c r="L232" s="1" t="s">
        <v>23</v>
      </c>
      <c r="M232" s="1" t="str">
        <f>TEXT(Table1[[#This Row],[Order Date]],"mmm")</f>
        <v>Mar</v>
      </c>
      <c r="N232" s="1">
        <f>YEAR(Table1[[#This Row],[Order Date]])</f>
        <v>2023</v>
      </c>
    </row>
    <row r="233" spans="1:14" x14ac:dyDescent="0.35">
      <c r="A233" s="1" t="s">
        <v>521</v>
      </c>
      <c r="B233" s="1" t="s">
        <v>522</v>
      </c>
      <c r="C233" s="1" t="s">
        <v>67</v>
      </c>
      <c r="D233" s="1" t="s">
        <v>41</v>
      </c>
      <c r="E233" s="1" t="s">
        <v>16</v>
      </c>
      <c r="F233" s="1" t="s">
        <v>41</v>
      </c>
      <c r="G233" s="1">
        <v>10</v>
      </c>
      <c r="H233" s="1">
        <v>29860</v>
      </c>
      <c r="I233" s="1">
        <v>0.05</v>
      </c>
      <c r="J233" s="1">
        <v>283670</v>
      </c>
      <c r="K233" s="1">
        <v>84141.36</v>
      </c>
      <c r="L233" s="1" t="s">
        <v>45</v>
      </c>
      <c r="M233" s="1" t="str">
        <f>TEXT(Table1[[#This Row],[Order Date]],"mmm")</f>
        <v>Jan</v>
      </c>
      <c r="N233" s="1">
        <f>YEAR(Table1[[#This Row],[Order Date]])</f>
        <v>2023</v>
      </c>
    </row>
    <row r="234" spans="1:14" x14ac:dyDescent="0.35">
      <c r="A234" s="1" t="s">
        <v>523</v>
      </c>
      <c r="B234" s="1" t="s">
        <v>524</v>
      </c>
      <c r="C234" s="1" t="s">
        <v>191</v>
      </c>
      <c r="D234" s="1" t="s">
        <v>141</v>
      </c>
      <c r="E234" s="1" t="s">
        <v>22</v>
      </c>
      <c r="F234" s="1" t="s">
        <v>141</v>
      </c>
      <c r="G234" s="1">
        <v>7</v>
      </c>
      <c r="H234" s="1">
        <v>8325</v>
      </c>
      <c r="I234" s="1">
        <v>0.05</v>
      </c>
      <c r="J234" s="1">
        <v>55361.25</v>
      </c>
      <c r="K234" s="1">
        <v>15041.2</v>
      </c>
      <c r="L234" s="1" t="s">
        <v>17</v>
      </c>
      <c r="M234" s="1" t="str">
        <f>TEXT(Table1[[#This Row],[Order Date]],"mmm")</f>
        <v>Nov</v>
      </c>
      <c r="N234" s="1">
        <f>YEAR(Table1[[#This Row],[Order Date]])</f>
        <v>2024</v>
      </c>
    </row>
    <row r="235" spans="1:14" x14ac:dyDescent="0.35">
      <c r="A235" s="1" t="s">
        <v>525</v>
      </c>
      <c r="B235" s="1" t="s">
        <v>475</v>
      </c>
      <c r="C235" s="1" t="s">
        <v>128</v>
      </c>
      <c r="D235" s="1" t="s">
        <v>41</v>
      </c>
      <c r="E235" s="1" t="s">
        <v>16</v>
      </c>
      <c r="F235" s="1" t="s">
        <v>41</v>
      </c>
      <c r="G235" s="1">
        <v>2</v>
      </c>
      <c r="H235" s="1">
        <v>43148</v>
      </c>
      <c r="I235" s="1">
        <v>0.05</v>
      </c>
      <c r="J235" s="1">
        <v>81981.2</v>
      </c>
      <c r="K235" s="1">
        <v>23534.94</v>
      </c>
      <c r="L235" s="1" t="s">
        <v>45</v>
      </c>
      <c r="M235" s="1" t="str">
        <f>TEXT(Table1[[#This Row],[Order Date]],"mmm")</f>
        <v>Jun</v>
      </c>
      <c r="N235" s="1">
        <f>YEAR(Table1[[#This Row],[Order Date]])</f>
        <v>2023</v>
      </c>
    </row>
    <row r="236" spans="1:14" x14ac:dyDescent="0.35">
      <c r="A236" s="1" t="s">
        <v>526</v>
      </c>
      <c r="B236" s="1" t="s">
        <v>197</v>
      </c>
      <c r="C236" s="1" t="s">
        <v>162</v>
      </c>
      <c r="D236" s="1" t="s">
        <v>141</v>
      </c>
      <c r="E236" s="1" t="s">
        <v>22</v>
      </c>
      <c r="F236" s="1" t="s">
        <v>141</v>
      </c>
      <c r="G236" s="1">
        <v>11</v>
      </c>
      <c r="H236" s="1">
        <v>52291</v>
      </c>
      <c r="I236" s="1">
        <v>0</v>
      </c>
      <c r="J236" s="1">
        <v>575201</v>
      </c>
      <c r="K236" s="1">
        <v>58650.12</v>
      </c>
      <c r="L236" s="1" t="s">
        <v>23</v>
      </c>
      <c r="M236" s="1" t="str">
        <f>TEXT(Table1[[#This Row],[Order Date]],"mmm")</f>
        <v>Feb</v>
      </c>
      <c r="N236" s="1">
        <f>YEAR(Table1[[#This Row],[Order Date]])</f>
        <v>2024</v>
      </c>
    </row>
    <row r="237" spans="1:14" x14ac:dyDescent="0.35">
      <c r="A237" s="1" t="s">
        <v>527</v>
      </c>
      <c r="B237" s="1" t="s">
        <v>528</v>
      </c>
      <c r="C237" s="1" t="s">
        <v>203</v>
      </c>
      <c r="D237" s="1" t="s">
        <v>60</v>
      </c>
      <c r="E237" s="1" t="s">
        <v>33</v>
      </c>
      <c r="F237" s="1" t="s">
        <v>60</v>
      </c>
      <c r="G237" s="1">
        <v>10</v>
      </c>
      <c r="H237" s="1">
        <v>50938</v>
      </c>
      <c r="I237" s="1">
        <v>0.15</v>
      </c>
      <c r="J237" s="1">
        <v>432973</v>
      </c>
      <c r="K237" s="1">
        <v>64445.13</v>
      </c>
      <c r="L237" s="1" t="s">
        <v>23</v>
      </c>
      <c r="M237" s="1" t="str">
        <f>TEXT(Table1[[#This Row],[Order Date]],"mmm")</f>
        <v>Feb</v>
      </c>
      <c r="N237" s="1">
        <f>YEAR(Table1[[#This Row],[Order Date]])</f>
        <v>2024</v>
      </c>
    </row>
    <row r="238" spans="1:14" x14ac:dyDescent="0.35">
      <c r="A238" s="1" t="s">
        <v>529</v>
      </c>
      <c r="B238" s="1" t="s">
        <v>530</v>
      </c>
      <c r="C238" s="1" t="s">
        <v>117</v>
      </c>
      <c r="D238" s="1" t="s">
        <v>37</v>
      </c>
      <c r="E238" s="1" t="s">
        <v>16</v>
      </c>
      <c r="F238" s="1" t="s">
        <v>37</v>
      </c>
      <c r="G238" s="1">
        <v>4</v>
      </c>
      <c r="H238" s="1">
        <v>31314</v>
      </c>
      <c r="I238" s="1">
        <v>0.05</v>
      </c>
      <c r="J238" s="1">
        <v>118993.2</v>
      </c>
      <c r="K238" s="1">
        <v>15275.88</v>
      </c>
      <c r="L238" s="1" t="s">
        <v>23</v>
      </c>
      <c r="M238" s="1" t="str">
        <f>TEXT(Table1[[#This Row],[Order Date]],"mmm")</f>
        <v>Jul</v>
      </c>
      <c r="N238" s="1">
        <f>YEAR(Table1[[#This Row],[Order Date]])</f>
        <v>2024</v>
      </c>
    </row>
    <row r="239" spans="1:14" x14ac:dyDescent="0.35">
      <c r="A239" s="1" t="s">
        <v>531</v>
      </c>
      <c r="B239" s="1" t="s">
        <v>532</v>
      </c>
      <c r="C239" s="1" t="s">
        <v>81</v>
      </c>
      <c r="D239" s="1" t="s">
        <v>85</v>
      </c>
      <c r="E239" s="1" t="s">
        <v>28</v>
      </c>
      <c r="F239" s="1" t="s">
        <v>85</v>
      </c>
      <c r="G239" s="1">
        <v>3</v>
      </c>
      <c r="H239" s="1">
        <v>32910</v>
      </c>
      <c r="I239" s="1">
        <v>0.05</v>
      </c>
      <c r="J239" s="1">
        <v>93793.5</v>
      </c>
      <c r="K239" s="1">
        <v>15355.16</v>
      </c>
      <c r="L239" s="1" t="s">
        <v>70</v>
      </c>
      <c r="M239" s="1" t="str">
        <f>TEXT(Table1[[#This Row],[Order Date]],"mmm")</f>
        <v>Jun</v>
      </c>
      <c r="N239" s="1">
        <f>YEAR(Table1[[#This Row],[Order Date]])</f>
        <v>2024</v>
      </c>
    </row>
    <row r="240" spans="1:14" x14ac:dyDescent="0.35">
      <c r="A240" s="1" t="s">
        <v>533</v>
      </c>
      <c r="B240" s="1" t="s">
        <v>534</v>
      </c>
      <c r="C240" s="1" t="s">
        <v>158</v>
      </c>
      <c r="D240" s="1" t="s">
        <v>179</v>
      </c>
      <c r="E240" s="1" t="s">
        <v>28</v>
      </c>
      <c r="F240" s="1" t="s">
        <v>179</v>
      </c>
      <c r="G240" s="1">
        <v>15</v>
      </c>
      <c r="H240" s="1">
        <v>27826</v>
      </c>
      <c r="I240" s="1">
        <v>0.15</v>
      </c>
      <c r="J240" s="1">
        <v>354781.5</v>
      </c>
      <c r="K240" s="1">
        <v>78101.960000000006</v>
      </c>
      <c r="L240" s="1" t="s">
        <v>23</v>
      </c>
      <c r="M240" s="1" t="str">
        <f>TEXT(Table1[[#This Row],[Order Date]],"mmm")</f>
        <v>Apr</v>
      </c>
      <c r="N240" s="1">
        <f>YEAR(Table1[[#This Row],[Order Date]])</f>
        <v>2023</v>
      </c>
    </row>
    <row r="241" spans="1:14" x14ac:dyDescent="0.35">
      <c r="A241" s="1" t="s">
        <v>535</v>
      </c>
      <c r="B241" s="1" t="s">
        <v>250</v>
      </c>
      <c r="C241" s="1" t="s">
        <v>14</v>
      </c>
      <c r="D241" s="1" t="s">
        <v>27</v>
      </c>
      <c r="E241" s="1" t="s">
        <v>28</v>
      </c>
      <c r="F241" s="1" t="s">
        <v>27</v>
      </c>
      <c r="G241" s="1">
        <v>4</v>
      </c>
      <c r="H241" s="1">
        <v>32971</v>
      </c>
      <c r="I241" s="1">
        <v>0.05</v>
      </c>
      <c r="J241" s="1">
        <v>125289.8</v>
      </c>
      <c r="K241" s="1">
        <v>29274.240000000002</v>
      </c>
      <c r="L241" s="1" t="s">
        <v>45</v>
      </c>
      <c r="M241" s="1" t="str">
        <f>TEXT(Table1[[#This Row],[Order Date]],"mmm")</f>
        <v>Aug</v>
      </c>
      <c r="N241" s="1">
        <f>YEAR(Table1[[#This Row],[Order Date]])</f>
        <v>2023</v>
      </c>
    </row>
    <row r="242" spans="1:14" x14ac:dyDescent="0.35">
      <c r="A242" s="1" t="s">
        <v>536</v>
      </c>
      <c r="B242" s="1" t="s">
        <v>427</v>
      </c>
      <c r="C242" s="1" t="s">
        <v>26</v>
      </c>
      <c r="D242" s="1" t="s">
        <v>141</v>
      </c>
      <c r="E242" s="1" t="s">
        <v>22</v>
      </c>
      <c r="F242" s="1" t="s">
        <v>141</v>
      </c>
      <c r="G242" s="1">
        <v>14</v>
      </c>
      <c r="H242" s="1">
        <v>25328</v>
      </c>
      <c r="I242" s="1">
        <v>0.15</v>
      </c>
      <c r="J242" s="1">
        <v>301403.2</v>
      </c>
      <c r="K242" s="1">
        <v>71446.070000000007</v>
      </c>
      <c r="L242" s="1" t="s">
        <v>17</v>
      </c>
      <c r="M242" s="1" t="str">
        <f>TEXT(Table1[[#This Row],[Order Date]],"mmm")</f>
        <v>Jan</v>
      </c>
      <c r="N242" s="1">
        <f>YEAR(Table1[[#This Row],[Order Date]])</f>
        <v>2023</v>
      </c>
    </row>
    <row r="243" spans="1:14" x14ac:dyDescent="0.35">
      <c r="A243" s="1" t="s">
        <v>537</v>
      </c>
      <c r="B243" s="1" t="s">
        <v>538</v>
      </c>
      <c r="C243" s="1" t="s">
        <v>335</v>
      </c>
      <c r="D243" s="1" t="s">
        <v>108</v>
      </c>
      <c r="E243" s="1" t="s">
        <v>22</v>
      </c>
      <c r="F243" s="1" t="s">
        <v>108</v>
      </c>
      <c r="G243" s="1">
        <v>7</v>
      </c>
      <c r="H243" s="1">
        <v>13475</v>
      </c>
      <c r="I243" s="1">
        <v>0.05</v>
      </c>
      <c r="J243" s="1">
        <v>89608.75</v>
      </c>
      <c r="K243" s="1">
        <v>17228.810000000001</v>
      </c>
      <c r="L243" s="1" t="s">
        <v>23</v>
      </c>
      <c r="M243" s="1" t="str">
        <f>TEXT(Table1[[#This Row],[Order Date]],"mmm")</f>
        <v>Jan</v>
      </c>
      <c r="N243" s="1">
        <f>YEAR(Table1[[#This Row],[Order Date]])</f>
        <v>2024</v>
      </c>
    </row>
    <row r="244" spans="1:14" x14ac:dyDescent="0.35">
      <c r="A244" s="1" t="s">
        <v>539</v>
      </c>
      <c r="B244" s="1" t="s">
        <v>69</v>
      </c>
      <c r="C244" s="1" t="s">
        <v>40</v>
      </c>
      <c r="D244" s="1" t="s">
        <v>179</v>
      </c>
      <c r="E244" s="1" t="s">
        <v>28</v>
      </c>
      <c r="F244" s="1" t="s">
        <v>179</v>
      </c>
      <c r="G244" s="1">
        <v>10</v>
      </c>
      <c r="H244" s="1">
        <v>15608</v>
      </c>
      <c r="I244" s="1">
        <v>0.15</v>
      </c>
      <c r="J244" s="1">
        <v>132668</v>
      </c>
      <c r="K244" s="1">
        <v>16494.599999999999</v>
      </c>
      <c r="L244" s="1" t="s">
        <v>17</v>
      </c>
      <c r="M244" s="1" t="str">
        <f>TEXT(Table1[[#This Row],[Order Date]],"mmm")</f>
        <v>Mar</v>
      </c>
      <c r="N244" s="1">
        <f>YEAR(Table1[[#This Row],[Order Date]])</f>
        <v>2023</v>
      </c>
    </row>
    <row r="245" spans="1:14" x14ac:dyDescent="0.35">
      <c r="A245" s="1" t="s">
        <v>540</v>
      </c>
      <c r="B245" s="1" t="s">
        <v>400</v>
      </c>
      <c r="C245" s="1" t="s">
        <v>111</v>
      </c>
      <c r="D245" s="1" t="s">
        <v>179</v>
      </c>
      <c r="E245" s="1" t="s">
        <v>28</v>
      </c>
      <c r="F245" s="1" t="s">
        <v>179</v>
      </c>
      <c r="G245" s="1">
        <v>2</v>
      </c>
      <c r="H245" s="1">
        <v>26414</v>
      </c>
      <c r="I245" s="1">
        <v>0.15</v>
      </c>
      <c r="J245" s="1">
        <v>44903.8</v>
      </c>
      <c r="K245" s="1">
        <v>6364.23</v>
      </c>
      <c r="L245" s="1" t="s">
        <v>17</v>
      </c>
      <c r="M245" s="1" t="str">
        <f>TEXT(Table1[[#This Row],[Order Date]],"mmm")</f>
        <v>Aug</v>
      </c>
      <c r="N245" s="1">
        <f>YEAR(Table1[[#This Row],[Order Date]])</f>
        <v>2023</v>
      </c>
    </row>
    <row r="246" spans="1:14" x14ac:dyDescent="0.35">
      <c r="A246" s="1" t="s">
        <v>541</v>
      </c>
      <c r="B246" s="1" t="s">
        <v>265</v>
      </c>
      <c r="C246" s="1" t="s">
        <v>170</v>
      </c>
      <c r="D246" s="1" t="s">
        <v>85</v>
      </c>
      <c r="E246" s="1" t="s">
        <v>28</v>
      </c>
      <c r="F246" s="1" t="s">
        <v>85</v>
      </c>
      <c r="G246" s="1">
        <v>14</v>
      </c>
      <c r="H246" s="1">
        <v>27953</v>
      </c>
      <c r="I246" s="1">
        <v>0.05</v>
      </c>
      <c r="J246" s="1">
        <v>371774.9</v>
      </c>
      <c r="K246" s="1">
        <v>100082.45</v>
      </c>
      <c r="L246" s="1" t="s">
        <v>23</v>
      </c>
      <c r="M246" s="1" t="str">
        <f>TEXT(Table1[[#This Row],[Order Date]],"mmm")</f>
        <v>Aug</v>
      </c>
      <c r="N246" s="1">
        <f>YEAR(Table1[[#This Row],[Order Date]])</f>
        <v>2023</v>
      </c>
    </row>
    <row r="247" spans="1:14" x14ac:dyDescent="0.35">
      <c r="A247" s="1" t="s">
        <v>542</v>
      </c>
      <c r="B247" s="1" t="s">
        <v>543</v>
      </c>
      <c r="C247" s="1" t="s">
        <v>191</v>
      </c>
      <c r="D247" s="1" t="s">
        <v>52</v>
      </c>
      <c r="E247" s="1" t="s">
        <v>28</v>
      </c>
      <c r="F247" s="1" t="s">
        <v>52</v>
      </c>
      <c r="G247" s="1">
        <v>10</v>
      </c>
      <c r="H247" s="1">
        <v>23458</v>
      </c>
      <c r="I247" s="1">
        <v>0</v>
      </c>
      <c r="J247" s="1">
        <v>234580</v>
      </c>
      <c r="K247" s="1">
        <v>46017.78</v>
      </c>
      <c r="L247" s="1" t="s">
        <v>23</v>
      </c>
      <c r="M247" s="1" t="str">
        <f>TEXT(Table1[[#This Row],[Order Date]],"mmm")</f>
        <v>Jun</v>
      </c>
      <c r="N247" s="1">
        <f>YEAR(Table1[[#This Row],[Order Date]])</f>
        <v>2024</v>
      </c>
    </row>
    <row r="248" spans="1:14" x14ac:dyDescent="0.35">
      <c r="A248" s="1" t="s">
        <v>544</v>
      </c>
      <c r="B248" s="1" t="s">
        <v>545</v>
      </c>
      <c r="C248" s="1" t="s">
        <v>200</v>
      </c>
      <c r="D248" s="1" t="s">
        <v>27</v>
      </c>
      <c r="E248" s="1" t="s">
        <v>28</v>
      </c>
      <c r="F248" s="1" t="s">
        <v>27</v>
      </c>
      <c r="G248" s="1">
        <v>10</v>
      </c>
      <c r="H248" s="1">
        <v>56501</v>
      </c>
      <c r="I248" s="1">
        <v>0.05</v>
      </c>
      <c r="J248" s="1">
        <v>536759.5</v>
      </c>
      <c r="K248" s="1">
        <v>44330.28</v>
      </c>
      <c r="L248" s="1" t="s">
        <v>45</v>
      </c>
      <c r="M248" s="1" t="str">
        <f>TEXT(Table1[[#This Row],[Order Date]],"mmm")</f>
        <v>Jan</v>
      </c>
      <c r="N248" s="1">
        <f>YEAR(Table1[[#This Row],[Order Date]])</f>
        <v>2024</v>
      </c>
    </row>
    <row r="249" spans="1:14" x14ac:dyDescent="0.35">
      <c r="A249" s="1" t="s">
        <v>546</v>
      </c>
      <c r="B249" s="1" t="s">
        <v>547</v>
      </c>
      <c r="C249" s="1" t="s">
        <v>111</v>
      </c>
      <c r="D249" s="1" t="s">
        <v>85</v>
      </c>
      <c r="E249" s="1" t="s">
        <v>28</v>
      </c>
      <c r="F249" s="1" t="s">
        <v>85</v>
      </c>
      <c r="G249" s="1">
        <v>12</v>
      </c>
      <c r="H249" s="1">
        <v>7814</v>
      </c>
      <c r="I249" s="1">
        <v>0.2</v>
      </c>
      <c r="J249" s="1">
        <v>75014.399999999994</v>
      </c>
      <c r="K249" s="1">
        <v>21631.99</v>
      </c>
      <c r="L249" s="1" t="s">
        <v>70</v>
      </c>
      <c r="M249" s="1" t="str">
        <f>TEXT(Table1[[#This Row],[Order Date]],"mmm")</f>
        <v>Nov</v>
      </c>
      <c r="N249" s="1">
        <f>YEAR(Table1[[#This Row],[Order Date]])</f>
        <v>2023</v>
      </c>
    </row>
    <row r="250" spans="1:14" x14ac:dyDescent="0.35">
      <c r="A250" s="1" t="s">
        <v>548</v>
      </c>
      <c r="B250" s="1" t="s">
        <v>549</v>
      </c>
      <c r="C250" s="1" t="s">
        <v>67</v>
      </c>
      <c r="D250" s="1" t="s">
        <v>44</v>
      </c>
      <c r="E250" s="1" t="s">
        <v>28</v>
      </c>
      <c r="F250" s="1" t="s">
        <v>44</v>
      </c>
      <c r="G250" s="1">
        <v>3</v>
      </c>
      <c r="H250" s="1">
        <v>10582</v>
      </c>
      <c r="I250" s="1">
        <v>0.05</v>
      </c>
      <c r="J250" s="1">
        <v>30158.7</v>
      </c>
      <c r="K250" s="1">
        <v>8071.43</v>
      </c>
      <c r="L250" s="1" t="s">
        <v>17</v>
      </c>
      <c r="M250" s="1" t="str">
        <f>TEXT(Table1[[#This Row],[Order Date]],"mmm")</f>
        <v>Jan</v>
      </c>
      <c r="N250" s="1">
        <f>YEAR(Table1[[#This Row],[Order Date]])</f>
        <v>2024</v>
      </c>
    </row>
    <row r="251" spans="1:14" x14ac:dyDescent="0.35">
      <c r="A251" s="1" t="s">
        <v>550</v>
      </c>
      <c r="B251" s="1" t="s">
        <v>551</v>
      </c>
      <c r="C251" s="1" t="s">
        <v>370</v>
      </c>
      <c r="D251" s="1" t="s">
        <v>293</v>
      </c>
      <c r="E251" s="1" t="s">
        <v>33</v>
      </c>
      <c r="F251" s="1" t="s">
        <v>293</v>
      </c>
      <c r="G251" s="1">
        <v>13</v>
      </c>
      <c r="H251" s="1">
        <v>39941</v>
      </c>
      <c r="I251" s="1">
        <v>0.15</v>
      </c>
      <c r="J251" s="1">
        <v>441348.05</v>
      </c>
      <c r="K251" s="1">
        <v>55519.16</v>
      </c>
      <c r="L251" s="1" t="s">
        <v>45</v>
      </c>
      <c r="M251" s="1" t="str">
        <f>TEXT(Table1[[#This Row],[Order Date]],"mmm")</f>
        <v>Apr</v>
      </c>
      <c r="N251" s="1">
        <f>YEAR(Table1[[#This Row],[Order Date]])</f>
        <v>2024</v>
      </c>
    </row>
    <row r="252" spans="1:14" x14ac:dyDescent="0.35">
      <c r="A252" s="1" t="s">
        <v>552</v>
      </c>
      <c r="B252" s="1" t="s">
        <v>292</v>
      </c>
      <c r="C252" s="1" t="s">
        <v>117</v>
      </c>
      <c r="D252" s="1" t="s">
        <v>52</v>
      </c>
      <c r="E252" s="1" t="s">
        <v>28</v>
      </c>
      <c r="F252" s="1" t="s">
        <v>52</v>
      </c>
      <c r="G252" s="1">
        <v>2</v>
      </c>
      <c r="H252" s="1">
        <v>55616</v>
      </c>
      <c r="I252" s="1">
        <v>0.05</v>
      </c>
      <c r="J252" s="1">
        <v>105670.39999999999</v>
      </c>
      <c r="K252" s="1">
        <v>26874.04</v>
      </c>
      <c r="L252" s="1" t="s">
        <v>17</v>
      </c>
      <c r="M252" s="1" t="str">
        <f>TEXT(Table1[[#This Row],[Order Date]],"mmm")</f>
        <v>Aug</v>
      </c>
      <c r="N252" s="1">
        <f>YEAR(Table1[[#This Row],[Order Date]])</f>
        <v>2024</v>
      </c>
    </row>
    <row r="253" spans="1:14" x14ac:dyDescent="0.35">
      <c r="A253" s="1" t="s">
        <v>553</v>
      </c>
      <c r="B253" s="1" t="s">
        <v>554</v>
      </c>
      <c r="C253" s="1" t="s">
        <v>88</v>
      </c>
      <c r="D253" s="1" t="s">
        <v>48</v>
      </c>
      <c r="E253" s="1" t="s">
        <v>16</v>
      </c>
      <c r="F253" s="1" t="s">
        <v>48</v>
      </c>
      <c r="G253" s="1">
        <v>12</v>
      </c>
      <c r="H253" s="1">
        <v>20122</v>
      </c>
      <c r="I253" s="1">
        <v>0.05</v>
      </c>
      <c r="J253" s="1">
        <v>229390.8</v>
      </c>
      <c r="K253" s="1">
        <v>47015.17</v>
      </c>
      <c r="L253" s="1" t="s">
        <v>45</v>
      </c>
      <c r="M253" s="1" t="str">
        <f>TEXT(Table1[[#This Row],[Order Date]],"mmm")</f>
        <v>Nov</v>
      </c>
      <c r="N253" s="1">
        <f>YEAR(Table1[[#This Row],[Order Date]])</f>
        <v>2023</v>
      </c>
    </row>
    <row r="254" spans="1:14" x14ac:dyDescent="0.35">
      <c r="A254" s="1" t="s">
        <v>555</v>
      </c>
      <c r="B254" s="1" t="s">
        <v>556</v>
      </c>
      <c r="C254" s="1" t="s">
        <v>98</v>
      </c>
      <c r="D254" s="1" t="s">
        <v>224</v>
      </c>
      <c r="E254" s="1" t="s">
        <v>33</v>
      </c>
      <c r="F254" s="1" t="s">
        <v>224</v>
      </c>
      <c r="G254" s="1">
        <v>7</v>
      </c>
      <c r="H254" s="1">
        <v>11712</v>
      </c>
      <c r="I254" s="1">
        <v>0</v>
      </c>
      <c r="J254" s="1">
        <v>81984</v>
      </c>
      <c r="K254" s="1">
        <v>11826.57</v>
      </c>
      <c r="L254" s="1" t="s">
        <v>17</v>
      </c>
      <c r="M254" s="1" t="str">
        <f>TEXT(Table1[[#This Row],[Order Date]],"mmm")</f>
        <v>Nov</v>
      </c>
      <c r="N254" s="1">
        <f>YEAR(Table1[[#This Row],[Order Date]])</f>
        <v>2024</v>
      </c>
    </row>
    <row r="255" spans="1:14" x14ac:dyDescent="0.35">
      <c r="A255" s="1" t="s">
        <v>557</v>
      </c>
      <c r="B255" s="1" t="s">
        <v>558</v>
      </c>
      <c r="C255" s="1" t="s">
        <v>20</v>
      </c>
      <c r="D255" s="1" t="s">
        <v>37</v>
      </c>
      <c r="E255" s="1" t="s">
        <v>16</v>
      </c>
      <c r="F255" s="1" t="s">
        <v>37</v>
      </c>
      <c r="G255" s="1">
        <v>15</v>
      </c>
      <c r="H255" s="1">
        <v>58062</v>
      </c>
      <c r="I255" s="1">
        <v>0.15</v>
      </c>
      <c r="J255" s="1">
        <v>740290.5</v>
      </c>
      <c r="K255" s="1">
        <v>94133.75</v>
      </c>
      <c r="L255" s="1" t="s">
        <v>23</v>
      </c>
      <c r="M255" s="1" t="str">
        <f>TEXT(Table1[[#This Row],[Order Date]],"mmm")</f>
        <v>Nov</v>
      </c>
      <c r="N255" s="1">
        <f>YEAR(Table1[[#This Row],[Order Date]])</f>
        <v>2023</v>
      </c>
    </row>
    <row r="256" spans="1:14" x14ac:dyDescent="0.35">
      <c r="A256" s="1" t="s">
        <v>559</v>
      </c>
      <c r="B256" s="1" t="s">
        <v>560</v>
      </c>
      <c r="C256" s="1" t="s">
        <v>107</v>
      </c>
      <c r="D256" s="1" t="s">
        <v>141</v>
      </c>
      <c r="E256" s="1" t="s">
        <v>22</v>
      </c>
      <c r="F256" s="1" t="s">
        <v>141</v>
      </c>
      <c r="G256" s="1">
        <v>7</v>
      </c>
      <c r="H256" s="1">
        <v>51112</v>
      </c>
      <c r="I256" s="1">
        <v>0.2</v>
      </c>
      <c r="J256" s="1">
        <v>286227.20000000001</v>
      </c>
      <c r="K256" s="1">
        <v>59545.8</v>
      </c>
      <c r="L256" s="1" t="s">
        <v>70</v>
      </c>
      <c r="M256" s="1" t="str">
        <f>TEXT(Table1[[#This Row],[Order Date]],"mmm")</f>
        <v>Aug</v>
      </c>
      <c r="N256" s="1">
        <f>YEAR(Table1[[#This Row],[Order Date]])</f>
        <v>2023</v>
      </c>
    </row>
    <row r="257" spans="1:14" x14ac:dyDescent="0.35">
      <c r="A257" s="1" t="s">
        <v>561</v>
      </c>
      <c r="B257" s="1" t="s">
        <v>257</v>
      </c>
      <c r="C257" s="1" t="s">
        <v>59</v>
      </c>
      <c r="D257" s="1" t="s">
        <v>52</v>
      </c>
      <c r="E257" s="1" t="s">
        <v>28</v>
      </c>
      <c r="F257" s="1" t="s">
        <v>52</v>
      </c>
      <c r="G257" s="1">
        <v>13</v>
      </c>
      <c r="H257" s="1">
        <v>23021</v>
      </c>
      <c r="I257" s="1">
        <v>0.1</v>
      </c>
      <c r="J257" s="1">
        <v>269345.7</v>
      </c>
      <c r="K257" s="1">
        <v>50892.92</v>
      </c>
      <c r="L257" s="1" t="s">
        <v>17</v>
      </c>
      <c r="M257" s="1" t="str">
        <f>TEXT(Table1[[#This Row],[Order Date]],"mmm")</f>
        <v>Aug</v>
      </c>
      <c r="N257" s="1">
        <f>YEAR(Table1[[#This Row],[Order Date]])</f>
        <v>2024</v>
      </c>
    </row>
    <row r="258" spans="1:14" x14ac:dyDescent="0.35">
      <c r="A258" s="1" t="s">
        <v>562</v>
      </c>
      <c r="B258" s="1" t="s">
        <v>563</v>
      </c>
      <c r="C258" s="1" t="s">
        <v>67</v>
      </c>
      <c r="D258" s="1" t="s">
        <v>85</v>
      </c>
      <c r="E258" s="1" t="s">
        <v>28</v>
      </c>
      <c r="F258" s="1" t="s">
        <v>85</v>
      </c>
      <c r="G258" s="1">
        <v>14</v>
      </c>
      <c r="H258" s="1">
        <v>59764</v>
      </c>
      <c r="I258" s="1">
        <v>0.15</v>
      </c>
      <c r="J258" s="1">
        <v>711191.6</v>
      </c>
      <c r="K258" s="1">
        <v>177055.98</v>
      </c>
      <c r="L258" s="1" t="s">
        <v>17</v>
      </c>
      <c r="M258" s="1" t="str">
        <f>TEXT(Table1[[#This Row],[Order Date]],"mmm")</f>
        <v>Jan</v>
      </c>
      <c r="N258" s="1">
        <f>YEAR(Table1[[#This Row],[Order Date]])</f>
        <v>2023</v>
      </c>
    </row>
    <row r="259" spans="1:14" x14ac:dyDescent="0.35">
      <c r="A259" s="1" t="s">
        <v>564</v>
      </c>
      <c r="B259" s="1" t="s">
        <v>565</v>
      </c>
      <c r="C259" s="1" t="s">
        <v>200</v>
      </c>
      <c r="D259" s="1" t="s">
        <v>15</v>
      </c>
      <c r="E259" s="1" t="s">
        <v>16</v>
      </c>
      <c r="F259" s="1" t="s">
        <v>15</v>
      </c>
      <c r="G259" s="1">
        <v>13</v>
      </c>
      <c r="H259" s="1">
        <v>31788</v>
      </c>
      <c r="I259" s="1">
        <v>0.1</v>
      </c>
      <c r="J259" s="1">
        <v>371919.6</v>
      </c>
      <c r="K259" s="1">
        <v>97136.3</v>
      </c>
      <c r="L259" s="1" t="s">
        <v>70</v>
      </c>
      <c r="M259" s="1" t="str">
        <f>TEXT(Table1[[#This Row],[Order Date]],"mmm")</f>
        <v>Nov</v>
      </c>
      <c r="N259" s="1">
        <f>YEAR(Table1[[#This Row],[Order Date]])</f>
        <v>2024</v>
      </c>
    </row>
    <row r="260" spans="1:14" x14ac:dyDescent="0.35">
      <c r="A260" s="1" t="s">
        <v>566</v>
      </c>
      <c r="B260" s="1" t="s">
        <v>567</v>
      </c>
      <c r="C260" s="1" t="s">
        <v>36</v>
      </c>
      <c r="D260" s="1" t="s">
        <v>44</v>
      </c>
      <c r="E260" s="1" t="s">
        <v>28</v>
      </c>
      <c r="F260" s="1" t="s">
        <v>44</v>
      </c>
      <c r="G260" s="1">
        <v>10</v>
      </c>
      <c r="H260" s="1">
        <v>16690</v>
      </c>
      <c r="I260" s="1">
        <v>0.1</v>
      </c>
      <c r="J260" s="1">
        <v>150210</v>
      </c>
      <c r="K260" s="1">
        <v>22937.439999999999</v>
      </c>
      <c r="L260" s="1" t="s">
        <v>70</v>
      </c>
      <c r="M260" s="1" t="str">
        <f>TEXT(Table1[[#This Row],[Order Date]],"mmm")</f>
        <v>May</v>
      </c>
      <c r="N260" s="1">
        <f>YEAR(Table1[[#This Row],[Order Date]])</f>
        <v>2023</v>
      </c>
    </row>
    <row r="261" spans="1:14" x14ac:dyDescent="0.35">
      <c r="A261" s="1" t="s">
        <v>568</v>
      </c>
      <c r="B261" s="1" t="s">
        <v>569</v>
      </c>
      <c r="C261" s="1" t="s">
        <v>128</v>
      </c>
      <c r="D261" s="1" t="s">
        <v>141</v>
      </c>
      <c r="E261" s="1" t="s">
        <v>22</v>
      </c>
      <c r="F261" s="1" t="s">
        <v>141</v>
      </c>
      <c r="G261" s="1">
        <v>8</v>
      </c>
      <c r="H261" s="1">
        <v>29375</v>
      </c>
      <c r="I261" s="1">
        <v>0</v>
      </c>
      <c r="J261" s="1">
        <v>235000</v>
      </c>
      <c r="K261" s="1">
        <v>20963.650000000001</v>
      </c>
      <c r="L261" s="1" t="s">
        <v>17</v>
      </c>
      <c r="M261" s="1" t="str">
        <f>TEXT(Table1[[#This Row],[Order Date]],"mmm")</f>
        <v>Sep</v>
      </c>
      <c r="N261" s="1">
        <f>YEAR(Table1[[#This Row],[Order Date]])</f>
        <v>2024</v>
      </c>
    </row>
    <row r="262" spans="1:14" x14ac:dyDescent="0.35">
      <c r="A262" s="1" t="s">
        <v>570</v>
      </c>
      <c r="B262" s="1" t="s">
        <v>571</v>
      </c>
      <c r="C262" s="1" t="s">
        <v>191</v>
      </c>
      <c r="D262" s="1" t="s">
        <v>44</v>
      </c>
      <c r="E262" s="1" t="s">
        <v>28</v>
      </c>
      <c r="F262" s="1" t="s">
        <v>44</v>
      </c>
      <c r="G262" s="1">
        <v>11</v>
      </c>
      <c r="H262" s="1">
        <v>22291</v>
      </c>
      <c r="I262" s="1">
        <v>0.2</v>
      </c>
      <c r="J262" s="1">
        <v>196160.8</v>
      </c>
      <c r="K262" s="1">
        <v>43328.5</v>
      </c>
      <c r="L262" s="1" t="s">
        <v>17</v>
      </c>
      <c r="M262" s="1" t="str">
        <f>TEXT(Table1[[#This Row],[Order Date]],"mmm")</f>
        <v>Dec</v>
      </c>
      <c r="N262" s="1">
        <f>YEAR(Table1[[#This Row],[Order Date]])</f>
        <v>2023</v>
      </c>
    </row>
    <row r="263" spans="1:14" x14ac:dyDescent="0.35">
      <c r="A263" s="1" t="s">
        <v>572</v>
      </c>
      <c r="B263" s="1" t="s">
        <v>573</v>
      </c>
      <c r="C263" s="1" t="s">
        <v>162</v>
      </c>
      <c r="D263" s="1" t="s">
        <v>179</v>
      </c>
      <c r="E263" s="1" t="s">
        <v>28</v>
      </c>
      <c r="F263" s="1" t="s">
        <v>179</v>
      </c>
      <c r="G263" s="1">
        <v>1</v>
      </c>
      <c r="H263" s="1">
        <v>35054</v>
      </c>
      <c r="I263" s="1">
        <v>0</v>
      </c>
      <c r="J263" s="1">
        <v>35054</v>
      </c>
      <c r="K263" s="1">
        <v>7693.24</v>
      </c>
      <c r="L263" s="1" t="s">
        <v>70</v>
      </c>
      <c r="M263" s="1" t="str">
        <f>TEXT(Table1[[#This Row],[Order Date]],"mmm")</f>
        <v>Sep</v>
      </c>
      <c r="N263" s="1">
        <f>YEAR(Table1[[#This Row],[Order Date]])</f>
        <v>2024</v>
      </c>
    </row>
    <row r="264" spans="1:14" x14ac:dyDescent="0.35">
      <c r="A264" s="1" t="s">
        <v>574</v>
      </c>
      <c r="B264" s="1" t="s">
        <v>575</v>
      </c>
      <c r="C264" s="1" t="s">
        <v>107</v>
      </c>
      <c r="D264" s="1" t="s">
        <v>323</v>
      </c>
      <c r="E264" s="1" t="s">
        <v>33</v>
      </c>
      <c r="F264" s="1" t="s">
        <v>323</v>
      </c>
      <c r="G264" s="1">
        <v>2</v>
      </c>
      <c r="H264" s="1">
        <v>6379</v>
      </c>
      <c r="I264" s="1">
        <v>0.1</v>
      </c>
      <c r="J264" s="1">
        <v>11482.2</v>
      </c>
      <c r="K264" s="1">
        <v>1585.58</v>
      </c>
      <c r="L264" s="1" t="s">
        <v>45</v>
      </c>
      <c r="M264" s="1" t="str">
        <f>TEXT(Table1[[#This Row],[Order Date]],"mmm")</f>
        <v>Jul</v>
      </c>
      <c r="N264" s="1">
        <f>YEAR(Table1[[#This Row],[Order Date]])</f>
        <v>2024</v>
      </c>
    </row>
    <row r="265" spans="1:14" x14ac:dyDescent="0.35">
      <c r="A265" s="1" t="s">
        <v>576</v>
      </c>
      <c r="B265" s="1" t="s">
        <v>577</v>
      </c>
      <c r="C265" s="1" t="s">
        <v>208</v>
      </c>
      <c r="D265" s="1" t="s">
        <v>167</v>
      </c>
      <c r="E265" s="1" t="s">
        <v>16</v>
      </c>
      <c r="F265" s="1" t="s">
        <v>167</v>
      </c>
      <c r="G265" s="1">
        <v>11</v>
      </c>
      <c r="H265" s="1">
        <v>56903</v>
      </c>
      <c r="I265" s="1">
        <v>0.15</v>
      </c>
      <c r="J265" s="1">
        <v>532043.05000000005</v>
      </c>
      <c r="K265" s="1">
        <v>151166.32</v>
      </c>
      <c r="L265" s="1" t="s">
        <v>70</v>
      </c>
      <c r="M265" s="1" t="str">
        <f>TEXT(Table1[[#This Row],[Order Date]],"mmm")</f>
        <v>Mar</v>
      </c>
      <c r="N265" s="1">
        <f>YEAR(Table1[[#This Row],[Order Date]])</f>
        <v>2024</v>
      </c>
    </row>
    <row r="266" spans="1:14" x14ac:dyDescent="0.35">
      <c r="A266" s="1" t="s">
        <v>578</v>
      </c>
      <c r="B266" s="1" t="s">
        <v>427</v>
      </c>
      <c r="C266" s="1" t="s">
        <v>255</v>
      </c>
      <c r="D266" s="1" t="s">
        <v>323</v>
      </c>
      <c r="E266" s="1" t="s">
        <v>33</v>
      </c>
      <c r="F266" s="1" t="s">
        <v>323</v>
      </c>
      <c r="G266" s="1">
        <v>7</v>
      </c>
      <c r="H266" s="1">
        <v>32340</v>
      </c>
      <c r="I266" s="1">
        <v>0.15</v>
      </c>
      <c r="J266" s="1">
        <v>192423</v>
      </c>
      <c r="K266" s="1">
        <v>44184.13</v>
      </c>
      <c r="L266" s="1" t="s">
        <v>17</v>
      </c>
      <c r="M266" s="1" t="str">
        <f>TEXT(Table1[[#This Row],[Order Date]],"mmm")</f>
        <v>Jan</v>
      </c>
      <c r="N266" s="1">
        <f>YEAR(Table1[[#This Row],[Order Date]])</f>
        <v>2023</v>
      </c>
    </row>
    <row r="267" spans="1:14" x14ac:dyDescent="0.35">
      <c r="A267" s="1" t="s">
        <v>579</v>
      </c>
      <c r="B267" s="1" t="s">
        <v>580</v>
      </c>
      <c r="C267" s="1" t="s">
        <v>36</v>
      </c>
      <c r="D267" s="1" t="s">
        <v>32</v>
      </c>
      <c r="E267" s="1" t="s">
        <v>33</v>
      </c>
      <c r="F267" s="1" t="s">
        <v>32</v>
      </c>
      <c r="G267" s="1">
        <v>6</v>
      </c>
      <c r="H267" s="1">
        <v>58137</v>
      </c>
      <c r="I267" s="1">
        <v>0.1</v>
      </c>
      <c r="J267" s="1">
        <v>313939.8</v>
      </c>
      <c r="K267" s="1">
        <v>75358.179999999993</v>
      </c>
      <c r="L267" s="1" t="s">
        <v>70</v>
      </c>
      <c r="M267" s="1" t="str">
        <f>TEXT(Table1[[#This Row],[Order Date]],"mmm")</f>
        <v>Nov</v>
      </c>
      <c r="N267" s="1">
        <f>YEAR(Table1[[#This Row],[Order Date]])</f>
        <v>2024</v>
      </c>
    </row>
    <row r="268" spans="1:14" x14ac:dyDescent="0.35">
      <c r="A268" s="1" t="s">
        <v>581</v>
      </c>
      <c r="B268" s="1" t="s">
        <v>582</v>
      </c>
      <c r="C268" s="1" t="s">
        <v>162</v>
      </c>
      <c r="D268" s="1" t="s">
        <v>85</v>
      </c>
      <c r="E268" s="1" t="s">
        <v>28</v>
      </c>
      <c r="F268" s="1" t="s">
        <v>85</v>
      </c>
      <c r="G268" s="1">
        <v>15</v>
      </c>
      <c r="H268" s="1">
        <v>15718</v>
      </c>
      <c r="I268" s="1">
        <v>0.2</v>
      </c>
      <c r="J268" s="1">
        <v>188616</v>
      </c>
      <c r="K268" s="1">
        <v>15532.24</v>
      </c>
      <c r="L268" s="1" t="s">
        <v>70</v>
      </c>
      <c r="M268" s="1" t="str">
        <f>TEXT(Table1[[#This Row],[Order Date]],"mmm")</f>
        <v>Apr</v>
      </c>
      <c r="N268" s="1">
        <f>YEAR(Table1[[#This Row],[Order Date]])</f>
        <v>2024</v>
      </c>
    </row>
    <row r="269" spans="1:14" x14ac:dyDescent="0.35">
      <c r="A269" s="1" t="s">
        <v>583</v>
      </c>
      <c r="B269" s="1" t="s">
        <v>331</v>
      </c>
      <c r="C269" s="1" t="s">
        <v>158</v>
      </c>
      <c r="D269" s="1" t="s">
        <v>151</v>
      </c>
      <c r="E269" s="1" t="s">
        <v>22</v>
      </c>
      <c r="F269" s="1" t="s">
        <v>151</v>
      </c>
      <c r="G269" s="1">
        <v>11</v>
      </c>
      <c r="H269" s="1">
        <v>7283</v>
      </c>
      <c r="I269" s="1">
        <v>0.2</v>
      </c>
      <c r="J269" s="1">
        <v>64090.400000000001</v>
      </c>
      <c r="K269" s="1">
        <v>17147.57</v>
      </c>
      <c r="L269" s="1" t="s">
        <v>23</v>
      </c>
      <c r="M269" s="1" t="str">
        <f>TEXT(Table1[[#This Row],[Order Date]],"mmm")</f>
        <v>Oct</v>
      </c>
      <c r="N269" s="1">
        <f>YEAR(Table1[[#This Row],[Order Date]])</f>
        <v>2024</v>
      </c>
    </row>
    <row r="270" spans="1:14" x14ac:dyDescent="0.35">
      <c r="A270" s="1" t="s">
        <v>584</v>
      </c>
      <c r="B270" s="1" t="s">
        <v>299</v>
      </c>
      <c r="C270" s="1" t="s">
        <v>59</v>
      </c>
      <c r="D270" s="1" t="s">
        <v>167</v>
      </c>
      <c r="E270" s="1" t="s">
        <v>16</v>
      </c>
      <c r="F270" s="1" t="s">
        <v>167</v>
      </c>
      <c r="G270" s="1">
        <v>9</v>
      </c>
      <c r="H270" s="1">
        <v>9623</v>
      </c>
      <c r="I270" s="1">
        <v>0.15</v>
      </c>
      <c r="J270" s="1">
        <v>73615.95</v>
      </c>
      <c r="K270" s="1">
        <v>11549.1</v>
      </c>
      <c r="L270" s="1" t="s">
        <v>45</v>
      </c>
      <c r="M270" s="1" t="str">
        <f>TEXT(Table1[[#This Row],[Order Date]],"mmm")</f>
        <v>May</v>
      </c>
      <c r="N270" s="1">
        <f>YEAR(Table1[[#This Row],[Order Date]])</f>
        <v>2023</v>
      </c>
    </row>
    <row r="271" spans="1:14" x14ac:dyDescent="0.35">
      <c r="A271" s="1" t="s">
        <v>585</v>
      </c>
      <c r="B271" s="1" t="s">
        <v>439</v>
      </c>
      <c r="C271" s="1" t="s">
        <v>120</v>
      </c>
      <c r="D271" s="1" t="s">
        <v>60</v>
      </c>
      <c r="E271" s="1" t="s">
        <v>33</v>
      </c>
      <c r="F271" s="1" t="s">
        <v>60</v>
      </c>
      <c r="G271" s="1">
        <v>6</v>
      </c>
      <c r="H271" s="1">
        <v>20823</v>
      </c>
      <c r="I271" s="1">
        <v>0.05</v>
      </c>
      <c r="J271" s="1">
        <v>118691.1</v>
      </c>
      <c r="K271" s="1">
        <v>33352.69</v>
      </c>
      <c r="L271" s="1" t="s">
        <v>23</v>
      </c>
      <c r="M271" s="1" t="str">
        <f>TEXT(Table1[[#This Row],[Order Date]],"mmm")</f>
        <v>Jan</v>
      </c>
      <c r="N271" s="1">
        <f>YEAR(Table1[[#This Row],[Order Date]])</f>
        <v>2023</v>
      </c>
    </row>
    <row r="272" spans="1:14" x14ac:dyDescent="0.35">
      <c r="A272" s="1" t="s">
        <v>586</v>
      </c>
      <c r="B272" s="1" t="s">
        <v>587</v>
      </c>
      <c r="C272" s="1" t="s">
        <v>178</v>
      </c>
      <c r="D272" s="1" t="s">
        <v>56</v>
      </c>
      <c r="E272" s="1" t="s">
        <v>22</v>
      </c>
      <c r="F272" s="1" t="s">
        <v>56</v>
      </c>
      <c r="G272" s="1">
        <v>1</v>
      </c>
      <c r="H272" s="1">
        <v>4299</v>
      </c>
      <c r="I272" s="1">
        <v>0.15</v>
      </c>
      <c r="J272" s="1">
        <v>3654.15</v>
      </c>
      <c r="K272" s="1">
        <v>651.92999999999995</v>
      </c>
      <c r="L272" s="1" t="s">
        <v>70</v>
      </c>
      <c r="M272" s="1" t="str">
        <f>TEXT(Table1[[#This Row],[Order Date]],"mmm")</f>
        <v>Oct</v>
      </c>
      <c r="N272" s="1">
        <f>YEAR(Table1[[#This Row],[Order Date]])</f>
        <v>2024</v>
      </c>
    </row>
    <row r="273" spans="1:14" x14ac:dyDescent="0.35">
      <c r="A273" s="1" t="s">
        <v>588</v>
      </c>
      <c r="B273" s="1" t="s">
        <v>589</v>
      </c>
      <c r="C273" s="1" t="s">
        <v>175</v>
      </c>
      <c r="D273" s="1" t="s">
        <v>32</v>
      </c>
      <c r="E273" s="1" t="s">
        <v>33</v>
      </c>
      <c r="F273" s="1" t="s">
        <v>32</v>
      </c>
      <c r="G273" s="1">
        <v>8</v>
      </c>
      <c r="H273" s="1">
        <v>6688</v>
      </c>
      <c r="I273" s="1">
        <v>0</v>
      </c>
      <c r="J273" s="1">
        <v>53504</v>
      </c>
      <c r="K273" s="1">
        <v>6311.23</v>
      </c>
      <c r="L273" s="1" t="s">
        <v>70</v>
      </c>
      <c r="M273" s="1" t="str">
        <f>TEXT(Table1[[#This Row],[Order Date]],"mmm")</f>
        <v>Sep</v>
      </c>
      <c r="N273" s="1">
        <f>YEAR(Table1[[#This Row],[Order Date]])</f>
        <v>2023</v>
      </c>
    </row>
    <row r="274" spans="1:14" x14ac:dyDescent="0.35">
      <c r="A274" s="1" t="s">
        <v>590</v>
      </c>
      <c r="B274" s="1" t="s">
        <v>379</v>
      </c>
      <c r="C274" s="1" t="s">
        <v>59</v>
      </c>
      <c r="D274" s="1" t="s">
        <v>167</v>
      </c>
      <c r="E274" s="1" t="s">
        <v>16</v>
      </c>
      <c r="F274" s="1" t="s">
        <v>167</v>
      </c>
      <c r="G274" s="1">
        <v>15</v>
      </c>
      <c r="H274" s="1">
        <v>45642</v>
      </c>
      <c r="I274" s="1">
        <v>0.05</v>
      </c>
      <c r="J274" s="1">
        <v>650398.5</v>
      </c>
      <c r="K274" s="1">
        <v>103379.98</v>
      </c>
      <c r="L274" s="1" t="s">
        <v>45</v>
      </c>
      <c r="M274" s="1" t="str">
        <f>TEXT(Table1[[#This Row],[Order Date]],"mmm")</f>
        <v>Feb</v>
      </c>
      <c r="N274" s="1">
        <f>YEAR(Table1[[#This Row],[Order Date]])</f>
        <v>2023</v>
      </c>
    </row>
    <row r="275" spans="1:14" x14ac:dyDescent="0.35">
      <c r="A275" s="1" t="s">
        <v>591</v>
      </c>
      <c r="B275" s="1" t="s">
        <v>592</v>
      </c>
      <c r="C275" s="1" t="s">
        <v>77</v>
      </c>
      <c r="D275" s="1" t="s">
        <v>95</v>
      </c>
      <c r="E275" s="1" t="s">
        <v>33</v>
      </c>
      <c r="F275" s="1" t="s">
        <v>95</v>
      </c>
      <c r="G275" s="1">
        <v>9</v>
      </c>
      <c r="H275" s="1">
        <v>38587</v>
      </c>
      <c r="I275" s="1">
        <v>0</v>
      </c>
      <c r="J275" s="1">
        <v>347283</v>
      </c>
      <c r="K275" s="1">
        <v>46764.89</v>
      </c>
      <c r="L275" s="1" t="s">
        <v>45</v>
      </c>
      <c r="M275" s="1" t="str">
        <f>TEXT(Table1[[#This Row],[Order Date]],"mmm")</f>
        <v>Mar</v>
      </c>
      <c r="N275" s="1">
        <f>YEAR(Table1[[#This Row],[Order Date]])</f>
        <v>2023</v>
      </c>
    </row>
    <row r="276" spans="1:14" x14ac:dyDescent="0.35">
      <c r="A276" s="1" t="s">
        <v>593</v>
      </c>
      <c r="B276" s="1" t="s">
        <v>472</v>
      </c>
      <c r="C276" s="1" t="s">
        <v>200</v>
      </c>
      <c r="D276" s="1" t="s">
        <v>151</v>
      </c>
      <c r="E276" s="1" t="s">
        <v>22</v>
      </c>
      <c r="F276" s="1" t="s">
        <v>151</v>
      </c>
      <c r="G276" s="1">
        <v>10</v>
      </c>
      <c r="H276" s="1">
        <v>34453</v>
      </c>
      <c r="I276" s="1">
        <v>0</v>
      </c>
      <c r="J276" s="1">
        <v>344530</v>
      </c>
      <c r="K276" s="1">
        <v>86133.759999999995</v>
      </c>
      <c r="L276" s="1" t="s">
        <v>17</v>
      </c>
      <c r="M276" s="1" t="str">
        <f>TEXT(Table1[[#This Row],[Order Date]],"mmm")</f>
        <v>Feb</v>
      </c>
      <c r="N276" s="1">
        <f>YEAR(Table1[[#This Row],[Order Date]])</f>
        <v>2024</v>
      </c>
    </row>
    <row r="277" spans="1:14" x14ac:dyDescent="0.35">
      <c r="A277" s="1" t="s">
        <v>594</v>
      </c>
      <c r="B277" s="1" t="s">
        <v>497</v>
      </c>
      <c r="C277" s="1" t="s">
        <v>117</v>
      </c>
      <c r="D277" s="1" t="s">
        <v>293</v>
      </c>
      <c r="E277" s="1" t="s">
        <v>33</v>
      </c>
      <c r="F277" s="1" t="s">
        <v>293</v>
      </c>
      <c r="G277" s="1">
        <v>10</v>
      </c>
      <c r="H277" s="1">
        <v>14679</v>
      </c>
      <c r="I277" s="1">
        <v>0.15</v>
      </c>
      <c r="J277" s="1">
        <v>124771.5</v>
      </c>
      <c r="K277" s="1">
        <v>32348.54</v>
      </c>
      <c r="L277" s="1" t="s">
        <v>45</v>
      </c>
      <c r="M277" s="1" t="str">
        <f>TEXT(Table1[[#This Row],[Order Date]],"mmm")</f>
        <v>Jul</v>
      </c>
      <c r="N277" s="1">
        <f>YEAR(Table1[[#This Row],[Order Date]])</f>
        <v>2024</v>
      </c>
    </row>
    <row r="278" spans="1:14" x14ac:dyDescent="0.35">
      <c r="A278" s="1" t="s">
        <v>595</v>
      </c>
      <c r="B278" s="1" t="s">
        <v>596</v>
      </c>
      <c r="C278" s="1" t="s">
        <v>370</v>
      </c>
      <c r="D278" s="1" t="s">
        <v>293</v>
      </c>
      <c r="E278" s="1" t="s">
        <v>33</v>
      </c>
      <c r="F278" s="1" t="s">
        <v>293</v>
      </c>
      <c r="G278" s="1">
        <v>7</v>
      </c>
      <c r="H278" s="1">
        <v>49246</v>
      </c>
      <c r="I278" s="1">
        <v>0.05</v>
      </c>
      <c r="J278" s="1">
        <v>327485.90000000002</v>
      </c>
      <c r="K278" s="1">
        <v>32913.769999999997</v>
      </c>
      <c r="L278" s="1" t="s">
        <v>45</v>
      </c>
      <c r="M278" s="1" t="str">
        <f>TEXT(Table1[[#This Row],[Order Date]],"mmm")</f>
        <v>Nov</v>
      </c>
      <c r="N278" s="1">
        <f>YEAR(Table1[[#This Row],[Order Date]])</f>
        <v>2023</v>
      </c>
    </row>
    <row r="279" spans="1:14" x14ac:dyDescent="0.35">
      <c r="A279" s="1" t="s">
        <v>597</v>
      </c>
      <c r="B279" s="1" t="s">
        <v>215</v>
      </c>
      <c r="C279" s="1" t="s">
        <v>59</v>
      </c>
      <c r="D279" s="1" t="s">
        <v>151</v>
      </c>
      <c r="E279" s="1" t="s">
        <v>22</v>
      </c>
      <c r="F279" s="1" t="s">
        <v>151</v>
      </c>
      <c r="G279" s="1">
        <v>9</v>
      </c>
      <c r="H279" s="1">
        <v>29158</v>
      </c>
      <c r="I279" s="1">
        <v>0.2</v>
      </c>
      <c r="J279" s="1">
        <v>209937.6</v>
      </c>
      <c r="K279" s="1">
        <v>57458.34</v>
      </c>
      <c r="L279" s="1" t="s">
        <v>23</v>
      </c>
      <c r="M279" s="1" t="str">
        <f>TEXT(Table1[[#This Row],[Order Date]],"mmm")</f>
        <v>Jul</v>
      </c>
      <c r="N279" s="1">
        <f>YEAR(Table1[[#This Row],[Order Date]])</f>
        <v>2024</v>
      </c>
    </row>
    <row r="280" spans="1:14" x14ac:dyDescent="0.35">
      <c r="A280" s="1" t="s">
        <v>598</v>
      </c>
      <c r="B280" s="1" t="s">
        <v>599</v>
      </c>
      <c r="C280" s="1" t="s">
        <v>203</v>
      </c>
      <c r="D280" s="1" t="s">
        <v>85</v>
      </c>
      <c r="E280" s="1" t="s">
        <v>28</v>
      </c>
      <c r="F280" s="1" t="s">
        <v>85</v>
      </c>
      <c r="G280" s="1">
        <v>2</v>
      </c>
      <c r="H280" s="1">
        <v>47732</v>
      </c>
      <c r="I280" s="1">
        <v>0.15</v>
      </c>
      <c r="J280" s="1">
        <v>81144.399999999994</v>
      </c>
      <c r="K280" s="1">
        <v>19253.009999999998</v>
      </c>
      <c r="L280" s="1" t="s">
        <v>70</v>
      </c>
      <c r="M280" s="1" t="str">
        <f>TEXT(Table1[[#This Row],[Order Date]],"mmm")</f>
        <v>May</v>
      </c>
      <c r="N280" s="1">
        <f>YEAR(Table1[[#This Row],[Order Date]])</f>
        <v>2023</v>
      </c>
    </row>
    <row r="281" spans="1:14" x14ac:dyDescent="0.35">
      <c r="A281" s="1" t="s">
        <v>600</v>
      </c>
      <c r="B281" s="1" t="s">
        <v>601</v>
      </c>
      <c r="C281" s="1" t="s">
        <v>104</v>
      </c>
      <c r="D281" s="1" t="s">
        <v>37</v>
      </c>
      <c r="E281" s="1" t="s">
        <v>16</v>
      </c>
      <c r="F281" s="1" t="s">
        <v>37</v>
      </c>
      <c r="G281" s="1">
        <v>15</v>
      </c>
      <c r="H281" s="1">
        <v>50907</v>
      </c>
      <c r="I281" s="1">
        <v>0.05</v>
      </c>
      <c r="J281" s="1">
        <v>725424.75</v>
      </c>
      <c r="K281" s="1">
        <v>196578.74</v>
      </c>
      <c r="L281" s="1" t="s">
        <v>17</v>
      </c>
      <c r="M281" s="1" t="str">
        <f>TEXT(Table1[[#This Row],[Order Date]],"mmm")</f>
        <v>Aug</v>
      </c>
      <c r="N281" s="1">
        <f>YEAR(Table1[[#This Row],[Order Date]])</f>
        <v>2024</v>
      </c>
    </row>
    <row r="282" spans="1:14" x14ac:dyDescent="0.35">
      <c r="A282" s="1" t="s">
        <v>602</v>
      </c>
      <c r="B282" s="1" t="s">
        <v>603</v>
      </c>
      <c r="C282" s="1" t="s">
        <v>51</v>
      </c>
      <c r="D282" s="1" t="s">
        <v>114</v>
      </c>
      <c r="E282" s="1" t="s">
        <v>16</v>
      </c>
      <c r="F282" s="1" t="s">
        <v>114</v>
      </c>
      <c r="G282" s="1">
        <v>13</v>
      </c>
      <c r="H282" s="1">
        <v>11911</v>
      </c>
      <c r="I282" s="1">
        <v>0.2</v>
      </c>
      <c r="J282" s="1">
        <v>123874.4</v>
      </c>
      <c r="K282" s="1">
        <v>32947.67</v>
      </c>
      <c r="L282" s="1" t="s">
        <v>45</v>
      </c>
      <c r="M282" s="1" t="str">
        <f>TEXT(Table1[[#This Row],[Order Date]],"mmm")</f>
        <v>Dec</v>
      </c>
      <c r="N282" s="1">
        <f>YEAR(Table1[[#This Row],[Order Date]])</f>
        <v>2023</v>
      </c>
    </row>
    <row r="283" spans="1:14" x14ac:dyDescent="0.35">
      <c r="A283" s="1" t="s">
        <v>604</v>
      </c>
      <c r="B283" s="1" t="s">
        <v>605</v>
      </c>
      <c r="C283" s="1" t="s">
        <v>94</v>
      </c>
      <c r="D283" s="1" t="s">
        <v>48</v>
      </c>
      <c r="E283" s="1" t="s">
        <v>16</v>
      </c>
      <c r="F283" s="1" t="s">
        <v>48</v>
      </c>
      <c r="G283" s="1">
        <v>10</v>
      </c>
      <c r="H283" s="1">
        <v>58644</v>
      </c>
      <c r="I283" s="1">
        <v>0.15</v>
      </c>
      <c r="J283" s="1">
        <v>498474</v>
      </c>
      <c r="K283" s="1">
        <v>81758.44</v>
      </c>
      <c r="L283" s="1" t="s">
        <v>23</v>
      </c>
      <c r="M283" s="1" t="str">
        <f>TEXT(Table1[[#This Row],[Order Date]],"mmm")</f>
        <v>Oct</v>
      </c>
      <c r="N283" s="1">
        <f>YEAR(Table1[[#This Row],[Order Date]])</f>
        <v>2023</v>
      </c>
    </row>
    <row r="284" spans="1:14" x14ac:dyDescent="0.35">
      <c r="A284" s="1" t="s">
        <v>606</v>
      </c>
      <c r="B284" s="1" t="s">
        <v>143</v>
      </c>
      <c r="C284" s="1" t="s">
        <v>208</v>
      </c>
      <c r="D284" s="1" t="s">
        <v>224</v>
      </c>
      <c r="E284" s="1" t="s">
        <v>33</v>
      </c>
      <c r="F284" s="1" t="s">
        <v>224</v>
      </c>
      <c r="G284" s="1">
        <v>13</v>
      </c>
      <c r="H284" s="1">
        <v>33333</v>
      </c>
      <c r="I284" s="1">
        <v>0</v>
      </c>
      <c r="J284" s="1">
        <v>433329</v>
      </c>
      <c r="K284" s="1">
        <v>93264.9</v>
      </c>
      <c r="L284" s="1" t="s">
        <v>23</v>
      </c>
      <c r="M284" s="1" t="str">
        <f>TEXT(Table1[[#This Row],[Order Date]],"mmm")</f>
        <v>Jul</v>
      </c>
      <c r="N284" s="1">
        <f>YEAR(Table1[[#This Row],[Order Date]])</f>
        <v>2023</v>
      </c>
    </row>
    <row r="285" spans="1:14" x14ac:dyDescent="0.35">
      <c r="A285" s="1" t="s">
        <v>607</v>
      </c>
      <c r="B285" s="1" t="s">
        <v>608</v>
      </c>
      <c r="C285" s="1" t="s">
        <v>175</v>
      </c>
      <c r="D285" s="1" t="s">
        <v>95</v>
      </c>
      <c r="E285" s="1" t="s">
        <v>33</v>
      </c>
      <c r="F285" s="1" t="s">
        <v>95</v>
      </c>
      <c r="G285" s="1">
        <v>4</v>
      </c>
      <c r="H285" s="1">
        <v>14397</v>
      </c>
      <c r="I285" s="1">
        <v>0.1</v>
      </c>
      <c r="J285" s="1">
        <v>51829.2</v>
      </c>
      <c r="K285" s="1">
        <v>9172.8700000000008</v>
      </c>
      <c r="L285" s="1" t="s">
        <v>17</v>
      </c>
      <c r="M285" s="1" t="str">
        <f>TEXT(Table1[[#This Row],[Order Date]],"mmm")</f>
        <v>May</v>
      </c>
      <c r="N285" s="1">
        <f>YEAR(Table1[[#This Row],[Order Date]])</f>
        <v>2024</v>
      </c>
    </row>
    <row r="286" spans="1:14" x14ac:dyDescent="0.35">
      <c r="A286" s="1" t="s">
        <v>609</v>
      </c>
      <c r="B286" s="1" t="s">
        <v>610</v>
      </c>
      <c r="C286" s="1" t="s">
        <v>332</v>
      </c>
      <c r="D286" s="1" t="s">
        <v>21</v>
      </c>
      <c r="E286" s="1" t="s">
        <v>22</v>
      </c>
      <c r="F286" s="1" t="s">
        <v>21</v>
      </c>
      <c r="G286" s="1">
        <v>14</v>
      </c>
      <c r="H286" s="1">
        <v>8960</v>
      </c>
      <c r="I286" s="1">
        <v>0.1</v>
      </c>
      <c r="J286" s="1">
        <v>112896</v>
      </c>
      <c r="K286" s="1">
        <v>11171.06</v>
      </c>
      <c r="L286" s="1" t="s">
        <v>23</v>
      </c>
      <c r="M286" s="1" t="str">
        <f>TEXT(Table1[[#This Row],[Order Date]],"mmm")</f>
        <v>Dec</v>
      </c>
      <c r="N286" s="1">
        <f>YEAR(Table1[[#This Row],[Order Date]])</f>
        <v>2023</v>
      </c>
    </row>
    <row r="287" spans="1:14" x14ac:dyDescent="0.35">
      <c r="A287" s="1" t="s">
        <v>611</v>
      </c>
      <c r="B287" s="1" t="s">
        <v>612</v>
      </c>
      <c r="C287" s="1" t="s">
        <v>117</v>
      </c>
      <c r="D287" s="1" t="s">
        <v>21</v>
      </c>
      <c r="E287" s="1" t="s">
        <v>22</v>
      </c>
      <c r="F287" s="1" t="s">
        <v>21</v>
      </c>
      <c r="G287" s="1">
        <v>1</v>
      </c>
      <c r="H287" s="1">
        <v>12391</v>
      </c>
      <c r="I287" s="1">
        <v>0</v>
      </c>
      <c r="J287" s="1">
        <v>12391</v>
      </c>
      <c r="K287" s="1">
        <v>1813.76</v>
      </c>
      <c r="L287" s="1" t="s">
        <v>17</v>
      </c>
      <c r="M287" s="1" t="str">
        <f>TEXT(Table1[[#This Row],[Order Date]],"mmm")</f>
        <v>May</v>
      </c>
      <c r="N287" s="1">
        <f>YEAR(Table1[[#This Row],[Order Date]])</f>
        <v>2024</v>
      </c>
    </row>
    <row r="288" spans="1:14" x14ac:dyDescent="0.35">
      <c r="A288" s="1" t="s">
        <v>613</v>
      </c>
      <c r="B288" s="1" t="s">
        <v>475</v>
      </c>
      <c r="C288" s="1" t="s">
        <v>335</v>
      </c>
      <c r="D288" s="1" t="s">
        <v>85</v>
      </c>
      <c r="E288" s="1" t="s">
        <v>28</v>
      </c>
      <c r="F288" s="1" t="s">
        <v>85</v>
      </c>
      <c r="G288" s="1">
        <v>11</v>
      </c>
      <c r="H288" s="1">
        <v>41712</v>
      </c>
      <c r="I288" s="1">
        <v>0</v>
      </c>
      <c r="J288" s="1">
        <v>458832</v>
      </c>
      <c r="K288" s="1">
        <v>40127.69</v>
      </c>
      <c r="L288" s="1" t="s">
        <v>45</v>
      </c>
      <c r="M288" s="1" t="str">
        <f>TEXT(Table1[[#This Row],[Order Date]],"mmm")</f>
        <v>Jun</v>
      </c>
      <c r="N288" s="1">
        <f>YEAR(Table1[[#This Row],[Order Date]])</f>
        <v>2023</v>
      </c>
    </row>
    <row r="289" spans="1:14" x14ac:dyDescent="0.35">
      <c r="A289" s="1" t="s">
        <v>614</v>
      </c>
      <c r="B289" s="1" t="s">
        <v>615</v>
      </c>
      <c r="C289" s="1" t="s">
        <v>178</v>
      </c>
      <c r="D289" s="1" t="s">
        <v>167</v>
      </c>
      <c r="E289" s="1" t="s">
        <v>16</v>
      </c>
      <c r="F289" s="1" t="s">
        <v>167</v>
      </c>
      <c r="G289" s="1">
        <v>13</v>
      </c>
      <c r="H289" s="1">
        <v>6330</v>
      </c>
      <c r="I289" s="1">
        <v>0.15</v>
      </c>
      <c r="J289" s="1">
        <v>69946.5</v>
      </c>
      <c r="K289" s="1">
        <v>13359.8</v>
      </c>
      <c r="L289" s="1" t="s">
        <v>70</v>
      </c>
      <c r="M289" s="1" t="str">
        <f>TEXT(Table1[[#This Row],[Order Date]],"mmm")</f>
        <v>Jun</v>
      </c>
      <c r="N289" s="1">
        <f>YEAR(Table1[[#This Row],[Order Date]])</f>
        <v>2024</v>
      </c>
    </row>
    <row r="290" spans="1:14" x14ac:dyDescent="0.35">
      <c r="A290" s="1" t="s">
        <v>616</v>
      </c>
      <c r="B290" s="1" t="s">
        <v>617</v>
      </c>
      <c r="C290" s="1" t="s">
        <v>26</v>
      </c>
      <c r="D290" s="1" t="s">
        <v>15</v>
      </c>
      <c r="E290" s="1" t="s">
        <v>16</v>
      </c>
      <c r="F290" s="1" t="s">
        <v>15</v>
      </c>
      <c r="G290" s="1">
        <v>11</v>
      </c>
      <c r="H290" s="1">
        <v>14525</v>
      </c>
      <c r="I290" s="1">
        <v>0.1</v>
      </c>
      <c r="J290" s="1">
        <v>143797.5</v>
      </c>
      <c r="K290" s="1">
        <v>32161.24</v>
      </c>
      <c r="L290" s="1" t="s">
        <v>45</v>
      </c>
      <c r="M290" s="1" t="str">
        <f>TEXT(Table1[[#This Row],[Order Date]],"mmm")</f>
        <v>Jul</v>
      </c>
      <c r="N290" s="1">
        <f>YEAR(Table1[[#This Row],[Order Date]])</f>
        <v>2023</v>
      </c>
    </row>
    <row r="291" spans="1:14" x14ac:dyDescent="0.35">
      <c r="A291" s="1" t="s">
        <v>618</v>
      </c>
      <c r="B291" s="1" t="s">
        <v>483</v>
      </c>
      <c r="C291" s="1" t="s">
        <v>208</v>
      </c>
      <c r="D291" s="1" t="s">
        <v>74</v>
      </c>
      <c r="E291" s="1" t="s">
        <v>22</v>
      </c>
      <c r="F291" s="1" t="s">
        <v>74</v>
      </c>
      <c r="G291" s="1">
        <v>10</v>
      </c>
      <c r="H291" s="1">
        <v>57867</v>
      </c>
      <c r="I291" s="1">
        <v>0.05</v>
      </c>
      <c r="J291" s="1">
        <v>549736.5</v>
      </c>
      <c r="K291" s="1">
        <v>98458.69</v>
      </c>
      <c r="L291" s="1" t="s">
        <v>17</v>
      </c>
      <c r="M291" s="1" t="str">
        <f>TEXT(Table1[[#This Row],[Order Date]],"mmm")</f>
        <v>Apr</v>
      </c>
      <c r="N291" s="1">
        <f>YEAR(Table1[[#This Row],[Order Date]])</f>
        <v>2023</v>
      </c>
    </row>
    <row r="292" spans="1:14" x14ac:dyDescent="0.35">
      <c r="A292" s="1" t="s">
        <v>619</v>
      </c>
      <c r="B292" s="1" t="s">
        <v>282</v>
      </c>
      <c r="C292" s="1" t="s">
        <v>146</v>
      </c>
      <c r="D292" s="1" t="s">
        <v>137</v>
      </c>
      <c r="E292" s="1" t="s">
        <v>22</v>
      </c>
      <c r="F292" s="1" t="s">
        <v>137</v>
      </c>
      <c r="G292" s="1">
        <v>13</v>
      </c>
      <c r="H292" s="1">
        <v>32910</v>
      </c>
      <c r="I292" s="1">
        <v>0.2</v>
      </c>
      <c r="J292" s="1">
        <v>342264</v>
      </c>
      <c r="K292" s="1">
        <v>58705.53</v>
      </c>
      <c r="L292" s="1" t="s">
        <v>17</v>
      </c>
      <c r="M292" s="1" t="str">
        <f>TEXT(Table1[[#This Row],[Order Date]],"mmm")</f>
        <v>Nov</v>
      </c>
      <c r="N292" s="1">
        <f>YEAR(Table1[[#This Row],[Order Date]])</f>
        <v>2024</v>
      </c>
    </row>
    <row r="293" spans="1:14" x14ac:dyDescent="0.35">
      <c r="A293" s="1" t="s">
        <v>620</v>
      </c>
      <c r="B293" s="1" t="s">
        <v>621</v>
      </c>
      <c r="C293" s="1" t="s">
        <v>88</v>
      </c>
      <c r="D293" s="1" t="s">
        <v>167</v>
      </c>
      <c r="E293" s="1" t="s">
        <v>16</v>
      </c>
      <c r="F293" s="1" t="s">
        <v>167</v>
      </c>
      <c r="G293" s="1">
        <v>13</v>
      </c>
      <c r="H293" s="1">
        <v>46281</v>
      </c>
      <c r="I293" s="1">
        <v>0.05</v>
      </c>
      <c r="J293" s="1">
        <v>571570.35</v>
      </c>
      <c r="K293" s="1">
        <v>145117.17000000001</v>
      </c>
      <c r="L293" s="1" t="s">
        <v>70</v>
      </c>
      <c r="M293" s="1" t="str">
        <f>TEXT(Table1[[#This Row],[Order Date]],"mmm")</f>
        <v>Jan</v>
      </c>
      <c r="N293" s="1">
        <f>YEAR(Table1[[#This Row],[Order Date]])</f>
        <v>2024</v>
      </c>
    </row>
    <row r="294" spans="1:14" x14ac:dyDescent="0.35">
      <c r="A294" s="1" t="s">
        <v>622</v>
      </c>
      <c r="B294" s="1" t="s">
        <v>577</v>
      </c>
      <c r="C294" s="1" t="s">
        <v>158</v>
      </c>
      <c r="D294" s="1" t="s">
        <v>64</v>
      </c>
      <c r="E294" s="1" t="s">
        <v>33</v>
      </c>
      <c r="F294" s="1" t="s">
        <v>64</v>
      </c>
      <c r="G294" s="1">
        <v>5</v>
      </c>
      <c r="H294" s="1">
        <v>24371</v>
      </c>
      <c r="I294" s="1">
        <v>0</v>
      </c>
      <c r="J294" s="1">
        <v>121855</v>
      </c>
      <c r="K294" s="1">
        <v>13633.41</v>
      </c>
      <c r="L294" s="1" t="s">
        <v>23</v>
      </c>
      <c r="M294" s="1" t="str">
        <f>TEXT(Table1[[#This Row],[Order Date]],"mmm")</f>
        <v>Mar</v>
      </c>
      <c r="N294" s="1">
        <f>YEAR(Table1[[#This Row],[Order Date]])</f>
        <v>2024</v>
      </c>
    </row>
    <row r="295" spans="1:14" x14ac:dyDescent="0.35">
      <c r="A295" s="1" t="s">
        <v>623</v>
      </c>
      <c r="B295" s="1" t="s">
        <v>624</v>
      </c>
      <c r="C295" s="1" t="s">
        <v>77</v>
      </c>
      <c r="D295" s="1" t="s">
        <v>78</v>
      </c>
      <c r="E295" s="1" t="s">
        <v>28</v>
      </c>
      <c r="F295" s="1" t="s">
        <v>78</v>
      </c>
      <c r="G295" s="1">
        <v>6</v>
      </c>
      <c r="H295" s="1">
        <v>34991</v>
      </c>
      <c r="I295" s="1">
        <v>0.1</v>
      </c>
      <c r="J295" s="1">
        <v>188951.4</v>
      </c>
      <c r="K295" s="1">
        <v>33054.67</v>
      </c>
      <c r="L295" s="1" t="s">
        <v>17</v>
      </c>
      <c r="M295" s="1" t="str">
        <f>TEXT(Table1[[#This Row],[Order Date]],"mmm")</f>
        <v>May</v>
      </c>
      <c r="N295" s="1">
        <f>YEAR(Table1[[#This Row],[Order Date]])</f>
        <v>2023</v>
      </c>
    </row>
    <row r="296" spans="1:14" x14ac:dyDescent="0.35">
      <c r="A296" s="1" t="s">
        <v>625</v>
      </c>
      <c r="B296" s="1" t="s">
        <v>322</v>
      </c>
      <c r="C296" s="1" t="s">
        <v>55</v>
      </c>
      <c r="D296" s="1" t="s">
        <v>27</v>
      </c>
      <c r="E296" s="1" t="s">
        <v>28</v>
      </c>
      <c r="F296" s="1" t="s">
        <v>27</v>
      </c>
      <c r="G296" s="1">
        <v>4</v>
      </c>
      <c r="H296" s="1">
        <v>45891</v>
      </c>
      <c r="I296" s="1">
        <v>0.15</v>
      </c>
      <c r="J296" s="1">
        <v>156029.4</v>
      </c>
      <c r="K296" s="1">
        <v>24428.83</v>
      </c>
      <c r="L296" s="1" t="s">
        <v>45</v>
      </c>
      <c r="M296" s="1" t="str">
        <f>TEXT(Table1[[#This Row],[Order Date]],"mmm")</f>
        <v>Sep</v>
      </c>
      <c r="N296" s="1">
        <f>YEAR(Table1[[#This Row],[Order Date]])</f>
        <v>2023</v>
      </c>
    </row>
    <row r="297" spans="1:14" x14ac:dyDescent="0.35">
      <c r="A297" s="1" t="s">
        <v>626</v>
      </c>
      <c r="B297" s="1" t="s">
        <v>103</v>
      </c>
      <c r="C297" s="1" t="s">
        <v>63</v>
      </c>
      <c r="D297" s="1" t="s">
        <v>64</v>
      </c>
      <c r="E297" s="1" t="s">
        <v>33</v>
      </c>
      <c r="F297" s="1" t="s">
        <v>64</v>
      </c>
      <c r="G297" s="1">
        <v>4</v>
      </c>
      <c r="H297" s="1">
        <v>35683</v>
      </c>
      <c r="I297" s="1">
        <v>0</v>
      </c>
      <c r="J297" s="1">
        <v>142732</v>
      </c>
      <c r="K297" s="1">
        <v>22456.87</v>
      </c>
      <c r="L297" s="1" t="s">
        <v>23</v>
      </c>
      <c r="M297" s="1" t="str">
        <f>TEXT(Table1[[#This Row],[Order Date]],"mmm")</f>
        <v>Nov</v>
      </c>
      <c r="N297" s="1">
        <f>YEAR(Table1[[#This Row],[Order Date]])</f>
        <v>2023</v>
      </c>
    </row>
    <row r="298" spans="1:14" x14ac:dyDescent="0.35">
      <c r="A298" s="1" t="s">
        <v>627</v>
      </c>
      <c r="B298" s="1" t="s">
        <v>464</v>
      </c>
      <c r="C298" s="1" t="s">
        <v>104</v>
      </c>
      <c r="D298" s="1" t="s">
        <v>60</v>
      </c>
      <c r="E298" s="1" t="s">
        <v>33</v>
      </c>
      <c r="F298" s="1" t="s">
        <v>60</v>
      </c>
      <c r="G298" s="1">
        <v>12</v>
      </c>
      <c r="H298" s="1">
        <v>32873</v>
      </c>
      <c r="I298" s="1">
        <v>0.15</v>
      </c>
      <c r="J298" s="1">
        <v>335304.59999999998</v>
      </c>
      <c r="K298" s="1">
        <v>85250.29</v>
      </c>
      <c r="L298" s="1" t="s">
        <v>70</v>
      </c>
      <c r="M298" s="1" t="str">
        <f>TEXT(Table1[[#This Row],[Order Date]],"mmm")</f>
        <v>Mar</v>
      </c>
      <c r="N298" s="1">
        <f>YEAR(Table1[[#This Row],[Order Date]])</f>
        <v>2024</v>
      </c>
    </row>
    <row r="299" spans="1:14" x14ac:dyDescent="0.35">
      <c r="A299" s="1" t="s">
        <v>628</v>
      </c>
      <c r="B299" s="1" t="s">
        <v>404</v>
      </c>
      <c r="C299" s="1" t="s">
        <v>36</v>
      </c>
      <c r="D299" s="1" t="s">
        <v>95</v>
      </c>
      <c r="E299" s="1" t="s">
        <v>33</v>
      </c>
      <c r="F299" s="1" t="s">
        <v>95</v>
      </c>
      <c r="G299" s="1">
        <v>8</v>
      </c>
      <c r="H299" s="1">
        <v>13211</v>
      </c>
      <c r="I299" s="1">
        <v>0</v>
      </c>
      <c r="J299" s="1">
        <v>105688</v>
      </c>
      <c r="K299" s="1">
        <v>8687.43</v>
      </c>
      <c r="L299" s="1" t="s">
        <v>70</v>
      </c>
      <c r="M299" s="1" t="str">
        <f>TEXT(Table1[[#This Row],[Order Date]],"mmm")</f>
        <v>Jan</v>
      </c>
      <c r="N299" s="1">
        <f>YEAR(Table1[[#This Row],[Order Date]])</f>
        <v>2023</v>
      </c>
    </row>
    <row r="300" spans="1:14" x14ac:dyDescent="0.35">
      <c r="A300" s="1" t="s">
        <v>629</v>
      </c>
      <c r="B300" s="1" t="s">
        <v>630</v>
      </c>
      <c r="C300" s="1" t="s">
        <v>362</v>
      </c>
      <c r="D300" s="1" t="s">
        <v>37</v>
      </c>
      <c r="E300" s="1" t="s">
        <v>16</v>
      </c>
      <c r="F300" s="1" t="s">
        <v>37</v>
      </c>
      <c r="G300" s="1">
        <v>11</v>
      </c>
      <c r="H300" s="1">
        <v>12637</v>
      </c>
      <c r="I300" s="1">
        <v>0.15</v>
      </c>
      <c r="J300" s="1">
        <v>118155.95</v>
      </c>
      <c r="K300" s="1">
        <v>29118.15</v>
      </c>
      <c r="L300" s="1" t="s">
        <v>23</v>
      </c>
      <c r="M300" s="1" t="str">
        <f>TEXT(Table1[[#This Row],[Order Date]],"mmm")</f>
        <v>Aug</v>
      </c>
      <c r="N300" s="1">
        <f>YEAR(Table1[[#This Row],[Order Date]])</f>
        <v>2023</v>
      </c>
    </row>
    <row r="301" spans="1:14" x14ac:dyDescent="0.35">
      <c r="A301" s="1" t="s">
        <v>631</v>
      </c>
      <c r="B301" s="1" t="s">
        <v>632</v>
      </c>
      <c r="C301" s="1" t="s">
        <v>255</v>
      </c>
      <c r="D301" s="1" t="s">
        <v>74</v>
      </c>
      <c r="E301" s="1" t="s">
        <v>22</v>
      </c>
      <c r="F301" s="1" t="s">
        <v>74</v>
      </c>
      <c r="G301" s="1">
        <v>14</v>
      </c>
      <c r="H301" s="1">
        <v>41624</v>
      </c>
      <c r="I301" s="1">
        <v>0</v>
      </c>
      <c r="J301" s="1">
        <v>582736</v>
      </c>
      <c r="K301" s="1">
        <v>171343.35</v>
      </c>
      <c r="L301" s="1" t="s">
        <v>70</v>
      </c>
      <c r="M301" s="1" t="str">
        <f>TEXT(Table1[[#This Row],[Order Date]],"mmm")</f>
        <v>Mar</v>
      </c>
      <c r="N301" s="1">
        <f>YEAR(Table1[[#This Row],[Order Date]])</f>
        <v>2024</v>
      </c>
    </row>
    <row r="302" spans="1:14" x14ac:dyDescent="0.35">
      <c r="A302" s="1" t="s">
        <v>633</v>
      </c>
      <c r="B302" s="1" t="s">
        <v>634</v>
      </c>
      <c r="C302" s="1" t="s">
        <v>120</v>
      </c>
      <c r="D302" s="1" t="s">
        <v>95</v>
      </c>
      <c r="E302" s="1" t="s">
        <v>33</v>
      </c>
      <c r="F302" s="1" t="s">
        <v>95</v>
      </c>
      <c r="G302" s="1">
        <v>7</v>
      </c>
      <c r="H302" s="1">
        <v>13454</v>
      </c>
      <c r="I302" s="1">
        <v>0.2</v>
      </c>
      <c r="J302" s="1">
        <v>75342.399999999994</v>
      </c>
      <c r="K302" s="1">
        <v>19726.439999999999</v>
      </c>
      <c r="L302" s="1" t="s">
        <v>70</v>
      </c>
      <c r="M302" s="1" t="str">
        <f>TEXT(Table1[[#This Row],[Order Date]],"mmm")</f>
        <v>Nov</v>
      </c>
      <c r="N302" s="1">
        <f>YEAR(Table1[[#This Row],[Order Date]])</f>
        <v>2024</v>
      </c>
    </row>
    <row r="303" spans="1:14" x14ac:dyDescent="0.35">
      <c r="A303" s="1" t="s">
        <v>635</v>
      </c>
      <c r="B303" s="1" t="s">
        <v>636</v>
      </c>
      <c r="C303" s="1" t="s">
        <v>362</v>
      </c>
      <c r="D303" s="1" t="s">
        <v>41</v>
      </c>
      <c r="E303" s="1" t="s">
        <v>16</v>
      </c>
      <c r="F303" s="1" t="s">
        <v>41</v>
      </c>
      <c r="G303" s="1">
        <v>7</v>
      </c>
      <c r="H303" s="1">
        <v>39776</v>
      </c>
      <c r="I303" s="1">
        <v>0.15</v>
      </c>
      <c r="J303" s="1">
        <v>236667.2</v>
      </c>
      <c r="K303" s="1">
        <v>58245.55</v>
      </c>
      <c r="L303" s="1" t="s">
        <v>17</v>
      </c>
      <c r="M303" s="1" t="str">
        <f>TEXT(Table1[[#This Row],[Order Date]],"mmm")</f>
        <v>Nov</v>
      </c>
      <c r="N303" s="1">
        <f>YEAR(Table1[[#This Row],[Order Date]])</f>
        <v>2023</v>
      </c>
    </row>
    <row r="304" spans="1:14" x14ac:dyDescent="0.35">
      <c r="A304" s="1" t="s">
        <v>637</v>
      </c>
      <c r="B304" s="1" t="s">
        <v>638</v>
      </c>
      <c r="C304" s="1" t="s">
        <v>188</v>
      </c>
      <c r="D304" s="1" t="s">
        <v>141</v>
      </c>
      <c r="E304" s="1" t="s">
        <v>22</v>
      </c>
      <c r="F304" s="1" t="s">
        <v>141</v>
      </c>
      <c r="G304" s="1">
        <v>11</v>
      </c>
      <c r="H304" s="1">
        <v>33646</v>
      </c>
      <c r="I304" s="1">
        <v>0.2</v>
      </c>
      <c r="J304" s="1">
        <v>296084.8</v>
      </c>
      <c r="K304" s="1">
        <v>25364.12</v>
      </c>
      <c r="L304" s="1" t="s">
        <v>23</v>
      </c>
      <c r="M304" s="1" t="str">
        <f>TEXT(Table1[[#This Row],[Order Date]],"mmm")</f>
        <v>May</v>
      </c>
      <c r="N304" s="1">
        <f>YEAR(Table1[[#This Row],[Order Date]])</f>
        <v>2023</v>
      </c>
    </row>
    <row r="305" spans="1:14" x14ac:dyDescent="0.35">
      <c r="A305" s="1" t="s">
        <v>639</v>
      </c>
      <c r="B305" s="1" t="s">
        <v>253</v>
      </c>
      <c r="C305" s="1" t="s">
        <v>640</v>
      </c>
      <c r="D305" s="1" t="s">
        <v>74</v>
      </c>
      <c r="E305" s="1" t="s">
        <v>22</v>
      </c>
      <c r="F305" s="1" t="s">
        <v>74</v>
      </c>
      <c r="G305" s="1">
        <v>15</v>
      </c>
      <c r="H305" s="1">
        <v>24325</v>
      </c>
      <c r="I305" s="1">
        <v>0.15</v>
      </c>
      <c r="J305" s="1">
        <v>310143.75</v>
      </c>
      <c r="K305" s="1">
        <v>52458.9</v>
      </c>
      <c r="L305" s="1" t="s">
        <v>70</v>
      </c>
      <c r="M305" s="1" t="str">
        <f>TEXT(Table1[[#This Row],[Order Date]],"mmm")</f>
        <v>Apr</v>
      </c>
      <c r="N305" s="1">
        <f>YEAR(Table1[[#This Row],[Order Date]])</f>
        <v>2024</v>
      </c>
    </row>
    <row r="306" spans="1:14" x14ac:dyDescent="0.35">
      <c r="A306" s="1" t="s">
        <v>641</v>
      </c>
      <c r="B306" s="1" t="s">
        <v>417</v>
      </c>
      <c r="C306" s="1" t="s">
        <v>255</v>
      </c>
      <c r="D306" s="1" t="s">
        <v>323</v>
      </c>
      <c r="E306" s="1" t="s">
        <v>33</v>
      </c>
      <c r="F306" s="1" t="s">
        <v>323</v>
      </c>
      <c r="G306" s="1">
        <v>12</v>
      </c>
      <c r="H306" s="1">
        <v>20679</v>
      </c>
      <c r="I306" s="1">
        <v>0.15</v>
      </c>
      <c r="J306" s="1">
        <v>210925.8</v>
      </c>
      <c r="K306" s="1">
        <v>62385.93</v>
      </c>
      <c r="L306" s="1" t="s">
        <v>17</v>
      </c>
      <c r="M306" s="1" t="str">
        <f>TEXT(Table1[[#This Row],[Order Date]],"mmm")</f>
        <v>Jul</v>
      </c>
      <c r="N306" s="1">
        <f>YEAR(Table1[[#This Row],[Order Date]])</f>
        <v>2024</v>
      </c>
    </row>
    <row r="307" spans="1:14" x14ac:dyDescent="0.35">
      <c r="A307" s="1" t="s">
        <v>642</v>
      </c>
      <c r="B307" s="1" t="s">
        <v>643</v>
      </c>
      <c r="C307" s="1" t="s">
        <v>104</v>
      </c>
      <c r="D307" s="1" t="s">
        <v>85</v>
      </c>
      <c r="E307" s="1" t="s">
        <v>28</v>
      </c>
      <c r="F307" s="1" t="s">
        <v>85</v>
      </c>
      <c r="G307" s="1">
        <v>7</v>
      </c>
      <c r="H307" s="1">
        <v>54681</v>
      </c>
      <c r="I307" s="1">
        <v>0.2</v>
      </c>
      <c r="J307" s="1">
        <v>306213.59999999998</v>
      </c>
      <c r="K307" s="1">
        <v>30665.87</v>
      </c>
      <c r="L307" s="1" t="s">
        <v>70</v>
      </c>
      <c r="M307" s="1" t="str">
        <f>TEXT(Table1[[#This Row],[Order Date]],"mmm")</f>
        <v>Aug</v>
      </c>
      <c r="N307" s="1">
        <f>YEAR(Table1[[#This Row],[Order Date]])</f>
        <v>2024</v>
      </c>
    </row>
    <row r="308" spans="1:14" x14ac:dyDescent="0.35">
      <c r="A308" s="1" t="s">
        <v>644</v>
      </c>
      <c r="B308" s="1" t="s">
        <v>575</v>
      </c>
      <c r="C308" s="1" t="s">
        <v>200</v>
      </c>
      <c r="D308" s="1" t="s">
        <v>21</v>
      </c>
      <c r="E308" s="1" t="s">
        <v>22</v>
      </c>
      <c r="F308" s="1" t="s">
        <v>21</v>
      </c>
      <c r="G308" s="1">
        <v>15</v>
      </c>
      <c r="H308" s="1">
        <v>7254</v>
      </c>
      <c r="I308" s="1">
        <v>0.1</v>
      </c>
      <c r="J308" s="1">
        <v>97929</v>
      </c>
      <c r="K308" s="1">
        <v>13669.53</v>
      </c>
      <c r="L308" s="1" t="s">
        <v>23</v>
      </c>
      <c r="M308" s="1" t="str">
        <f>TEXT(Table1[[#This Row],[Order Date]],"mmm")</f>
        <v>Jul</v>
      </c>
      <c r="N308" s="1">
        <f>YEAR(Table1[[#This Row],[Order Date]])</f>
        <v>2024</v>
      </c>
    </row>
    <row r="309" spans="1:14" x14ac:dyDescent="0.35">
      <c r="A309" s="1" t="s">
        <v>645</v>
      </c>
      <c r="B309" s="1" t="s">
        <v>119</v>
      </c>
      <c r="C309" s="1" t="s">
        <v>155</v>
      </c>
      <c r="D309" s="1" t="s">
        <v>91</v>
      </c>
      <c r="E309" s="1" t="s">
        <v>16</v>
      </c>
      <c r="F309" s="1" t="s">
        <v>91</v>
      </c>
      <c r="G309" s="1">
        <v>5</v>
      </c>
      <c r="H309" s="1">
        <v>28284</v>
      </c>
      <c r="I309" s="1">
        <v>0.15</v>
      </c>
      <c r="J309" s="1">
        <v>120207</v>
      </c>
      <c r="K309" s="1">
        <v>10195.219999999999</v>
      </c>
      <c r="L309" s="1" t="s">
        <v>23</v>
      </c>
      <c r="M309" s="1" t="str">
        <f>TEXT(Table1[[#This Row],[Order Date]],"mmm")</f>
        <v>Apr</v>
      </c>
      <c r="N309" s="1">
        <f>YEAR(Table1[[#This Row],[Order Date]])</f>
        <v>2024</v>
      </c>
    </row>
    <row r="310" spans="1:14" x14ac:dyDescent="0.35">
      <c r="A310" s="1" t="s">
        <v>646</v>
      </c>
      <c r="B310" s="1" t="s">
        <v>329</v>
      </c>
      <c r="C310" s="1" t="s">
        <v>200</v>
      </c>
      <c r="D310" s="1" t="s">
        <v>32</v>
      </c>
      <c r="E310" s="1" t="s">
        <v>33</v>
      </c>
      <c r="F310" s="1" t="s">
        <v>32</v>
      </c>
      <c r="G310" s="1">
        <v>14</v>
      </c>
      <c r="H310" s="1">
        <v>28911</v>
      </c>
      <c r="I310" s="1">
        <v>0.05</v>
      </c>
      <c r="J310" s="1">
        <v>384516.3</v>
      </c>
      <c r="K310" s="1">
        <v>86284.94</v>
      </c>
      <c r="L310" s="1" t="s">
        <v>17</v>
      </c>
      <c r="M310" s="1" t="str">
        <f>TEXT(Table1[[#This Row],[Order Date]],"mmm")</f>
        <v>Aug</v>
      </c>
      <c r="N310" s="1">
        <f>YEAR(Table1[[#This Row],[Order Date]])</f>
        <v>2024</v>
      </c>
    </row>
    <row r="311" spans="1:14" x14ac:dyDescent="0.35">
      <c r="A311" s="1" t="s">
        <v>647</v>
      </c>
      <c r="B311" s="1" t="s">
        <v>648</v>
      </c>
      <c r="C311" s="1" t="s">
        <v>349</v>
      </c>
      <c r="D311" s="1" t="s">
        <v>167</v>
      </c>
      <c r="E311" s="1" t="s">
        <v>16</v>
      </c>
      <c r="F311" s="1" t="s">
        <v>167</v>
      </c>
      <c r="G311" s="1">
        <v>10</v>
      </c>
      <c r="H311" s="1">
        <v>36394</v>
      </c>
      <c r="I311" s="1">
        <v>0.15</v>
      </c>
      <c r="J311" s="1">
        <v>309349</v>
      </c>
      <c r="K311" s="1">
        <v>92213.01</v>
      </c>
      <c r="L311" s="1" t="s">
        <v>17</v>
      </c>
      <c r="M311" s="1" t="str">
        <f>TEXT(Table1[[#This Row],[Order Date]],"mmm")</f>
        <v>Jan</v>
      </c>
      <c r="N311" s="1">
        <f>YEAR(Table1[[#This Row],[Order Date]])</f>
        <v>2024</v>
      </c>
    </row>
    <row r="312" spans="1:14" x14ac:dyDescent="0.35">
      <c r="A312" s="1" t="s">
        <v>649</v>
      </c>
      <c r="B312" s="1" t="s">
        <v>650</v>
      </c>
      <c r="C312" s="1" t="s">
        <v>14</v>
      </c>
      <c r="D312" s="1" t="s">
        <v>91</v>
      </c>
      <c r="E312" s="1" t="s">
        <v>16</v>
      </c>
      <c r="F312" s="1" t="s">
        <v>91</v>
      </c>
      <c r="G312" s="1">
        <v>8</v>
      </c>
      <c r="H312" s="1">
        <v>21066</v>
      </c>
      <c r="I312" s="1">
        <v>0</v>
      </c>
      <c r="J312" s="1">
        <v>168528</v>
      </c>
      <c r="K312" s="1">
        <v>29281.72</v>
      </c>
      <c r="L312" s="1" t="s">
        <v>23</v>
      </c>
      <c r="M312" s="1" t="str">
        <f>TEXT(Table1[[#This Row],[Order Date]],"mmm")</f>
        <v>Jun</v>
      </c>
      <c r="N312" s="1">
        <f>YEAR(Table1[[#This Row],[Order Date]])</f>
        <v>2023</v>
      </c>
    </row>
    <row r="313" spans="1:14" x14ac:dyDescent="0.35">
      <c r="A313" s="1" t="s">
        <v>651</v>
      </c>
      <c r="B313" s="1" t="s">
        <v>278</v>
      </c>
      <c r="C313" s="1" t="s">
        <v>162</v>
      </c>
      <c r="D313" s="1" t="s">
        <v>323</v>
      </c>
      <c r="E313" s="1" t="s">
        <v>33</v>
      </c>
      <c r="F313" s="1" t="s">
        <v>323</v>
      </c>
      <c r="G313" s="1">
        <v>2</v>
      </c>
      <c r="H313" s="1">
        <v>30721</v>
      </c>
      <c r="I313" s="1">
        <v>0.1</v>
      </c>
      <c r="J313" s="1">
        <v>55297.8</v>
      </c>
      <c r="K313" s="1">
        <v>6036.95</v>
      </c>
      <c r="L313" s="1" t="s">
        <v>17</v>
      </c>
      <c r="M313" s="1" t="str">
        <f>TEXT(Table1[[#This Row],[Order Date]],"mmm")</f>
        <v>May</v>
      </c>
      <c r="N313" s="1">
        <f>YEAR(Table1[[#This Row],[Order Date]])</f>
        <v>2024</v>
      </c>
    </row>
    <row r="314" spans="1:14" x14ac:dyDescent="0.35">
      <c r="A314" s="1" t="s">
        <v>652</v>
      </c>
      <c r="B314" s="1" t="s">
        <v>653</v>
      </c>
      <c r="C314" s="1" t="s">
        <v>260</v>
      </c>
      <c r="D314" s="1" t="s">
        <v>95</v>
      </c>
      <c r="E314" s="1" t="s">
        <v>33</v>
      </c>
      <c r="F314" s="1" t="s">
        <v>95</v>
      </c>
      <c r="G314" s="1">
        <v>10</v>
      </c>
      <c r="H314" s="1">
        <v>38756</v>
      </c>
      <c r="I314" s="1">
        <v>0.05</v>
      </c>
      <c r="J314" s="1">
        <v>368182</v>
      </c>
      <c r="K314" s="1">
        <v>47217.16</v>
      </c>
      <c r="L314" s="1" t="s">
        <v>23</v>
      </c>
      <c r="M314" s="1" t="str">
        <f>TEXT(Table1[[#This Row],[Order Date]],"mmm")</f>
        <v>Nov</v>
      </c>
      <c r="N314" s="1">
        <f>YEAR(Table1[[#This Row],[Order Date]])</f>
        <v>2024</v>
      </c>
    </row>
    <row r="315" spans="1:14" x14ac:dyDescent="0.35">
      <c r="A315" s="1" t="s">
        <v>654</v>
      </c>
      <c r="B315" s="1" t="s">
        <v>655</v>
      </c>
      <c r="C315" s="1" t="s">
        <v>128</v>
      </c>
      <c r="D315" s="1" t="s">
        <v>179</v>
      </c>
      <c r="E315" s="1" t="s">
        <v>28</v>
      </c>
      <c r="F315" s="1" t="s">
        <v>179</v>
      </c>
      <c r="G315" s="1">
        <v>15</v>
      </c>
      <c r="H315" s="1">
        <v>59918</v>
      </c>
      <c r="I315" s="1">
        <v>0.2</v>
      </c>
      <c r="J315" s="1">
        <v>719016</v>
      </c>
      <c r="K315" s="1">
        <v>126041.1</v>
      </c>
      <c r="L315" s="1" t="s">
        <v>70</v>
      </c>
      <c r="M315" s="1" t="str">
        <f>TEXT(Table1[[#This Row],[Order Date]],"mmm")</f>
        <v>Jul</v>
      </c>
      <c r="N315" s="1">
        <f>YEAR(Table1[[#This Row],[Order Date]])</f>
        <v>2023</v>
      </c>
    </row>
    <row r="316" spans="1:14" x14ac:dyDescent="0.35">
      <c r="A316" s="1" t="s">
        <v>656</v>
      </c>
      <c r="B316" s="1" t="s">
        <v>657</v>
      </c>
      <c r="C316" s="1" t="s">
        <v>84</v>
      </c>
      <c r="D316" s="1" t="s">
        <v>151</v>
      </c>
      <c r="E316" s="1" t="s">
        <v>22</v>
      </c>
      <c r="F316" s="1" t="s">
        <v>151</v>
      </c>
      <c r="G316" s="1">
        <v>4</v>
      </c>
      <c r="H316" s="1">
        <v>34534</v>
      </c>
      <c r="I316" s="1">
        <v>0.15</v>
      </c>
      <c r="J316" s="1">
        <v>117415.6</v>
      </c>
      <c r="K316" s="1">
        <v>12285.27</v>
      </c>
      <c r="L316" s="1" t="s">
        <v>23</v>
      </c>
      <c r="M316" s="1" t="str">
        <f>TEXT(Table1[[#This Row],[Order Date]],"mmm")</f>
        <v>Jan</v>
      </c>
      <c r="N316" s="1">
        <f>YEAR(Table1[[#This Row],[Order Date]])</f>
        <v>2024</v>
      </c>
    </row>
    <row r="317" spans="1:14" x14ac:dyDescent="0.35">
      <c r="A317" s="1" t="s">
        <v>658</v>
      </c>
      <c r="B317" s="1" t="s">
        <v>472</v>
      </c>
      <c r="C317" s="1" t="s">
        <v>191</v>
      </c>
      <c r="D317" s="1" t="s">
        <v>133</v>
      </c>
      <c r="E317" s="1" t="s">
        <v>22</v>
      </c>
      <c r="F317" s="1" t="s">
        <v>133</v>
      </c>
      <c r="G317" s="1">
        <v>6</v>
      </c>
      <c r="H317" s="1">
        <v>38699</v>
      </c>
      <c r="I317" s="1">
        <v>0.2</v>
      </c>
      <c r="J317" s="1">
        <v>185755.2</v>
      </c>
      <c r="K317" s="1">
        <v>44189.48</v>
      </c>
      <c r="L317" s="1" t="s">
        <v>23</v>
      </c>
      <c r="M317" s="1" t="str">
        <f>TEXT(Table1[[#This Row],[Order Date]],"mmm")</f>
        <v>Feb</v>
      </c>
      <c r="N317" s="1">
        <f>YEAR(Table1[[#This Row],[Order Date]])</f>
        <v>2024</v>
      </c>
    </row>
    <row r="318" spans="1:14" x14ac:dyDescent="0.35">
      <c r="A318" s="1" t="s">
        <v>659</v>
      </c>
      <c r="B318" s="1" t="s">
        <v>660</v>
      </c>
      <c r="C318" s="1" t="s">
        <v>14</v>
      </c>
      <c r="D318" s="1" t="s">
        <v>85</v>
      </c>
      <c r="E318" s="1" t="s">
        <v>28</v>
      </c>
      <c r="F318" s="1" t="s">
        <v>85</v>
      </c>
      <c r="G318" s="1">
        <v>7</v>
      </c>
      <c r="H318" s="1">
        <v>1738</v>
      </c>
      <c r="I318" s="1">
        <v>0.05</v>
      </c>
      <c r="J318" s="1">
        <v>11557.7</v>
      </c>
      <c r="K318" s="1">
        <v>1826.7</v>
      </c>
      <c r="L318" s="1" t="s">
        <v>23</v>
      </c>
      <c r="M318" s="1" t="str">
        <f>TEXT(Table1[[#This Row],[Order Date]],"mmm")</f>
        <v>May</v>
      </c>
      <c r="N318" s="1">
        <f>YEAR(Table1[[#This Row],[Order Date]])</f>
        <v>2023</v>
      </c>
    </row>
    <row r="319" spans="1:14" x14ac:dyDescent="0.35">
      <c r="A319" s="1" t="s">
        <v>661</v>
      </c>
      <c r="B319" s="1" t="s">
        <v>528</v>
      </c>
      <c r="C319" s="1" t="s">
        <v>81</v>
      </c>
      <c r="D319" s="1" t="s">
        <v>15</v>
      </c>
      <c r="E319" s="1" t="s">
        <v>16</v>
      </c>
      <c r="F319" s="1" t="s">
        <v>15</v>
      </c>
      <c r="G319" s="1">
        <v>1</v>
      </c>
      <c r="H319" s="1">
        <v>17742</v>
      </c>
      <c r="I319" s="1">
        <v>0.1</v>
      </c>
      <c r="J319" s="1">
        <v>15967.8</v>
      </c>
      <c r="K319" s="1">
        <v>4534.16</v>
      </c>
      <c r="L319" s="1" t="s">
        <v>45</v>
      </c>
      <c r="M319" s="1" t="str">
        <f>TEXT(Table1[[#This Row],[Order Date]],"mmm")</f>
        <v>Feb</v>
      </c>
      <c r="N319" s="1">
        <f>YEAR(Table1[[#This Row],[Order Date]])</f>
        <v>2024</v>
      </c>
    </row>
    <row r="320" spans="1:14" x14ac:dyDescent="0.35">
      <c r="A320" s="1" t="s">
        <v>662</v>
      </c>
      <c r="B320" s="1" t="s">
        <v>663</v>
      </c>
      <c r="C320" s="1" t="s">
        <v>191</v>
      </c>
      <c r="D320" s="1" t="s">
        <v>78</v>
      </c>
      <c r="E320" s="1" t="s">
        <v>28</v>
      </c>
      <c r="F320" s="1" t="s">
        <v>78</v>
      </c>
      <c r="G320" s="1">
        <v>15</v>
      </c>
      <c r="H320" s="1">
        <v>50035</v>
      </c>
      <c r="I320" s="1">
        <v>0.15</v>
      </c>
      <c r="J320" s="1">
        <v>637946.25</v>
      </c>
      <c r="K320" s="1">
        <v>62728.27</v>
      </c>
      <c r="L320" s="1" t="s">
        <v>70</v>
      </c>
      <c r="M320" s="1" t="str">
        <f>TEXT(Table1[[#This Row],[Order Date]],"mmm")</f>
        <v>Oct</v>
      </c>
      <c r="N320" s="1">
        <f>YEAR(Table1[[#This Row],[Order Date]])</f>
        <v>2023</v>
      </c>
    </row>
    <row r="321" spans="1:14" x14ac:dyDescent="0.35">
      <c r="A321" s="1" t="s">
        <v>664</v>
      </c>
      <c r="B321" s="1" t="s">
        <v>106</v>
      </c>
      <c r="C321" s="1" t="s">
        <v>20</v>
      </c>
      <c r="D321" s="1" t="s">
        <v>64</v>
      </c>
      <c r="E321" s="1" t="s">
        <v>33</v>
      </c>
      <c r="F321" s="1" t="s">
        <v>64</v>
      </c>
      <c r="G321" s="1">
        <v>14</v>
      </c>
      <c r="H321" s="1">
        <v>24213</v>
      </c>
      <c r="I321" s="1">
        <v>0.05</v>
      </c>
      <c r="J321" s="1">
        <v>322032.90000000002</v>
      </c>
      <c r="K321" s="1">
        <v>66734.33</v>
      </c>
      <c r="L321" s="1" t="s">
        <v>17</v>
      </c>
      <c r="M321" s="1" t="str">
        <f>TEXT(Table1[[#This Row],[Order Date]],"mmm")</f>
        <v>Jun</v>
      </c>
      <c r="N321" s="1">
        <f>YEAR(Table1[[#This Row],[Order Date]])</f>
        <v>2023</v>
      </c>
    </row>
    <row r="322" spans="1:14" x14ac:dyDescent="0.35">
      <c r="A322" s="1" t="s">
        <v>665</v>
      </c>
      <c r="B322" s="1" t="s">
        <v>489</v>
      </c>
      <c r="C322" s="1" t="s">
        <v>107</v>
      </c>
      <c r="D322" s="1" t="s">
        <v>224</v>
      </c>
      <c r="E322" s="1" t="s">
        <v>33</v>
      </c>
      <c r="F322" s="1" t="s">
        <v>224</v>
      </c>
      <c r="G322" s="1">
        <v>3</v>
      </c>
      <c r="H322" s="1">
        <v>52557</v>
      </c>
      <c r="I322" s="1">
        <v>0</v>
      </c>
      <c r="J322" s="1">
        <v>157671</v>
      </c>
      <c r="K322" s="1">
        <v>29896.68</v>
      </c>
      <c r="L322" s="1" t="s">
        <v>17</v>
      </c>
      <c r="M322" s="1" t="str">
        <f>TEXT(Table1[[#This Row],[Order Date]],"mmm")</f>
        <v>Aug</v>
      </c>
      <c r="N322" s="1">
        <f>YEAR(Table1[[#This Row],[Order Date]])</f>
        <v>2023</v>
      </c>
    </row>
    <row r="323" spans="1:14" x14ac:dyDescent="0.35">
      <c r="A323" s="1" t="s">
        <v>666</v>
      </c>
      <c r="B323" s="1" t="s">
        <v>667</v>
      </c>
      <c r="C323" s="1" t="s">
        <v>40</v>
      </c>
      <c r="D323" s="1" t="s">
        <v>32</v>
      </c>
      <c r="E323" s="1" t="s">
        <v>33</v>
      </c>
      <c r="F323" s="1" t="s">
        <v>32</v>
      </c>
      <c r="G323" s="1">
        <v>4</v>
      </c>
      <c r="H323" s="1">
        <v>22492</v>
      </c>
      <c r="I323" s="1">
        <v>0.05</v>
      </c>
      <c r="J323" s="1">
        <v>85469.6</v>
      </c>
      <c r="K323" s="1">
        <v>18131.04</v>
      </c>
      <c r="L323" s="1" t="s">
        <v>23</v>
      </c>
      <c r="M323" s="1" t="str">
        <f>TEXT(Table1[[#This Row],[Order Date]],"mmm")</f>
        <v>Jun</v>
      </c>
      <c r="N323" s="1">
        <f>YEAR(Table1[[#This Row],[Order Date]])</f>
        <v>2024</v>
      </c>
    </row>
    <row r="324" spans="1:14" x14ac:dyDescent="0.35">
      <c r="A324" s="1" t="s">
        <v>668</v>
      </c>
      <c r="B324" s="1" t="s">
        <v>551</v>
      </c>
      <c r="C324" s="1" t="s">
        <v>14</v>
      </c>
      <c r="D324" s="1" t="s">
        <v>151</v>
      </c>
      <c r="E324" s="1" t="s">
        <v>22</v>
      </c>
      <c r="F324" s="1" t="s">
        <v>151</v>
      </c>
      <c r="G324" s="1">
        <v>13</v>
      </c>
      <c r="H324" s="1">
        <v>5808</v>
      </c>
      <c r="I324" s="1">
        <v>0.2</v>
      </c>
      <c r="J324" s="1">
        <v>60403.199999999997</v>
      </c>
      <c r="K324" s="1">
        <v>18120.13</v>
      </c>
      <c r="L324" s="1" t="s">
        <v>70</v>
      </c>
      <c r="M324" s="1" t="str">
        <f>TEXT(Table1[[#This Row],[Order Date]],"mmm")</f>
        <v>Apr</v>
      </c>
      <c r="N324" s="1">
        <f>YEAR(Table1[[#This Row],[Order Date]])</f>
        <v>2024</v>
      </c>
    </row>
    <row r="325" spans="1:14" x14ac:dyDescent="0.35">
      <c r="A325" s="1" t="s">
        <v>669</v>
      </c>
      <c r="B325" s="1" t="s">
        <v>670</v>
      </c>
      <c r="C325" s="1" t="s">
        <v>107</v>
      </c>
      <c r="D325" s="1" t="s">
        <v>21</v>
      </c>
      <c r="E325" s="1" t="s">
        <v>22</v>
      </c>
      <c r="F325" s="1" t="s">
        <v>21</v>
      </c>
      <c r="G325" s="1">
        <v>11</v>
      </c>
      <c r="H325" s="1">
        <v>38736</v>
      </c>
      <c r="I325" s="1">
        <v>0.2</v>
      </c>
      <c r="J325" s="1">
        <v>340876.79999999999</v>
      </c>
      <c r="K325" s="1">
        <v>46840.44</v>
      </c>
      <c r="L325" s="1" t="s">
        <v>17</v>
      </c>
      <c r="M325" s="1" t="str">
        <f>TEXT(Table1[[#This Row],[Order Date]],"mmm")</f>
        <v>Feb</v>
      </c>
      <c r="N325" s="1">
        <f>YEAR(Table1[[#This Row],[Order Date]])</f>
        <v>2024</v>
      </c>
    </row>
    <row r="326" spans="1:14" x14ac:dyDescent="0.35">
      <c r="A326" s="1" t="s">
        <v>671</v>
      </c>
      <c r="B326" s="1" t="s">
        <v>603</v>
      </c>
      <c r="C326" s="1" t="s">
        <v>155</v>
      </c>
      <c r="D326" s="1" t="s">
        <v>91</v>
      </c>
      <c r="E326" s="1" t="s">
        <v>16</v>
      </c>
      <c r="F326" s="1" t="s">
        <v>91</v>
      </c>
      <c r="G326" s="1">
        <v>7</v>
      </c>
      <c r="H326" s="1">
        <v>10164</v>
      </c>
      <c r="I326" s="1">
        <v>0.1</v>
      </c>
      <c r="J326" s="1">
        <v>64033.2</v>
      </c>
      <c r="K326" s="1">
        <v>5727.31</v>
      </c>
      <c r="L326" s="1" t="s">
        <v>23</v>
      </c>
      <c r="M326" s="1" t="str">
        <f>TEXT(Table1[[#This Row],[Order Date]],"mmm")</f>
        <v>Dec</v>
      </c>
      <c r="N326" s="1">
        <f>YEAR(Table1[[#This Row],[Order Date]])</f>
        <v>2023</v>
      </c>
    </row>
    <row r="327" spans="1:14" x14ac:dyDescent="0.35">
      <c r="A327" s="1" t="s">
        <v>672</v>
      </c>
      <c r="B327" s="1" t="s">
        <v>673</v>
      </c>
      <c r="C327" s="1" t="s">
        <v>128</v>
      </c>
      <c r="D327" s="1" t="s">
        <v>32</v>
      </c>
      <c r="E327" s="1" t="s">
        <v>33</v>
      </c>
      <c r="F327" s="1" t="s">
        <v>32</v>
      </c>
      <c r="G327" s="1">
        <v>11</v>
      </c>
      <c r="H327" s="1">
        <v>53523</v>
      </c>
      <c r="I327" s="1">
        <v>0.15</v>
      </c>
      <c r="J327" s="1">
        <v>500440.05</v>
      </c>
      <c r="K327" s="1">
        <v>133048.57999999999</v>
      </c>
      <c r="L327" s="1" t="s">
        <v>23</v>
      </c>
      <c r="M327" s="1" t="str">
        <f>TEXT(Table1[[#This Row],[Order Date]],"mmm")</f>
        <v>Dec</v>
      </c>
      <c r="N327" s="1">
        <f>YEAR(Table1[[#This Row],[Order Date]])</f>
        <v>2023</v>
      </c>
    </row>
    <row r="328" spans="1:14" x14ac:dyDescent="0.35">
      <c r="A328" s="1" t="s">
        <v>674</v>
      </c>
      <c r="B328" s="1" t="s">
        <v>587</v>
      </c>
      <c r="C328" s="1" t="s">
        <v>191</v>
      </c>
      <c r="D328" s="1" t="s">
        <v>44</v>
      </c>
      <c r="E328" s="1" t="s">
        <v>28</v>
      </c>
      <c r="F328" s="1" t="s">
        <v>44</v>
      </c>
      <c r="G328" s="1">
        <v>5</v>
      </c>
      <c r="H328" s="1">
        <v>37217</v>
      </c>
      <c r="I328" s="1">
        <v>0.2</v>
      </c>
      <c r="J328" s="1">
        <v>148868</v>
      </c>
      <c r="K328" s="1">
        <v>18590.46</v>
      </c>
      <c r="L328" s="1" t="s">
        <v>45</v>
      </c>
      <c r="M328" s="1" t="str">
        <f>TEXT(Table1[[#This Row],[Order Date]],"mmm")</f>
        <v>Oct</v>
      </c>
      <c r="N328" s="1">
        <f>YEAR(Table1[[#This Row],[Order Date]])</f>
        <v>2024</v>
      </c>
    </row>
    <row r="329" spans="1:14" x14ac:dyDescent="0.35">
      <c r="A329" s="1" t="s">
        <v>675</v>
      </c>
      <c r="B329" s="1" t="s">
        <v>676</v>
      </c>
      <c r="C329" s="1" t="s">
        <v>88</v>
      </c>
      <c r="D329" s="1" t="s">
        <v>64</v>
      </c>
      <c r="E329" s="1" t="s">
        <v>33</v>
      </c>
      <c r="F329" s="1" t="s">
        <v>64</v>
      </c>
      <c r="G329" s="1">
        <v>13</v>
      </c>
      <c r="H329" s="1">
        <v>21422</v>
      </c>
      <c r="I329" s="1">
        <v>0.05</v>
      </c>
      <c r="J329" s="1">
        <v>264561.7</v>
      </c>
      <c r="K329" s="1">
        <v>59163.62</v>
      </c>
      <c r="L329" s="1" t="s">
        <v>17</v>
      </c>
      <c r="M329" s="1" t="str">
        <f>TEXT(Table1[[#This Row],[Order Date]],"mmm")</f>
        <v>Oct</v>
      </c>
      <c r="N329" s="1">
        <f>YEAR(Table1[[#This Row],[Order Date]])</f>
        <v>2023</v>
      </c>
    </row>
    <row r="330" spans="1:14" x14ac:dyDescent="0.35">
      <c r="A330" s="1" t="s">
        <v>677</v>
      </c>
      <c r="B330" s="1" t="s">
        <v>437</v>
      </c>
      <c r="C330" s="1" t="s">
        <v>191</v>
      </c>
      <c r="D330" s="1" t="s">
        <v>44</v>
      </c>
      <c r="E330" s="1" t="s">
        <v>28</v>
      </c>
      <c r="F330" s="1" t="s">
        <v>44</v>
      </c>
      <c r="G330" s="1">
        <v>3</v>
      </c>
      <c r="H330" s="1">
        <v>40169</v>
      </c>
      <c r="I330" s="1">
        <v>0</v>
      </c>
      <c r="J330" s="1">
        <v>120507</v>
      </c>
      <c r="K330" s="1">
        <v>24751.69</v>
      </c>
      <c r="L330" s="1" t="s">
        <v>45</v>
      </c>
      <c r="M330" s="1" t="str">
        <f>TEXT(Table1[[#This Row],[Order Date]],"mmm")</f>
        <v>Mar</v>
      </c>
      <c r="N330" s="1">
        <f>YEAR(Table1[[#This Row],[Order Date]])</f>
        <v>2023</v>
      </c>
    </row>
    <row r="331" spans="1:14" x14ac:dyDescent="0.35">
      <c r="A331" s="1" t="s">
        <v>678</v>
      </c>
      <c r="B331" s="1" t="s">
        <v>679</v>
      </c>
      <c r="C331" s="1" t="s">
        <v>107</v>
      </c>
      <c r="D331" s="1" t="s">
        <v>60</v>
      </c>
      <c r="E331" s="1" t="s">
        <v>33</v>
      </c>
      <c r="F331" s="1" t="s">
        <v>60</v>
      </c>
      <c r="G331" s="1">
        <v>14</v>
      </c>
      <c r="H331" s="1">
        <v>23621</v>
      </c>
      <c r="I331" s="1">
        <v>0.2</v>
      </c>
      <c r="J331" s="1">
        <v>264555.2</v>
      </c>
      <c r="K331" s="1">
        <v>25227.85</v>
      </c>
      <c r="L331" s="1" t="s">
        <v>70</v>
      </c>
      <c r="M331" s="1" t="str">
        <f>TEXT(Table1[[#This Row],[Order Date]],"mmm")</f>
        <v>Jul</v>
      </c>
      <c r="N331" s="1">
        <f>YEAR(Table1[[#This Row],[Order Date]])</f>
        <v>2023</v>
      </c>
    </row>
    <row r="332" spans="1:14" x14ac:dyDescent="0.35">
      <c r="A332" s="1" t="s">
        <v>680</v>
      </c>
      <c r="B332" s="1" t="s">
        <v>681</v>
      </c>
      <c r="C332" s="1" t="s">
        <v>140</v>
      </c>
      <c r="D332" s="1" t="s">
        <v>32</v>
      </c>
      <c r="E332" s="1" t="s">
        <v>33</v>
      </c>
      <c r="F332" s="1" t="s">
        <v>32</v>
      </c>
      <c r="G332" s="1">
        <v>10</v>
      </c>
      <c r="H332" s="1">
        <v>24081</v>
      </c>
      <c r="I332" s="1">
        <v>0.1</v>
      </c>
      <c r="J332" s="1">
        <v>216729</v>
      </c>
      <c r="K332" s="1">
        <v>58798.14</v>
      </c>
      <c r="L332" s="1" t="s">
        <v>45</v>
      </c>
      <c r="M332" s="1" t="str">
        <f>TEXT(Table1[[#This Row],[Order Date]],"mmm")</f>
        <v>Apr</v>
      </c>
      <c r="N332" s="1">
        <f>YEAR(Table1[[#This Row],[Order Date]])</f>
        <v>2024</v>
      </c>
    </row>
    <row r="333" spans="1:14" x14ac:dyDescent="0.35">
      <c r="A333" s="1" t="s">
        <v>682</v>
      </c>
      <c r="B333" s="1" t="s">
        <v>183</v>
      </c>
      <c r="C333" s="1" t="s">
        <v>59</v>
      </c>
      <c r="D333" s="1" t="s">
        <v>141</v>
      </c>
      <c r="E333" s="1" t="s">
        <v>22</v>
      </c>
      <c r="F333" s="1" t="s">
        <v>141</v>
      </c>
      <c r="G333" s="1">
        <v>2</v>
      </c>
      <c r="H333" s="1">
        <v>15017</v>
      </c>
      <c r="I333" s="1">
        <v>0</v>
      </c>
      <c r="J333" s="1">
        <v>30034</v>
      </c>
      <c r="K333" s="1">
        <v>3060.61</v>
      </c>
      <c r="L333" s="1" t="s">
        <v>70</v>
      </c>
      <c r="M333" s="1" t="str">
        <f>TEXT(Table1[[#This Row],[Order Date]],"mmm")</f>
        <v>Jul</v>
      </c>
      <c r="N333" s="1">
        <f>YEAR(Table1[[#This Row],[Order Date]])</f>
        <v>2024</v>
      </c>
    </row>
    <row r="334" spans="1:14" x14ac:dyDescent="0.35">
      <c r="A334" s="1" t="s">
        <v>683</v>
      </c>
      <c r="B334" s="1" t="s">
        <v>684</v>
      </c>
      <c r="C334" s="1" t="s">
        <v>111</v>
      </c>
      <c r="D334" s="1" t="s">
        <v>293</v>
      </c>
      <c r="E334" s="1" t="s">
        <v>33</v>
      </c>
      <c r="F334" s="1" t="s">
        <v>293</v>
      </c>
      <c r="G334" s="1">
        <v>1</v>
      </c>
      <c r="H334" s="1">
        <v>45219</v>
      </c>
      <c r="I334" s="1">
        <v>0.1</v>
      </c>
      <c r="J334" s="1">
        <v>40697.1</v>
      </c>
      <c r="K334" s="1">
        <v>12025.72</v>
      </c>
      <c r="L334" s="1" t="s">
        <v>23</v>
      </c>
      <c r="M334" s="1" t="str">
        <f>TEXT(Table1[[#This Row],[Order Date]],"mmm")</f>
        <v>May</v>
      </c>
      <c r="N334" s="1">
        <f>YEAR(Table1[[#This Row],[Order Date]])</f>
        <v>2024</v>
      </c>
    </row>
    <row r="335" spans="1:14" x14ac:dyDescent="0.35">
      <c r="A335" s="1" t="s">
        <v>685</v>
      </c>
      <c r="B335" s="1" t="s">
        <v>686</v>
      </c>
      <c r="C335" s="1" t="s">
        <v>208</v>
      </c>
      <c r="D335" s="1" t="s">
        <v>78</v>
      </c>
      <c r="E335" s="1" t="s">
        <v>28</v>
      </c>
      <c r="F335" s="1" t="s">
        <v>78</v>
      </c>
      <c r="G335" s="1">
        <v>1</v>
      </c>
      <c r="H335" s="1">
        <v>55990</v>
      </c>
      <c r="I335" s="1">
        <v>0.1</v>
      </c>
      <c r="J335" s="1">
        <v>50391</v>
      </c>
      <c r="K335" s="1">
        <v>5287.6</v>
      </c>
      <c r="L335" s="1" t="s">
        <v>70</v>
      </c>
      <c r="M335" s="1" t="str">
        <f>TEXT(Table1[[#This Row],[Order Date]],"mmm")</f>
        <v>Jun</v>
      </c>
      <c r="N335" s="1">
        <f>YEAR(Table1[[#This Row],[Order Date]])</f>
        <v>2023</v>
      </c>
    </row>
    <row r="336" spans="1:14" x14ac:dyDescent="0.35">
      <c r="A336" s="1" t="s">
        <v>687</v>
      </c>
      <c r="B336" s="1" t="s">
        <v>688</v>
      </c>
      <c r="C336" s="1" t="s">
        <v>101</v>
      </c>
      <c r="D336" s="1" t="s">
        <v>114</v>
      </c>
      <c r="E336" s="1" t="s">
        <v>16</v>
      </c>
      <c r="F336" s="1" t="s">
        <v>114</v>
      </c>
      <c r="G336" s="1">
        <v>12</v>
      </c>
      <c r="H336" s="1">
        <v>58822</v>
      </c>
      <c r="I336" s="1">
        <v>0.2</v>
      </c>
      <c r="J336" s="1">
        <v>564691.19999999995</v>
      </c>
      <c r="K336" s="1">
        <v>106755.24</v>
      </c>
      <c r="L336" s="1" t="s">
        <v>23</v>
      </c>
      <c r="M336" s="1" t="str">
        <f>TEXT(Table1[[#This Row],[Order Date]],"mmm")</f>
        <v>Jul</v>
      </c>
      <c r="N336" s="1">
        <f>YEAR(Table1[[#This Row],[Order Date]])</f>
        <v>2023</v>
      </c>
    </row>
    <row r="337" spans="1:14" x14ac:dyDescent="0.35">
      <c r="A337" s="1" t="s">
        <v>689</v>
      </c>
      <c r="B337" s="1" t="s">
        <v>690</v>
      </c>
      <c r="C337" s="1" t="s">
        <v>140</v>
      </c>
      <c r="D337" s="1" t="s">
        <v>323</v>
      </c>
      <c r="E337" s="1" t="s">
        <v>33</v>
      </c>
      <c r="F337" s="1" t="s">
        <v>323</v>
      </c>
      <c r="G337" s="1">
        <v>13</v>
      </c>
      <c r="H337" s="1">
        <v>20363</v>
      </c>
      <c r="I337" s="1">
        <v>0.05</v>
      </c>
      <c r="J337" s="1">
        <v>251483.05</v>
      </c>
      <c r="K337" s="1">
        <v>23744.95</v>
      </c>
      <c r="L337" s="1" t="s">
        <v>23</v>
      </c>
      <c r="M337" s="1" t="str">
        <f>TEXT(Table1[[#This Row],[Order Date]],"mmm")</f>
        <v>Jun</v>
      </c>
      <c r="N337" s="1">
        <f>YEAR(Table1[[#This Row],[Order Date]])</f>
        <v>2024</v>
      </c>
    </row>
    <row r="338" spans="1:14" x14ac:dyDescent="0.35">
      <c r="A338" s="1" t="s">
        <v>691</v>
      </c>
      <c r="B338" s="1" t="s">
        <v>692</v>
      </c>
      <c r="C338" s="1" t="s">
        <v>59</v>
      </c>
      <c r="D338" s="1" t="s">
        <v>56</v>
      </c>
      <c r="E338" s="1" t="s">
        <v>22</v>
      </c>
      <c r="F338" s="1" t="s">
        <v>56</v>
      </c>
      <c r="G338" s="1">
        <v>12</v>
      </c>
      <c r="H338" s="1">
        <v>52845</v>
      </c>
      <c r="I338" s="1">
        <v>0.05</v>
      </c>
      <c r="J338" s="1">
        <v>602433</v>
      </c>
      <c r="K338" s="1">
        <v>91835.8</v>
      </c>
      <c r="L338" s="1" t="s">
        <v>70</v>
      </c>
      <c r="M338" s="1" t="str">
        <f>TEXT(Table1[[#This Row],[Order Date]],"mmm")</f>
        <v>Nov</v>
      </c>
      <c r="N338" s="1">
        <f>YEAR(Table1[[#This Row],[Order Date]])</f>
        <v>2023</v>
      </c>
    </row>
    <row r="339" spans="1:14" x14ac:dyDescent="0.35">
      <c r="A339" s="1" t="s">
        <v>693</v>
      </c>
      <c r="B339" s="1" t="s">
        <v>694</v>
      </c>
      <c r="C339" s="1" t="s">
        <v>63</v>
      </c>
      <c r="D339" s="1" t="s">
        <v>95</v>
      </c>
      <c r="E339" s="1" t="s">
        <v>33</v>
      </c>
      <c r="F339" s="1" t="s">
        <v>95</v>
      </c>
      <c r="G339" s="1">
        <v>10</v>
      </c>
      <c r="H339" s="1">
        <v>16729</v>
      </c>
      <c r="I339" s="1">
        <v>0.15</v>
      </c>
      <c r="J339" s="1">
        <v>142196.5</v>
      </c>
      <c r="K339" s="1">
        <v>27059.02</v>
      </c>
      <c r="L339" s="1" t="s">
        <v>23</v>
      </c>
      <c r="M339" s="1" t="str">
        <f>TEXT(Table1[[#This Row],[Order Date]],"mmm")</f>
        <v>Aug</v>
      </c>
      <c r="N339" s="1">
        <f>YEAR(Table1[[#This Row],[Order Date]])</f>
        <v>2023</v>
      </c>
    </row>
    <row r="340" spans="1:14" x14ac:dyDescent="0.35">
      <c r="A340" s="1" t="s">
        <v>695</v>
      </c>
      <c r="B340" s="1" t="s">
        <v>696</v>
      </c>
      <c r="C340" s="1" t="s">
        <v>51</v>
      </c>
      <c r="D340" s="1" t="s">
        <v>167</v>
      </c>
      <c r="E340" s="1" t="s">
        <v>16</v>
      </c>
      <c r="F340" s="1" t="s">
        <v>167</v>
      </c>
      <c r="G340" s="1">
        <v>14</v>
      </c>
      <c r="H340" s="1">
        <v>47935</v>
      </c>
      <c r="I340" s="1">
        <v>0.2</v>
      </c>
      <c r="J340" s="1">
        <v>536872</v>
      </c>
      <c r="K340" s="1">
        <v>89925.59</v>
      </c>
      <c r="L340" s="1" t="s">
        <v>70</v>
      </c>
      <c r="M340" s="1" t="str">
        <f>TEXT(Table1[[#This Row],[Order Date]],"mmm")</f>
        <v>Apr</v>
      </c>
      <c r="N340" s="1">
        <f>YEAR(Table1[[#This Row],[Order Date]])</f>
        <v>2023</v>
      </c>
    </row>
    <row r="341" spans="1:14" x14ac:dyDescent="0.35">
      <c r="A341" s="1" t="s">
        <v>697</v>
      </c>
      <c r="B341" s="1" t="s">
        <v>698</v>
      </c>
      <c r="C341" s="1" t="s">
        <v>107</v>
      </c>
      <c r="D341" s="1" t="s">
        <v>44</v>
      </c>
      <c r="E341" s="1" t="s">
        <v>28</v>
      </c>
      <c r="F341" s="1" t="s">
        <v>44</v>
      </c>
      <c r="G341" s="1">
        <v>4</v>
      </c>
      <c r="H341" s="1">
        <v>39293</v>
      </c>
      <c r="I341" s="1">
        <v>0.15</v>
      </c>
      <c r="J341" s="1">
        <v>133596.20000000001</v>
      </c>
      <c r="K341" s="1">
        <v>36447.440000000002</v>
      </c>
      <c r="L341" s="1" t="s">
        <v>45</v>
      </c>
      <c r="M341" s="1" t="str">
        <f>TEXT(Table1[[#This Row],[Order Date]],"mmm")</f>
        <v>Mar</v>
      </c>
      <c r="N341" s="1">
        <f>YEAR(Table1[[#This Row],[Order Date]])</f>
        <v>2023</v>
      </c>
    </row>
    <row r="342" spans="1:14" x14ac:dyDescent="0.35">
      <c r="A342" s="1" t="s">
        <v>699</v>
      </c>
      <c r="B342" s="1" t="s">
        <v>700</v>
      </c>
      <c r="C342" s="1" t="s">
        <v>55</v>
      </c>
      <c r="D342" s="1" t="s">
        <v>74</v>
      </c>
      <c r="E342" s="1" t="s">
        <v>22</v>
      </c>
      <c r="F342" s="1" t="s">
        <v>74</v>
      </c>
      <c r="G342" s="1">
        <v>2</v>
      </c>
      <c r="H342" s="1">
        <v>23487</v>
      </c>
      <c r="I342" s="1">
        <v>0.1</v>
      </c>
      <c r="J342" s="1">
        <v>42276.6</v>
      </c>
      <c r="K342" s="1">
        <v>12050.88</v>
      </c>
      <c r="L342" s="1" t="s">
        <v>70</v>
      </c>
      <c r="M342" s="1" t="str">
        <f>TEXT(Table1[[#This Row],[Order Date]],"mmm")</f>
        <v>Feb</v>
      </c>
      <c r="N342" s="1">
        <f>YEAR(Table1[[#This Row],[Order Date]])</f>
        <v>2024</v>
      </c>
    </row>
    <row r="343" spans="1:14" x14ac:dyDescent="0.35">
      <c r="A343" s="1" t="s">
        <v>701</v>
      </c>
      <c r="B343" s="1" t="s">
        <v>702</v>
      </c>
      <c r="C343" s="1" t="s">
        <v>162</v>
      </c>
      <c r="D343" s="1" t="s">
        <v>41</v>
      </c>
      <c r="E343" s="1" t="s">
        <v>16</v>
      </c>
      <c r="F343" s="1" t="s">
        <v>41</v>
      </c>
      <c r="G343" s="1">
        <v>10</v>
      </c>
      <c r="H343" s="1">
        <v>45894</v>
      </c>
      <c r="I343" s="1">
        <v>0.15</v>
      </c>
      <c r="J343" s="1">
        <v>390099</v>
      </c>
      <c r="K343" s="1">
        <v>48783.56</v>
      </c>
      <c r="L343" s="1" t="s">
        <v>17</v>
      </c>
      <c r="M343" s="1" t="str">
        <f>TEXT(Table1[[#This Row],[Order Date]],"mmm")</f>
        <v>Aug</v>
      </c>
      <c r="N343" s="1">
        <f>YEAR(Table1[[#This Row],[Order Date]])</f>
        <v>2023</v>
      </c>
    </row>
    <row r="344" spans="1:14" x14ac:dyDescent="0.35">
      <c r="A344" s="1" t="s">
        <v>703</v>
      </c>
      <c r="B344" s="1" t="s">
        <v>676</v>
      </c>
      <c r="C344" s="1" t="s">
        <v>98</v>
      </c>
      <c r="D344" s="1" t="s">
        <v>27</v>
      </c>
      <c r="E344" s="1" t="s">
        <v>28</v>
      </c>
      <c r="F344" s="1" t="s">
        <v>27</v>
      </c>
      <c r="G344" s="1">
        <v>2</v>
      </c>
      <c r="H344" s="1">
        <v>53163</v>
      </c>
      <c r="I344" s="1">
        <v>0.05</v>
      </c>
      <c r="J344" s="1">
        <v>101009.7</v>
      </c>
      <c r="K344" s="1">
        <v>21014.77</v>
      </c>
      <c r="L344" s="1" t="s">
        <v>45</v>
      </c>
      <c r="M344" s="1" t="str">
        <f>TEXT(Table1[[#This Row],[Order Date]],"mmm")</f>
        <v>Oct</v>
      </c>
      <c r="N344" s="1">
        <f>YEAR(Table1[[#This Row],[Order Date]])</f>
        <v>2023</v>
      </c>
    </row>
    <row r="345" spans="1:14" x14ac:dyDescent="0.35">
      <c r="A345" s="1" t="s">
        <v>704</v>
      </c>
      <c r="B345" s="1" t="s">
        <v>705</v>
      </c>
      <c r="C345" s="1" t="s">
        <v>94</v>
      </c>
      <c r="D345" s="1" t="s">
        <v>137</v>
      </c>
      <c r="E345" s="1" t="s">
        <v>22</v>
      </c>
      <c r="F345" s="1" t="s">
        <v>137</v>
      </c>
      <c r="G345" s="1">
        <v>7</v>
      </c>
      <c r="H345" s="1">
        <v>41481</v>
      </c>
      <c r="I345" s="1">
        <v>0.2</v>
      </c>
      <c r="J345" s="1">
        <v>232293.6</v>
      </c>
      <c r="K345" s="1">
        <v>46912.13</v>
      </c>
      <c r="L345" s="1" t="s">
        <v>70</v>
      </c>
      <c r="M345" s="1" t="str">
        <f>TEXT(Table1[[#This Row],[Order Date]],"mmm")</f>
        <v>May</v>
      </c>
      <c r="N345" s="1">
        <f>YEAR(Table1[[#This Row],[Order Date]])</f>
        <v>2024</v>
      </c>
    </row>
    <row r="346" spans="1:14" x14ac:dyDescent="0.35">
      <c r="A346" s="1" t="s">
        <v>706</v>
      </c>
      <c r="B346" s="1" t="s">
        <v>707</v>
      </c>
      <c r="C346" s="1" t="s">
        <v>349</v>
      </c>
      <c r="D346" s="1" t="s">
        <v>27</v>
      </c>
      <c r="E346" s="1" t="s">
        <v>28</v>
      </c>
      <c r="F346" s="1" t="s">
        <v>27</v>
      </c>
      <c r="G346" s="1">
        <v>10</v>
      </c>
      <c r="H346" s="1">
        <v>49819</v>
      </c>
      <c r="I346" s="1">
        <v>0</v>
      </c>
      <c r="J346" s="1">
        <v>498190</v>
      </c>
      <c r="K346" s="1">
        <v>117855.21</v>
      </c>
      <c r="L346" s="1" t="s">
        <v>23</v>
      </c>
      <c r="M346" s="1" t="str">
        <f>TEXT(Table1[[#This Row],[Order Date]],"mmm")</f>
        <v>Oct</v>
      </c>
      <c r="N346" s="1">
        <f>YEAR(Table1[[#This Row],[Order Date]])</f>
        <v>2024</v>
      </c>
    </row>
    <row r="347" spans="1:14" x14ac:dyDescent="0.35">
      <c r="A347" s="1" t="s">
        <v>708</v>
      </c>
      <c r="B347" s="1" t="s">
        <v>709</v>
      </c>
      <c r="C347" s="1" t="s">
        <v>191</v>
      </c>
      <c r="D347" s="1" t="s">
        <v>323</v>
      </c>
      <c r="E347" s="1" t="s">
        <v>33</v>
      </c>
      <c r="F347" s="1" t="s">
        <v>323</v>
      </c>
      <c r="G347" s="1">
        <v>3</v>
      </c>
      <c r="H347" s="1">
        <v>46947</v>
      </c>
      <c r="I347" s="1">
        <v>0.1</v>
      </c>
      <c r="J347" s="1">
        <v>126756.9</v>
      </c>
      <c r="K347" s="1">
        <v>27641.52</v>
      </c>
      <c r="L347" s="1" t="s">
        <v>45</v>
      </c>
      <c r="M347" s="1" t="str">
        <f>TEXT(Table1[[#This Row],[Order Date]],"mmm")</f>
        <v>Feb</v>
      </c>
      <c r="N347" s="1">
        <f>YEAR(Table1[[#This Row],[Order Date]])</f>
        <v>2023</v>
      </c>
    </row>
    <row r="348" spans="1:14" x14ac:dyDescent="0.35">
      <c r="A348" s="1" t="s">
        <v>710</v>
      </c>
      <c r="B348" s="1" t="s">
        <v>497</v>
      </c>
      <c r="C348" s="1" t="s">
        <v>255</v>
      </c>
      <c r="D348" s="1" t="s">
        <v>48</v>
      </c>
      <c r="E348" s="1" t="s">
        <v>16</v>
      </c>
      <c r="F348" s="1" t="s">
        <v>48</v>
      </c>
      <c r="G348" s="1">
        <v>7</v>
      </c>
      <c r="H348" s="1">
        <v>38082</v>
      </c>
      <c r="I348" s="1">
        <v>0.05</v>
      </c>
      <c r="J348" s="1">
        <v>253245.3</v>
      </c>
      <c r="K348" s="1">
        <v>39547.35</v>
      </c>
      <c r="L348" s="1" t="s">
        <v>23</v>
      </c>
      <c r="M348" s="1" t="str">
        <f>TEXT(Table1[[#This Row],[Order Date]],"mmm")</f>
        <v>Jul</v>
      </c>
      <c r="N348" s="1">
        <f>YEAR(Table1[[#This Row],[Order Date]])</f>
        <v>2024</v>
      </c>
    </row>
    <row r="349" spans="1:14" x14ac:dyDescent="0.35">
      <c r="A349" s="1" t="s">
        <v>711</v>
      </c>
      <c r="B349" s="1" t="s">
        <v>712</v>
      </c>
      <c r="C349" s="1" t="s">
        <v>107</v>
      </c>
      <c r="D349" s="1" t="s">
        <v>52</v>
      </c>
      <c r="E349" s="1" t="s">
        <v>28</v>
      </c>
      <c r="F349" s="1" t="s">
        <v>52</v>
      </c>
      <c r="G349" s="1">
        <v>14</v>
      </c>
      <c r="H349" s="1">
        <v>18220</v>
      </c>
      <c r="I349" s="1">
        <v>0.1</v>
      </c>
      <c r="J349" s="1">
        <v>229572</v>
      </c>
      <c r="K349" s="1">
        <v>27823.82</v>
      </c>
      <c r="L349" s="1" t="s">
        <v>70</v>
      </c>
      <c r="M349" s="1" t="str">
        <f>TEXT(Table1[[#This Row],[Order Date]],"mmm")</f>
        <v>Sep</v>
      </c>
      <c r="N349" s="1">
        <f>YEAR(Table1[[#This Row],[Order Date]])</f>
        <v>2023</v>
      </c>
    </row>
    <row r="350" spans="1:14" x14ac:dyDescent="0.35">
      <c r="A350" s="1" t="s">
        <v>713</v>
      </c>
      <c r="B350" s="1" t="s">
        <v>663</v>
      </c>
      <c r="C350" s="1" t="s">
        <v>104</v>
      </c>
      <c r="D350" s="1" t="s">
        <v>32</v>
      </c>
      <c r="E350" s="1" t="s">
        <v>33</v>
      </c>
      <c r="F350" s="1" t="s">
        <v>32</v>
      </c>
      <c r="G350" s="1">
        <v>15</v>
      </c>
      <c r="H350" s="1">
        <v>29064</v>
      </c>
      <c r="I350" s="1">
        <v>0.15</v>
      </c>
      <c r="J350" s="1">
        <v>370566</v>
      </c>
      <c r="K350" s="1">
        <v>62312.99</v>
      </c>
      <c r="L350" s="1" t="s">
        <v>17</v>
      </c>
      <c r="M350" s="1" t="str">
        <f>TEXT(Table1[[#This Row],[Order Date]],"mmm")</f>
        <v>Oct</v>
      </c>
      <c r="N350" s="1">
        <f>YEAR(Table1[[#This Row],[Order Date]])</f>
        <v>2023</v>
      </c>
    </row>
    <row r="351" spans="1:14" x14ac:dyDescent="0.35">
      <c r="A351" s="1" t="s">
        <v>714</v>
      </c>
      <c r="B351" s="1" t="s">
        <v>262</v>
      </c>
      <c r="C351" s="1" t="s">
        <v>362</v>
      </c>
      <c r="D351" s="1" t="s">
        <v>167</v>
      </c>
      <c r="E351" s="1" t="s">
        <v>16</v>
      </c>
      <c r="F351" s="1" t="s">
        <v>167</v>
      </c>
      <c r="G351" s="1">
        <v>1</v>
      </c>
      <c r="H351" s="1">
        <v>44581</v>
      </c>
      <c r="I351" s="1">
        <v>0.05</v>
      </c>
      <c r="J351" s="1">
        <v>42351.95</v>
      </c>
      <c r="K351" s="1">
        <v>8615.5400000000009</v>
      </c>
      <c r="L351" s="1" t="s">
        <v>23</v>
      </c>
      <c r="M351" s="1" t="str">
        <f>TEXT(Table1[[#This Row],[Order Date]],"mmm")</f>
        <v>Jul</v>
      </c>
      <c r="N351" s="1">
        <f>YEAR(Table1[[#This Row],[Order Date]])</f>
        <v>2023</v>
      </c>
    </row>
    <row r="352" spans="1:14" x14ac:dyDescent="0.35">
      <c r="A352" s="1" t="s">
        <v>715</v>
      </c>
      <c r="B352" s="1" t="s">
        <v>716</v>
      </c>
      <c r="C352" s="1" t="s">
        <v>55</v>
      </c>
      <c r="D352" s="1" t="s">
        <v>137</v>
      </c>
      <c r="E352" s="1" t="s">
        <v>22</v>
      </c>
      <c r="F352" s="1" t="s">
        <v>137</v>
      </c>
      <c r="G352" s="1">
        <v>4</v>
      </c>
      <c r="H352" s="1">
        <v>36624</v>
      </c>
      <c r="I352" s="1">
        <v>0.05</v>
      </c>
      <c r="J352" s="1">
        <v>139171.20000000001</v>
      </c>
      <c r="K352" s="1">
        <v>19198.73</v>
      </c>
      <c r="L352" s="1" t="s">
        <v>70</v>
      </c>
      <c r="M352" s="1" t="str">
        <f>TEXT(Table1[[#This Row],[Order Date]],"mmm")</f>
        <v>Apr</v>
      </c>
      <c r="N352" s="1">
        <f>YEAR(Table1[[#This Row],[Order Date]])</f>
        <v>2023</v>
      </c>
    </row>
    <row r="353" spans="1:14" x14ac:dyDescent="0.35">
      <c r="A353" s="1" t="s">
        <v>717</v>
      </c>
      <c r="B353" s="1" t="s">
        <v>353</v>
      </c>
      <c r="C353" s="1" t="s">
        <v>55</v>
      </c>
      <c r="D353" s="1" t="s">
        <v>133</v>
      </c>
      <c r="E353" s="1" t="s">
        <v>22</v>
      </c>
      <c r="F353" s="1" t="s">
        <v>133</v>
      </c>
      <c r="G353" s="1">
        <v>12</v>
      </c>
      <c r="H353" s="1">
        <v>4700</v>
      </c>
      <c r="I353" s="1">
        <v>0.05</v>
      </c>
      <c r="J353" s="1">
        <v>53580</v>
      </c>
      <c r="K353" s="1">
        <v>15374.59</v>
      </c>
      <c r="L353" s="1" t="s">
        <v>17</v>
      </c>
      <c r="M353" s="1" t="str">
        <f>TEXT(Table1[[#This Row],[Order Date]],"mmm")</f>
        <v>Apr</v>
      </c>
      <c r="N353" s="1">
        <f>YEAR(Table1[[#This Row],[Order Date]])</f>
        <v>2024</v>
      </c>
    </row>
    <row r="354" spans="1:14" x14ac:dyDescent="0.35">
      <c r="A354" s="1" t="s">
        <v>718</v>
      </c>
      <c r="B354" s="1" t="s">
        <v>719</v>
      </c>
      <c r="C354" s="1" t="s">
        <v>227</v>
      </c>
      <c r="D354" s="1" t="s">
        <v>32</v>
      </c>
      <c r="E354" s="1" t="s">
        <v>33</v>
      </c>
      <c r="F354" s="1" t="s">
        <v>32</v>
      </c>
      <c r="G354" s="1">
        <v>14</v>
      </c>
      <c r="H354" s="1">
        <v>45371</v>
      </c>
      <c r="I354" s="1">
        <v>0.15</v>
      </c>
      <c r="J354" s="1">
        <v>539914.9</v>
      </c>
      <c r="K354" s="1">
        <v>150440.99</v>
      </c>
      <c r="L354" s="1" t="s">
        <v>45</v>
      </c>
      <c r="M354" s="1" t="str">
        <f>TEXT(Table1[[#This Row],[Order Date]],"mmm")</f>
        <v>Feb</v>
      </c>
      <c r="N354" s="1">
        <f>YEAR(Table1[[#This Row],[Order Date]])</f>
        <v>2023</v>
      </c>
    </row>
    <row r="355" spans="1:14" x14ac:dyDescent="0.35">
      <c r="A355" s="1" t="s">
        <v>720</v>
      </c>
      <c r="B355" s="1" t="s">
        <v>721</v>
      </c>
      <c r="C355" s="1" t="s">
        <v>36</v>
      </c>
      <c r="D355" s="1" t="s">
        <v>323</v>
      </c>
      <c r="E355" s="1" t="s">
        <v>33</v>
      </c>
      <c r="F355" s="1" t="s">
        <v>323</v>
      </c>
      <c r="G355" s="1">
        <v>14</v>
      </c>
      <c r="H355" s="1">
        <v>52567</v>
      </c>
      <c r="I355" s="1">
        <v>0.2</v>
      </c>
      <c r="J355" s="1">
        <v>588750.4</v>
      </c>
      <c r="K355" s="1">
        <v>161136.12</v>
      </c>
      <c r="L355" s="1" t="s">
        <v>23</v>
      </c>
      <c r="M355" s="1" t="str">
        <f>TEXT(Table1[[#This Row],[Order Date]],"mmm")</f>
        <v>Sep</v>
      </c>
      <c r="N355" s="1">
        <f>YEAR(Table1[[#This Row],[Order Date]])</f>
        <v>2023</v>
      </c>
    </row>
    <row r="356" spans="1:14" x14ac:dyDescent="0.35">
      <c r="A356" s="1" t="s">
        <v>722</v>
      </c>
      <c r="B356" s="1" t="s">
        <v>634</v>
      </c>
      <c r="C356" s="1" t="s">
        <v>349</v>
      </c>
      <c r="D356" s="1" t="s">
        <v>32</v>
      </c>
      <c r="E356" s="1" t="s">
        <v>33</v>
      </c>
      <c r="F356" s="1" t="s">
        <v>32</v>
      </c>
      <c r="G356" s="1">
        <v>5</v>
      </c>
      <c r="H356" s="1">
        <v>23497</v>
      </c>
      <c r="I356" s="1">
        <v>0</v>
      </c>
      <c r="J356" s="1">
        <v>117485</v>
      </c>
      <c r="K356" s="1">
        <v>13181.46</v>
      </c>
      <c r="L356" s="1" t="s">
        <v>17</v>
      </c>
      <c r="M356" s="1" t="str">
        <f>TEXT(Table1[[#This Row],[Order Date]],"mmm")</f>
        <v>Nov</v>
      </c>
      <c r="N356" s="1">
        <f>YEAR(Table1[[#This Row],[Order Date]])</f>
        <v>2024</v>
      </c>
    </row>
    <row r="357" spans="1:14" x14ac:dyDescent="0.35">
      <c r="A357" s="1" t="s">
        <v>723</v>
      </c>
      <c r="B357" s="1" t="s">
        <v>724</v>
      </c>
      <c r="C357" s="1" t="s">
        <v>349</v>
      </c>
      <c r="D357" s="1" t="s">
        <v>179</v>
      </c>
      <c r="E357" s="1" t="s">
        <v>28</v>
      </c>
      <c r="F357" s="1" t="s">
        <v>179</v>
      </c>
      <c r="G357" s="1">
        <v>10</v>
      </c>
      <c r="H357" s="1">
        <v>34395</v>
      </c>
      <c r="I357" s="1">
        <v>0</v>
      </c>
      <c r="J357" s="1">
        <v>343950</v>
      </c>
      <c r="K357" s="1">
        <v>62999.26</v>
      </c>
      <c r="L357" s="1" t="s">
        <v>45</v>
      </c>
      <c r="M357" s="1" t="str">
        <f>TEXT(Table1[[#This Row],[Order Date]],"mmm")</f>
        <v>Feb</v>
      </c>
      <c r="N357" s="1">
        <f>YEAR(Table1[[#This Row],[Order Date]])</f>
        <v>2023</v>
      </c>
    </row>
    <row r="358" spans="1:14" x14ac:dyDescent="0.35">
      <c r="A358" s="1" t="s">
        <v>725</v>
      </c>
      <c r="B358" s="1" t="s">
        <v>726</v>
      </c>
      <c r="C358" s="1" t="s">
        <v>20</v>
      </c>
      <c r="D358" s="1" t="s">
        <v>21</v>
      </c>
      <c r="E358" s="1" t="s">
        <v>22</v>
      </c>
      <c r="F358" s="1" t="s">
        <v>21</v>
      </c>
      <c r="G358" s="1">
        <v>11</v>
      </c>
      <c r="H358" s="1">
        <v>24330</v>
      </c>
      <c r="I358" s="1">
        <v>0</v>
      </c>
      <c r="J358" s="1">
        <v>267630</v>
      </c>
      <c r="K358" s="1">
        <v>23077.11</v>
      </c>
      <c r="L358" s="1" t="s">
        <v>70</v>
      </c>
      <c r="M358" s="1" t="str">
        <f>TEXT(Table1[[#This Row],[Order Date]],"mmm")</f>
        <v>Apr</v>
      </c>
      <c r="N358" s="1">
        <f>YEAR(Table1[[#This Row],[Order Date]])</f>
        <v>2024</v>
      </c>
    </row>
    <row r="359" spans="1:14" x14ac:dyDescent="0.35">
      <c r="A359" s="1" t="s">
        <v>727</v>
      </c>
      <c r="B359" s="1" t="s">
        <v>728</v>
      </c>
      <c r="C359" s="1" t="s">
        <v>162</v>
      </c>
      <c r="D359" s="1" t="s">
        <v>32</v>
      </c>
      <c r="E359" s="1" t="s">
        <v>33</v>
      </c>
      <c r="F359" s="1" t="s">
        <v>32</v>
      </c>
      <c r="G359" s="1">
        <v>6</v>
      </c>
      <c r="H359" s="1">
        <v>52146</v>
      </c>
      <c r="I359" s="1">
        <v>0.2</v>
      </c>
      <c r="J359" s="1">
        <v>250300.79999999999</v>
      </c>
      <c r="K359" s="1">
        <v>57803.68</v>
      </c>
      <c r="L359" s="1" t="s">
        <v>23</v>
      </c>
      <c r="M359" s="1" t="str">
        <f>TEXT(Table1[[#This Row],[Order Date]],"mmm")</f>
        <v>Oct</v>
      </c>
      <c r="N359" s="1">
        <f>YEAR(Table1[[#This Row],[Order Date]])</f>
        <v>2023</v>
      </c>
    </row>
    <row r="360" spans="1:14" x14ac:dyDescent="0.35">
      <c r="A360" s="1" t="s">
        <v>729</v>
      </c>
      <c r="B360" s="1" t="s">
        <v>549</v>
      </c>
      <c r="C360" s="1" t="s">
        <v>63</v>
      </c>
      <c r="D360" s="1" t="s">
        <v>293</v>
      </c>
      <c r="E360" s="1" t="s">
        <v>33</v>
      </c>
      <c r="F360" s="1" t="s">
        <v>293</v>
      </c>
      <c r="G360" s="1">
        <v>14</v>
      </c>
      <c r="H360" s="1">
        <v>4301</v>
      </c>
      <c r="I360" s="1">
        <v>0.05</v>
      </c>
      <c r="J360" s="1">
        <v>57203.3</v>
      </c>
      <c r="K360" s="1">
        <v>13329.46</v>
      </c>
      <c r="L360" s="1" t="s">
        <v>23</v>
      </c>
      <c r="M360" s="1" t="str">
        <f>TEXT(Table1[[#This Row],[Order Date]],"mmm")</f>
        <v>Jan</v>
      </c>
      <c r="N360" s="1">
        <f>YEAR(Table1[[#This Row],[Order Date]])</f>
        <v>2024</v>
      </c>
    </row>
    <row r="361" spans="1:14" x14ac:dyDescent="0.35">
      <c r="A361" s="1" t="s">
        <v>730</v>
      </c>
      <c r="B361" s="1" t="s">
        <v>731</v>
      </c>
      <c r="C361" s="1" t="s">
        <v>362</v>
      </c>
      <c r="D361" s="1" t="s">
        <v>37</v>
      </c>
      <c r="E361" s="1" t="s">
        <v>16</v>
      </c>
      <c r="F361" s="1" t="s">
        <v>37</v>
      </c>
      <c r="G361" s="1">
        <v>8</v>
      </c>
      <c r="H361" s="1">
        <v>14503</v>
      </c>
      <c r="I361" s="1">
        <v>0.05</v>
      </c>
      <c r="J361" s="1">
        <v>110222.8</v>
      </c>
      <c r="K361" s="1">
        <v>13163.01</v>
      </c>
      <c r="L361" s="1" t="s">
        <v>70</v>
      </c>
      <c r="M361" s="1" t="str">
        <f>TEXT(Table1[[#This Row],[Order Date]],"mmm")</f>
        <v>Mar</v>
      </c>
      <c r="N361" s="1">
        <f>YEAR(Table1[[#This Row],[Order Date]])</f>
        <v>2023</v>
      </c>
    </row>
    <row r="362" spans="1:14" x14ac:dyDescent="0.35">
      <c r="A362" s="1" t="s">
        <v>732</v>
      </c>
      <c r="B362" s="1" t="s">
        <v>398</v>
      </c>
      <c r="C362" s="1" t="s">
        <v>158</v>
      </c>
      <c r="D362" s="1" t="s">
        <v>167</v>
      </c>
      <c r="E362" s="1" t="s">
        <v>16</v>
      </c>
      <c r="F362" s="1" t="s">
        <v>167</v>
      </c>
      <c r="G362" s="1">
        <v>13</v>
      </c>
      <c r="H362" s="1">
        <v>21558</v>
      </c>
      <c r="I362" s="1">
        <v>0.2</v>
      </c>
      <c r="J362" s="1">
        <v>224203.2</v>
      </c>
      <c r="K362" s="1">
        <v>39775.360000000001</v>
      </c>
      <c r="L362" s="1" t="s">
        <v>17</v>
      </c>
      <c r="M362" s="1" t="str">
        <f>TEXT(Table1[[#This Row],[Order Date]],"mmm")</f>
        <v>Sep</v>
      </c>
      <c r="N362" s="1">
        <f>YEAR(Table1[[#This Row],[Order Date]])</f>
        <v>2023</v>
      </c>
    </row>
    <row r="363" spans="1:14" x14ac:dyDescent="0.35">
      <c r="A363" s="1" t="s">
        <v>733</v>
      </c>
      <c r="B363" s="1" t="s">
        <v>532</v>
      </c>
      <c r="C363" s="1" t="s">
        <v>136</v>
      </c>
      <c r="D363" s="1" t="s">
        <v>179</v>
      </c>
      <c r="E363" s="1" t="s">
        <v>28</v>
      </c>
      <c r="F363" s="1" t="s">
        <v>179</v>
      </c>
      <c r="G363" s="1">
        <v>13</v>
      </c>
      <c r="H363" s="1">
        <v>17131</v>
      </c>
      <c r="I363" s="1">
        <v>0.2</v>
      </c>
      <c r="J363" s="1">
        <v>178162.4</v>
      </c>
      <c r="K363" s="1">
        <v>37701.53</v>
      </c>
      <c r="L363" s="1" t="s">
        <v>45</v>
      </c>
      <c r="M363" s="1" t="str">
        <f>TEXT(Table1[[#This Row],[Order Date]],"mmm")</f>
        <v>Jun</v>
      </c>
      <c r="N363" s="1">
        <f>YEAR(Table1[[#This Row],[Order Date]])</f>
        <v>2024</v>
      </c>
    </row>
    <row r="364" spans="1:14" x14ac:dyDescent="0.35">
      <c r="A364" s="1" t="s">
        <v>734</v>
      </c>
      <c r="B364" s="1" t="s">
        <v>735</v>
      </c>
      <c r="C364" s="1" t="s">
        <v>117</v>
      </c>
      <c r="D364" s="1" t="s">
        <v>15</v>
      </c>
      <c r="E364" s="1" t="s">
        <v>16</v>
      </c>
      <c r="F364" s="1" t="s">
        <v>15</v>
      </c>
      <c r="G364" s="1">
        <v>14</v>
      </c>
      <c r="H364" s="1">
        <v>5357</v>
      </c>
      <c r="I364" s="1">
        <v>0.05</v>
      </c>
      <c r="J364" s="1">
        <v>71248.100000000006</v>
      </c>
      <c r="K364" s="1">
        <v>5779.45</v>
      </c>
      <c r="L364" s="1" t="s">
        <v>70</v>
      </c>
      <c r="M364" s="1" t="str">
        <f>TEXT(Table1[[#This Row],[Order Date]],"mmm")</f>
        <v>Aug</v>
      </c>
      <c r="N364" s="1">
        <f>YEAR(Table1[[#This Row],[Order Date]])</f>
        <v>2024</v>
      </c>
    </row>
    <row r="365" spans="1:14" x14ac:dyDescent="0.35">
      <c r="A365" s="1" t="s">
        <v>736</v>
      </c>
      <c r="B365" s="1" t="s">
        <v>737</v>
      </c>
      <c r="C365" s="1" t="s">
        <v>14</v>
      </c>
      <c r="D365" s="1" t="s">
        <v>293</v>
      </c>
      <c r="E365" s="1" t="s">
        <v>33</v>
      </c>
      <c r="F365" s="1" t="s">
        <v>293</v>
      </c>
      <c r="G365" s="1">
        <v>14</v>
      </c>
      <c r="H365" s="1">
        <v>27720</v>
      </c>
      <c r="I365" s="1">
        <v>0</v>
      </c>
      <c r="J365" s="1">
        <v>388080</v>
      </c>
      <c r="K365" s="1">
        <v>77128.009999999995</v>
      </c>
      <c r="L365" s="1" t="s">
        <v>23</v>
      </c>
      <c r="M365" s="1" t="str">
        <f>TEXT(Table1[[#This Row],[Order Date]],"mmm")</f>
        <v>Aug</v>
      </c>
      <c r="N365" s="1">
        <f>YEAR(Table1[[#This Row],[Order Date]])</f>
        <v>2023</v>
      </c>
    </row>
    <row r="366" spans="1:14" x14ac:dyDescent="0.35">
      <c r="A366" s="1" t="s">
        <v>738</v>
      </c>
      <c r="B366" s="1" t="s">
        <v>716</v>
      </c>
      <c r="C366" s="1" t="s">
        <v>158</v>
      </c>
      <c r="D366" s="1" t="s">
        <v>85</v>
      </c>
      <c r="E366" s="1" t="s">
        <v>28</v>
      </c>
      <c r="F366" s="1" t="s">
        <v>85</v>
      </c>
      <c r="G366" s="1">
        <v>8</v>
      </c>
      <c r="H366" s="1">
        <v>16367</v>
      </c>
      <c r="I366" s="1">
        <v>0</v>
      </c>
      <c r="J366" s="1">
        <v>130936</v>
      </c>
      <c r="K366" s="1">
        <v>23950.43</v>
      </c>
      <c r="L366" s="1" t="s">
        <v>45</v>
      </c>
      <c r="M366" s="1" t="str">
        <f>TEXT(Table1[[#This Row],[Order Date]],"mmm")</f>
        <v>Apr</v>
      </c>
      <c r="N366" s="1">
        <f>YEAR(Table1[[#This Row],[Order Date]])</f>
        <v>2023</v>
      </c>
    </row>
    <row r="367" spans="1:14" x14ac:dyDescent="0.35">
      <c r="A367" s="1" t="s">
        <v>739</v>
      </c>
      <c r="B367" s="1" t="s">
        <v>314</v>
      </c>
      <c r="C367" s="1" t="s">
        <v>362</v>
      </c>
      <c r="D367" s="1" t="s">
        <v>44</v>
      </c>
      <c r="E367" s="1" t="s">
        <v>28</v>
      </c>
      <c r="F367" s="1" t="s">
        <v>44</v>
      </c>
      <c r="G367" s="1">
        <v>9</v>
      </c>
      <c r="H367" s="1">
        <v>28208</v>
      </c>
      <c r="I367" s="1">
        <v>0.05</v>
      </c>
      <c r="J367" s="1">
        <v>241178.4</v>
      </c>
      <c r="K367" s="1">
        <v>42250.28</v>
      </c>
      <c r="L367" s="1" t="s">
        <v>17</v>
      </c>
      <c r="M367" s="1" t="str">
        <f>TEXT(Table1[[#This Row],[Order Date]],"mmm")</f>
        <v>Nov</v>
      </c>
      <c r="N367" s="1">
        <f>YEAR(Table1[[#This Row],[Order Date]])</f>
        <v>2024</v>
      </c>
    </row>
    <row r="368" spans="1:14" x14ac:dyDescent="0.35">
      <c r="A368" s="1" t="s">
        <v>740</v>
      </c>
      <c r="B368" s="1" t="s">
        <v>357</v>
      </c>
      <c r="C368" s="1" t="s">
        <v>40</v>
      </c>
      <c r="D368" s="1" t="s">
        <v>52</v>
      </c>
      <c r="E368" s="1" t="s">
        <v>28</v>
      </c>
      <c r="F368" s="1" t="s">
        <v>52</v>
      </c>
      <c r="G368" s="1">
        <v>10</v>
      </c>
      <c r="H368" s="1">
        <v>54803</v>
      </c>
      <c r="I368" s="1">
        <v>0.15</v>
      </c>
      <c r="J368" s="1">
        <v>465825.5</v>
      </c>
      <c r="K368" s="1">
        <v>60907.519999999997</v>
      </c>
      <c r="L368" s="1" t="s">
        <v>70</v>
      </c>
      <c r="M368" s="1" t="str">
        <f>TEXT(Table1[[#This Row],[Order Date]],"mmm")</f>
        <v>Apr</v>
      </c>
      <c r="N368" s="1">
        <f>YEAR(Table1[[#This Row],[Order Date]])</f>
        <v>2023</v>
      </c>
    </row>
    <row r="369" spans="1:14" x14ac:dyDescent="0.35">
      <c r="A369" s="1" t="s">
        <v>741</v>
      </c>
      <c r="B369" s="1" t="s">
        <v>742</v>
      </c>
      <c r="C369" s="1" t="s">
        <v>14</v>
      </c>
      <c r="D369" s="1" t="s">
        <v>85</v>
      </c>
      <c r="E369" s="1" t="s">
        <v>28</v>
      </c>
      <c r="F369" s="1" t="s">
        <v>85</v>
      </c>
      <c r="G369" s="1">
        <v>1</v>
      </c>
      <c r="H369" s="1">
        <v>36078</v>
      </c>
      <c r="I369" s="1">
        <v>0.05</v>
      </c>
      <c r="J369" s="1">
        <v>34274.1</v>
      </c>
      <c r="K369" s="1">
        <v>3116.49</v>
      </c>
      <c r="L369" s="1" t="s">
        <v>17</v>
      </c>
      <c r="M369" s="1" t="str">
        <f>TEXT(Table1[[#This Row],[Order Date]],"mmm")</f>
        <v>Aug</v>
      </c>
      <c r="N369" s="1">
        <f>YEAR(Table1[[#This Row],[Order Date]])</f>
        <v>2023</v>
      </c>
    </row>
    <row r="370" spans="1:14" x14ac:dyDescent="0.35">
      <c r="A370" s="1" t="s">
        <v>743</v>
      </c>
      <c r="B370" s="1" t="s">
        <v>744</v>
      </c>
      <c r="C370" s="1" t="s">
        <v>125</v>
      </c>
      <c r="D370" s="1" t="s">
        <v>85</v>
      </c>
      <c r="E370" s="1" t="s">
        <v>28</v>
      </c>
      <c r="F370" s="1" t="s">
        <v>85</v>
      </c>
      <c r="G370" s="1">
        <v>7</v>
      </c>
      <c r="H370" s="1">
        <v>53475</v>
      </c>
      <c r="I370" s="1">
        <v>0.15</v>
      </c>
      <c r="J370" s="1">
        <v>318176.25</v>
      </c>
      <c r="K370" s="1">
        <v>74266.58</v>
      </c>
      <c r="L370" s="1" t="s">
        <v>70</v>
      </c>
      <c r="M370" s="1" t="str">
        <f>TEXT(Table1[[#This Row],[Order Date]],"mmm")</f>
        <v>May</v>
      </c>
      <c r="N370" s="1">
        <f>YEAR(Table1[[#This Row],[Order Date]])</f>
        <v>2023</v>
      </c>
    </row>
    <row r="371" spans="1:14" x14ac:dyDescent="0.35">
      <c r="A371" s="1" t="s">
        <v>745</v>
      </c>
      <c r="B371" s="1" t="s">
        <v>746</v>
      </c>
      <c r="C371" s="1" t="s">
        <v>101</v>
      </c>
      <c r="D371" s="1" t="s">
        <v>64</v>
      </c>
      <c r="E371" s="1" t="s">
        <v>33</v>
      </c>
      <c r="F371" s="1" t="s">
        <v>64</v>
      </c>
      <c r="G371" s="1">
        <v>14</v>
      </c>
      <c r="H371" s="1">
        <v>6618</v>
      </c>
      <c r="I371" s="1">
        <v>0</v>
      </c>
      <c r="J371" s="1">
        <v>92652</v>
      </c>
      <c r="K371" s="1">
        <v>21025.32</v>
      </c>
      <c r="L371" s="1" t="s">
        <v>23</v>
      </c>
      <c r="M371" s="1" t="str">
        <f>TEXT(Table1[[#This Row],[Order Date]],"mmm")</f>
        <v>Mar</v>
      </c>
      <c r="N371" s="1">
        <f>YEAR(Table1[[#This Row],[Order Date]])</f>
        <v>2024</v>
      </c>
    </row>
    <row r="372" spans="1:14" x14ac:dyDescent="0.35">
      <c r="A372" s="1" t="s">
        <v>747</v>
      </c>
      <c r="B372" s="1" t="s">
        <v>726</v>
      </c>
      <c r="C372" s="1" t="s">
        <v>67</v>
      </c>
      <c r="D372" s="1" t="s">
        <v>85</v>
      </c>
      <c r="E372" s="1" t="s">
        <v>28</v>
      </c>
      <c r="F372" s="1" t="s">
        <v>85</v>
      </c>
      <c r="G372" s="1">
        <v>3</v>
      </c>
      <c r="H372" s="1">
        <v>31642</v>
      </c>
      <c r="I372" s="1">
        <v>0.05</v>
      </c>
      <c r="J372" s="1">
        <v>90179.7</v>
      </c>
      <c r="K372" s="1">
        <v>16097.56</v>
      </c>
      <c r="L372" s="1" t="s">
        <v>23</v>
      </c>
      <c r="M372" s="1" t="str">
        <f>TEXT(Table1[[#This Row],[Order Date]],"mmm")</f>
        <v>Apr</v>
      </c>
      <c r="N372" s="1">
        <f>YEAR(Table1[[#This Row],[Order Date]])</f>
        <v>2024</v>
      </c>
    </row>
    <row r="373" spans="1:14" x14ac:dyDescent="0.35">
      <c r="A373" s="1" t="s">
        <v>748</v>
      </c>
      <c r="B373" s="1" t="s">
        <v>346</v>
      </c>
      <c r="C373" s="1" t="s">
        <v>370</v>
      </c>
      <c r="D373" s="1" t="s">
        <v>27</v>
      </c>
      <c r="E373" s="1" t="s">
        <v>28</v>
      </c>
      <c r="F373" s="1" t="s">
        <v>27</v>
      </c>
      <c r="G373" s="1">
        <v>8</v>
      </c>
      <c r="H373" s="1">
        <v>44157</v>
      </c>
      <c r="I373" s="1">
        <v>0</v>
      </c>
      <c r="J373" s="1">
        <v>353256</v>
      </c>
      <c r="K373" s="1">
        <v>40861.01</v>
      </c>
      <c r="L373" s="1" t="s">
        <v>23</v>
      </c>
      <c r="M373" s="1" t="str">
        <f>TEXT(Table1[[#This Row],[Order Date]],"mmm")</f>
        <v>Oct</v>
      </c>
      <c r="N373" s="1">
        <f>YEAR(Table1[[#This Row],[Order Date]])</f>
        <v>2023</v>
      </c>
    </row>
    <row r="374" spans="1:14" x14ac:dyDescent="0.35">
      <c r="A374" s="1" t="s">
        <v>749</v>
      </c>
      <c r="B374" s="1" t="s">
        <v>750</v>
      </c>
      <c r="C374" s="1" t="s">
        <v>111</v>
      </c>
      <c r="D374" s="1" t="s">
        <v>114</v>
      </c>
      <c r="E374" s="1" t="s">
        <v>16</v>
      </c>
      <c r="F374" s="1" t="s">
        <v>114</v>
      </c>
      <c r="G374" s="1">
        <v>4</v>
      </c>
      <c r="H374" s="1">
        <v>33777</v>
      </c>
      <c r="I374" s="1">
        <v>0.15</v>
      </c>
      <c r="J374" s="1">
        <v>114841.8</v>
      </c>
      <c r="K374" s="1">
        <v>33190.050000000003</v>
      </c>
      <c r="L374" s="1" t="s">
        <v>45</v>
      </c>
      <c r="M374" s="1" t="str">
        <f>TEXT(Table1[[#This Row],[Order Date]],"mmm")</f>
        <v>Nov</v>
      </c>
      <c r="N374" s="1">
        <f>YEAR(Table1[[#This Row],[Order Date]])</f>
        <v>2023</v>
      </c>
    </row>
    <row r="375" spans="1:14" x14ac:dyDescent="0.35">
      <c r="A375" s="1" t="s">
        <v>751</v>
      </c>
      <c r="B375" s="1" t="s">
        <v>435</v>
      </c>
      <c r="C375" s="1" t="s">
        <v>370</v>
      </c>
      <c r="D375" s="1" t="s">
        <v>179</v>
      </c>
      <c r="E375" s="1" t="s">
        <v>28</v>
      </c>
      <c r="F375" s="1" t="s">
        <v>179</v>
      </c>
      <c r="G375" s="1">
        <v>12</v>
      </c>
      <c r="H375" s="1">
        <v>57887</v>
      </c>
      <c r="I375" s="1">
        <v>0</v>
      </c>
      <c r="J375" s="1">
        <v>694644</v>
      </c>
      <c r="K375" s="1">
        <v>189942.66</v>
      </c>
      <c r="L375" s="1" t="s">
        <v>45</v>
      </c>
      <c r="M375" s="1" t="str">
        <f>TEXT(Table1[[#This Row],[Order Date]],"mmm")</f>
        <v>Nov</v>
      </c>
      <c r="N375" s="1">
        <f>YEAR(Table1[[#This Row],[Order Date]])</f>
        <v>2024</v>
      </c>
    </row>
    <row r="376" spans="1:14" x14ac:dyDescent="0.35">
      <c r="A376" s="1" t="s">
        <v>752</v>
      </c>
      <c r="B376" s="1" t="s">
        <v>511</v>
      </c>
      <c r="C376" s="1" t="s">
        <v>107</v>
      </c>
      <c r="D376" s="1" t="s">
        <v>133</v>
      </c>
      <c r="E376" s="1" t="s">
        <v>22</v>
      </c>
      <c r="F376" s="1" t="s">
        <v>133</v>
      </c>
      <c r="G376" s="1">
        <v>1</v>
      </c>
      <c r="H376" s="1">
        <v>16646</v>
      </c>
      <c r="I376" s="1">
        <v>0</v>
      </c>
      <c r="J376" s="1">
        <v>16646</v>
      </c>
      <c r="K376" s="1">
        <v>3559.83</v>
      </c>
      <c r="L376" s="1" t="s">
        <v>45</v>
      </c>
      <c r="M376" s="1" t="str">
        <f>TEXT(Table1[[#This Row],[Order Date]],"mmm")</f>
        <v>Sep</v>
      </c>
      <c r="N376" s="1">
        <f>YEAR(Table1[[#This Row],[Order Date]])</f>
        <v>2023</v>
      </c>
    </row>
    <row r="377" spans="1:14" x14ac:dyDescent="0.35">
      <c r="A377" s="1" t="s">
        <v>753</v>
      </c>
      <c r="B377" s="1" t="s">
        <v>43</v>
      </c>
      <c r="C377" s="1" t="s">
        <v>200</v>
      </c>
      <c r="D377" s="1" t="s">
        <v>95</v>
      </c>
      <c r="E377" s="1" t="s">
        <v>33</v>
      </c>
      <c r="F377" s="1" t="s">
        <v>95</v>
      </c>
      <c r="G377" s="1">
        <v>5</v>
      </c>
      <c r="H377" s="1">
        <v>21787</v>
      </c>
      <c r="I377" s="1">
        <v>0.1</v>
      </c>
      <c r="J377" s="1">
        <v>98041.5</v>
      </c>
      <c r="K377" s="1">
        <v>12267.33</v>
      </c>
      <c r="L377" s="1" t="s">
        <v>23</v>
      </c>
      <c r="M377" s="1" t="str">
        <f>TEXT(Table1[[#This Row],[Order Date]],"mmm")</f>
        <v>Jun</v>
      </c>
      <c r="N377" s="1">
        <f>YEAR(Table1[[#This Row],[Order Date]])</f>
        <v>2023</v>
      </c>
    </row>
    <row r="378" spans="1:14" x14ac:dyDescent="0.35">
      <c r="A378" s="1" t="s">
        <v>754</v>
      </c>
      <c r="B378" s="1" t="s">
        <v>408</v>
      </c>
      <c r="C378" s="1" t="s">
        <v>255</v>
      </c>
      <c r="D378" s="1" t="s">
        <v>179</v>
      </c>
      <c r="E378" s="1" t="s">
        <v>28</v>
      </c>
      <c r="F378" s="1" t="s">
        <v>179</v>
      </c>
      <c r="G378" s="1">
        <v>9</v>
      </c>
      <c r="H378" s="1">
        <v>4417</v>
      </c>
      <c r="I378" s="1">
        <v>0</v>
      </c>
      <c r="J378" s="1">
        <v>39753</v>
      </c>
      <c r="K378" s="1">
        <v>5224.32</v>
      </c>
      <c r="L378" s="1" t="s">
        <v>17</v>
      </c>
      <c r="M378" s="1" t="str">
        <f>TEXT(Table1[[#This Row],[Order Date]],"mmm")</f>
        <v>Jul</v>
      </c>
      <c r="N378" s="1">
        <f>YEAR(Table1[[#This Row],[Order Date]])</f>
        <v>2023</v>
      </c>
    </row>
    <row r="379" spans="1:14" x14ac:dyDescent="0.35">
      <c r="A379" s="1" t="s">
        <v>755</v>
      </c>
      <c r="B379" s="1" t="s">
        <v>528</v>
      </c>
      <c r="C379" s="1" t="s">
        <v>208</v>
      </c>
      <c r="D379" s="1" t="s">
        <v>85</v>
      </c>
      <c r="E379" s="1" t="s">
        <v>28</v>
      </c>
      <c r="F379" s="1" t="s">
        <v>85</v>
      </c>
      <c r="G379" s="1">
        <v>3</v>
      </c>
      <c r="H379" s="1">
        <v>51302</v>
      </c>
      <c r="I379" s="1">
        <v>0</v>
      </c>
      <c r="J379" s="1">
        <v>153906</v>
      </c>
      <c r="K379" s="1">
        <v>31188.78</v>
      </c>
      <c r="L379" s="1" t="s">
        <v>23</v>
      </c>
      <c r="M379" s="1" t="str">
        <f>TEXT(Table1[[#This Row],[Order Date]],"mmm")</f>
        <v>Feb</v>
      </c>
      <c r="N379" s="1">
        <f>YEAR(Table1[[#This Row],[Order Date]])</f>
        <v>2024</v>
      </c>
    </row>
    <row r="380" spans="1:14" x14ac:dyDescent="0.35">
      <c r="A380" s="1" t="s">
        <v>756</v>
      </c>
      <c r="B380" s="1" t="s">
        <v>757</v>
      </c>
      <c r="C380" s="1" t="s">
        <v>59</v>
      </c>
      <c r="D380" s="1" t="s">
        <v>37</v>
      </c>
      <c r="E380" s="1" t="s">
        <v>16</v>
      </c>
      <c r="F380" s="1" t="s">
        <v>37</v>
      </c>
      <c r="G380" s="1">
        <v>7</v>
      </c>
      <c r="H380" s="1">
        <v>50982</v>
      </c>
      <c r="I380" s="1">
        <v>0</v>
      </c>
      <c r="J380" s="1">
        <v>356874</v>
      </c>
      <c r="K380" s="1">
        <v>39864.86</v>
      </c>
      <c r="L380" s="1" t="s">
        <v>17</v>
      </c>
      <c r="M380" s="1" t="str">
        <f>TEXT(Table1[[#This Row],[Order Date]],"mmm")</f>
        <v>Dec</v>
      </c>
      <c r="N380" s="1">
        <f>YEAR(Table1[[#This Row],[Order Date]])</f>
        <v>2023</v>
      </c>
    </row>
    <row r="381" spans="1:14" x14ac:dyDescent="0.35">
      <c r="A381" s="1" t="s">
        <v>758</v>
      </c>
      <c r="B381" s="1" t="s">
        <v>246</v>
      </c>
      <c r="C381" s="1" t="s">
        <v>55</v>
      </c>
      <c r="D381" s="1" t="s">
        <v>85</v>
      </c>
      <c r="E381" s="1" t="s">
        <v>28</v>
      </c>
      <c r="F381" s="1" t="s">
        <v>85</v>
      </c>
      <c r="G381" s="1">
        <v>15</v>
      </c>
      <c r="H381" s="1">
        <v>5134</v>
      </c>
      <c r="I381" s="1">
        <v>0.05</v>
      </c>
      <c r="J381" s="1">
        <v>73159.5</v>
      </c>
      <c r="K381" s="1">
        <v>19139.82</v>
      </c>
      <c r="L381" s="1" t="s">
        <v>23</v>
      </c>
      <c r="M381" s="1" t="str">
        <f>TEXT(Table1[[#This Row],[Order Date]],"mmm")</f>
        <v>Feb</v>
      </c>
      <c r="N381" s="1">
        <f>YEAR(Table1[[#This Row],[Order Date]])</f>
        <v>2023</v>
      </c>
    </row>
    <row r="382" spans="1:14" x14ac:dyDescent="0.35">
      <c r="A382" s="1" t="s">
        <v>759</v>
      </c>
      <c r="B382" s="1" t="s">
        <v>760</v>
      </c>
      <c r="C382" s="1" t="s">
        <v>255</v>
      </c>
      <c r="D382" s="1" t="s">
        <v>37</v>
      </c>
      <c r="E382" s="1" t="s">
        <v>16</v>
      </c>
      <c r="F382" s="1" t="s">
        <v>37</v>
      </c>
      <c r="G382" s="1">
        <v>4</v>
      </c>
      <c r="H382" s="1">
        <v>36985</v>
      </c>
      <c r="I382" s="1">
        <v>0.1</v>
      </c>
      <c r="J382" s="1">
        <v>133146</v>
      </c>
      <c r="K382" s="1">
        <v>22751.27</v>
      </c>
      <c r="L382" s="1" t="s">
        <v>23</v>
      </c>
      <c r="M382" s="1" t="str">
        <f>TEXT(Table1[[#This Row],[Order Date]],"mmm")</f>
        <v>Jan</v>
      </c>
      <c r="N382" s="1">
        <f>YEAR(Table1[[#This Row],[Order Date]])</f>
        <v>2023</v>
      </c>
    </row>
    <row r="383" spans="1:14" x14ac:dyDescent="0.35">
      <c r="A383" s="1" t="s">
        <v>761</v>
      </c>
      <c r="B383" s="1" t="s">
        <v>213</v>
      </c>
      <c r="C383" s="1" t="s">
        <v>51</v>
      </c>
      <c r="D383" s="1" t="s">
        <v>95</v>
      </c>
      <c r="E383" s="1" t="s">
        <v>33</v>
      </c>
      <c r="F383" s="1" t="s">
        <v>95</v>
      </c>
      <c r="G383" s="1">
        <v>2</v>
      </c>
      <c r="H383" s="1">
        <v>25814</v>
      </c>
      <c r="I383" s="1">
        <v>0</v>
      </c>
      <c r="J383" s="1">
        <v>51628</v>
      </c>
      <c r="K383" s="1">
        <v>9470.58</v>
      </c>
      <c r="L383" s="1" t="s">
        <v>23</v>
      </c>
      <c r="M383" s="1" t="str">
        <f>TEXT(Table1[[#This Row],[Order Date]],"mmm")</f>
        <v>Sep</v>
      </c>
      <c r="N383" s="1">
        <f>YEAR(Table1[[#This Row],[Order Date]])</f>
        <v>2024</v>
      </c>
    </row>
    <row r="384" spans="1:14" x14ac:dyDescent="0.35">
      <c r="A384" s="1" t="s">
        <v>762</v>
      </c>
      <c r="B384" s="1" t="s">
        <v>763</v>
      </c>
      <c r="C384" s="1" t="s">
        <v>67</v>
      </c>
      <c r="D384" s="1" t="s">
        <v>224</v>
      </c>
      <c r="E384" s="1" t="s">
        <v>33</v>
      </c>
      <c r="F384" s="1" t="s">
        <v>224</v>
      </c>
      <c r="G384" s="1">
        <v>14</v>
      </c>
      <c r="H384" s="1">
        <v>34268</v>
      </c>
      <c r="I384" s="1">
        <v>0.05</v>
      </c>
      <c r="J384" s="1">
        <v>455764.4</v>
      </c>
      <c r="K384" s="1">
        <v>64140.25</v>
      </c>
      <c r="L384" s="1" t="s">
        <v>23</v>
      </c>
      <c r="M384" s="1" t="str">
        <f>TEXT(Table1[[#This Row],[Order Date]],"mmm")</f>
        <v>Oct</v>
      </c>
      <c r="N384" s="1">
        <f>YEAR(Table1[[#This Row],[Order Date]])</f>
        <v>2024</v>
      </c>
    </row>
    <row r="385" spans="1:14" x14ac:dyDescent="0.35">
      <c r="A385" s="1" t="s">
        <v>764</v>
      </c>
      <c r="B385" s="1" t="s">
        <v>148</v>
      </c>
      <c r="C385" s="1" t="s">
        <v>111</v>
      </c>
      <c r="D385" s="1" t="s">
        <v>133</v>
      </c>
      <c r="E385" s="1" t="s">
        <v>22</v>
      </c>
      <c r="F385" s="1" t="s">
        <v>133</v>
      </c>
      <c r="G385" s="1">
        <v>9</v>
      </c>
      <c r="H385" s="1">
        <v>4175</v>
      </c>
      <c r="I385" s="1">
        <v>0.05</v>
      </c>
      <c r="J385" s="1">
        <v>35696.25</v>
      </c>
      <c r="K385" s="1">
        <v>10580.02</v>
      </c>
      <c r="L385" s="1" t="s">
        <v>23</v>
      </c>
      <c r="M385" s="1" t="str">
        <f>TEXT(Table1[[#This Row],[Order Date]],"mmm")</f>
        <v>Jan</v>
      </c>
      <c r="N385" s="1">
        <f>YEAR(Table1[[#This Row],[Order Date]])</f>
        <v>2024</v>
      </c>
    </row>
    <row r="386" spans="1:14" x14ac:dyDescent="0.35">
      <c r="A386" s="1" t="s">
        <v>765</v>
      </c>
      <c r="B386" s="1" t="s">
        <v>766</v>
      </c>
      <c r="C386" s="1" t="s">
        <v>88</v>
      </c>
      <c r="D386" s="1" t="s">
        <v>78</v>
      </c>
      <c r="E386" s="1" t="s">
        <v>28</v>
      </c>
      <c r="F386" s="1" t="s">
        <v>78</v>
      </c>
      <c r="G386" s="1">
        <v>7</v>
      </c>
      <c r="H386" s="1">
        <v>39710</v>
      </c>
      <c r="I386" s="1">
        <v>0.1</v>
      </c>
      <c r="J386" s="1">
        <v>250173</v>
      </c>
      <c r="K386" s="1">
        <v>27994.67</v>
      </c>
      <c r="L386" s="1" t="s">
        <v>70</v>
      </c>
      <c r="M386" s="1" t="str">
        <f>TEXT(Table1[[#This Row],[Order Date]],"mmm")</f>
        <v>Feb</v>
      </c>
      <c r="N386" s="1">
        <f>YEAR(Table1[[#This Row],[Order Date]])</f>
        <v>2023</v>
      </c>
    </row>
    <row r="387" spans="1:14" x14ac:dyDescent="0.35">
      <c r="A387" s="1" t="s">
        <v>767</v>
      </c>
      <c r="B387" s="1" t="s">
        <v>676</v>
      </c>
      <c r="C387" s="1" t="s">
        <v>507</v>
      </c>
      <c r="D387" s="1" t="s">
        <v>95</v>
      </c>
      <c r="E387" s="1" t="s">
        <v>33</v>
      </c>
      <c r="F387" s="1" t="s">
        <v>95</v>
      </c>
      <c r="G387" s="1">
        <v>6</v>
      </c>
      <c r="H387" s="1">
        <v>49090</v>
      </c>
      <c r="I387" s="1">
        <v>0.05</v>
      </c>
      <c r="J387" s="1">
        <v>279813</v>
      </c>
      <c r="K387" s="1">
        <v>68042.820000000007</v>
      </c>
      <c r="L387" s="1" t="s">
        <v>17</v>
      </c>
      <c r="M387" s="1" t="str">
        <f>TEXT(Table1[[#This Row],[Order Date]],"mmm")</f>
        <v>Oct</v>
      </c>
      <c r="N387" s="1">
        <f>YEAR(Table1[[#This Row],[Order Date]])</f>
        <v>2023</v>
      </c>
    </row>
    <row r="388" spans="1:14" x14ac:dyDescent="0.35">
      <c r="A388" s="1" t="s">
        <v>768</v>
      </c>
      <c r="B388" s="1" t="s">
        <v>435</v>
      </c>
      <c r="C388" s="1" t="s">
        <v>77</v>
      </c>
      <c r="D388" s="1" t="s">
        <v>114</v>
      </c>
      <c r="E388" s="1" t="s">
        <v>16</v>
      </c>
      <c r="F388" s="1" t="s">
        <v>114</v>
      </c>
      <c r="G388" s="1">
        <v>2</v>
      </c>
      <c r="H388" s="1">
        <v>17565</v>
      </c>
      <c r="I388" s="1">
        <v>0.05</v>
      </c>
      <c r="J388" s="1">
        <v>33373.5</v>
      </c>
      <c r="K388" s="1">
        <v>8137.11</v>
      </c>
      <c r="L388" s="1" t="s">
        <v>70</v>
      </c>
      <c r="M388" s="1" t="str">
        <f>TEXT(Table1[[#This Row],[Order Date]],"mmm")</f>
        <v>Nov</v>
      </c>
      <c r="N388" s="1">
        <f>YEAR(Table1[[#This Row],[Order Date]])</f>
        <v>2024</v>
      </c>
    </row>
    <row r="389" spans="1:14" x14ac:dyDescent="0.35">
      <c r="A389" s="1" t="s">
        <v>769</v>
      </c>
      <c r="B389" s="1" t="s">
        <v>770</v>
      </c>
      <c r="C389" s="1" t="s">
        <v>188</v>
      </c>
      <c r="D389" s="1" t="s">
        <v>27</v>
      </c>
      <c r="E389" s="1" t="s">
        <v>28</v>
      </c>
      <c r="F389" s="1" t="s">
        <v>27</v>
      </c>
      <c r="G389" s="1">
        <v>10</v>
      </c>
      <c r="H389" s="1">
        <v>55149</v>
      </c>
      <c r="I389" s="1">
        <v>0.15</v>
      </c>
      <c r="J389" s="1">
        <v>468766.5</v>
      </c>
      <c r="K389" s="1">
        <v>43858.78</v>
      </c>
      <c r="L389" s="1" t="s">
        <v>70</v>
      </c>
      <c r="M389" s="1" t="str">
        <f>TEXT(Table1[[#This Row],[Order Date]],"mmm")</f>
        <v>Feb</v>
      </c>
      <c r="N389" s="1">
        <f>YEAR(Table1[[#This Row],[Order Date]])</f>
        <v>2024</v>
      </c>
    </row>
    <row r="390" spans="1:14" x14ac:dyDescent="0.35">
      <c r="A390" s="1" t="s">
        <v>771</v>
      </c>
      <c r="B390" s="1" t="s">
        <v>772</v>
      </c>
      <c r="C390" s="1" t="s">
        <v>73</v>
      </c>
      <c r="D390" s="1" t="s">
        <v>44</v>
      </c>
      <c r="E390" s="1" t="s">
        <v>28</v>
      </c>
      <c r="F390" s="1" t="s">
        <v>44</v>
      </c>
      <c r="G390" s="1">
        <v>7</v>
      </c>
      <c r="H390" s="1">
        <v>29516</v>
      </c>
      <c r="I390" s="1">
        <v>0.2</v>
      </c>
      <c r="J390" s="1">
        <v>165289.60000000001</v>
      </c>
      <c r="K390" s="1">
        <v>18300.57</v>
      </c>
      <c r="L390" s="1" t="s">
        <v>70</v>
      </c>
      <c r="M390" s="1" t="str">
        <f>TEXT(Table1[[#This Row],[Order Date]],"mmm")</f>
        <v>Nov</v>
      </c>
      <c r="N390" s="1">
        <f>YEAR(Table1[[#This Row],[Order Date]])</f>
        <v>2023</v>
      </c>
    </row>
    <row r="391" spans="1:14" x14ac:dyDescent="0.35">
      <c r="A391" s="1" t="s">
        <v>773</v>
      </c>
      <c r="B391" s="1" t="s">
        <v>774</v>
      </c>
      <c r="C391" s="1" t="s">
        <v>84</v>
      </c>
      <c r="D391" s="1" t="s">
        <v>137</v>
      </c>
      <c r="E391" s="1" t="s">
        <v>22</v>
      </c>
      <c r="F391" s="1" t="s">
        <v>137</v>
      </c>
      <c r="G391" s="1">
        <v>13</v>
      </c>
      <c r="H391" s="1">
        <v>35065</v>
      </c>
      <c r="I391" s="1">
        <v>0.05</v>
      </c>
      <c r="J391" s="1">
        <v>433052.75</v>
      </c>
      <c r="K391" s="1">
        <v>57201.15</v>
      </c>
      <c r="L391" s="1" t="s">
        <v>70</v>
      </c>
      <c r="M391" s="1" t="str">
        <f>TEXT(Table1[[#This Row],[Order Date]],"mmm")</f>
        <v>Mar</v>
      </c>
      <c r="N391" s="1">
        <f>YEAR(Table1[[#This Row],[Order Date]])</f>
        <v>2024</v>
      </c>
    </row>
    <row r="392" spans="1:14" x14ac:dyDescent="0.35">
      <c r="A392" s="1" t="s">
        <v>775</v>
      </c>
      <c r="B392" s="1" t="s">
        <v>776</v>
      </c>
      <c r="C392" s="1" t="s">
        <v>104</v>
      </c>
      <c r="D392" s="1" t="s">
        <v>15</v>
      </c>
      <c r="E392" s="1" t="s">
        <v>16</v>
      </c>
      <c r="F392" s="1" t="s">
        <v>15</v>
      </c>
      <c r="G392" s="1">
        <v>8</v>
      </c>
      <c r="H392" s="1">
        <v>36300</v>
      </c>
      <c r="I392" s="1">
        <v>0.05</v>
      </c>
      <c r="J392" s="1">
        <v>275880</v>
      </c>
      <c r="K392" s="1">
        <v>55103.97</v>
      </c>
      <c r="L392" s="1" t="s">
        <v>23</v>
      </c>
      <c r="M392" s="1" t="str">
        <f>TEXT(Table1[[#This Row],[Order Date]],"mmm")</f>
        <v>Feb</v>
      </c>
      <c r="N392" s="1">
        <f>YEAR(Table1[[#This Row],[Order Date]])</f>
        <v>2024</v>
      </c>
    </row>
    <row r="393" spans="1:14" x14ac:dyDescent="0.35">
      <c r="A393" s="1" t="s">
        <v>777</v>
      </c>
      <c r="B393" s="1" t="s">
        <v>778</v>
      </c>
      <c r="C393" s="1" t="s">
        <v>55</v>
      </c>
      <c r="D393" s="1" t="s">
        <v>151</v>
      </c>
      <c r="E393" s="1" t="s">
        <v>22</v>
      </c>
      <c r="F393" s="1" t="s">
        <v>151</v>
      </c>
      <c r="G393" s="1">
        <v>8</v>
      </c>
      <c r="H393" s="1">
        <v>27745</v>
      </c>
      <c r="I393" s="1">
        <v>0.05</v>
      </c>
      <c r="J393" s="1">
        <v>210862</v>
      </c>
      <c r="K393" s="1">
        <v>17891.8</v>
      </c>
      <c r="L393" s="1" t="s">
        <v>17</v>
      </c>
      <c r="M393" s="1" t="str">
        <f>TEXT(Table1[[#This Row],[Order Date]],"mmm")</f>
        <v>Nov</v>
      </c>
      <c r="N393" s="1">
        <f>YEAR(Table1[[#This Row],[Order Date]])</f>
        <v>2023</v>
      </c>
    </row>
    <row r="394" spans="1:14" x14ac:dyDescent="0.35">
      <c r="A394" s="1" t="s">
        <v>779</v>
      </c>
      <c r="B394" s="1" t="s">
        <v>780</v>
      </c>
      <c r="C394" s="1" t="s">
        <v>59</v>
      </c>
      <c r="D394" s="1" t="s">
        <v>32</v>
      </c>
      <c r="E394" s="1" t="s">
        <v>33</v>
      </c>
      <c r="F394" s="1" t="s">
        <v>32</v>
      </c>
      <c r="G394" s="1">
        <v>15</v>
      </c>
      <c r="H394" s="1">
        <v>2534</v>
      </c>
      <c r="I394" s="1">
        <v>0</v>
      </c>
      <c r="J394" s="1">
        <v>38010</v>
      </c>
      <c r="K394" s="1">
        <v>5905.66</v>
      </c>
      <c r="L394" s="1" t="s">
        <v>23</v>
      </c>
      <c r="M394" s="1" t="str">
        <f>TEXT(Table1[[#This Row],[Order Date]],"mmm")</f>
        <v>Oct</v>
      </c>
      <c r="N394" s="1">
        <f>YEAR(Table1[[#This Row],[Order Date]])</f>
        <v>2023</v>
      </c>
    </row>
    <row r="395" spans="1:14" x14ac:dyDescent="0.35">
      <c r="A395" s="1" t="s">
        <v>781</v>
      </c>
      <c r="B395" s="1" t="s">
        <v>122</v>
      </c>
      <c r="C395" s="1" t="s">
        <v>59</v>
      </c>
      <c r="D395" s="1" t="s">
        <v>137</v>
      </c>
      <c r="E395" s="1" t="s">
        <v>22</v>
      </c>
      <c r="F395" s="1" t="s">
        <v>137</v>
      </c>
      <c r="G395" s="1">
        <v>12</v>
      </c>
      <c r="H395" s="1">
        <v>56131</v>
      </c>
      <c r="I395" s="1">
        <v>0.05</v>
      </c>
      <c r="J395" s="1">
        <v>639893.4</v>
      </c>
      <c r="K395" s="1">
        <v>128451.96</v>
      </c>
      <c r="L395" s="1" t="s">
        <v>70</v>
      </c>
      <c r="M395" s="1" t="str">
        <f>TEXT(Table1[[#This Row],[Order Date]],"mmm")</f>
        <v>Jul</v>
      </c>
      <c r="N395" s="1">
        <f>YEAR(Table1[[#This Row],[Order Date]])</f>
        <v>2024</v>
      </c>
    </row>
    <row r="396" spans="1:14" x14ac:dyDescent="0.35">
      <c r="A396" s="1" t="s">
        <v>782</v>
      </c>
      <c r="B396" s="1" t="s">
        <v>783</v>
      </c>
      <c r="C396" s="1" t="s">
        <v>31</v>
      </c>
      <c r="D396" s="1" t="s">
        <v>37</v>
      </c>
      <c r="E396" s="1" t="s">
        <v>16</v>
      </c>
      <c r="F396" s="1" t="s">
        <v>37</v>
      </c>
      <c r="G396" s="1">
        <v>15</v>
      </c>
      <c r="H396" s="1">
        <v>22099</v>
      </c>
      <c r="I396" s="1">
        <v>0.05</v>
      </c>
      <c r="J396" s="1">
        <v>314910.75</v>
      </c>
      <c r="K396" s="1">
        <v>31938.16</v>
      </c>
      <c r="L396" s="1" t="s">
        <v>45</v>
      </c>
      <c r="M396" s="1" t="str">
        <f>TEXT(Table1[[#This Row],[Order Date]],"mmm")</f>
        <v>Jan</v>
      </c>
      <c r="N396" s="1">
        <f>YEAR(Table1[[#This Row],[Order Date]])</f>
        <v>2024</v>
      </c>
    </row>
    <row r="397" spans="1:14" x14ac:dyDescent="0.35">
      <c r="A397" s="1" t="s">
        <v>784</v>
      </c>
      <c r="B397" s="1" t="s">
        <v>785</v>
      </c>
      <c r="C397" s="1" t="s">
        <v>136</v>
      </c>
      <c r="D397" s="1" t="s">
        <v>78</v>
      </c>
      <c r="E397" s="1" t="s">
        <v>28</v>
      </c>
      <c r="F397" s="1" t="s">
        <v>78</v>
      </c>
      <c r="G397" s="1">
        <v>14</v>
      </c>
      <c r="H397" s="1">
        <v>29282</v>
      </c>
      <c r="I397" s="1">
        <v>0.05</v>
      </c>
      <c r="J397" s="1">
        <v>389450.6</v>
      </c>
      <c r="K397" s="1">
        <v>101556.49</v>
      </c>
      <c r="L397" s="1" t="s">
        <v>70</v>
      </c>
      <c r="M397" s="1" t="str">
        <f>TEXT(Table1[[#This Row],[Order Date]],"mmm")</f>
        <v>Apr</v>
      </c>
      <c r="N397" s="1">
        <f>YEAR(Table1[[#This Row],[Order Date]])</f>
        <v>2023</v>
      </c>
    </row>
    <row r="398" spans="1:14" x14ac:dyDescent="0.35">
      <c r="A398" s="1" t="s">
        <v>786</v>
      </c>
      <c r="B398" s="1" t="s">
        <v>787</v>
      </c>
      <c r="C398" s="1" t="s">
        <v>162</v>
      </c>
      <c r="D398" s="1" t="s">
        <v>108</v>
      </c>
      <c r="E398" s="1" t="s">
        <v>22</v>
      </c>
      <c r="F398" s="1" t="s">
        <v>108</v>
      </c>
      <c r="G398" s="1">
        <v>2</v>
      </c>
      <c r="H398" s="1">
        <v>24126</v>
      </c>
      <c r="I398" s="1">
        <v>0.15</v>
      </c>
      <c r="J398" s="1">
        <v>41014.199999999997</v>
      </c>
      <c r="K398" s="1">
        <v>10609.62</v>
      </c>
      <c r="L398" s="1" t="s">
        <v>17</v>
      </c>
      <c r="M398" s="1" t="str">
        <f>TEXT(Table1[[#This Row],[Order Date]],"mmm")</f>
        <v>Feb</v>
      </c>
      <c r="N398" s="1">
        <f>YEAR(Table1[[#This Row],[Order Date]])</f>
        <v>2023</v>
      </c>
    </row>
    <row r="399" spans="1:14" x14ac:dyDescent="0.35">
      <c r="A399" s="1" t="s">
        <v>788</v>
      </c>
      <c r="B399" s="1" t="s">
        <v>54</v>
      </c>
      <c r="C399" s="1" t="s">
        <v>59</v>
      </c>
      <c r="D399" s="1" t="s">
        <v>91</v>
      </c>
      <c r="E399" s="1" t="s">
        <v>16</v>
      </c>
      <c r="F399" s="1" t="s">
        <v>91</v>
      </c>
      <c r="G399" s="1">
        <v>8</v>
      </c>
      <c r="H399" s="1">
        <v>32394</v>
      </c>
      <c r="I399" s="1">
        <v>0.15</v>
      </c>
      <c r="J399" s="1">
        <v>220279.2</v>
      </c>
      <c r="K399" s="1">
        <v>44459.88</v>
      </c>
      <c r="L399" s="1" t="s">
        <v>45</v>
      </c>
      <c r="M399" s="1" t="str">
        <f>TEXT(Table1[[#This Row],[Order Date]],"mmm")</f>
        <v>Mar</v>
      </c>
      <c r="N399" s="1">
        <f>YEAR(Table1[[#This Row],[Order Date]])</f>
        <v>2023</v>
      </c>
    </row>
    <row r="400" spans="1:14" x14ac:dyDescent="0.35">
      <c r="A400" s="1" t="s">
        <v>789</v>
      </c>
      <c r="B400" s="1" t="s">
        <v>246</v>
      </c>
      <c r="C400" s="1" t="s">
        <v>128</v>
      </c>
      <c r="D400" s="1" t="s">
        <v>21</v>
      </c>
      <c r="E400" s="1" t="s">
        <v>22</v>
      </c>
      <c r="F400" s="1" t="s">
        <v>21</v>
      </c>
      <c r="G400" s="1">
        <v>8</v>
      </c>
      <c r="H400" s="1">
        <v>18999</v>
      </c>
      <c r="I400" s="1">
        <v>0</v>
      </c>
      <c r="J400" s="1">
        <v>151992</v>
      </c>
      <c r="K400" s="1">
        <v>32442.12</v>
      </c>
      <c r="L400" s="1" t="s">
        <v>45</v>
      </c>
      <c r="M400" s="1" t="str">
        <f>TEXT(Table1[[#This Row],[Order Date]],"mmm")</f>
        <v>Feb</v>
      </c>
      <c r="N400" s="1">
        <f>YEAR(Table1[[#This Row],[Order Date]])</f>
        <v>2023</v>
      </c>
    </row>
    <row r="401" spans="1:14" x14ac:dyDescent="0.35">
      <c r="A401" s="1" t="s">
        <v>790</v>
      </c>
      <c r="B401" s="1" t="s">
        <v>280</v>
      </c>
      <c r="C401" s="1" t="s">
        <v>507</v>
      </c>
      <c r="D401" s="1" t="s">
        <v>32</v>
      </c>
      <c r="E401" s="1" t="s">
        <v>33</v>
      </c>
      <c r="F401" s="1" t="s">
        <v>32</v>
      </c>
      <c r="G401" s="1">
        <v>3</v>
      </c>
      <c r="H401" s="1">
        <v>26557</v>
      </c>
      <c r="I401" s="1">
        <v>0</v>
      </c>
      <c r="J401" s="1">
        <v>79671</v>
      </c>
      <c r="K401" s="1">
        <v>18433.47</v>
      </c>
      <c r="L401" s="1" t="s">
        <v>23</v>
      </c>
      <c r="M401" s="1" t="str">
        <f>TEXT(Table1[[#This Row],[Order Date]],"mmm")</f>
        <v>Oct</v>
      </c>
      <c r="N401" s="1">
        <f>YEAR(Table1[[#This Row],[Order Date]])</f>
        <v>2024</v>
      </c>
    </row>
    <row r="402" spans="1:14" x14ac:dyDescent="0.35">
      <c r="A402" s="1" t="s">
        <v>791</v>
      </c>
      <c r="B402" s="1" t="s">
        <v>792</v>
      </c>
      <c r="C402" s="1" t="s">
        <v>158</v>
      </c>
      <c r="D402" s="1" t="s">
        <v>133</v>
      </c>
      <c r="E402" s="1" t="s">
        <v>22</v>
      </c>
      <c r="F402" s="1" t="s">
        <v>133</v>
      </c>
      <c r="G402" s="1">
        <v>9</v>
      </c>
      <c r="H402" s="1">
        <v>48629</v>
      </c>
      <c r="I402" s="1">
        <v>0.2</v>
      </c>
      <c r="J402" s="1">
        <v>350128.8</v>
      </c>
      <c r="K402" s="1">
        <v>93129.1</v>
      </c>
      <c r="L402" s="1" t="s">
        <v>23</v>
      </c>
      <c r="M402" s="1" t="str">
        <f>TEXT(Table1[[#This Row],[Order Date]],"mmm")</f>
        <v>Aug</v>
      </c>
      <c r="N402" s="1">
        <f>YEAR(Table1[[#This Row],[Order Date]])</f>
        <v>2023</v>
      </c>
    </row>
    <row r="403" spans="1:14" x14ac:dyDescent="0.35">
      <c r="A403" s="1" t="s">
        <v>793</v>
      </c>
      <c r="B403" s="1" t="s">
        <v>794</v>
      </c>
      <c r="C403" s="1" t="s">
        <v>227</v>
      </c>
      <c r="D403" s="1" t="s">
        <v>21</v>
      </c>
      <c r="E403" s="1" t="s">
        <v>22</v>
      </c>
      <c r="F403" s="1" t="s">
        <v>21</v>
      </c>
      <c r="G403" s="1">
        <v>8</v>
      </c>
      <c r="H403" s="1">
        <v>5417</v>
      </c>
      <c r="I403" s="1">
        <v>0.1</v>
      </c>
      <c r="J403" s="1">
        <v>39002.400000000001</v>
      </c>
      <c r="K403" s="1">
        <v>9565.31</v>
      </c>
      <c r="L403" s="1" t="s">
        <v>23</v>
      </c>
      <c r="M403" s="1" t="str">
        <f>TEXT(Table1[[#This Row],[Order Date]],"mmm")</f>
        <v>Mar</v>
      </c>
      <c r="N403" s="1">
        <f>YEAR(Table1[[#This Row],[Order Date]])</f>
        <v>2024</v>
      </c>
    </row>
    <row r="404" spans="1:14" x14ac:dyDescent="0.35">
      <c r="A404" s="1" t="s">
        <v>795</v>
      </c>
      <c r="B404" s="1" t="s">
        <v>650</v>
      </c>
      <c r="C404" s="1" t="s">
        <v>55</v>
      </c>
      <c r="D404" s="1" t="s">
        <v>41</v>
      </c>
      <c r="E404" s="1" t="s">
        <v>16</v>
      </c>
      <c r="F404" s="1" t="s">
        <v>41</v>
      </c>
      <c r="G404" s="1">
        <v>14</v>
      </c>
      <c r="H404" s="1">
        <v>16298</v>
      </c>
      <c r="I404" s="1">
        <v>0</v>
      </c>
      <c r="J404" s="1">
        <v>228172</v>
      </c>
      <c r="K404" s="1">
        <v>32335</v>
      </c>
      <c r="L404" s="1" t="s">
        <v>45</v>
      </c>
      <c r="M404" s="1" t="str">
        <f>TEXT(Table1[[#This Row],[Order Date]],"mmm")</f>
        <v>Jun</v>
      </c>
      <c r="N404" s="1">
        <f>YEAR(Table1[[#This Row],[Order Date]])</f>
        <v>2023</v>
      </c>
    </row>
    <row r="405" spans="1:14" x14ac:dyDescent="0.35">
      <c r="A405" s="1" t="s">
        <v>796</v>
      </c>
      <c r="B405" s="1" t="s">
        <v>797</v>
      </c>
      <c r="C405" s="1" t="s">
        <v>136</v>
      </c>
      <c r="D405" s="1" t="s">
        <v>323</v>
      </c>
      <c r="E405" s="1" t="s">
        <v>33</v>
      </c>
      <c r="F405" s="1" t="s">
        <v>323</v>
      </c>
      <c r="G405" s="1">
        <v>13</v>
      </c>
      <c r="H405" s="1">
        <v>19939</v>
      </c>
      <c r="I405" s="1">
        <v>0.2</v>
      </c>
      <c r="J405" s="1">
        <v>207365.6</v>
      </c>
      <c r="K405" s="1">
        <v>40413.11</v>
      </c>
      <c r="L405" s="1" t="s">
        <v>23</v>
      </c>
      <c r="M405" s="1" t="str">
        <f>TEXT(Table1[[#This Row],[Order Date]],"mmm")</f>
        <v>Nov</v>
      </c>
      <c r="N405" s="1">
        <f>YEAR(Table1[[#This Row],[Order Date]])</f>
        <v>2023</v>
      </c>
    </row>
    <row r="406" spans="1:14" x14ac:dyDescent="0.35">
      <c r="A406" s="1" t="s">
        <v>798</v>
      </c>
      <c r="B406" s="1" t="s">
        <v>589</v>
      </c>
      <c r="C406" s="1" t="s">
        <v>73</v>
      </c>
      <c r="D406" s="1" t="s">
        <v>137</v>
      </c>
      <c r="E406" s="1" t="s">
        <v>22</v>
      </c>
      <c r="F406" s="1" t="s">
        <v>137</v>
      </c>
      <c r="G406" s="1">
        <v>6</v>
      </c>
      <c r="H406" s="1">
        <v>15699</v>
      </c>
      <c r="I406" s="1">
        <v>0.1</v>
      </c>
      <c r="J406" s="1">
        <v>84774.6</v>
      </c>
      <c r="K406" s="1">
        <v>22043.42</v>
      </c>
      <c r="L406" s="1" t="s">
        <v>45</v>
      </c>
      <c r="M406" s="1" t="str">
        <f>TEXT(Table1[[#This Row],[Order Date]],"mmm")</f>
        <v>Sep</v>
      </c>
      <c r="N406" s="1">
        <f>YEAR(Table1[[#This Row],[Order Date]])</f>
        <v>2023</v>
      </c>
    </row>
    <row r="407" spans="1:14" x14ac:dyDescent="0.35">
      <c r="A407" s="1" t="s">
        <v>799</v>
      </c>
      <c r="B407" s="1" t="s">
        <v>800</v>
      </c>
      <c r="C407" s="1" t="s">
        <v>101</v>
      </c>
      <c r="D407" s="1" t="s">
        <v>60</v>
      </c>
      <c r="E407" s="1" t="s">
        <v>33</v>
      </c>
      <c r="F407" s="1" t="s">
        <v>60</v>
      </c>
      <c r="G407" s="1">
        <v>1</v>
      </c>
      <c r="H407" s="1">
        <v>38292</v>
      </c>
      <c r="I407" s="1">
        <v>0.1</v>
      </c>
      <c r="J407" s="1">
        <v>34462.800000000003</v>
      </c>
      <c r="K407" s="1">
        <v>4778.54</v>
      </c>
      <c r="L407" s="1" t="s">
        <v>17</v>
      </c>
      <c r="M407" s="1" t="str">
        <f>TEXT(Table1[[#This Row],[Order Date]],"mmm")</f>
        <v>Oct</v>
      </c>
      <c r="N407" s="1">
        <f>YEAR(Table1[[#This Row],[Order Date]])</f>
        <v>2023</v>
      </c>
    </row>
    <row r="408" spans="1:14" x14ac:dyDescent="0.35">
      <c r="A408" s="1" t="s">
        <v>801</v>
      </c>
      <c r="B408" s="1" t="s">
        <v>802</v>
      </c>
      <c r="C408" s="1" t="s">
        <v>88</v>
      </c>
      <c r="D408" s="1" t="s">
        <v>91</v>
      </c>
      <c r="E408" s="1" t="s">
        <v>16</v>
      </c>
      <c r="F408" s="1" t="s">
        <v>91</v>
      </c>
      <c r="G408" s="1">
        <v>10</v>
      </c>
      <c r="H408" s="1">
        <v>17625</v>
      </c>
      <c r="I408" s="1">
        <v>0</v>
      </c>
      <c r="J408" s="1">
        <v>176250</v>
      </c>
      <c r="K408" s="1">
        <v>37790.660000000003</v>
      </c>
      <c r="L408" s="1" t="s">
        <v>70</v>
      </c>
      <c r="M408" s="1" t="str">
        <f>TEXT(Table1[[#This Row],[Order Date]],"mmm")</f>
        <v>Jan</v>
      </c>
      <c r="N408" s="1">
        <f>YEAR(Table1[[#This Row],[Order Date]])</f>
        <v>2024</v>
      </c>
    </row>
    <row r="409" spans="1:14" x14ac:dyDescent="0.35">
      <c r="A409" s="1" t="s">
        <v>803</v>
      </c>
      <c r="B409" s="1" t="s">
        <v>804</v>
      </c>
      <c r="C409" s="1" t="s">
        <v>640</v>
      </c>
      <c r="D409" s="1" t="s">
        <v>74</v>
      </c>
      <c r="E409" s="1" t="s">
        <v>22</v>
      </c>
      <c r="F409" s="1" t="s">
        <v>74</v>
      </c>
      <c r="G409" s="1">
        <v>14</v>
      </c>
      <c r="H409" s="1">
        <v>8920</v>
      </c>
      <c r="I409" s="1">
        <v>0</v>
      </c>
      <c r="J409" s="1">
        <v>124880</v>
      </c>
      <c r="K409" s="1">
        <v>28274.35</v>
      </c>
      <c r="L409" s="1" t="s">
        <v>45</v>
      </c>
      <c r="M409" s="1" t="str">
        <f>TEXT(Table1[[#This Row],[Order Date]],"mmm")</f>
        <v>Apr</v>
      </c>
      <c r="N409" s="1">
        <f>YEAR(Table1[[#This Row],[Order Date]])</f>
        <v>2023</v>
      </c>
    </row>
    <row r="410" spans="1:14" x14ac:dyDescent="0.35">
      <c r="A410" s="1" t="s">
        <v>805</v>
      </c>
      <c r="B410" s="1" t="s">
        <v>688</v>
      </c>
      <c r="C410" s="1" t="s">
        <v>104</v>
      </c>
      <c r="D410" s="1" t="s">
        <v>60</v>
      </c>
      <c r="E410" s="1" t="s">
        <v>33</v>
      </c>
      <c r="F410" s="1" t="s">
        <v>60</v>
      </c>
      <c r="G410" s="1">
        <v>14</v>
      </c>
      <c r="H410" s="1">
        <v>10866</v>
      </c>
      <c r="I410" s="1">
        <v>0</v>
      </c>
      <c r="J410" s="1">
        <v>152124</v>
      </c>
      <c r="K410" s="1">
        <v>37837.800000000003</v>
      </c>
      <c r="L410" s="1" t="s">
        <v>70</v>
      </c>
      <c r="M410" s="1" t="str">
        <f>TEXT(Table1[[#This Row],[Order Date]],"mmm")</f>
        <v>Jul</v>
      </c>
      <c r="N410" s="1">
        <f>YEAR(Table1[[#This Row],[Order Date]])</f>
        <v>2023</v>
      </c>
    </row>
    <row r="411" spans="1:14" x14ac:dyDescent="0.35">
      <c r="A411" s="1" t="s">
        <v>806</v>
      </c>
      <c r="B411" s="1" t="s">
        <v>807</v>
      </c>
      <c r="C411" s="1" t="s">
        <v>14</v>
      </c>
      <c r="D411" s="1" t="s">
        <v>141</v>
      </c>
      <c r="E411" s="1" t="s">
        <v>22</v>
      </c>
      <c r="F411" s="1" t="s">
        <v>141</v>
      </c>
      <c r="G411" s="1">
        <v>14</v>
      </c>
      <c r="H411" s="1">
        <v>44465</v>
      </c>
      <c r="I411" s="1">
        <v>0.05</v>
      </c>
      <c r="J411" s="1">
        <v>591384.5</v>
      </c>
      <c r="K411" s="1">
        <v>64632.61</v>
      </c>
      <c r="L411" s="1" t="s">
        <v>70</v>
      </c>
      <c r="M411" s="1" t="str">
        <f>TEXT(Table1[[#This Row],[Order Date]],"mmm")</f>
        <v>Sep</v>
      </c>
      <c r="N411" s="1">
        <f>YEAR(Table1[[#This Row],[Order Date]])</f>
        <v>2024</v>
      </c>
    </row>
    <row r="412" spans="1:14" x14ac:dyDescent="0.35">
      <c r="A412" s="1" t="s">
        <v>808</v>
      </c>
      <c r="B412" s="1" t="s">
        <v>491</v>
      </c>
      <c r="C412" s="1" t="s">
        <v>208</v>
      </c>
      <c r="D412" s="1" t="s">
        <v>78</v>
      </c>
      <c r="E412" s="1" t="s">
        <v>28</v>
      </c>
      <c r="F412" s="1" t="s">
        <v>78</v>
      </c>
      <c r="G412" s="1">
        <v>7</v>
      </c>
      <c r="H412" s="1">
        <v>16677</v>
      </c>
      <c r="I412" s="1">
        <v>0.1</v>
      </c>
      <c r="J412" s="1">
        <v>105065.1</v>
      </c>
      <c r="K412" s="1">
        <v>11002.17</v>
      </c>
      <c r="L412" s="1" t="s">
        <v>45</v>
      </c>
      <c r="M412" s="1" t="str">
        <f>TEXT(Table1[[#This Row],[Order Date]],"mmm")</f>
        <v>Aug</v>
      </c>
      <c r="N412" s="1">
        <f>YEAR(Table1[[#This Row],[Order Date]])</f>
        <v>2024</v>
      </c>
    </row>
    <row r="413" spans="1:14" x14ac:dyDescent="0.35">
      <c r="A413" s="1" t="s">
        <v>809</v>
      </c>
      <c r="B413" s="1" t="s">
        <v>810</v>
      </c>
      <c r="C413" s="1" t="s">
        <v>117</v>
      </c>
      <c r="D413" s="1" t="s">
        <v>74</v>
      </c>
      <c r="E413" s="1" t="s">
        <v>22</v>
      </c>
      <c r="F413" s="1" t="s">
        <v>74</v>
      </c>
      <c r="G413" s="1">
        <v>10</v>
      </c>
      <c r="H413" s="1">
        <v>23588</v>
      </c>
      <c r="I413" s="1">
        <v>0.15</v>
      </c>
      <c r="J413" s="1">
        <v>200498</v>
      </c>
      <c r="K413" s="1">
        <v>56172.54</v>
      </c>
      <c r="L413" s="1" t="s">
        <v>17</v>
      </c>
      <c r="M413" s="1" t="str">
        <f>TEXT(Table1[[#This Row],[Order Date]],"mmm")</f>
        <v>Sep</v>
      </c>
      <c r="N413" s="1">
        <f>YEAR(Table1[[#This Row],[Order Date]])</f>
        <v>2024</v>
      </c>
    </row>
    <row r="414" spans="1:14" x14ac:dyDescent="0.35">
      <c r="A414" s="1" t="s">
        <v>811</v>
      </c>
      <c r="B414" s="1" t="s">
        <v>812</v>
      </c>
      <c r="C414" s="1" t="s">
        <v>640</v>
      </c>
      <c r="D414" s="1" t="s">
        <v>224</v>
      </c>
      <c r="E414" s="1" t="s">
        <v>33</v>
      </c>
      <c r="F414" s="1" t="s">
        <v>224</v>
      </c>
      <c r="G414" s="1">
        <v>15</v>
      </c>
      <c r="H414" s="1">
        <v>14405</v>
      </c>
      <c r="I414" s="1">
        <v>0.15</v>
      </c>
      <c r="J414" s="1">
        <v>183663.75</v>
      </c>
      <c r="K414" s="1">
        <v>44185.77</v>
      </c>
      <c r="L414" s="1" t="s">
        <v>17</v>
      </c>
      <c r="M414" s="1" t="str">
        <f>TEXT(Table1[[#This Row],[Order Date]],"mmm")</f>
        <v>Dec</v>
      </c>
      <c r="N414" s="1">
        <f>YEAR(Table1[[#This Row],[Order Date]])</f>
        <v>2023</v>
      </c>
    </row>
    <row r="415" spans="1:14" x14ac:dyDescent="0.35">
      <c r="A415" s="1" t="s">
        <v>813</v>
      </c>
      <c r="B415" s="1" t="s">
        <v>567</v>
      </c>
      <c r="C415" s="1" t="s">
        <v>158</v>
      </c>
      <c r="D415" s="1" t="s">
        <v>21</v>
      </c>
      <c r="E415" s="1" t="s">
        <v>22</v>
      </c>
      <c r="F415" s="1" t="s">
        <v>21</v>
      </c>
      <c r="G415" s="1">
        <v>9</v>
      </c>
      <c r="H415" s="1">
        <v>37516</v>
      </c>
      <c r="I415" s="1">
        <v>0.2</v>
      </c>
      <c r="J415" s="1">
        <v>270115.20000000001</v>
      </c>
      <c r="K415" s="1">
        <v>48915.23</v>
      </c>
      <c r="L415" s="1" t="s">
        <v>45</v>
      </c>
      <c r="M415" s="1" t="str">
        <f>TEXT(Table1[[#This Row],[Order Date]],"mmm")</f>
        <v>May</v>
      </c>
      <c r="N415" s="1">
        <f>YEAR(Table1[[#This Row],[Order Date]])</f>
        <v>2023</v>
      </c>
    </row>
    <row r="416" spans="1:14" x14ac:dyDescent="0.35">
      <c r="A416" s="1" t="s">
        <v>814</v>
      </c>
      <c r="B416" s="1" t="s">
        <v>815</v>
      </c>
      <c r="C416" s="1" t="s">
        <v>200</v>
      </c>
      <c r="D416" s="1" t="s">
        <v>48</v>
      </c>
      <c r="E416" s="1" t="s">
        <v>16</v>
      </c>
      <c r="F416" s="1" t="s">
        <v>48</v>
      </c>
      <c r="G416" s="1">
        <v>10</v>
      </c>
      <c r="H416" s="1">
        <v>17253</v>
      </c>
      <c r="I416" s="1">
        <v>0.05</v>
      </c>
      <c r="J416" s="1">
        <v>163903.5</v>
      </c>
      <c r="K416" s="1">
        <v>23056.560000000001</v>
      </c>
      <c r="L416" s="1" t="s">
        <v>70</v>
      </c>
      <c r="M416" s="1" t="str">
        <f>TEXT(Table1[[#This Row],[Order Date]],"mmm")</f>
        <v>Mar</v>
      </c>
      <c r="N416" s="1">
        <f>YEAR(Table1[[#This Row],[Order Date]])</f>
        <v>2023</v>
      </c>
    </row>
    <row r="417" spans="1:14" x14ac:dyDescent="0.35">
      <c r="A417" s="1" t="s">
        <v>816</v>
      </c>
      <c r="B417" s="1" t="s">
        <v>817</v>
      </c>
      <c r="C417" s="1" t="s">
        <v>101</v>
      </c>
      <c r="D417" s="1" t="s">
        <v>167</v>
      </c>
      <c r="E417" s="1" t="s">
        <v>16</v>
      </c>
      <c r="F417" s="1" t="s">
        <v>167</v>
      </c>
      <c r="G417" s="1">
        <v>5</v>
      </c>
      <c r="H417" s="1">
        <v>19300</v>
      </c>
      <c r="I417" s="1">
        <v>0.15</v>
      </c>
      <c r="J417" s="1">
        <v>82025</v>
      </c>
      <c r="K417" s="1">
        <v>8491.77</v>
      </c>
      <c r="L417" s="1" t="s">
        <v>23</v>
      </c>
      <c r="M417" s="1" t="str">
        <f>TEXT(Table1[[#This Row],[Order Date]],"mmm")</f>
        <v>Jul</v>
      </c>
      <c r="N417" s="1">
        <f>YEAR(Table1[[#This Row],[Order Date]])</f>
        <v>2024</v>
      </c>
    </row>
    <row r="418" spans="1:14" x14ac:dyDescent="0.35">
      <c r="A418" s="1" t="s">
        <v>818</v>
      </c>
      <c r="B418" s="1" t="s">
        <v>819</v>
      </c>
      <c r="C418" s="1" t="s">
        <v>158</v>
      </c>
      <c r="D418" s="1" t="s">
        <v>52</v>
      </c>
      <c r="E418" s="1" t="s">
        <v>28</v>
      </c>
      <c r="F418" s="1" t="s">
        <v>52</v>
      </c>
      <c r="G418" s="1">
        <v>14</v>
      </c>
      <c r="H418" s="1">
        <v>38442</v>
      </c>
      <c r="I418" s="1">
        <v>0</v>
      </c>
      <c r="J418" s="1">
        <v>538188</v>
      </c>
      <c r="K418" s="1">
        <v>148144.01999999999</v>
      </c>
      <c r="L418" s="1" t="s">
        <v>17</v>
      </c>
      <c r="M418" s="1" t="str">
        <f>TEXT(Table1[[#This Row],[Order Date]],"mmm")</f>
        <v>Sep</v>
      </c>
      <c r="N418" s="1">
        <f>YEAR(Table1[[#This Row],[Order Date]])</f>
        <v>2024</v>
      </c>
    </row>
    <row r="419" spans="1:14" x14ac:dyDescent="0.35">
      <c r="A419" s="1" t="s">
        <v>820</v>
      </c>
      <c r="B419" s="1" t="s">
        <v>821</v>
      </c>
      <c r="C419" s="1" t="s">
        <v>349</v>
      </c>
      <c r="D419" s="1" t="s">
        <v>151</v>
      </c>
      <c r="E419" s="1" t="s">
        <v>22</v>
      </c>
      <c r="F419" s="1" t="s">
        <v>151</v>
      </c>
      <c r="G419" s="1">
        <v>6</v>
      </c>
      <c r="H419" s="1">
        <v>17396</v>
      </c>
      <c r="I419" s="1">
        <v>0</v>
      </c>
      <c r="J419" s="1">
        <v>104376</v>
      </c>
      <c r="K419" s="1">
        <v>16817.3</v>
      </c>
      <c r="L419" s="1" t="s">
        <v>23</v>
      </c>
      <c r="M419" s="1" t="str">
        <f>TEXT(Table1[[#This Row],[Order Date]],"mmm")</f>
        <v>Aug</v>
      </c>
      <c r="N419" s="1">
        <f>YEAR(Table1[[#This Row],[Order Date]])</f>
        <v>2024</v>
      </c>
    </row>
    <row r="420" spans="1:14" x14ac:dyDescent="0.35">
      <c r="A420" s="1" t="s">
        <v>822</v>
      </c>
      <c r="B420" s="1" t="s">
        <v>823</v>
      </c>
      <c r="C420" s="1" t="s">
        <v>104</v>
      </c>
      <c r="D420" s="1" t="s">
        <v>60</v>
      </c>
      <c r="E420" s="1" t="s">
        <v>33</v>
      </c>
      <c r="F420" s="1" t="s">
        <v>60</v>
      </c>
      <c r="G420" s="1">
        <v>9</v>
      </c>
      <c r="H420" s="1">
        <v>13015</v>
      </c>
      <c r="I420" s="1">
        <v>0.2</v>
      </c>
      <c r="J420" s="1">
        <v>93708</v>
      </c>
      <c r="K420" s="1">
        <v>7674.2</v>
      </c>
      <c r="L420" s="1" t="s">
        <v>17</v>
      </c>
      <c r="M420" s="1" t="str">
        <f>TEXT(Table1[[#This Row],[Order Date]],"mmm")</f>
        <v>Jul</v>
      </c>
      <c r="N420" s="1">
        <f>YEAR(Table1[[#This Row],[Order Date]])</f>
        <v>2024</v>
      </c>
    </row>
    <row r="421" spans="1:14" x14ac:dyDescent="0.35">
      <c r="A421" s="1" t="s">
        <v>824</v>
      </c>
      <c r="B421" s="1" t="s">
        <v>825</v>
      </c>
      <c r="C421" s="1" t="s">
        <v>332</v>
      </c>
      <c r="D421" s="1" t="s">
        <v>48</v>
      </c>
      <c r="E421" s="1" t="s">
        <v>16</v>
      </c>
      <c r="F421" s="1" t="s">
        <v>48</v>
      </c>
      <c r="G421" s="1">
        <v>6</v>
      </c>
      <c r="H421" s="1">
        <v>48420</v>
      </c>
      <c r="I421" s="1">
        <v>0</v>
      </c>
      <c r="J421" s="1">
        <v>290520</v>
      </c>
      <c r="K421" s="1">
        <v>68848.34</v>
      </c>
      <c r="L421" s="1" t="s">
        <v>23</v>
      </c>
      <c r="M421" s="1" t="str">
        <f>TEXT(Table1[[#This Row],[Order Date]],"mmm")</f>
        <v>Oct</v>
      </c>
      <c r="N421" s="1">
        <f>YEAR(Table1[[#This Row],[Order Date]])</f>
        <v>2023</v>
      </c>
    </row>
    <row r="422" spans="1:14" x14ac:dyDescent="0.35">
      <c r="A422" s="1" t="s">
        <v>826</v>
      </c>
      <c r="B422" s="1" t="s">
        <v>827</v>
      </c>
      <c r="C422" s="1" t="s">
        <v>203</v>
      </c>
      <c r="D422" s="1" t="s">
        <v>74</v>
      </c>
      <c r="E422" s="1" t="s">
        <v>22</v>
      </c>
      <c r="F422" s="1" t="s">
        <v>74</v>
      </c>
      <c r="G422" s="1">
        <v>15</v>
      </c>
      <c r="H422" s="1">
        <v>55993</v>
      </c>
      <c r="I422" s="1">
        <v>0.05</v>
      </c>
      <c r="J422" s="1">
        <v>797900.25</v>
      </c>
      <c r="K422" s="1">
        <v>109023.96</v>
      </c>
      <c r="L422" s="1" t="s">
        <v>17</v>
      </c>
      <c r="M422" s="1" t="str">
        <f>TEXT(Table1[[#This Row],[Order Date]],"mmm")</f>
        <v>Jan</v>
      </c>
      <c r="N422" s="1">
        <f>YEAR(Table1[[#This Row],[Order Date]])</f>
        <v>2023</v>
      </c>
    </row>
    <row r="423" spans="1:14" x14ac:dyDescent="0.35">
      <c r="A423" s="1" t="s">
        <v>828</v>
      </c>
      <c r="B423" s="1" t="s">
        <v>829</v>
      </c>
      <c r="C423" s="1" t="s">
        <v>77</v>
      </c>
      <c r="D423" s="1" t="s">
        <v>179</v>
      </c>
      <c r="E423" s="1" t="s">
        <v>28</v>
      </c>
      <c r="F423" s="1" t="s">
        <v>179</v>
      </c>
      <c r="G423" s="1">
        <v>3</v>
      </c>
      <c r="H423" s="1">
        <v>6891</v>
      </c>
      <c r="I423" s="1">
        <v>0.2</v>
      </c>
      <c r="J423" s="1">
        <v>16538.400000000001</v>
      </c>
      <c r="K423" s="1">
        <v>2669.31</v>
      </c>
      <c r="L423" s="1" t="s">
        <v>23</v>
      </c>
      <c r="M423" s="1" t="str">
        <f>TEXT(Table1[[#This Row],[Order Date]],"mmm")</f>
        <v>Aug</v>
      </c>
      <c r="N423" s="1">
        <f>YEAR(Table1[[#This Row],[Order Date]])</f>
        <v>2024</v>
      </c>
    </row>
    <row r="424" spans="1:14" x14ac:dyDescent="0.35">
      <c r="A424" s="1" t="s">
        <v>830</v>
      </c>
      <c r="B424" s="1" t="s">
        <v>831</v>
      </c>
      <c r="C424" s="1" t="s">
        <v>20</v>
      </c>
      <c r="D424" s="1" t="s">
        <v>293</v>
      </c>
      <c r="E424" s="1" t="s">
        <v>33</v>
      </c>
      <c r="F424" s="1" t="s">
        <v>293</v>
      </c>
      <c r="G424" s="1">
        <v>12</v>
      </c>
      <c r="H424" s="1">
        <v>23981</v>
      </c>
      <c r="I424" s="1">
        <v>0</v>
      </c>
      <c r="J424" s="1">
        <v>287772</v>
      </c>
      <c r="K424" s="1">
        <v>68446.34</v>
      </c>
      <c r="L424" s="1" t="s">
        <v>70</v>
      </c>
      <c r="M424" s="1" t="str">
        <f>TEXT(Table1[[#This Row],[Order Date]],"mmm")</f>
        <v>Jun</v>
      </c>
      <c r="N424" s="1">
        <f>YEAR(Table1[[#This Row],[Order Date]])</f>
        <v>2024</v>
      </c>
    </row>
    <row r="425" spans="1:14" x14ac:dyDescent="0.35">
      <c r="A425" s="1" t="s">
        <v>832</v>
      </c>
      <c r="B425" s="1" t="s">
        <v>833</v>
      </c>
      <c r="C425" s="1" t="s">
        <v>59</v>
      </c>
      <c r="D425" s="1" t="s">
        <v>52</v>
      </c>
      <c r="E425" s="1" t="s">
        <v>28</v>
      </c>
      <c r="F425" s="1" t="s">
        <v>52</v>
      </c>
      <c r="G425" s="1">
        <v>9</v>
      </c>
      <c r="H425" s="1">
        <v>23413</v>
      </c>
      <c r="I425" s="1">
        <v>0.2</v>
      </c>
      <c r="J425" s="1">
        <v>168573.6</v>
      </c>
      <c r="K425" s="1">
        <v>40804.86</v>
      </c>
      <c r="L425" s="1" t="s">
        <v>70</v>
      </c>
      <c r="M425" s="1" t="str">
        <f>TEXT(Table1[[#This Row],[Order Date]],"mmm")</f>
        <v>Apr</v>
      </c>
      <c r="N425" s="1">
        <f>YEAR(Table1[[#This Row],[Order Date]])</f>
        <v>2023</v>
      </c>
    </row>
    <row r="426" spans="1:14" x14ac:dyDescent="0.35">
      <c r="A426" s="1" t="s">
        <v>834</v>
      </c>
      <c r="B426" s="1" t="s">
        <v>835</v>
      </c>
      <c r="C426" s="1" t="s">
        <v>55</v>
      </c>
      <c r="D426" s="1" t="s">
        <v>167</v>
      </c>
      <c r="E426" s="1" t="s">
        <v>16</v>
      </c>
      <c r="F426" s="1" t="s">
        <v>167</v>
      </c>
      <c r="G426" s="1">
        <v>5</v>
      </c>
      <c r="H426" s="1">
        <v>37074</v>
      </c>
      <c r="I426" s="1">
        <v>0</v>
      </c>
      <c r="J426" s="1">
        <v>185370</v>
      </c>
      <c r="K426" s="1">
        <v>31643.61</v>
      </c>
      <c r="L426" s="1" t="s">
        <v>23</v>
      </c>
      <c r="M426" s="1" t="str">
        <f>TEXT(Table1[[#This Row],[Order Date]],"mmm")</f>
        <v>Nov</v>
      </c>
      <c r="N426" s="1">
        <f>YEAR(Table1[[#This Row],[Order Date]])</f>
        <v>2024</v>
      </c>
    </row>
    <row r="427" spans="1:14" x14ac:dyDescent="0.35">
      <c r="A427" s="1" t="s">
        <v>836</v>
      </c>
      <c r="B427" s="1" t="s">
        <v>837</v>
      </c>
      <c r="C427" s="1" t="s">
        <v>155</v>
      </c>
      <c r="D427" s="1" t="s">
        <v>179</v>
      </c>
      <c r="E427" s="1" t="s">
        <v>28</v>
      </c>
      <c r="F427" s="1" t="s">
        <v>179</v>
      </c>
      <c r="G427" s="1">
        <v>14</v>
      </c>
      <c r="H427" s="1">
        <v>6231</v>
      </c>
      <c r="I427" s="1">
        <v>0.05</v>
      </c>
      <c r="J427" s="1">
        <v>82872.3</v>
      </c>
      <c r="K427" s="1">
        <v>10549.71</v>
      </c>
      <c r="L427" s="1" t="s">
        <v>17</v>
      </c>
      <c r="M427" s="1" t="str">
        <f>TEXT(Table1[[#This Row],[Order Date]],"mmm")</f>
        <v>Feb</v>
      </c>
      <c r="N427" s="1">
        <f>YEAR(Table1[[#This Row],[Order Date]])</f>
        <v>2024</v>
      </c>
    </row>
    <row r="428" spans="1:14" x14ac:dyDescent="0.35">
      <c r="A428" s="1" t="s">
        <v>838</v>
      </c>
      <c r="B428" s="1" t="s">
        <v>839</v>
      </c>
      <c r="C428" s="1" t="s">
        <v>162</v>
      </c>
      <c r="D428" s="1" t="s">
        <v>179</v>
      </c>
      <c r="E428" s="1" t="s">
        <v>28</v>
      </c>
      <c r="F428" s="1" t="s">
        <v>179</v>
      </c>
      <c r="G428" s="1">
        <v>13</v>
      </c>
      <c r="H428" s="1">
        <v>32850</v>
      </c>
      <c r="I428" s="1">
        <v>0.15</v>
      </c>
      <c r="J428" s="1">
        <v>362992.5</v>
      </c>
      <c r="K428" s="1">
        <v>89479.26</v>
      </c>
      <c r="L428" s="1" t="s">
        <v>45</v>
      </c>
      <c r="M428" s="1" t="str">
        <f>TEXT(Table1[[#This Row],[Order Date]],"mmm")</f>
        <v>Aug</v>
      </c>
      <c r="N428" s="1">
        <f>YEAR(Table1[[#This Row],[Order Date]])</f>
        <v>2024</v>
      </c>
    </row>
    <row r="429" spans="1:14" x14ac:dyDescent="0.35">
      <c r="A429" s="1" t="s">
        <v>840</v>
      </c>
      <c r="B429" s="1" t="s">
        <v>435</v>
      </c>
      <c r="C429" s="1" t="s">
        <v>120</v>
      </c>
      <c r="D429" s="1" t="s">
        <v>48</v>
      </c>
      <c r="E429" s="1" t="s">
        <v>16</v>
      </c>
      <c r="F429" s="1" t="s">
        <v>48</v>
      </c>
      <c r="G429" s="1">
        <v>10</v>
      </c>
      <c r="H429" s="1">
        <v>1051</v>
      </c>
      <c r="I429" s="1">
        <v>0.05</v>
      </c>
      <c r="J429" s="1">
        <v>9984.5</v>
      </c>
      <c r="K429" s="1">
        <v>2871.05</v>
      </c>
      <c r="L429" s="1" t="s">
        <v>23</v>
      </c>
      <c r="M429" s="1" t="str">
        <f>TEXT(Table1[[#This Row],[Order Date]],"mmm")</f>
        <v>Nov</v>
      </c>
      <c r="N429" s="1">
        <f>YEAR(Table1[[#This Row],[Order Date]])</f>
        <v>2024</v>
      </c>
    </row>
    <row r="430" spans="1:14" x14ac:dyDescent="0.35">
      <c r="A430" s="1" t="s">
        <v>841</v>
      </c>
      <c r="B430" s="1" t="s">
        <v>698</v>
      </c>
      <c r="C430" s="1" t="s">
        <v>227</v>
      </c>
      <c r="D430" s="1" t="s">
        <v>95</v>
      </c>
      <c r="E430" s="1" t="s">
        <v>33</v>
      </c>
      <c r="F430" s="1" t="s">
        <v>95</v>
      </c>
      <c r="G430" s="1">
        <v>15</v>
      </c>
      <c r="H430" s="1">
        <v>15736</v>
      </c>
      <c r="I430" s="1">
        <v>0.05</v>
      </c>
      <c r="J430" s="1">
        <v>224238</v>
      </c>
      <c r="K430" s="1">
        <v>40067.46</v>
      </c>
      <c r="L430" s="1" t="s">
        <v>70</v>
      </c>
      <c r="M430" s="1" t="str">
        <f>TEXT(Table1[[#This Row],[Order Date]],"mmm")</f>
        <v>Mar</v>
      </c>
      <c r="N430" s="1">
        <f>YEAR(Table1[[#This Row],[Order Date]])</f>
        <v>2023</v>
      </c>
    </row>
    <row r="431" spans="1:14" x14ac:dyDescent="0.35">
      <c r="A431" s="1" t="s">
        <v>842</v>
      </c>
      <c r="B431" s="1" t="s">
        <v>843</v>
      </c>
      <c r="C431" s="1" t="s">
        <v>370</v>
      </c>
      <c r="D431" s="1" t="s">
        <v>60</v>
      </c>
      <c r="E431" s="1" t="s">
        <v>33</v>
      </c>
      <c r="F431" s="1" t="s">
        <v>60</v>
      </c>
      <c r="G431" s="1">
        <v>1</v>
      </c>
      <c r="H431" s="1">
        <v>26063</v>
      </c>
      <c r="I431" s="1">
        <v>0.2</v>
      </c>
      <c r="J431" s="1">
        <v>20850.400000000001</v>
      </c>
      <c r="K431" s="1">
        <v>1749.97</v>
      </c>
      <c r="L431" s="1" t="s">
        <v>70</v>
      </c>
      <c r="M431" s="1" t="str">
        <f>TEXT(Table1[[#This Row],[Order Date]],"mmm")</f>
        <v>Feb</v>
      </c>
      <c r="N431" s="1">
        <f>YEAR(Table1[[#This Row],[Order Date]])</f>
        <v>2023</v>
      </c>
    </row>
    <row r="432" spans="1:14" x14ac:dyDescent="0.35">
      <c r="A432" s="1" t="s">
        <v>844</v>
      </c>
      <c r="B432" s="1" t="s">
        <v>580</v>
      </c>
      <c r="C432" s="1" t="s">
        <v>20</v>
      </c>
      <c r="D432" s="1" t="s">
        <v>114</v>
      </c>
      <c r="E432" s="1" t="s">
        <v>16</v>
      </c>
      <c r="F432" s="1" t="s">
        <v>114</v>
      </c>
      <c r="G432" s="1">
        <v>6</v>
      </c>
      <c r="H432" s="1">
        <v>59185</v>
      </c>
      <c r="I432" s="1">
        <v>0.1</v>
      </c>
      <c r="J432" s="1">
        <v>319599</v>
      </c>
      <c r="K432" s="1">
        <v>43063.92</v>
      </c>
      <c r="L432" s="1" t="s">
        <v>70</v>
      </c>
      <c r="M432" s="1" t="str">
        <f>TEXT(Table1[[#This Row],[Order Date]],"mmm")</f>
        <v>Nov</v>
      </c>
      <c r="N432" s="1">
        <f>YEAR(Table1[[#This Row],[Order Date]])</f>
        <v>2024</v>
      </c>
    </row>
    <row r="433" spans="1:14" x14ac:dyDescent="0.35">
      <c r="A433" s="1" t="s">
        <v>845</v>
      </c>
      <c r="B433" s="1" t="s">
        <v>846</v>
      </c>
      <c r="C433" s="1" t="s">
        <v>111</v>
      </c>
      <c r="D433" s="1" t="s">
        <v>224</v>
      </c>
      <c r="E433" s="1" t="s">
        <v>33</v>
      </c>
      <c r="F433" s="1" t="s">
        <v>224</v>
      </c>
      <c r="G433" s="1">
        <v>5</v>
      </c>
      <c r="H433" s="1">
        <v>9427</v>
      </c>
      <c r="I433" s="1">
        <v>0</v>
      </c>
      <c r="J433" s="1">
        <v>47135</v>
      </c>
      <c r="K433" s="1">
        <v>7896.52</v>
      </c>
      <c r="L433" s="1" t="s">
        <v>17</v>
      </c>
      <c r="M433" s="1" t="str">
        <f>TEXT(Table1[[#This Row],[Order Date]],"mmm")</f>
        <v>Aug</v>
      </c>
      <c r="N433" s="1">
        <f>YEAR(Table1[[#This Row],[Order Date]])</f>
        <v>2024</v>
      </c>
    </row>
    <row r="434" spans="1:14" x14ac:dyDescent="0.35">
      <c r="A434" s="1" t="s">
        <v>847</v>
      </c>
      <c r="B434" s="1" t="s">
        <v>848</v>
      </c>
      <c r="C434" s="1" t="s">
        <v>146</v>
      </c>
      <c r="D434" s="1" t="s">
        <v>32</v>
      </c>
      <c r="E434" s="1" t="s">
        <v>33</v>
      </c>
      <c r="F434" s="1" t="s">
        <v>32</v>
      </c>
      <c r="G434" s="1">
        <v>7</v>
      </c>
      <c r="H434" s="1">
        <v>28953</v>
      </c>
      <c r="I434" s="1">
        <v>0.1</v>
      </c>
      <c r="J434" s="1">
        <v>182403.9</v>
      </c>
      <c r="K434" s="1">
        <v>54562.69</v>
      </c>
      <c r="L434" s="1" t="s">
        <v>23</v>
      </c>
      <c r="M434" s="1" t="str">
        <f>TEXT(Table1[[#This Row],[Order Date]],"mmm")</f>
        <v>Mar</v>
      </c>
      <c r="N434" s="1">
        <f>YEAR(Table1[[#This Row],[Order Date]])</f>
        <v>2024</v>
      </c>
    </row>
    <row r="435" spans="1:14" x14ac:dyDescent="0.35">
      <c r="A435" s="1" t="s">
        <v>849</v>
      </c>
      <c r="B435" s="1" t="s">
        <v>850</v>
      </c>
      <c r="C435" s="1" t="s">
        <v>208</v>
      </c>
      <c r="D435" s="1" t="s">
        <v>15</v>
      </c>
      <c r="E435" s="1" t="s">
        <v>16</v>
      </c>
      <c r="F435" s="1" t="s">
        <v>15</v>
      </c>
      <c r="G435" s="1">
        <v>4</v>
      </c>
      <c r="H435" s="1">
        <v>41980</v>
      </c>
      <c r="I435" s="1">
        <v>0.15</v>
      </c>
      <c r="J435" s="1">
        <v>142732</v>
      </c>
      <c r="K435" s="1">
        <v>40305.949999999997</v>
      </c>
      <c r="L435" s="1" t="s">
        <v>70</v>
      </c>
      <c r="M435" s="1" t="str">
        <f>TEXT(Table1[[#This Row],[Order Date]],"mmm")</f>
        <v>May</v>
      </c>
      <c r="N435" s="1">
        <f>YEAR(Table1[[#This Row],[Order Date]])</f>
        <v>2024</v>
      </c>
    </row>
    <row r="436" spans="1:14" x14ac:dyDescent="0.35">
      <c r="A436" s="1" t="s">
        <v>851</v>
      </c>
      <c r="B436" s="1" t="s">
        <v>831</v>
      </c>
      <c r="C436" s="1" t="s">
        <v>40</v>
      </c>
      <c r="D436" s="1" t="s">
        <v>114</v>
      </c>
      <c r="E436" s="1" t="s">
        <v>16</v>
      </c>
      <c r="F436" s="1" t="s">
        <v>114</v>
      </c>
      <c r="G436" s="1">
        <v>12</v>
      </c>
      <c r="H436" s="1">
        <v>28955</v>
      </c>
      <c r="I436" s="1">
        <v>0.05</v>
      </c>
      <c r="J436" s="1">
        <v>330087</v>
      </c>
      <c r="K436" s="1">
        <v>48381.120000000003</v>
      </c>
      <c r="L436" s="1" t="s">
        <v>45</v>
      </c>
      <c r="M436" s="1" t="str">
        <f>TEXT(Table1[[#This Row],[Order Date]],"mmm")</f>
        <v>Jun</v>
      </c>
      <c r="N436" s="1">
        <f>YEAR(Table1[[#This Row],[Order Date]])</f>
        <v>2024</v>
      </c>
    </row>
    <row r="437" spans="1:14" x14ac:dyDescent="0.35">
      <c r="A437" s="1" t="s">
        <v>852</v>
      </c>
      <c r="B437" s="1" t="s">
        <v>853</v>
      </c>
      <c r="C437" s="1" t="s">
        <v>63</v>
      </c>
      <c r="D437" s="1" t="s">
        <v>27</v>
      </c>
      <c r="E437" s="1" t="s">
        <v>28</v>
      </c>
      <c r="F437" s="1" t="s">
        <v>27</v>
      </c>
      <c r="G437" s="1">
        <v>11</v>
      </c>
      <c r="H437" s="1">
        <v>33590</v>
      </c>
      <c r="I437" s="1">
        <v>0</v>
      </c>
      <c r="J437" s="1">
        <v>369490</v>
      </c>
      <c r="K437" s="1">
        <v>98235.76</v>
      </c>
      <c r="L437" s="1" t="s">
        <v>45</v>
      </c>
      <c r="M437" s="1" t="str">
        <f>TEXT(Table1[[#This Row],[Order Date]],"mmm")</f>
        <v>Jun</v>
      </c>
      <c r="N437" s="1">
        <f>YEAR(Table1[[#This Row],[Order Date]])</f>
        <v>2024</v>
      </c>
    </row>
    <row r="438" spans="1:14" x14ac:dyDescent="0.35">
      <c r="A438" s="1" t="s">
        <v>854</v>
      </c>
      <c r="B438" s="1" t="s">
        <v>797</v>
      </c>
      <c r="C438" s="1" t="s">
        <v>104</v>
      </c>
      <c r="D438" s="1" t="s">
        <v>85</v>
      </c>
      <c r="E438" s="1" t="s">
        <v>28</v>
      </c>
      <c r="F438" s="1" t="s">
        <v>85</v>
      </c>
      <c r="G438" s="1">
        <v>4</v>
      </c>
      <c r="H438" s="1">
        <v>41052</v>
      </c>
      <c r="I438" s="1">
        <v>0.05</v>
      </c>
      <c r="J438" s="1">
        <v>155997.6</v>
      </c>
      <c r="K438" s="1">
        <v>46671.92</v>
      </c>
      <c r="L438" s="1" t="s">
        <v>45</v>
      </c>
      <c r="M438" s="1" t="str">
        <f>TEXT(Table1[[#This Row],[Order Date]],"mmm")</f>
        <v>Nov</v>
      </c>
      <c r="N438" s="1">
        <f>YEAR(Table1[[#This Row],[Order Date]])</f>
        <v>2023</v>
      </c>
    </row>
    <row r="439" spans="1:14" x14ac:dyDescent="0.35">
      <c r="A439" s="1" t="s">
        <v>855</v>
      </c>
      <c r="B439" s="1" t="s">
        <v>856</v>
      </c>
      <c r="C439" s="1" t="s">
        <v>158</v>
      </c>
      <c r="D439" s="1" t="s">
        <v>44</v>
      </c>
      <c r="E439" s="1" t="s">
        <v>28</v>
      </c>
      <c r="F439" s="1" t="s">
        <v>44</v>
      </c>
      <c r="G439" s="1">
        <v>2</v>
      </c>
      <c r="H439" s="1">
        <v>44388</v>
      </c>
      <c r="I439" s="1">
        <v>0.1</v>
      </c>
      <c r="J439" s="1">
        <v>79898.399999999994</v>
      </c>
      <c r="K439" s="1">
        <v>22807.35</v>
      </c>
      <c r="L439" s="1" t="s">
        <v>17</v>
      </c>
      <c r="M439" s="1" t="str">
        <f>TEXT(Table1[[#This Row],[Order Date]],"mmm")</f>
        <v>Oct</v>
      </c>
      <c r="N439" s="1">
        <f>YEAR(Table1[[#This Row],[Order Date]])</f>
        <v>2024</v>
      </c>
    </row>
    <row r="440" spans="1:14" x14ac:dyDescent="0.35">
      <c r="A440" s="1" t="s">
        <v>857</v>
      </c>
      <c r="B440" s="1" t="s">
        <v>702</v>
      </c>
      <c r="C440" s="1" t="s">
        <v>31</v>
      </c>
      <c r="D440" s="1" t="s">
        <v>85</v>
      </c>
      <c r="E440" s="1" t="s">
        <v>28</v>
      </c>
      <c r="F440" s="1" t="s">
        <v>85</v>
      </c>
      <c r="G440" s="1">
        <v>12</v>
      </c>
      <c r="H440" s="1">
        <v>50086</v>
      </c>
      <c r="I440" s="1">
        <v>0.2</v>
      </c>
      <c r="J440" s="1">
        <v>480825.59999999998</v>
      </c>
      <c r="K440" s="1">
        <v>40232.89</v>
      </c>
      <c r="L440" s="1" t="s">
        <v>17</v>
      </c>
      <c r="M440" s="1" t="str">
        <f>TEXT(Table1[[#This Row],[Order Date]],"mmm")</f>
        <v>Aug</v>
      </c>
      <c r="N440" s="1">
        <f>YEAR(Table1[[#This Row],[Order Date]])</f>
        <v>2023</v>
      </c>
    </row>
    <row r="441" spans="1:14" x14ac:dyDescent="0.35">
      <c r="A441" s="1" t="s">
        <v>858</v>
      </c>
      <c r="B441" s="1" t="s">
        <v>859</v>
      </c>
      <c r="C441" s="1" t="s">
        <v>349</v>
      </c>
      <c r="D441" s="1" t="s">
        <v>41</v>
      </c>
      <c r="E441" s="1" t="s">
        <v>16</v>
      </c>
      <c r="F441" s="1" t="s">
        <v>41</v>
      </c>
      <c r="G441" s="1">
        <v>4</v>
      </c>
      <c r="H441" s="1">
        <v>34358</v>
      </c>
      <c r="I441" s="1">
        <v>0.05</v>
      </c>
      <c r="J441" s="1">
        <v>130560.4</v>
      </c>
      <c r="K441" s="1">
        <v>24044.880000000001</v>
      </c>
      <c r="L441" s="1" t="s">
        <v>45</v>
      </c>
      <c r="M441" s="1" t="str">
        <f>TEXT(Table1[[#This Row],[Order Date]],"mmm")</f>
        <v>Mar</v>
      </c>
      <c r="N441" s="1">
        <f>YEAR(Table1[[#This Row],[Order Date]])</f>
        <v>2023</v>
      </c>
    </row>
    <row r="442" spans="1:14" x14ac:dyDescent="0.35">
      <c r="A442" s="1" t="s">
        <v>860</v>
      </c>
      <c r="B442" s="1" t="s">
        <v>861</v>
      </c>
      <c r="C442" s="1" t="s">
        <v>507</v>
      </c>
      <c r="D442" s="1" t="s">
        <v>41</v>
      </c>
      <c r="E442" s="1" t="s">
        <v>16</v>
      </c>
      <c r="F442" s="1" t="s">
        <v>41</v>
      </c>
      <c r="G442" s="1">
        <v>6</v>
      </c>
      <c r="H442" s="1">
        <v>30786</v>
      </c>
      <c r="I442" s="1">
        <v>0.05</v>
      </c>
      <c r="J442" s="1">
        <v>175480.2</v>
      </c>
      <c r="K442" s="1">
        <v>43265.03</v>
      </c>
      <c r="L442" s="1" t="s">
        <v>45</v>
      </c>
      <c r="M442" s="1" t="str">
        <f>TEXT(Table1[[#This Row],[Order Date]],"mmm")</f>
        <v>Oct</v>
      </c>
      <c r="N442" s="1">
        <f>YEAR(Table1[[#This Row],[Order Date]])</f>
        <v>2023</v>
      </c>
    </row>
    <row r="443" spans="1:14" x14ac:dyDescent="0.35">
      <c r="A443" s="1" t="s">
        <v>862</v>
      </c>
      <c r="B443" s="1" t="s">
        <v>210</v>
      </c>
      <c r="C443" s="1" t="s">
        <v>81</v>
      </c>
      <c r="D443" s="1" t="s">
        <v>108</v>
      </c>
      <c r="E443" s="1" t="s">
        <v>22</v>
      </c>
      <c r="F443" s="1" t="s">
        <v>108</v>
      </c>
      <c r="G443" s="1">
        <v>15</v>
      </c>
      <c r="H443" s="1">
        <v>15085</v>
      </c>
      <c r="I443" s="1">
        <v>0.15</v>
      </c>
      <c r="J443" s="1">
        <v>192333.75</v>
      </c>
      <c r="K443" s="1">
        <v>18861.28</v>
      </c>
      <c r="L443" s="1" t="s">
        <v>70</v>
      </c>
      <c r="M443" s="1" t="str">
        <f>TEXT(Table1[[#This Row],[Order Date]],"mmm")</f>
        <v>Jun</v>
      </c>
      <c r="N443" s="1">
        <f>YEAR(Table1[[#This Row],[Order Date]])</f>
        <v>2023</v>
      </c>
    </row>
    <row r="444" spans="1:14" x14ac:dyDescent="0.35">
      <c r="A444" s="1" t="s">
        <v>863</v>
      </c>
      <c r="B444" s="1" t="s">
        <v>864</v>
      </c>
      <c r="C444" s="1" t="s">
        <v>94</v>
      </c>
      <c r="D444" s="1" t="s">
        <v>108</v>
      </c>
      <c r="E444" s="1" t="s">
        <v>22</v>
      </c>
      <c r="F444" s="1" t="s">
        <v>108</v>
      </c>
      <c r="G444" s="1">
        <v>1</v>
      </c>
      <c r="H444" s="1">
        <v>34625</v>
      </c>
      <c r="I444" s="1">
        <v>0.05</v>
      </c>
      <c r="J444" s="1">
        <v>32893.75</v>
      </c>
      <c r="K444" s="1">
        <v>6685.91</v>
      </c>
      <c r="L444" s="1" t="s">
        <v>23</v>
      </c>
      <c r="M444" s="1" t="str">
        <f>TEXT(Table1[[#This Row],[Order Date]],"mmm")</f>
        <v>May</v>
      </c>
      <c r="N444" s="1">
        <f>YEAR(Table1[[#This Row],[Order Date]])</f>
        <v>2024</v>
      </c>
    </row>
    <row r="445" spans="1:14" x14ac:dyDescent="0.35">
      <c r="A445" s="1" t="s">
        <v>865</v>
      </c>
      <c r="B445" s="1" t="s">
        <v>269</v>
      </c>
      <c r="C445" s="1" t="s">
        <v>640</v>
      </c>
      <c r="D445" s="1" t="s">
        <v>32</v>
      </c>
      <c r="E445" s="1" t="s">
        <v>33</v>
      </c>
      <c r="F445" s="1" t="s">
        <v>32</v>
      </c>
      <c r="G445" s="1">
        <v>2</v>
      </c>
      <c r="H445" s="1">
        <v>4988</v>
      </c>
      <c r="I445" s="1">
        <v>0.1</v>
      </c>
      <c r="J445" s="1">
        <v>8978.4</v>
      </c>
      <c r="K445" s="1">
        <v>1712.27</v>
      </c>
      <c r="L445" s="1" t="s">
        <v>23</v>
      </c>
      <c r="M445" s="1" t="str">
        <f>TEXT(Table1[[#This Row],[Order Date]],"mmm")</f>
        <v>Dec</v>
      </c>
      <c r="N445" s="1">
        <f>YEAR(Table1[[#This Row],[Order Date]])</f>
        <v>2023</v>
      </c>
    </row>
    <row r="446" spans="1:14" x14ac:dyDescent="0.35">
      <c r="A446" s="1" t="s">
        <v>866</v>
      </c>
      <c r="B446" s="1" t="s">
        <v>867</v>
      </c>
      <c r="C446" s="1" t="s">
        <v>136</v>
      </c>
      <c r="D446" s="1" t="s">
        <v>32</v>
      </c>
      <c r="E446" s="1" t="s">
        <v>33</v>
      </c>
      <c r="F446" s="1" t="s">
        <v>32</v>
      </c>
      <c r="G446" s="1">
        <v>5</v>
      </c>
      <c r="H446" s="1">
        <v>41233</v>
      </c>
      <c r="I446" s="1">
        <v>0.05</v>
      </c>
      <c r="J446" s="1">
        <v>195856.75</v>
      </c>
      <c r="K446" s="1">
        <v>23716.03</v>
      </c>
      <c r="L446" s="1" t="s">
        <v>17</v>
      </c>
      <c r="M446" s="1" t="str">
        <f>TEXT(Table1[[#This Row],[Order Date]],"mmm")</f>
        <v>Aug</v>
      </c>
      <c r="N446" s="1">
        <f>YEAR(Table1[[#This Row],[Order Date]])</f>
        <v>2024</v>
      </c>
    </row>
    <row r="447" spans="1:14" x14ac:dyDescent="0.35">
      <c r="A447" s="1" t="s">
        <v>868</v>
      </c>
      <c r="B447" s="1" t="s">
        <v>39</v>
      </c>
      <c r="C447" s="1" t="s">
        <v>104</v>
      </c>
      <c r="D447" s="1" t="s">
        <v>108</v>
      </c>
      <c r="E447" s="1" t="s">
        <v>22</v>
      </c>
      <c r="F447" s="1" t="s">
        <v>108</v>
      </c>
      <c r="G447" s="1">
        <v>7</v>
      </c>
      <c r="H447" s="1">
        <v>6098</v>
      </c>
      <c r="I447" s="1">
        <v>0.1</v>
      </c>
      <c r="J447" s="1">
        <v>38417.4</v>
      </c>
      <c r="K447" s="1">
        <v>4204.2</v>
      </c>
      <c r="L447" s="1" t="s">
        <v>45</v>
      </c>
      <c r="M447" s="1" t="str">
        <f>TEXT(Table1[[#This Row],[Order Date]],"mmm")</f>
        <v>Nov</v>
      </c>
      <c r="N447" s="1">
        <f>YEAR(Table1[[#This Row],[Order Date]])</f>
        <v>2023</v>
      </c>
    </row>
    <row r="448" spans="1:14" x14ac:dyDescent="0.35">
      <c r="A448" s="1" t="s">
        <v>869</v>
      </c>
      <c r="B448" s="1" t="s">
        <v>547</v>
      </c>
      <c r="C448" s="1" t="s">
        <v>63</v>
      </c>
      <c r="D448" s="1" t="s">
        <v>91</v>
      </c>
      <c r="E448" s="1" t="s">
        <v>16</v>
      </c>
      <c r="F448" s="1" t="s">
        <v>91</v>
      </c>
      <c r="G448" s="1">
        <v>6</v>
      </c>
      <c r="H448" s="1">
        <v>13840</v>
      </c>
      <c r="I448" s="1">
        <v>0</v>
      </c>
      <c r="J448" s="1">
        <v>83040</v>
      </c>
      <c r="K448" s="1">
        <v>18568.169999999998</v>
      </c>
      <c r="L448" s="1" t="s">
        <v>17</v>
      </c>
      <c r="M448" s="1" t="str">
        <f>TEXT(Table1[[#This Row],[Order Date]],"mmm")</f>
        <v>Nov</v>
      </c>
      <c r="N448" s="1">
        <f>YEAR(Table1[[#This Row],[Order Date]])</f>
        <v>2023</v>
      </c>
    </row>
    <row r="449" spans="1:14" x14ac:dyDescent="0.35">
      <c r="A449" s="1" t="s">
        <v>870</v>
      </c>
      <c r="B449" s="1" t="s">
        <v>871</v>
      </c>
      <c r="C449" s="1" t="s">
        <v>125</v>
      </c>
      <c r="D449" s="1" t="s">
        <v>48</v>
      </c>
      <c r="E449" s="1" t="s">
        <v>16</v>
      </c>
      <c r="F449" s="1" t="s">
        <v>48</v>
      </c>
      <c r="G449" s="1">
        <v>13</v>
      </c>
      <c r="H449" s="1">
        <v>31493</v>
      </c>
      <c r="I449" s="1">
        <v>0.1</v>
      </c>
      <c r="J449" s="1">
        <v>368468.1</v>
      </c>
      <c r="K449" s="1">
        <v>51798.55</v>
      </c>
      <c r="L449" s="1" t="s">
        <v>23</v>
      </c>
      <c r="M449" s="1" t="str">
        <f>TEXT(Table1[[#This Row],[Order Date]],"mmm")</f>
        <v>Mar</v>
      </c>
      <c r="N449" s="1">
        <f>YEAR(Table1[[#This Row],[Order Date]])</f>
        <v>2024</v>
      </c>
    </row>
    <row r="450" spans="1:14" x14ac:dyDescent="0.35">
      <c r="A450" s="1" t="s">
        <v>872</v>
      </c>
      <c r="B450" s="1" t="s">
        <v>873</v>
      </c>
      <c r="C450" s="1" t="s">
        <v>507</v>
      </c>
      <c r="D450" s="1" t="s">
        <v>60</v>
      </c>
      <c r="E450" s="1" t="s">
        <v>33</v>
      </c>
      <c r="F450" s="1" t="s">
        <v>60</v>
      </c>
      <c r="G450" s="1">
        <v>5</v>
      </c>
      <c r="H450" s="1">
        <v>49188</v>
      </c>
      <c r="I450" s="1">
        <v>0.1</v>
      </c>
      <c r="J450" s="1">
        <v>221346</v>
      </c>
      <c r="K450" s="1">
        <v>37981.769999999997</v>
      </c>
      <c r="L450" s="1" t="s">
        <v>45</v>
      </c>
      <c r="M450" s="1" t="str">
        <f>TEXT(Table1[[#This Row],[Order Date]],"mmm")</f>
        <v>Dec</v>
      </c>
      <c r="N450" s="1">
        <f>YEAR(Table1[[#This Row],[Order Date]])</f>
        <v>2023</v>
      </c>
    </row>
    <row r="451" spans="1:14" x14ac:dyDescent="0.35">
      <c r="A451" s="1" t="s">
        <v>874</v>
      </c>
      <c r="B451" s="1" t="s">
        <v>875</v>
      </c>
      <c r="C451" s="1" t="s">
        <v>125</v>
      </c>
      <c r="D451" s="1" t="s">
        <v>137</v>
      </c>
      <c r="E451" s="1" t="s">
        <v>22</v>
      </c>
      <c r="F451" s="1" t="s">
        <v>137</v>
      </c>
      <c r="G451" s="1">
        <v>9</v>
      </c>
      <c r="H451" s="1">
        <v>24224</v>
      </c>
      <c r="I451" s="1">
        <v>0.1</v>
      </c>
      <c r="J451" s="1">
        <v>196214.39999999999</v>
      </c>
      <c r="K451" s="1">
        <v>45019.21</v>
      </c>
      <c r="L451" s="1" t="s">
        <v>45</v>
      </c>
      <c r="M451" s="1" t="str">
        <f>TEXT(Table1[[#This Row],[Order Date]],"mmm")</f>
        <v>Mar</v>
      </c>
      <c r="N451" s="1">
        <f>YEAR(Table1[[#This Row],[Order Date]])</f>
        <v>2024</v>
      </c>
    </row>
    <row r="452" spans="1:14" x14ac:dyDescent="0.35">
      <c r="A452" s="1" t="s">
        <v>876</v>
      </c>
      <c r="B452" s="1" t="s">
        <v>288</v>
      </c>
      <c r="C452" s="1" t="s">
        <v>188</v>
      </c>
      <c r="D452" s="1" t="s">
        <v>56</v>
      </c>
      <c r="E452" s="1" t="s">
        <v>22</v>
      </c>
      <c r="F452" s="1" t="s">
        <v>56</v>
      </c>
      <c r="G452" s="1">
        <v>1</v>
      </c>
      <c r="H452" s="1">
        <v>836</v>
      </c>
      <c r="I452" s="1">
        <v>0.15</v>
      </c>
      <c r="J452" s="1">
        <v>710.6</v>
      </c>
      <c r="K452" s="1">
        <v>63.18</v>
      </c>
      <c r="L452" s="1" t="s">
        <v>45</v>
      </c>
      <c r="M452" s="1" t="str">
        <f>TEXT(Table1[[#This Row],[Order Date]],"mmm")</f>
        <v>Jun</v>
      </c>
      <c r="N452" s="1">
        <f>YEAR(Table1[[#This Row],[Order Date]])</f>
        <v>2024</v>
      </c>
    </row>
    <row r="453" spans="1:14" x14ac:dyDescent="0.35">
      <c r="A453" s="1" t="s">
        <v>877</v>
      </c>
      <c r="B453" s="1" t="s">
        <v>794</v>
      </c>
      <c r="C453" s="1" t="s">
        <v>117</v>
      </c>
      <c r="D453" s="1" t="s">
        <v>91</v>
      </c>
      <c r="E453" s="1" t="s">
        <v>16</v>
      </c>
      <c r="F453" s="1" t="s">
        <v>91</v>
      </c>
      <c r="G453" s="1">
        <v>7</v>
      </c>
      <c r="H453" s="1">
        <v>41014</v>
      </c>
      <c r="I453" s="1">
        <v>0.1</v>
      </c>
      <c r="J453" s="1">
        <v>258388.2</v>
      </c>
      <c r="K453" s="1">
        <v>76217.23</v>
      </c>
      <c r="L453" s="1" t="s">
        <v>45</v>
      </c>
      <c r="M453" s="1" t="str">
        <f>TEXT(Table1[[#This Row],[Order Date]],"mmm")</f>
        <v>Mar</v>
      </c>
      <c r="N453" s="1">
        <f>YEAR(Table1[[#This Row],[Order Date]])</f>
        <v>2024</v>
      </c>
    </row>
    <row r="454" spans="1:14" x14ac:dyDescent="0.35">
      <c r="A454" s="1" t="s">
        <v>878</v>
      </c>
      <c r="B454" s="1" t="s">
        <v>879</v>
      </c>
      <c r="C454" s="1" t="s">
        <v>20</v>
      </c>
      <c r="D454" s="1" t="s">
        <v>74</v>
      </c>
      <c r="E454" s="1" t="s">
        <v>22</v>
      </c>
      <c r="F454" s="1" t="s">
        <v>74</v>
      </c>
      <c r="G454" s="1">
        <v>7</v>
      </c>
      <c r="H454" s="1">
        <v>56258</v>
      </c>
      <c r="I454" s="1">
        <v>0.15</v>
      </c>
      <c r="J454" s="1">
        <v>334735.09999999998</v>
      </c>
      <c r="K454" s="1">
        <v>60328.33</v>
      </c>
      <c r="L454" s="1" t="s">
        <v>45</v>
      </c>
      <c r="M454" s="1" t="str">
        <f>TEXT(Table1[[#This Row],[Order Date]],"mmm")</f>
        <v>Jul</v>
      </c>
      <c r="N454" s="1">
        <f>YEAR(Table1[[#This Row],[Order Date]])</f>
        <v>2023</v>
      </c>
    </row>
    <row r="455" spans="1:14" x14ac:dyDescent="0.35">
      <c r="A455" s="1" t="s">
        <v>880</v>
      </c>
      <c r="B455" s="1" t="s">
        <v>881</v>
      </c>
      <c r="C455" s="1" t="s">
        <v>125</v>
      </c>
      <c r="D455" s="1" t="s">
        <v>224</v>
      </c>
      <c r="E455" s="1" t="s">
        <v>33</v>
      </c>
      <c r="F455" s="1" t="s">
        <v>224</v>
      </c>
      <c r="G455" s="1">
        <v>4</v>
      </c>
      <c r="H455" s="1">
        <v>37295</v>
      </c>
      <c r="I455" s="1">
        <v>0.2</v>
      </c>
      <c r="J455" s="1">
        <v>119344</v>
      </c>
      <c r="K455" s="1">
        <v>13327.48</v>
      </c>
      <c r="L455" s="1" t="s">
        <v>70</v>
      </c>
      <c r="M455" s="1" t="str">
        <f>TEXT(Table1[[#This Row],[Order Date]],"mmm")</f>
        <v>Oct</v>
      </c>
      <c r="N455" s="1">
        <f>YEAR(Table1[[#This Row],[Order Date]])</f>
        <v>2024</v>
      </c>
    </row>
    <row r="456" spans="1:14" x14ac:dyDescent="0.35">
      <c r="A456" s="1" t="s">
        <v>882</v>
      </c>
      <c r="B456" s="1" t="s">
        <v>726</v>
      </c>
      <c r="C456" s="1" t="s">
        <v>178</v>
      </c>
      <c r="D456" s="1" t="s">
        <v>85</v>
      </c>
      <c r="E456" s="1" t="s">
        <v>28</v>
      </c>
      <c r="F456" s="1" t="s">
        <v>85</v>
      </c>
      <c r="G456" s="1">
        <v>8</v>
      </c>
      <c r="H456" s="1">
        <v>8263</v>
      </c>
      <c r="I456" s="1">
        <v>0.05</v>
      </c>
      <c r="J456" s="1">
        <v>62798.8</v>
      </c>
      <c r="K456" s="1">
        <v>7366.83</v>
      </c>
      <c r="L456" s="1" t="s">
        <v>17</v>
      </c>
      <c r="M456" s="1" t="str">
        <f>TEXT(Table1[[#This Row],[Order Date]],"mmm")</f>
        <v>Apr</v>
      </c>
      <c r="N456" s="1">
        <f>YEAR(Table1[[#This Row],[Order Date]])</f>
        <v>2024</v>
      </c>
    </row>
    <row r="457" spans="1:14" x14ac:dyDescent="0.35">
      <c r="A457" s="1" t="s">
        <v>883</v>
      </c>
      <c r="B457" s="1" t="s">
        <v>50</v>
      </c>
      <c r="C457" s="1" t="s">
        <v>335</v>
      </c>
      <c r="D457" s="1" t="s">
        <v>37</v>
      </c>
      <c r="E457" s="1" t="s">
        <v>16</v>
      </c>
      <c r="F457" s="1" t="s">
        <v>37</v>
      </c>
      <c r="G457" s="1">
        <v>5</v>
      </c>
      <c r="H457" s="1">
        <v>12673</v>
      </c>
      <c r="I457" s="1">
        <v>0.05</v>
      </c>
      <c r="J457" s="1">
        <v>60196.75</v>
      </c>
      <c r="K457" s="1">
        <v>16117.12</v>
      </c>
      <c r="L457" s="1" t="s">
        <v>70</v>
      </c>
      <c r="M457" s="1" t="str">
        <f>TEXT(Table1[[#This Row],[Order Date]],"mmm")</f>
        <v>May</v>
      </c>
      <c r="N457" s="1">
        <f>YEAR(Table1[[#This Row],[Order Date]])</f>
        <v>2023</v>
      </c>
    </row>
    <row r="458" spans="1:14" x14ac:dyDescent="0.35">
      <c r="A458" s="1" t="s">
        <v>884</v>
      </c>
      <c r="B458" s="1" t="s">
        <v>843</v>
      </c>
      <c r="C458" s="1" t="s">
        <v>51</v>
      </c>
      <c r="D458" s="1" t="s">
        <v>15</v>
      </c>
      <c r="E458" s="1" t="s">
        <v>16</v>
      </c>
      <c r="F458" s="1" t="s">
        <v>15</v>
      </c>
      <c r="G458" s="1">
        <v>8</v>
      </c>
      <c r="H458" s="1">
        <v>23501</v>
      </c>
      <c r="I458" s="1">
        <v>0.15</v>
      </c>
      <c r="J458" s="1">
        <v>159806.79999999999</v>
      </c>
      <c r="K458" s="1">
        <v>20555.830000000002</v>
      </c>
      <c r="L458" s="1" t="s">
        <v>45</v>
      </c>
      <c r="M458" s="1" t="str">
        <f>TEXT(Table1[[#This Row],[Order Date]],"mmm")</f>
        <v>Feb</v>
      </c>
      <c r="N458" s="1">
        <f>YEAR(Table1[[#This Row],[Order Date]])</f>
        <v>2023</v>
      </c>
    </row>
    <row r="459" spans="1:14" x14ac:dyDescent="0.35">
      <c r="A459" s="1" t="s">
        <v>885</v>
      </c>
      <c r="B459" s="1" t="s">
        <v>886</v>
      </c>
      <c r="C459" s="1" t="s">
        <v>26</v>
      </c>
      <c r="D459" s="1" t="s">
        <v>179</v>
      </c>
      <c r="E459" s="1" t="s">
        <v>28</v>
      </c>
      <c r="F459" s="1" t="s">
        <v>179</v>
      </c>
      <c r="G459" s="1">
        <v>15</v>
      </c>
      <c r="H459" s="1">
        <v>17463</v>
      </c>
      <c r="I459" s="1">
        <v>0.1</v>
      </c>
      <c r="J459" s="1">
        <v>235750.5</v>
      </c>
      <c r="K459" s="1">
        <v>25399.41</v>
      </c>
      <c r="L459" s="1" t="s">
        <v>17</v>
      </c>
      <c r="M459" s="1" t="str">
        <f>TEXT(Table1[[#This Row],[Order Date]],"mmm")</f>
        <v>Apr</v>
      </c>
      <c r="N459" s="1">
        <f>YEAR(Table1[[#This Row],[Order Date]])</f>
        <v>2023</v>
      </c>
    </row>
    <row r="460" spans="1:14" x14ac:dyDescent="0.35">
      <c r="A460" s="1" t="s">
        <v>887</v>
      </c>
      <c r="B460" s="1" t="s">
        <v>650</v>
      </c>
      <c r="C460" s="1" t="s">
        <v>26</v>
      </c>
      <c r="D460" s="1" t="s">
        <v>37</v>
      </c>
      <c r="E460" s="1" t="s">
        <v>16</v>
      </c>
      <c r="F460" s="1" t="s">
        <v>37</v>
      </c>
      <c r="G460" s="1">
        <v>8</v>
      </c>
      <c r="H460" s="1">
        <v>20993</v>
      </c>
      <c r="I460" s="1">
        <v>0.1</v>
      </c>
      <c r="J460" s="1">
        <v>151149.6</v>
      </c>
      <c r="K460" s="1">
        <v>40631.870000000003</v>
      </c>
      <c r="L460" s="1" t="s">
        <v>70</v>
      </c>
      <c r="M460" s="1" t="str">
        <f>TEXT(Table1[[#This Row],[Order Date]],"mmm")</f>
        <v>Jun</v>
      </c>
      <c r="N460" s="1">
        <f>YEAR(Table1[[#This Row],[Order Date]])</f>
        <v>2023</v>
      </c>
    </row>
    <row r="461" spans="1:14" x14ac:dyDescent="0.35">
      <c r="A461" s="1" t="s">
        <v>888</v>
      </c>
      <c r="B461" s="1" t="s">
        <v>889</v>
      </c>
      <c r="C461" s="1" t="s">
        <v>14</v>
      </c>
      <c r="D461" s="1" t="s">
        <v>52</v>
      </c>
      <c r="E461" s="1" t="s">
        <v>28</v>
      </c>
      <c r="F461" s="1" t="s">
        <v>52</v>
      </c>
      <c r="G461" s="1">
        <v>5</v>
      </c>
      <c r="H461" s="1">
        <v>55866</v>
      </c>
      <c r="I461" s="1">
        <v>0.05</v>
      </c>
      <c r="J461" s="1">
        <v>265363.5</v>
      </c>
      <c r="K461" s="1">
        <v>25339.66</v>
      </c>
      <c r="L461" s="1" t="s">
        <v>23</v>
      </c>
      <c r="M461" s="1" t="str">
        <f>TEXT(Table1[[#This Row],[Order Date]],"mmm")</f>
        <v>Jul</v>
      </c>
      <c r="N461" s="1">
        <f>YEAR(Table1[[#This Row],[Order Date]])</f>
        <v>2023</v>
      </c>
    </row>
    <row r="462" spans="1:14" x14ac:dyDescent="0.35">
      <c r="A462" s="1" t="s">
        <v>890</v>
      </c>
      <c r="B462" s="1" t="s">
        <v>891</v>
      </c>
      <c r="C462" s="1" t="s">
        <v>178</v>
      </c>
      <c r="D462" s="1" t="s">
        <v>74</v>
      </c>
      <c r="E462" s="1" t="s">
        <v>22</v>
      </c>
      <c r="F462" s="1" t="s">
        <v>74</v>
      </c>
      <c r="G462" s="1">
        <v>11</v>
      </c>
      <c r="H462" s="1">
        <v>18000</v>
      </c>
      <c r="I462" s="1">
        <v>0.05</v>
      </c>
      <c r="J462" s="1">
        <v>188100</v>
      </c>
      <c r="K462" s="1">
        <v>25885.19</v>
      </c>
      <c r="L462" s="1" t="s">
        <v>23</v>
      </c>
      <c r="M462" s="1" t="str">
        <f>TEXT(Table1[[#This Row],[Order Date]],"mmm")</f>
        <v>Feb</v>
      </c>
      <c r="N462" s="1">
        <f>YEAR(Table1[[#This Row],[Order Date]])</f>
        <v>2024</v>
      </c>
    </row>
    <row r="463" spans="1:14" x14ac:dyDescent="0.35">
      <c r="A463" s="1" t="s">
        <v>892</v>
      </c>
      <c r="B463" s="1" t="s">
        <v>893</v>
      </c>
      <c r="C463" s="1" t="s">
        <v>128</v>
      </c>
      <c r="D463" s="1" t="s">
        <v>137</v>
      </c>
      <c r="E463" s="1" t="s">
        <v>22</v>
      </c>
      <c r="F463" s="1" t="s">
        <v>137</v>
      </c>
      <c r="G463" s="1">
        <v>4</v>
      </c>
      <c r="H463" s="1">
        <v>41172</v>
      </c>
      <c r="I463" s="1">
        <v>0.15</v>
      </c>
      <c r="J463" s="1">
        <v>139984.79999999999</v>
      </c>
      <c r="K463" s="1">
        <v>18735.8</v>
      </c>
      <c r="L463" s="1" t="s">
        <v>45</v>
      </c>
      <c r="M463" s="1" t="str">
        <f>TEXT(Table1[[#This Row],[Order Date]],"mmm")</f>
        <v>Oct</v>
      </c>
      <c r="N463" s="1">
        <f>YEAR(Table1[[#This Row],[Order Date]])</f>
        <v>2023</v>
      </c>
    </row>
    <row r="464" spans="1:14" x14ac:dyDescent="0.35">
      <c r="A464" s="1" t="s">
        <v>894</v>
      </c>
      <c r="B464" s="1" t="s">
        <v>429</v>
      </c>
      <c r="C464" s="1" t="s">
        <v>208</v>
      </c>
      <c r="D464" s="1" t="s">
        <v>41</v>
      </c>
      <c r="E464" s="1" t="s">
        <v>16</v>
      </c>
      <c r="F464" s="1" t="s">
        <v>41</v>
      </c>
      <c r="G464" s="1">
        <v>13</v>
      </c>
      <c r="H464" s="1">
        <v>38233</v>
      </c>
      <c r="I464" s="1">
        <v>0</v>
      </c>
      <c r="J464" s="1">
        <v>497029</v>
      </c>
      <c r="K464" s="1">
        <v>124100.74</v>
      </c>
      <c r="L464" s="1" t="s">
        <v>17</v>
      </c>
      <c r="M464" s="1" t="str">
        <f>TEXT(Table1[[#This Row],[Order Date]],"mmm")</f>
        <v>Apr</v>
      </c>
      <c r="N464" s="1">
        <f>YEAR(Table1[[#This Row],[Order Date]])</f>
        <v>2024</v>
      </c>
    </row>
    <row r="465" spans="1:14" x14ac:dyDescent="0.35">
      <c r="A465" s="1" t="s">
        <v>895</v>
      </c>
      <c r="B465" s="1" t="s">
        <v>515</v>
      </c>
      <c r="C465" s="1" t="s">
        <v>188</v>
      </c>
      <c r="D465" s="1" t="s">
        <v>32</v>
      </c>
      <c r="E465" s="1" t="s">
        <v>33</v>
      </c>
      <c r="F465" s="1" t="s">
        <v>32</v>
      </c>
      <c r="G465" s="1">
        <v>12</v>
      </c>
      <c r="H465" s="1">
        <v>52222</v>
      </c>
      <c r="I465" s="1">
        <v>0.1</v>
      </c>
      <c r="J465" s="1">
        <v>563997.6</v>
      </c>
      <c r="K465" s="1">
        <v>81464.42</v>
      </c>
      <c r="L465" s="1" t="s">
        <v>17</v>
      </c>
      <c r="M465" s="1" t="str">
        <f>TEXT(Table1[[#This Row],[Order Date]],"mmm")</f>
        <v>Apr</v>
      </c>
      <c r="N465" s="1">
        <f>YEAR(Table1[[#This Row],[Order Date]])</f>
        <v>2024</v>
      </c>
    </row>
    <row r="466" spans="1:14" x14ac:dyDescent="0.35">
      <c r="A466" s="1" t="s">
        <v>896</v>
      </c>
      <c r="B466" s="1" t="s">
        <v>897</v>
      </c>
      <c r="C466" s="1" t="s">
        <v>128</v>
      </c>
      <c r="D466" s="1" t="s">
        <v>41</v>
      </c>
      <c r="E466" s="1" t="s">
        <v>16</v>
      </c>
      <c r="F466" s="1" t="s">
        <v>41</v>
      </c>
      <c r="G466" s="1">
        <v>13</v>
      </c>
      <c r="H466" s="1">
        <v>37681</v>
      </c>
      <c r="I466" s="1">
        <v>0.15</v>
      </c>
      <c r="J466" s="1">
        <v>416375.05</v>
      </c>
      <c r="K466" s="1">
        <v>63812.86</v>
      </c>
      <c r="L466" s="1" t="s">
        <v>23</v>
      </c>
      <c r="M466" s="1" t="str">
        <f>TEXT(Table1[[#This Row],[Order Date]],"mmm")</f>
        <v>Dec</v>
      </c>
      <c r="N466" s="1">
        <f>YEAR(Table1[[#This Row],[Order Date]])</f>
        <v>2023</v>
      </c>
    </row>
    <row r="467" spans="1:14" x14ac:dyDescent="0.35">
      <c r="A467" s="1" t="s">
        <v>898</v>
      </c>
      <c r="B467" s="1" t="s">
        <v>262</v>
      </c>
      <c r="C467" s="1" t="s">
        <v>335</v>
      </c>
      <c r="D467" s="1" t="s">
        <v>60</v>
      </c>
      <c r="E467" s="1" t="s">
        <v>33</v>
      </c>
      <c r="F467" s="1" t="s">
        <v>60</v>
      </c>
      <c r="G467" s="1">
        <v>3</v>
      </c>
      <c r="H467" s="1">
        <v>3085</v>
      </c>
      <c r="I467" s="1">
        <v>0</v>
      </c>
      <c r="J467" s="1">
        <v>9255</v>
      </c>
      <c r="K467" s="1">
        <v>755.51</v>
      </c>
      <c r="L467" s="1" t="s">
        <v>17</v>
      </c>
      <c r="M467" s="1" t="str">
        <f>TEXT(Table1[[#This Row],[Order Date]],"mmm")</f>
        <v>Jul</v>
      </c>
      <c r="N467" s="1">
        <f>YEAR(Table1[[#This Row],[Order Date]])</f>
        <v>2023</v>
      </c>
    </row>
    <row r="468" spans="1:14" x14ac:dyDescent="0.35">
      <c r="A468" s="1" t="s">
        <v>899</v>
      </c>
      <c r="B468" s="1" t="s">
        <v>554</v>
      </c>
      <c r="C468" s="1" t="s">
        <v>255</v>
      </c>
      <c r="D468" s="1" t="s">
        <v>32</v>
      </c>
      <c r="E468" s="1" t="s">
        <v>33</v>
      </c>
      <c r="F468" s="1" t="s">
        <v>32</v>
      </c>
      <c r="G468" s="1">
        <v>4</v>
      </c>
      <c r="H468" s="1">
        <v>14637</v>
      </c>
      <c r="I468" s="1">
        <v>0.15</v>
      </c>
      <c r="J468" s="1">
        <v>49765.8</v>
      </c>
      <c r="K468" s="1">
        <v>4930.3500000000004</v>
      </c>
      <c r="L468" s="1" t="s">
        <v>70</v>
      </c>
      <c r="M468" s="1" t="str">
        <f>TEXT(Table1[[#This Row],[Order Date]],"mmm")</f>
        <v>Nov</v>
      </c>
      <c r="N468" s="1">
        <f>YEAR(Table1[[#This Row],[Order Date]])</f>
        <v>2023</v>
      </c>
    </row>
    <row r="469" spans="1:14" x14ac:dyDescent="0.35">
      <c r="A469" s="1" t="s">
        <v>900</v>
      </c>
      <c r="B469" s="1" t="s">
        <v>901</v>
      </c>
      <c r="C469" s="1" t="s">
        <v>255</v>
      </c>
      <c r="D469" s="1" t="s">
        <v>52</v>
      </c>
      <c r="E469" s="1" t="s">
        <v>28</v>
      </c>
      <c r="F469" s="1" t="s">
        <v>52</v>
      </c>
      <c r="G469" s="1">
        <v>13</v>
      </c>
      <c r="H469" s="1">
        <v>57659</v>
      </c>
      <c r="I469" s="1">
        <v>0.2</v>
      </c>
      <c r="J469" s="1">
        <v>599653.6</v>
      </c>
      <c r="K469" s="1">
        <v>140754.32</v>
      </c>
      <c r="L469" s="1" t="s">
        <v>70</v>
      </c>
      <c r="M469" s="1" t="str">
        <f>TEXT(Table1[[#This Row],[Order Date]],"mmm")</f>
        <v>May</v>
      </c>
      <c r="N469" s="1">
        <f>YEAR(Table1[[#This Row],[Order Date]])</f>
        <v>2023</v>
      </c>
    </row>
    <row r="470" spans="1:14" x14ac:dyDescent="0.35">
      <c r="A470" s="1" t="s">
        <v>902</v>
      </c>
      <c r="B470" s="1" t="s">
        <v>187</v>
      </c>
      <c r="C470" s="1" t="s">
        <v>67</v>
      </c>
      <c r="D470" s="1" t="s">
        <v>41</v>
      </c>
      <c r="E470" s="1" t="s">
        <v>16</v>
      </c>
      <c r="F470" s="1" t="s">
        <v>41</v>
      </c>
      <c r="G470" s="1">
        <v>7</v>
      </c>
      <c r="H470" s="1">
        <v>19896</v>
      </c>
      <c r="I470" s="1">
        <v>0.15</v>
      </c>
      <c r="J470" s="1">
        <v>118381.2</v>
      </c>
      <c r="K470" s="1">
        <v>30069.16</v>
      </c>
      <c r="L470" s="1" t="s">
        <v>70</v>
      </c>
      <c r="M470" s="1" t="str">
        <f>TEXT(Table1[[#This Row],[Order Date]],"mmm")</f>
        <v>Sep</v>
      </c>
      <c r="N470" s="1">
        <f>YEAR(Table1[[#This Row],[Order Date]])</f>
        <v>2024</v>
      </c>
    </row>
    <row r="471" spans="1:14" x14ac:dyDescent="0.35">
      <c r="A471" s="1" t="s">
        <v>903</v>
      </c>
      <c r="B471" s="1" t="s">
        <v>545</v>
      </c>
      <c r="C471" s="1" t="s">
        <v>260</v>
      </c>
      <c r="D471" s="1" t="s">
        <v>78</v>
      </c>
      <c r="E471" s="1" t="s">
        <v>28</v>
      </c>
      <c r="F471" s="1" t="s">
        <v>78</v>
      </c>
      <c r="G471" s="1">
        <v>12</v>
      </c>
      <c r="H471" s="1">
        <v>2077</v>
      </c>
      <c r="I471" s="1">
        <v>0.1</v>
      </c>
      <c r="J471" s="1">
        <v>22431.599999999999</v>
      </c>
      <c r="K471" s="1">
        <v>4077.62</v>
      </c>
      <c r="L471" s="1" t="s">
        <v>70</v>
      </c>
      <c r="M471" s="1" t="str">
        <f>TEXT(Table1[[#This Row],[Order Date]],"mmm")</f>
        <v>Jan</v>
      </c>
      <c r="N471" s="1">
        <f>YEAR(Table1[[#This Row],[Order Date]])</f>
        <v>2024</v>
      </c>
    </row>
    <row r="472" spans="1:14" x14ac:dyDescent="0.35">
      <c r="A472" s="1" t="s">
        <v>904</v>
      </c>
      <c r="B472" s="1" t="s">
        <v>54</v>
      </c>
      <c r="C472" s="1" t="s">
        <v>40</v>
      </c>
      <c r="D472" s="1" t="s">
        <v>167</v>
      </c>
      <c r="E472" s="1" t="s">
        <v>16</v>
      </c>
      <c r="F472" s="1" t="s">
        <v>167</v>
      </c>
      <c r="G472" s="1">
        <v>13</v>
      </c>
      <c r="H472" s="1">
        <v>48881</v>
      </c>
      <c r="I472" s="1">
        <v>0</v>
      </c>
      <c r="J472" s="1">
        <v>635453</v>
      </c>
      <c r="K472" s="1">
        <v>132325.41</v>
      </c>
      <c r="L472" s="1" t="s">
        <v>45</v>
      </c>
      <c r="M472" s="1" t="str">
        <f>TEXT(Table1[[#This Row],[Order Date]],"mmm")</f>
        <v>Mar</v>
      </c>
      <c r="N472" s="1">
        <f>YEAR(Table1[[#This Row],[Order Date]])</f>
        <v>2023</v>
      </c>
    </row>
    <row r="473" spans="1:14" x14ac:dyDescent="0.35">
      <c r="A473" s="1" t="s">
        <v>905</v>
      </c>
      <c r="B473" s="1" t="s">
        <v>632</v>
      </c>
      <c r="C473" s="1" t="s">
        <v>227</v>
      </c>
      <c r="D473" s="1" t="s">
        <v>44</v>
      </c>
      <c r="E473" s="1" t="s">
        <v>28</v>
      </c>
      <c r="F473" s="1" t="s">
        <v>44</v>
      </c>
      <c r="G473" s="1">
        <v>3</v>
      </c>
      <c r="H473" s="1">
        <v>1910</v>
      </c>
      <c r="I473" s="1">
        <v>0.05</v>
      </c>
      <c r="J473" s="1">
        <v>5443.5</v>
      </c>
      <c r="K473" s="1">
        <v>951.81</v>
      </c>
      <c r="L473" s="1" t="s">
        <v>70</v>
      </c>
      <c r="M473" s="1" t="str">
        <f>TEXT(Table1[[#This Row],[Order Date]],"mmm")</f>
        <v>Mar</v>
      </c>
      <c r="N473" s="1">
        <f>YEAR(Table1[[#This Row],[Order Date]])</f>
        <v>2024</v>
      </c>
    </row>
    <row r="474" spans="1:14" x14ac:dyDescent="0.35">
      <c r="A474" s="1" t="s">
        <v>906</v>
      </c>
      <c r="B474" s="1" t="s">
        <v>907</v>
      </c>
      <c r="C474" s="1" t="s">
        <v>128</v>
      </c>
      <c r="D474" s="1" t="s">
        <v>41</v>
      </c>
      <c r="E474" s="1" t="s">
        <v>16</v>
      </c>
      <c r="F474" s="1" t="s">
        <v>41</v>
      </c>
      <c r="G474" s="1">
        <v>7</v>
      </c>
      <c r="H474" s="1">
        <v>26649</v>
      </c>
      <c r="I474" s="1">
        <v>0.1</v>
      </c>
      <c r="J474" s="1">
        <v>167888.7</v>
      </c>
      <c r="K474" s="1">
        <v>13935.81</v>
      </c>
      <c r="L474" s="1" t="s">
        <v>70</v>
      </c>
      <c r="M474" s="1" t="str">
        <f>TEXT(Table1[[#This Row],[Order Date]],"mmm")</f>
        <v>Mar</v>
      </c>
      <c r="N474" s="1">
        <f>YEAR(Table1[[#This Row],[Order Date]])</f>
        <v>2023</v>
      </c>
    </row>
    <row r="475" spans="1:14" x14ac:dyDescent="0.35">
      <c r="A475" s="1" t="s">
        <v>908</v>
      </c>
      <c r="B475" s="1" t="s">
        <v>909</v>
      </c>
      <c r="C475" s="1" t="s">
        <v>101</v>
      </c>
      <c r="D475" s="1" t="s">
        <v>323</v>
      </c>
      <c r="E475" s="1" t="s">
        <v>33</v>
      </c>
      <c r="F475" s="1" t="s">
        <v>323</v>
      </c>
      <c r="G475" s="1">
        <v>11</v>
      </c>
      <c r="H475" s="1">
        <v>12187</v>
      </c>
      <c r="I475" s="1">
        <v>0.2</v>
      </c>
      <c r="J475" s="1">
        <v>107245.6</v>
      </c>
      <c r="K475" s="1">
        <v>15926.22</v>
      </c>
      <c r="L475" s="1" t="s">
        <v>70</v>
      </c>
      <c r="M475" s="1" t="str">
        <f>TEXT(Table1[[#This Row],[Order Date]],"mmm")</f>
        <v>Sep</v>
      </c>
      <c r="N475" s="1">
        <f>YEAR(Table1[[#This Row],[Order Date]])</f>
        <v>2024</v>
      </c>
    </row>
    <row r="476" spans="1:14" x14ac:dyDescent="0.35">
      <c r="A476" s="1" t="s">
        <v>910</v>
      </c>
      <c r="B476" s="1" t="s">
        <v>517</v>
      </c>
      <c r="C476" s="1" t="s">
        <v>200</v>
      </c>
      <c r="D476" s="1" t="s">
        <v>32</v>
      </c>
      <c r="E476" s="1" t="s">
        <v>33</v>
      </c>
      <c r="F476" s="1" t="s">
        <v>32</v>
      </c>
      <c r="G476" s="1">
        <v>11</v>
      </c>
      <c r="H476" s="1">
        <v>40215</v>
      </c>
      <c r="I476" s="1">
        <v>0.15</v>
      </c>
      <c r="J476" s="1">
        <v>376010.25</v>
      </c>
      <c r="K476" s="1">
        <v>47842.98</v>
      </c>
      <c r="L476" s="1" t="s">
        <v>45</v>
      </c>
      <c r="M476" s="1" t="str">
        <f>TEXT(Table1[[#This Row],[Order Date]],"mmm")</f>
        <v>Jun</v>
      </c>
      <c r="N476" s="1">
        <f>YEAR(Table1[[#This Row],[Order Date]])</f>
        <v>2024</v>
      </c>
    </row>
    <row r="477" spans="1:14" x14ac:dyDescent="0.35">
      <c r="A477" s="1" t="s">
        <v>911</v>
      </c>
      <c r="B477" s="1" t="s">
        <v>638</v>
      </c>
      <c r="C477" s="1" t="s">
        <v>370</v>
      </c>
      <c r="D477" s="1" t="s">
        <v>78</v>
      </c>
      <c r="E477" s="1" t="s">
        <v>28</v>
      </c>
      <c r="F477" s="1" t="s">
        <v>78</v>
      </c>
      <c r="G477" s="1">
        <v>15</v>
      </c>
      <c r="H477" s="1">
        <v>28206</v>
      </c>
      <c r="I477" s="1">
        <v>0</v>
      </c>
      <c r="J477" s="1">
        <v>423090</v>
      </c>
      <c r="K477" s="1">
        <v>96715.75</v>
      </c>
      <c r="L477" s="1" t="s">
        <v>23</v>
      </c>
      <c r="M477" s="1" t="str">
        <f>TEXT(Table1[[#This Row],[Order Date]],"mmm")</f>
        <v>May</v>
      </c>
      <c r="N477" s="1">
        <f>YEAR(Table1[[#This Row],[Order Date]])</f>
        <v>2023</v>
      </c>
    </row>
    <row r="478" spans="1:14" x14ac:dyDescent="0.35">
      <c r="A478" s="1" t="s">
        <v>912</v>
      </c>
      <c r="B478" s="1" t="s">
        <v>821</v>
      </c>
      <c r="C478" s="1" t="s">
        <v>170</v>
      </c>
      <c r="D478" s="1" t="s">
        <v>44</v>
      </c>
      <c r="E478" s="1" t="s">
        <v>28</v>
      </c>
      <c r="F478" s="1" t="s">
        <v>44</v>
      </c>
      <c r="G478" s="1">
        <v>14</v>
      </c>
      <c r="H478" s="1">
        <v>53882</v>
      </c>
      <c r="I478" s="1">
        <v>0</v>
      </c>
      <c r="J478" s="1">
        <v>754348</v>
      </c>
      <c r="K478" s="1">
        <v>202172.24</v>
      </c>
      <c r="L478" s="1" t="s">
        <v>70</v>
      </c>
      <c r="M478" s="1" t="str">
        <f>TEXT(Table1[[#This Row],[Order Date]],"mmm")</f>
        <v>Aug</v>
      </c>
      <c r="N478" s="1">
        <f>YEAR(Table1[[#This Row],[Order Date]])</f>
        <v>2024</v>
      </c>
    </row>
    <row r="479" spans="1:14" x14ac:dyDescent="0.35">
      <c r="A479" s="1" t="s">
        <v>913</v>
      </c>
      <c r="B479" s="1" t="s">
        <v>914</v>
      </c>
      <c r="C479" s="1" t="s">
        <v>101</v>
      </c>
      <c r="D479" s="1" t="s">
        <v>37</v>
      </c>
      <c r="E479" s="1" t="s">
        <v>16</v>
      </c>
      <c r="F479" s="1" t="s">
        <v>37</v>
      </c>
      <c r="G479" s="1">
        <v>5</v>
      </c>
      <c r="H479" s="1">
        <v>56253</v>
      </c>
      <c r="I479" s="1">
        <v>0.15</v>
      </c>
      <c r="J479" s="1">
        <v>239075.25</v>
      </c>
      <c r="K479" s="1">
        <v>21199.08</v>
      </c>
      <c r="L479" s="1" t="s">
        <v>70</v>
      </c>
      <c r="M479" s="1" t="str">
        <f>TEXT(Table1[[#This Row],[Order Date]],"mmm")</f>
        <v>Apr</v>
      </c>
      <c r="N479" s="1">
        <f>YEAR(Table1[[#This Row],[Order Date]])</f>
        <v>2023</v>
      </c>
    </row>
    <row r="480" spans="1:14" x14ac:dyDescent="0.35">
      <c r="A480" s="1" t="s">
        <v>915</v>
      </c>
      <c r="B480" s="1" t="s">
        <v>916</v>
      </c>
      <c r="C480" s="1" t="s">
        <v>55</v>
      </c>
      <c r="D480" s="1" t="s">
        <v>15</v>
      </c>
      <c r="E480" s="1" t="s">
        <v>16</v>
      </c>
      <c r="F480" s="1" t="s">
        <v>15</v>
      </c>
      <c r="G480" s="1">
        <v>15</v>
      </c>
      <c r="H480" s="1">
        <v>51139</v>
      </c>
      <c r="I480" s="1">
        <v>0</v>
      </c>
      <c r="J480" s="1">
        <v>767085</v>
      </c>
      <c r="K480" s="1">
        <v>71996.72</v>
      </c>
      <c r="L480" s="1" t="s">
        <v>45</v>
      </c>
      <c r="M480" s="1" t="str">
        <f>TEXT(Table1[[#This Row],[Order Date]],"mmm")</f>
        <v>Sep</v>
      </c>
      <c r="N480" s="1">
        <f>YEAR(Table1[[#This Row],[Order Date]])</f>
        <v>2023</v>
      </c>
    </row>
    <row r="481" spans="1:14" x14ac:dyDescent="0.35">
      <c r="A481" s="1" t="s">
        <v>917</v>
      </c>
      <c r="B481" s="1" t="s">
        <v>30</v>
      </c>
      <c r="C481" s="1" t="s">
        <v>73</v>
      </c>
      <c r="D481" s="1" t="s">
        <v>151</v>
      </c>
      <c r="E481" s="1" t="s">
        <v>22</v>
      </c>
      <c r="F481" s="1" t="s">
        <v>151</v>
      </c>
      <c r="G481" s="1">
        <v>2</v>
      </c>
      <c r="H481" s="1">
        <v>59717</v>
      </c>
      <c r="I481" s="1">
        <v>0</v>
      </c>
      <c r="J481" s="1">
        <v>119434</v>
      </c>
      <c r="K481" s="1">
        <v>18355.25</v>
      </c>
      <c r="L481" s="1" t="s">
        <v>23</v>
      </c>
      <c r="M481" s="1" t="str">
        <f>TEXT(Table1[[#This Row],[Order Date]],"mmm")</f>
        <v>Apr</v>
      </c>
      <c r="N481" s="1">
        <f>YEAR(Table1[[#This Row],[Order Date]])</f>
        <v>2023</v>
      </c>
    </row>
    <row r="482" spans="1:14" x14ac:dyDescent="0.35">
      <c r="A482" s="1" t="s">
        <v>918</v>
      </c>
      <c r="B482" s="1" t="s">
        <v>132</v>
      </c>
      <c r="C482" s="1" t="s">
        <v>20</v>
      </c>
      <c r="D482" s="1" t="s">
        <v>179</v>
      </c>
      <c r="E482" s="1" t="s">
        <v>28</v>
      </c>
      <c r="F482" s="1" t="s">
        <v>179</v>
      </c>
      <c r="G482" s="1">
        <v>13</v>
      </c>
      <c r="H482" s="1">
        <v>4140</v>
      </c>
      <c r="I482" s="1">
        <v>0.15</v>
      </c>
      <c r="J482" s="1">
        <v>45747</v>
      </c>
      <c r="K482" s="1">
        <v>10319.74</v>
      </c>
      <c r="L482" s="1" t="s">
        <v>70</v>
      </c>
      <c r="M482" s="1" t="str">
        <f>TEXT(Table1[[#This Row],[Order Date]],"mmm")</f>
        <v>Feb</v>
      </c>
      <c r="N482" s="1">
        <f>YEAR(Table1[[#This Row],[Order Date]])</f>
        <v>2023</v>
      </c>
    </row>
    <row r="483" spans="1:14" x14ac:dyDescent="0.35">
      <c r="A483" s="1" t="s">
        <v>919</v>
      </c>
      <c r="B483" s="1" t="s">
        <v>392</v>
      </c>
      <c r="C483" s="1" t="s">
        <v>67</v>
      </c>
      <c r="D483" s="1" t="s">
        <v>37</v>
      </c>
      <c r="E483" s="1" t="s">
        <v>16</v>
      </c>
      <c r="F483" s="1" t="s">
        <v>37</v>
      </c>
      <c r="G483" s="1">
        <v>15</v>
      </c>
      <c r="H483" s="1">
        <v>28086</v>
      </c>
      <c r="I483" s="1">
        <v>0.2</v>
      </c>
      <c r="J483" s="1">
        <v>337032</v>
      </c>
      <c r="K483" s="1">
        <v>39689.269999999997</v>
      </c>
      <c r="L483" s="1" t="s">
        <v>17</v>
      </c>
      <c r="M483" s="1" t="str">
        <f>TEXT(Table1[[#This Row],[Order Date]],"mmm")</f>
        <v>May</v>
      </c>
      <c r="N483" s="1">
        <f>YEAR(Table1[[#This Row],[Order Date]])</f>
        <v>2024</v>
      </c>
    </row>
    <row r="484" spans="1:14" x14ac:dyDescent="0.35">
      <c r="A484" s="1" t="s">
        <v>920</v>
      </c>
      <c r="B484" s="1" t="s">
        <v>921</v>
      </c>
      <c r="C484" s="1" t="s">
        <v>111</v>
      </c>
      <c r="D484" s="1" t="s">
        <v>32</v>
      </c>
      <c r="E484" s="1" t="s">
        <v>33</v>
      </c>
      <c r="F484" s="1" t="s">
        <v>32</v>
      </c>
      <c r="G484" s="1">
        <v>6</v>
      </c>
      <c r="H484" s="1">
        <v>39177</v>
      </c>
      <c r="I484" s="1">
        <v>0.15</v>
      </c>
      <c r="J484" s="1">
        <v>199802.7</v>
      </c>
      <c r="K484" s="1">
        <v>57484.15</v>
      </c>
      <c r="L484" s="1" t="s">
        <v>17</v>
      </c>
      <c r="M484" s="1" t="str">
        <f>TEXT(Table1[[#This Row],[Order Date]],"mmm")</f>
        <v>Jul</v>
      </c>
      <c r="N484" s="1">
        <f>YEAR(Table1[[#This Row],[Order Date]])</f>
        <v>2023</v>
      </c>
    </row>
    <row r="485" spans="1:14" x14ac:dyDescent="0.35">
      <c r="A485" s="1" t="s">
        <v>922</v>
      </c>
      <c r="B485" s="1" t="s">
        <v>221</v>
      </c>
      <c r="C485" s="1" t="s">
        <v>51</v>
      </c>
      <c r="D485" s="1" t="s">
        <v>85</v>
      </c>
      <c r="E485" s="1" t="s">
        <v>28</v>
      </c>
      <c r="F485" s="1" t="s">
        <v>85</v>
      </c>
      <c r="G485" s="1">
        <v>3</v>
      </c>
      <c r="H485" s="1">
        <v>23230</v>
      </c>
      <c r="I485" s="1">
        <v>0.15</v>
      </c>
      <c r="J485" s="1">
        <v>59236.5</v>
      </c>
      <c r="K485" s="1">
        <v>4755.42</v>
      </c>
      <c r="L485" s="1" t="s">
        <v>45</v>
      </c>
      <c r="M485" s="1" t="str">
        <f>TEXT(Table1[[#This Row],[Order Date]],"mmm")</f>
        <v>Dec</v>
      </c>
      <c r="N485" s="1">
        <f>YEAR(Table1[[#This Row],[Order Date]])</f>
        <v>2023</v>
      </c>
    </row>
    <row r="486" spans="1:14" x14ac:dyDescent="0.35">
      <c r="A486" s="1" t="s">
        <v>923</v>
      </c>
      <c r="B486" s="1" t="s">
        <v>797</v>
      </c>
      <c r="C486" s="1" t="s">
        <v>227</v>
      </c>
      <c r="D486" s="1" t="s">
        <v>85</v>
      </c>
      <c r="E486" s="1" t="s">
        <v>28</v>
      </c>
      <c r="F486" s="1" t="s">
        <v>85</v>
      </c>
      <c r="G486" s="1">
        <v>3</v>
      </c>
      <c r="H486" s="1">
        <v>33309</v>
      </c>
      <c r="I486" s="1">
        <v>0.15</v>
      </c>
      <c r="J486" s="1">
        <v>84937.95</v>
      </c>
      <c r="K486" s="1">
        <v>10350.44</v>
      </c>
      <c r="L486" s="1" t="s">
        <v>17</v>
      </c>
      <c r="M486" s="1" t="str">
        <f>TEXT(Table1[[#This Row],[Order Date]],"mmm")</f>
        <v>Nov</v>
      </c>
      <c r="N486" s="1">
        <f>YEAR(Table1[[#This Row],[Order Date]])</f>
        <v>2023</v>
      </c>
    </row>
    <row r="487" spans="1:14" x14ac:dyDescent="0.35">
      <c r="A487" s="1" t="s">
        <v>924</v>
      </c>
      <c r="B487" s="1" t="s">
        <v>83</v>
      </c>
      <c r="C487" s="1" t="s">
        <v>117</v>
      </c>
      <c r="D487" s="1" t="s">
        <v>44</v>
      </c>
      <c r="E487" s="1" t="s">
        <v>28</v>
      </c>
      <c r="F487" s="1" t="s">
        <v>44</v>
      </c>
      <c r="G487" s="1">
        <v>14</v>
      </c>
      <c r="H487" s="1">
        <v>17555</v>
      </c>
      <c r="I487" s="1">
        <v>0.05</v>
      </c>
      <c r="J487" s="1">
        <v>233481.5</v>
      </c>
      <c r="K487" s="1">
        <v>59381.21</v>
      </c>
      <c r="L487" s="1" t="s">
        <v>70</v>
      </c>
      <c r="M487" s="1" t="str">
        <f>TEXT(Table1[[#This Row],[Order Date]],"mmm")</f>
        <v>Mar</v>
      </c>
      <c r="N487" s="1">
        <f>YEAR(Table1[[#This Row],[Order Date]])</f>
        <v>2024</v>
      </c>
    </row>
    <row r="488" spans="1:14" x14ac:dyDescent="0.35">
      <c r="A488" s="1" t="s">
        <v>925</v>
      </c>
      <c r="B488" s="1" t="s">
        <v>410</v>
      </c>
      <c r="C488" s="1" t="s">
        <v>200</v>
      </c>
      <c r="D488" s="1" t="s">
        <v>167</v>
      </c>
      <c r="E488" s="1" t="s">
        <v>16</v>
      </c>
      <c r="F488" s="1" t="s">
        <v>167</v>
      </c>
      <c r="G488" s="1">
        <v>4</v>
      </c>
      <c r="H488" s="1">
        <v>3975</v>
      </c>
      <c r="I488" s="1">
        <v>0.15</v>
      </c>
      <c r="J488" s="1">
        <v>13515</v>
      </c>
      <c r="K488" s="1">
        <v>1743.75</v>
      </c>
      <c r="L488" s="1" t="s">
        <v>70</v>
      </c>
      <c r="M488" s="1" t="str">
        <f>TEXT(Table1[[#This Row],[Order Date]],"mmm")</f>
        <v>Sep</v>
      </c>
      <c r="N488" s="1">
        <f>YEAR(Table1[[#This Row],[Order Date]])</f>
        <v>2024</v>
      </c>
    </row>
    <row r="489" spans="1:14" x14ac:dyDescent="0.35">
      <c r="A489" s="1" t="s">
        <v>926</v>
      </c>
      <c r="B489" s="1" t="s">
        <v>927</v>
      </c>
      <c r="C489" s="1" t="s">
        <v>260</v>
      </c>
      <c r="D489" s="1" t="s">
        <v>78</v>
      </c>
      <c r="E489" s="1" t="s">
        <v>28</v>
      </c>
      <c r="F489" s="1" t="s">
        <v>78</v>
      </c>
      <c r="G489" s="1">
        <v>6</v>
      </c>
      <c r="H489" s="1">
        <v>57055</v>
      </c>
      <c r="I489" s="1">
        <v>0.1</v>
      </c>
      <c r="J489" s="1">
        <v>308097</v>
      </c>
      <c r="K489" s="1">
        <v>60344.33</v>
      </c>
      <c r="L489" s="1" t="s">
        <v>70</v>
      </c>
      <c r="M489" s="1" t="str">
        <f>TEXT(Table1[[#This Row],[Order Date]],"mmm")</f>
        <v>May</v>
      </c>
      <c r="N489" s="1">
        <f>YEAR(Table1[[#This Row],[Order Date]])</f>
        <v>2024</v>
      </c>
    </row>
    <row r="490" spans="1:14" x14ac:dyDescent="0.35">
      <c r="A490" s="1" t="s">
        <v>928</v>
      </c>
      <c r="B490" s="1" t="s">
        <v>873</v>
      </c>
      <c r="C490" s="1" t="s">
        <v>117</v>
      </c>
      <c r="D490" s="1" t="s">
        <v>32</v>
      </c>
      <c r="E490" s="1" t="s">
        <v>33</v>
      </c>
      <c r="F490" s="1" t="s">
        <v>32</v>
      </c>
      <c r="G490" s="1">
        <v>10</v>
      </c>
      <c r="H490" s="1">
        <v>17626</v>
      </c>
      <c r="I490" s="1">
        <v>0.05</v>
      </c>
      <c r="J490" s="1">
        <v>167447</v>
      </c>
      <c r="K490" s="1">
        <v>42000.36</v>
      </c>
      <c r="L490" s="1" t="s">
        <v>70</v>
      </c>
      <c r="M490" s="1" t="str">
        <f>TEXT(Table1[[#This Row],[Order Date]],"mmm")</f>
        <v>Dec</v>
      </c>
      <c r="N490" s="1">
        <f>YEAR(Table1[[#This Row],[Order Date]])</f>
        <v>2023</v>
      </c>
    </row>
    <row r="491" spans="1:14" x14ac:dyDescent="0.35">
      <c r="A491" s="1" t="s">
        <v>929</v>
      </c>
      <c r="B491" s="1" t="s">
        <v>930</v>
      </c>
      <c r="C491" s="1" t="s">
        <v>170</v>
      </c>
      <c r="D491" s="1" t="s">
        <v>21</v>
      </c>
      <c r="E491" s="1" t="s">
        <v>22</v>
      </c>
      <c r="F491" s="1" t="s">
        <v>21</v>
      </c>
      <c r="G491" s="1">
        <v>3</v>
      </c>
      <c r="H491" s="1">
        <v>30860</v>
      </c>
      <c r="I491" s="1">
        <v>0.15</v>
      </c>
      <c r="J491" s="1">
        <v>78693</v>
      </c>
      <c r="K491" s="1">
        <v>23256.54</v>
      </c>
      <c r="L491" s="1" t="s">
        <v>23</v>
      </c>
      <c r="M491" s="1" t="str">
        <f>TEXT(Table1[[#This Row],[Order Date]],"mmm")</f>
        <v>Apr</v>
      </c>
      <c r="N491" s="1">
        <f>YEAR(Table1[[#This Row],[Order Date]])</f>
        <v>2024</v>
      </c>
    </row>
    <row r="492" spans="1:14" x14ac:dyDescent="0.35">
      <c r="A492" s="1" t="s">
        <v>931</v>
      </c>
      <c r="B492" s="1" t="s">
        <v>932</v>
      </c>
      <c r="C492" s="1" t="s">
        <v>255</v>
      </c>
      <c r="D492" s="1" t="s">
        <v>37</v>
      </c>
      <c r="E492" s="1" t="s">
        <v>16</v>
      </c>
      <c r="F492" s="1" t="s">
        <v>37</v>
      </c>
      <c r="G492" s="1">
        <v>12</v>
      </c>
      <c r="H492" s="1">
        <v>34023</v>
      </c>
      <c r="I492" s="1">
        <v>0.2</v>
      </c>
      <c r="J492" s="1">
        <v>326620.79999999999</v>
      </c>
      <c r="K492" s="1">
        <v>44337.3</v>
      </c>
      <c r="L492" s="1" t="s">
        <v>70</v>
      </c>
      <c r="M492" s="1" t="str">
        <f>TEXT(Table1[[#This Row],[Order Date]],"mmm")</f>
        <v>Jun</v>
      </c>
      <c r="N492" s="1">
        <f>YEAR(Table1[[#This Row],[Order Date]])</f>
        <v>2023</v>
      </c>
    </row>
    <row r="493" spans="1:14" x14ac:dyDescent="0.35">
      <c r="A493" s="1" t="s">
        <v>933</v>
      </c>
      <c r="B493" s="1" t="s">
        <v>934</v>
      </c>
      <c r="C493" s="1" t="s">
        <v>146</v>
      </c>
      <c r="D493" s="1" t="s">
        <v>224</v>
      </c>
      <c r="E493" s="1" t="s">
        <v>33</v>
      </c>
      <c r="F493" s="1" t="s">
        <v>224</v>
      </c>
      <c r="G493" s="1">
        <v>12</v>
      </c>
      <c r="H493" s="1">
        <v>28223</v>
      </c>
      <c r="I493" s="1">
        <v>0.05</v>
      </c>
      <c r="J493" s="1">
        <v>321742.2</v>
      </c>
      <c r="K493" s="1">
        <v>48928.51</v>
      </c>
      <c r="L493" s="1" t="s">
        <v>45</v>
      </c>
      <c r="M493" s="1" t="str">
        <f>TEXT(Table1[[#This Row],[Order Date]],"mmm")</f>
        <v>Jun</v>
      </c>
      <c r="N493" s="1">
        <f>YEAR(Table1[[#This Row],[Order Date]])</f>
        <v>2023</v>
      </c>
    </row>
    <row r="494" spans="1:14" x14ac:dyDescent="0.35">
      <c r="A494" s="1" t="s">
        <v>935</v>
      </c>
      <c r="B494" s="1" t="s">
        <v>39</v>
      </c>
      <c r="C494" s="1" t="s">
        <v>117</v>
      </c>
      <c r="D494" s="1" t="s">
        <v>74</v>
      </c>
      <c r="E494" s="1" t="s">
        <v>22</v>
      </c>
      <c r="F494" s="1" t="s">
        <v>74</v>
      </c>
      <c r="G494" s="1">
        <v>2</v>
      </c>
      <c r="H494" s="1">
        <v>45252</v>
      </c>
      <c r="I494" s="1">
        <v>0</v>
      </c>
      <c r="J494" s="1">
        <v>90504</v>
      </c>
      <c r="K494" s="1">
        <v>24756.73</v>
      </c>
      <c r="L494" s="1" t="s">
        <v>23</v>
      </c>
      <c r="M494" s="1" t="str">
        <f>TEXT(Table1[[#This Row],[Order Date]],"mmm")</f>
        <v>Nov</v>
      </c>
      <c r="N494" s="1">
        <f>YEAR(Table1[[#This Row],[Order Date]])</f>
        <v>2023</v>
      </c>
    </row>
    <row r="495" spans="1:14" x14ac:dyDescent="0.35">
      <c r="A495" s="1" t="s">
        <v>936</v>
      </c>
      <c r="B495" s="1" t="s">
        <v>937</v>
      </c>
      <c r="C495" s="1" t="s">
        <v>36</v>
      </c>
      <c r="D495" s="1" t="s">
        <v>37</v>
      </c>
      <c r="E495" s="1" t="s">
        <v>16</v>
      </c>
      <c r="F495" s="1" t="s">
        <v>37</v>
      </c>
      <c r="G495" s="1">
        <v>9</v>
      </c>
      <c r="H495" s="1">
        <v>51228</v>
      </c>
      <c r="I495" s="1">
        <v>0</v>
      </c>
      <c r="J495" s="1">
        <v>461052</v>
      </c>
      <c r="K495" s="1">
        <v>106982.73</v>
      </c>
      <c r="L495" s="1" t="s">
        <v>45</v>
      </c>
      <c r="M495" s="1" t="str">
        <f>TEXT(Table1[[#This Row],[Order Date]],"mmm")</f>
        <v>Oct</v>
      </c>
      <c r="N495" s="1">
        <f>YEAR(Table1[[#This Row],[Order Date]])</f>
        <v>2023</v>
      </c>
    </row>
    <row r="496" spans="1:14" x14ac:dyDescent="0.35">
      <c r="A496" s="1" t="s">
        <v>938</v>
      </c>
      <c r="B496" s="1" t="s">
        <v>939</v>
      </c>
      <c r="C496" s="1" t="s">
        <v>117</v>
      </c>
      <c r="D496" s="1" t="s">
        <v>167</v>
      </c>
      <c r="E496" s="1" t="s">
        <v>16</v>
      </c>
      <c r="F496" s="1" t="s">
        <v>167</v>
      </c>
      <c r="G496" s="1">
        <v>13</v>
      </c>
      <c r="H496" s="1">
        <v>12195</v>
      </c>
      <c r="I496" s="1">
        <v>0.15</v>
      </c>
      <c r="J496" s="1">
        <v>134754.75</v>
      </c>
      <c r="K496" s="1">
        <v>31697.08</v>
      </c>
      <c r="L496" s="1" t="s">
        <v>23</v>
      </c>
      <c r="M496" s="1" t="str">
        <f>TEXT(Table1[[#This Row],[Order Date]],"mmm")</f>
        <v>Apr</v>
      </c>
      <c r="N496" s="1">
        <f>YEAR(Table1[[#This Row],[Order Date]])</f>
        <v>2024</v>
      </c>
    </row>
    <row r="497" spans="1:14" x14ac:dyDescent="0.35">
      <c r="A497" s="1" t="s">
        <v>940</v>
      </c>
      <c r="B497" s="1" t="s">
        <v>202</v>
      </c>
      <c r="C497" s="1" t="s">
        <v>20</v>
      </c>
      <c r="D497" s="1" t="s">
        <v>32</v>
      </c>
      <c r="E497" s="1" t="s">
        <v>33</v>
      </c>
      <c r="F497" s="1" t="s">
        <v>32</v>
      </c>
      <c r="G497" s="1">
        <v>13</v>
      </c>
      <c r="H497" s="1">
        <v>2749</v>
      </c>
      <c r="I497" s="1">
        <v>0.2</v>
      </c>
      <c r="J497" s="1">
        <v>28589.599999999999</v>
      </c>
      <c r="K497" s="1">
        <v>8514.25</v>
      </c>
      <c r="L497" s="1" t="s">
        <v>23</v>
      </c>
      <c r="M497" s="1" t="str">
        <f>TEXT(Table1[[#This Row],[Order Date]],"mmm")</f>
        <v>Jun</v>
      </c>
      <c r="N497" s="1">
        <f>YEAR(Table1[[#This Row],[Order Date]])</f>
        <v>2023</v>
      </c>
    </row>
    <row r="498" spans="1:14" x14ac:dyDescent="0.35">
      <c r="A498" s="1" t="s">
        <v>941</v>
      </c>
      <c r="B498" s="1" t="s">
        <v>83</v>
      </c>
      <c r="C498" s="1" t="s">
        <v>26</v>
      </c>
      <c r="D498" s="1" t="s">
        <v>44</v>
      </c>
      <c r="E498" s="1" t="s">
        <v>28</v>
      </c>
      <c r="F498" s="1" t="s">
        <v>44</v>
      </c>
      <c r="G498" s="1">
        <v>15</v>
      </c>
      <c r="H498" s="1">
        <v>35137</v>
      </c>
      <c r="I498" s="1">
        <v>0</v>
      </c>
      <c r="J498" s="1">
        <v>527055</v>
      </c>
      <c r="K498" s="1">
        <v>130324.78</v>
      </c>
      <c r="L498" s="1" t="s">
        <v>23</v>
      </c>
      <c r="M498" s="1" t="str">
        <f>TEXT(Table1[[#This Row],[Order Date]],"mmm")</f>
        <v>Mar</v>
      </c>
      <c r="N498" s="1">
        <f>YEAR(Table1[[#This Row],[Order Date]])</f>
        <v>2024</v>
      </c>
    </row>
    <row r="499" spans="1:14" x14ac:dyDescent="0.35">
      <c r="A499" s="1" t="s">
        <v>942</v>
      </c>
      <c r="B499" s="1" t="s">
        <v>360</v>
      </c>
      <c r="C499" s="1" t="s">
        <v>136</v>
      </c>
      <c r="D499" s="1" t="s">
        <v>37</v>
      </c>
      <c r="E499" s="1" t="s">
        <v>16</v>
      </c>
      <c r="F499" s="1" t="s">
        <v>37</v>
      </c>
      <c r="G499" s="1">
        <v>4</v>
      </c>
      <c r="H499" s="1">
        <v>11962</v>
      </c>
      <c r="I499" s="1">
        <v>0.05</v>
      </c>
      <c r="J499" s="1">
        <v>45455.6</v>
      </c>
      <c r="K499" s="1">
        <v>11367.73</v>
      </c>
      <c r="L499" s="1" t="s">
        <v>17</v>
      </c>
      <c r="M499" s="1" t="str">
        <f>TEXT(Table1[[#This Row],[Order Date]],"mmm")</f>
        <v>Jun</v>
      </c>
      <c r="N499" s="1">
        <f>YEAR(Table1[[#This Row],[Order Date]])</f>
        <v>2023</v>
      </c>
    </row>
    <row r="500" spans="1:14" x14ac:dyDescent="0.35">
      <c r="A500" s="1" t="s">
        <v>943</v>
      </c>
      <c r="B500" s="1" t="s">
        <v>944</v>
      </c>
      <c r="C500" s="1" t="s">
        <v>63</v>
      </c>
      <c r="D500" s="1" t="s">
        <v>91</v>
      </c>
      <c r="E500" s="1" t="s">
        <v>16</v>
      </c>
      <c r="F500" s="1" t="s">
        <v>91</v>
      </c>
      <c r="G500" s="1">
        <v>2</v>
      </c>
      <c r="H500" s="1">
        <v>12703</v>
      </c>
      <c r="I500" s="1">
        <v>0.05</v>
      </c>
      <c r="J500" s="1">
        <v>24135.7</v>
      </c>
      <c r="K500" s="1">
        <v>4381.66</v>
      </c>
      <c r="L500" s="1" t="s">
        <v>45</v>
      </c>
      <c r="M500" s="1" t="str">
        <f>TEXT(Table1[[#This Row],[Order Date]],"mmm")</f>
        <v>Aug</v>
      </c>
      <c r="N500" s="1">
        <f>YEAR(Table1[[#This Row],[Order Date]])</f>
        <v>2024</v>
      </c>
    </row>
    <row r="501" spans="1:14" x14ac:dyDescent="0.35">
      <c r="A501" s="1" t="s">
        <v>945</v>
      </c>
      <c r="B501" s="1" t="s">
        <v>946</v>
      </c>
      <c r="C501" s="1" t="s">
        <v>26</v>
      </c>
      <c r="D501" s="1" t="s">
        <v>15</v>
      </c>
      <c r="E501" s="1" t="s">
        <v>16</v>
      </c>
      <c r="F501" s="1" t="s">
        <v>15</v>
      </c>
      <c r="G501" s="1">
        <v>15</v>
      </c>
      <c r="H501" s="1">
        <v>32601</v>
      </c>
      <c r="I501" s="1">
        <v>0.15</v>
      </c>
      <c r="J501" s="1">
        <v>415662.75</v>
      </c>
      <c r="K501" s="1">
        <v>99087.08</v>
      </c>
      <c r="L501" s="1" t="s">
        <v>17</v>
      </c>
      <c r="M501" s="1" t="str">
        <f>TEXT(Table1[[#This Row],[Order Date]],"mmm")</f>
        <v>Jun</v>
      </c>
      <c r="N501" s="1">
        <f>YEAR(Table1[[#This Row],[Order Date]])</f>
        <v>2024</v>
      </c>
    </row>
    <row r="502" spans="1:14" x14ac:dyDescent="0.35">
      <c r="A502" s="1" t="s">
        <v>947</v>
      </c>
      <c r="B502" s="1" t="s">
        <v>948</v>
      </c>
      <c r="C502" s="1" t="s">
        <v>59</v>
      </c>
      <c r="D502" s="1" t="s">
        <v>78</v>
      </c>
      <c r="E502" s="1" t="s">
        <v>28</v>
      </c>
      <c r="F502" s="1" t="s">
        <v>78</v>
      </c>
      <c r="G502" s="1">
        <v>1</v>
      </c>
      <c r="H502" s="1">
        <v>40250</v>
      </c>
      <c r="I502" s="1">
        <v>0.15</v>
      </c>
      <c r="J502" s="1">
        <v>34212.5</v>
      </c>
      <c r="K502" s="1">
        <v>4072.52</v>
      </c>
      <c r="L502" s="1" t="s">
        <v>23</v>
      </c>
      <c r="M502" s="1" t="str">
        <f>TEXT(Table1[[#This Row],[Order Date]],"mmm")</f>
        <v>Dec</v>
      </c>
      <c r="N502" s="1">
        <f>YEAR(Table1[[#This Row],[Order Date]])</f>
        <v>2023</v>
      </c>
    </row>
    <row r="503" spans="1:14" x14ac:dyDescent="0.35">
      <c r="A503" s="1" t="s">
        <v>949</v>
      </c>
      <c r="B503" s="1" t="s">
        <v>80</v>
      </c>
      <c r="C503" s="1" t="s">
        <v>36</v>
      </c>
      <c r="D503" s="1" t="s">
        <v>114</v>
      </c>
      <c r="E503" s="1" t="s">
        <v>16</v>
      </c>
      <c r="F503" s="1" t="s">
        <v>114</v>
      </c>
      <c r="G503" s="1">
        <v>3</v>
      </c>
      <c r="H503" s="1">
        <v>42382</v>
      </c>
      <c r="I503" s="1">
        <v>0.15</v>
      </c>
      <c r="J503" s="1">
        <v>108074.1</v>
      </c>
      <c r="K503" s="1">
        <v>20345.46</v>
      </c>
      <c r="L503" s="1" t="s">
        <v>23</v>
      </c>
      <c r="M503" s="1" t="str">
        <f>TEXT(Table1[[#This Row],[Order Date]],"mmm")</f>
        <v>Jan</v>
      </c>
      <c r="N503" s="1">
        <f>YEAR(Table1[[#This Row],[Order Date]])</f>
        <v>2023</v>
      </c>
    </row>
    <row r="504" spans="1:14" x14ac:dyDescent="0.35">
      <c r="A504" s="1" t="s">
        <v>950</v>
      </c>
      <c r="B504" s="1" t="s">
        <v>853</v>
      </c>
      <c r="C504" s="1" t="s">
        <v>77</v>
      </c>
      <c r="D504" s="1" t="s">
        <v>78</v>
      </c>
      <c r="E504" s="1" t="s">
        <v>28</v>
      </c>
      <c r="F504" s="1" t="s">
        <v>78</v>
      </c>
      <c r="G504" s="1">
        <v>8</v>
      </c>
      <c r="H504" s="1">
        <v>4398</v>
      </c>
      <c r="I504" s="1">
        <v>0.05</v>
      </c>
      <c r="J504" s="1">
        <v>33424.800000000003</v>
      </c>
      <c r="K504" s="1">
        <v>2917.34</v>
      </c>
      <c r="L504" s="1" t="s">
        <v>70</v>
      </c>
      <c r="M504" s="1" t="str">
        <f>TEXT(Table1[[#This Row],[Order Date]],"mmm")</f>
        <v>Jun</v>
      </c>
      <c r="N504" s="1">
        <f>YEAR(Table1[[#This Row],[Order Date]])</f>
        <v>2024</v>
      </c>
    </row>
    <row r="505" spans="1:14" x14ac:dyDescent="0.35">
      <c r="A505" s="1" t="s">
        <v>951</v>
      </c>
      <c r="B505" s="1" t="s">
        <v>952</v>
      </c>
      <c r="C505" s="1" t="s">
        <v>81</v>
      </c>
      <c r="D505" s="1" t="s">
        <v>114</v>
      </c>
      <c r="E505" s="1" t="s">
        <v>16</v>
      </c>
      <c r="F505" s="1" t="s">
        <v>114</v>
      </c>
      <c r="G505" s="1">
        <v>3</v>
      </c>
      <c r="H505" s="1">
        <v>47871</v>
      </c>
      <c r="I505" s="1">
        <v>0.1</v>
      </c>
      <c r="J505" s="1">
        <v>129251.7</v>
      </c>
      <c r="K505" s="1">
        <v>21475.29</v>
      </c>
      <c r="L505" s="1" t="s">
        <v>17</v>
      </c>
      <c r="M505" s="1" t="str">
        <f>TEXT(Table1[[#This Row],[Order Date]],"mmm")</f>
        <v>Oct</v>
      </c>
      <c r="N505" s="1">
        <f>YEAR(Table1[[#This Row],[Order Date]])</f>
        <v>2023</v>
      </c>
    </row>
    <row r="506" spans="1:14" x14ac:dyDescent="0.35">
      <c r="A506" s="1" t="s">
        <v>953</v>
      </c>
      <c r="B506" s="1" t="s">
        <v>954</v>
      </c>
      <c r="C506" s="1" t="s">
        <v>104</v>
      </c>
      <c r="D506" s="1" t="s">
        <v>15</v>
      </c>
      <c r="E506" s="1" t="s">
        <v>16</v>
      </c>
      <c r="F506" s="1" t="s">
        <v>15</v>
      </c>
      <c r="G506" s="1">
        <v>11</v>
      </c>
      <c r="H506" s="1">
        <v>23297</v>
      </c>
      <c r="I506" s="1">
        <v>0.05</v>
      </c>
      <c r="J506" s="1">
        <v>243453.65</v>
      </c>
      <c r="K506" s="1">
        <v>53656.83</v>
      </c>
      <c r="L506" s="1" t="s">
        <v>23</v>
      </c>
      <c r="M506" s="1" t="str">
        <f>TEXT(Table1[[#This Row],[Order Date]],"mmm")</f>
        <v>Jul</v>
      </c>
      <c r="N506" s="1">
        <f>YEAR(Table1[[#This Row],[Order Date]])</f>
        <v>2024</v>
      </c>
    </row>
    <row r="507" spans="1:14" x14ac:dyDescent="0.35">
      <c r="A507" s="1" t="s">
        <v>955</v>
      </c>
      <c r="B507" s="1" t="s">
        <v>956</v>
      </c>
      <c r="C507" s="1" t="s">
        <v>208</v>
      </c>
      <c r="D507" s="1" t="s">
        <v>60</v>
      </c>
      <c r="E507" s="1" t="s">
        <v>33</v>
      </c>
      <c r="F507" s="1" t="s">
        <v>60</v>
      </c>
      <c r="G507" s="1">
        <v>12</v>
      </c>
      <c r="H507" s="1">
        <v>4354</v>
      </c>
      <c r="I507" s="1">
        <v>0.05</v>
      </c>
      <c r="J507" s="1">
        <v>49635.6</v>
      </c>
      <c r="K507" s="1">
        <v>7932.79</v>
      </c>
      <c r="L507" s="1" t="s">
        <v>17</v>
      </c>
      <c r="M507" s="1" t="str">
        <f>TEXT(Table1[[#This Row],[Order Date]],"mmm")</f>
        <v>Aug</v>
      </c>
      <c r="N507" s="1">
        <f>YEAR(Table1[[#This Row],[Order Date]])</f>
        <v>2024</v>
      </c>
    </row>
    <row r="508" spans="1:14" x14ac:dyDescent="0.35">
      <c r="A508" s="1" t="s">
        <v>957</v>
      </c>
      <c r="B508" s="1" t="s">
        <v>234</v>
      </c>
      <c r="C508" s="1" t="s">
        <v>14</v>
      </c>
      <c r="D508" s="1" t="s">
        <v>141</v>
      </c>
      <c r="E508" s="1" t="s">
        <v>22</v>
      </c>
      <c r="F508" s="1" t="s">
        <v>141</v>
      </c>
      <c r="G508" s="1">
        <v>5</v>
      </c>
      <c r="H508" s="1">
        <v>4017</v>
      </c>
      <c r="I508" s="1">
        <v>0</v>
      </c>
      <c r="J508" s="1">
        <v>20085</v>
      </c>
      <c r="K508" s="1">
        <v>4742.83</v>
      </c>
      <c r="L508" s="1" t="s">
        <v>70</v>
      </c>
      <c r="M508" s="1" t="str">
        <f>TEXT(Table1[[#This Row],[Order Date]],"mmm")</f>
        <v>May</v>
      </c>
      <c r="N508" s="1">
        <f>YEAR(Table1[[#This Row],[Order Date]])</f>
        <v>2024</v>
      </c>
    </row>
    <row r="509" spans="1:14" x14ac:dyDescent="0.35">
      <c r="A509" s="1" t="s">
        <v>958</v>
      </c>
      <c r="B509" s="1" t="s">
        <v>959</v>
      </c>
      <c r="C509" s="1" t="s">
        <v>111</v>
      </c>
      <c r="D509" s="1" t="s">
        <v>64</v>
      </c>
      <c r="E509" s="1" t="s">
        <v>33</v>
      </c>
      <c r="F509" s="1" t="s">
        <v>64</v>
      </c>
      <c r="G509" s="1">
        <v>11</v>
      </c>
      <c r="H509" s="1">
        <v>27647</v>
      </c>
      <c r="I509" s="1">
        <v>0.1</v>
      </c>
      <c r="J509" s="1">
        <v>273705.3</v>
      </c>
      <c r="K509" s="1">
        <v>80526.97</v>
      </c>
      <c r="L509" s="1" t="s">
        <v>45</v>
      </c>
      <c r="M509" s="1" t="str">
        <f>TEXT(Table1[[#This Row],[Order Date]],"mmm")</f>
        <v>Oct</v>
      </c>
      <c r="N509" s="1">
        <f>YEAR(Table1[[#This Row],[Order Date]])</f>
        <v>2023</v>
      </c>
    </row>
    <row r="510" spans="1:14" x14ac:dyDescent="0.35">
      <c r="A510" s="1" t="s">
        <v>960</v>
      </c>
      <c r="B510" s="1" t="s">
        <v>707</v>
      </c>
      <c r="C510" s="1" t="s">
        <v>362</v>
      </c>
      <c r="D510" s="1" t="s">
        <v>108</v>
      </c>
      <c r="E510" s="1" t="s">
        <v>22</v>
      </c>
      <c r="F510" s="1" t="s">
        <v>108</v>
      </c>
      <c r="G510" s="1">
        <v>13</v>
      </c>
      <c r="H510" s="1">
        <v>14375</v>
      </c>
      <c r="I510" s="1">
        <v>0.05</v>
      </c>
      <c r="J510" s="1">
        <v>177531.25</v>
      </c>
      <c r="K510" s="1">
        <v>42593.34</v>
      </c>
      <c r="L510" s="1" t="s">
        <v>23</v>
      </c>
      <c r="M510" s="1" t="str">
        <f>TEXT(Table1[[#This Row],[Order Date]],"mmm")</f>
        <v>Oct</v>
      </c>
      <c r="N510" s="1">
        <f>YEAR(Table1[[#This Row],[Order Date]])</f>
        <v>2024</v>
      </c>
    </row>
    <row r="511" spans="1:14" x14ac:dyDescent="0.35">
      <c r="A511" s="1" t="s">
        <v>961</v>
      </c>
      <c r="B511" s="1" t="s">
        <v>676</v>
      </c>
      <c r="C511" s="1" t="s">
        <v>63</v>
      </c>
      <c r="D511" s="1" t="s">
        <v>293</v>
      </c>
      <c r="E511" s="1" t="s">
        <v>33</v>
      </c>
      <c r="F511" s="1" t="s">
        <v>293</v>
      </c>
      <c r="G511" s="1">
        <v>13</v>
      </c>
      <c r="H511" s="1">
        <v>2826</v>
      </c>
      <c r="I511" s="1">
        <v>0.15</v>
      </c>
      <c r="J511" s="1">
        <v>31227.3</v>
      </c>
      <c r="K511" s="1">
        <v>7064.63</v>
      </c>
      <c r="L511" s="1" t="s">
        <v>17</v>
      </c>
      <c r="M511" s="1" t="str">
        <f>TEXT(Table1[[#This Row],[Order Date]],"mmm")</f>
        <v>Oct</v>
      </c>
      <c r="N511" s="1">
        <f>YEAR(Table1[[#This Row],[Order Date]])</f>
        <v>2023</v>
      </c>
    </row>
    <row r="512" spans="1:14" x14ac:dyDescent="0.35">
      <c r="A512" s="1" t="s">
        <v>962</v>
      </c>
      <c r="B512" s="1" t="s">
        <v>963</v>
      </c>
      <c r="C512" s="1" t="s">
        <v>14</v>
      </c>
      <c r="D512" s="1" t="s">
        <v>85</v>
      </c>
      <c r="E512" s="1" t="s">
        <v>28</v>
      </c>
      <c r="F512" s="1" t="s">
        <v>85</v>
      </c>
      <c r="G512" s="1">
        <v>10</v>
      </c>
      <c r="H512" s="1">
        <v>39288</v>
      </c>
      <c r="I512" s="1">
        <v>0.2</v>
      </c>
      <c r="J512" s="1">
        <v>314304</v>
      </c>
      <c r="K512" s="1">
        <v>80128.789999999994</v>
      </c>
      <c r="L512" s="1" t="s">
        <v>17</v>
      </c>
      <c r="M512" s="1" t="str">
        <f>TEXT(Table1[[#This Row],[Order Date]],"mmm")</f>
        <v>Oct</v>
      </c>
      <c r="N512" s="1">
        <f>YEAR(Table1[[#This Row],[Order Date]])</f>
        <v>2024</v>
      </c>
    </row>
    <row r="513" spans="1:14" x14ac:dyDescent="0.35">
      <c r="A513" s="1" t="s">
        <v>964</v>
      </c>
      <c r="B513" s="1" t="s">
        <v>965</v>
      </c>
      <c r="C513" s="1" t="s">
        <v>146</v>
      </c>
      <c r="D513" s="1" t="s">
        <v>60</v>
      </c>
      <c r="E513" s="1" t="s">
        <v>33</v>
      </c>
      <c r="F513" s="1" t="s">
        <v>60</v>
      </c>
      <c r="G513" s="1">
        <v>13</v>
      </c>
      <c r="H513" s="1">
        <v>58121</v>
      </c>
      <c r="I513" s="1">
        <v>0.15</v>
      </c>
      <c r="J513" s="1">
        <v>642237.05000000005</v>
      </c>
      <c r="K513" s="1">
        <v>151165.57999999999</v>
      </c>
      <c r="L513" s="1" t="s">
        <v>45</v>
      </c>
      <c r="M513" s="1" t="str">
        <f>TEXT(Table1[[#This Row],[Order Date]],"mmm")</f>
        <v>Jan</v>
      </c>
      <c r="N513" s="1">
        <f>YEAR(Table1[[#This Row],[Order Date]])</f>
        <v>2024</v>
      </c>
    </row>
    <row r="514" spans="1:14" x14ac:dyDescent="0.35">
      <c r="A514" s="1" t="s">
        <v>966</v>
      </c>
      <c r="B514" s="1" t="s">
        <v>402</v>
      </c>
      <c r="C514" s="1" t="s">
        <v>40</v>
      </c>
      <c r="D514" s="1" t="s">
        <v>133</v>
      </c>
      <c r="E514" s="1" t="s">
        <v>22</v>
      </c>
      <c r="F514" s="1" t="s">
        <v>133</v>
      </c>
      <c r="G514" s="1">
        <v>11</v>
      </c>
      <c r="H514" s="1">
        <v>29606</v>
      </c>
      <c r="I514" s="1">
        <v>0.1</v>
      </c>
      <c r="J514" s="1">
        <v>293099.40000000002</v>
      </c>
      <c r="K514" s="1">
        <v>85523.75</v>
      </c>
      <c r="L514" s="1" t="s">
        <v>45</v>
      </c>
      <c r="M514" s="1" t="str">
        <f>TEXT(Table1[[#This Row],[Order Date]],"mmm")</f>
        <v>Feb</v>
      </c>
      <c r="N514" s="1">
        <f>YEAR(Table1[[#This Row],[Order Date]])</f>
        <v>2023</v>
      </c>
    </row>
    <row r="515" spans="1:14" x14ac:dyDescent="0.35">
      <c r="A515" s="1" t="s">
        <v>967</v>
      </c>
      <c r="B515" s="1" t="s">
        <v>596</v>
      </c>
      <c r="C515" s="1" t="s">
        <v>88</v>
      </c>
      <c r="D515" s="1" t="s">
        <v>141</v>
      </c>
      <c r="E515" s="1" t="s">
        <v>22</v>
      </c>
      <c r="F515" s="1" t="s">
        <v>141</v>
      </c>
      <c r="G515" s="1">
        <v>4</v>
      </c>
      <c r="H515" s="1">
        <v>51389</v>
      </c>
      <c r="I515" s="1">
        <v>0.05</v>
      </c>
      <c r="J515" s="1">
        <v>195278.2</v>
      </c>
      <c r="K515" s="1">
        <v>55377.83</v>
      </c>
      <c r="L515" s="1" t="s">
        <v>17</v>
      </c>
      <c r="M515" s="1" t="str">
        <f>TEXT(Table1[[#This Row],[Order Date]],"mmm")</f>
        <v>Nov</v>
      </c>
      <c r="N515" s="1">
        <f>YEAR(Table1[[#This Row],[Order Date]])</f>
        <v>2023</v>
      </c>
    </row>
    <row r="516" spans="1:14" x14ac:dyDescent="0.35">
      <c r="A516" s="1" t="s">
        <v>968</v>
      </c>
      <c r="B516" s="1" t="s">
        <v>969</v>
      </c>
      <c r="C516" s="1" t="s">
        <v>188</v>
      </c>
      <c r="D516" s="1" t="s">
        <v>41</v>
      </c>
      <c r="E516" s="1" t="s">
        <v>16</v>
      </c>
      <c r="F516" s="1" t="s">
        <v>41</v>
      </c>
      <c r="G516" s="1">
        <v>14</v>
      </c>
      <c r="H516" s="1">
        <v>8188</v>
      </c>
      <c r="I516" s="1">
        <v>0.05</v>
      </c>
      <c r="J516" s="1">
        <v>108900.4</v>
      </c>
      <c r="K516" s="1">
        <v>24220.2</v>
      </c>
      <c r="L516" s="1" t="s">
        <v>70</v>
      </c>
      <c r="M516" s="1" t="str">
        <f>TEXT(Table1[[#This Row],[Order Date]],"mmm")</f>
        <v>Aug</v>
      </c>
      <c r="N516" s="1">
        <f>YEAR(Table1[[#This Row],[Order Date]])</f>
        <v>2024</v>
      </c>
    </row>
    <row r="517" spans="1:14" x14ac:dyDescent="0.35">
      <c r="A517" s="1" t="s">
        <v>970</v>
      </c>
      <c r="B517" s="1" t="s">
        <v>303</v>
      </c>
      <c r="C517" s="1" t="s">
        <v>55</v>
      </c>
      <c r="D517" s="1" t="s">
        <v>74</v>
      </c>
      <c r="E517" s="1" t="s">
        <v>22</v>
      </c>
      <c r="F517" s="1" t="s">
        <v>74</v>
      </c>
      <c r="G517" s="1">
        <v>6</v>
      </c>
      <c r="H517" s="1">
        <v>14463</v>
      </c>
      <c r="I517" s="1">
        <v>0.2</v>
      </c>
      <c r="J517" s="1">
        <v>69422.399999999994</v>
      </c>
      <c r="K517" s="1">
        <v>16445.41</v>
      </c>
      <c r="L517" s="1" t="s">
        <v>23</v>
      </c>
      <c r="M517" s="1" t="str">
        <f>TEXT(Table1[[#This Row],[Order Date]],"mmm")</f>
        <v>Jun</v>
      </c>
      <c r="N517" s="1">
        <f>YEAR(Table1[[#This Row],[Order Date]])</f>
        <v>2024</v>
      </c>
    </row>
    <row r="518" spans="1:14" x14ac:dyDescent="0.35">
      <c r="A518" s="1" t="s">
        <v>971</v>
      </c>
      <c r="B518" s="1" t="s">
        <v>835</v>
      </c>
      <c r="C518" s="1" t="s">
        <v>98</v>
      </c>
      <c r="D518" s="1" t="s">
        <v>141</v>
      </c>
      <c r="E518" s="1" t="s">
        <v>22</v>
      </c>
      <c r="F518" s="1" t="s">
        <v>141</v>
      </c>
      <c r="G518" s="1">
        <v>3</v>
      </c>
      <c r="H518" s="1">
        <v>7834</v>
      </c>
      <c r="I518" s="1">
        <v>0.15</v>
      </c>
      <c r="J518" s="1">
        <v>19976.7</v>
      </c>
      <c r="K518" s="1">
        <v>3719.02</v>
      </c>
      <c r="L518" s="1" t="s">
        <v>70</v>
      </c>
      <c r="M518" s="1" t="str">
        <f>TEXT(Table1[[#This Row],[Order Date]],"mmm")</f>
        <v>Nov</v>
      </c>
      <c r="N518" s="1">
        <f>YEAR(Table1[[#This Row],[Order Date]])</f>
        <v>2024</v>
      </c>
    </row>
    <row r="519" spans="1:14" x14ac:dyDescent="0.35">
      <c r="A519" s="1" t="s">
        <v>972</v>
      </c>
      <c r="B519" s="1" t="s">
        <v>215</v>
      </c>
      <c r="C519" s="1" t="s">
        <v>101</v>
      </c>
      <c r="D519" s="1" t="s">
        <v>91</v>
      </c>
      <c r="E519" s="1" t="s">
        <v>16</v>
      </c>
      <c r="F519" s="1" t="s">
        <v>91</v>
      </c>
      <c r="G519" s="1">
        <v>9</v>
      </c>
      <c r="H519" s="1">
        <v>50964</v>
      </c>
      <c r="I519" s="1">
        <v>0.1</v>
      </c>
      <c r="J519" s="1">
        <v>412808.4</v>
      </c>
      <c r="K519" s="1">
        <v>69549.72</v>
      </c>
      <c r="L519" s="1" t="s">
        <v>45</v>
      </c>
      <c r="M519" s="1" t="str">
        <f>TEXT(Table1[[#This Row],[Order Date]],"mmm")</f>
        <v>Jul</v>
      </c>
      <c r="N519" s="1">
        <f>YEAR(Table1[[#This Row],[Order Date]])</f>
        <v>2024</v>
      </c>
    </row>
    <row r="520" spans="1:14" x14ac:dyDescent="0.35">
      <c r="A520" s="1" t="s">
        <v>973</v>
      </c>
      <c r="B520" s="1" t="s">
        <v>831</v>
      </c>
      <c r="C520" s="1" t="s">
        <v>81</v>
      </c>
      <c r="D520" s="1" t="s">
        <v>85</v>
      </c>
      <c r="E520" s="1" t="s">
        <v>28</v>
      </c>
      <c r="F520" s="1" t="s">
        <v>85</v>
      </c>
      <c r="G520" s="1">
        <v>3</v>
      </c>
      <c r="H520" s="1">
        <v>12188</v>
      </c>
      <c r="I520" s="1">
        <v>0.05</v>
      </c>
      <c r="J520" s="1">
        <v>34735.800000000003</v>
      </c>
      <c r="K520" s="1">
        <v>6742.43</v>
      </c>
      <c r="L520" s="1" t="s">
        <v>17</v>
      </c>
      <c r="M520" s="1" t="str">
        <f>TEXT(Table1[[#This Row],[Order Date]],"mmm")</f>
        <v>Jun</v>
      </c>
      <c r="N520" s="1">
        <f>YEAR(Table1[[#This Row],[Order Date]])</f>
        <v>2024</v>
      </c>
    </row>
    <row r="521" spans="1:14" x14ac:dyDescent="0.35">
      <c r="A521" s="1" t="s">
        <v>974</v>
      </c>
      <c r="B521" s="1" t="s">
        <v>538</v>
      </c>
      <c r="C521" s="1" t="s">
        <v>26</v>
      </c>
      <c r="D521" s="1" t="s">
        <v>293</v>
      </c>
      <c r="E521" s="1" t="s">
        <v>33</v>
      </c>
      <c r="F521" s="1" t="s">
        <v>293</v>
      </c>
      <c r="G521" s="1">
        <v>10</v>
      </c>
      <c r="H521" s="1">
        <v>44463</v>
      </c>
      <c r="I521" s="1">
        <v>0.15</v>
      </c>
      <c r="J521" s="1">
        <v>377935.5</v>
      </c>
      <c r="K521" s="1">
        <v>88184.47</v>
      </c>
      <c r="L521" s="1" t="s">
        <v>70</v>
      </c>
      <c r="M521" s="1" t="str">
        <f>TEXT(Table1[[#This Row],[Order Date]],"mmm")</f>
        <v>Jan</v>
      </c>
      <c r="N521" s="1">
        <f>YEAR(Table1[[#This Row],[Order Date]])</f>
        <v>2024</v>
      </c>
    </row>
    <row r="522" spans="1:14" x14ac:dyDescent="0.35">
      <c r="A522" s="1" t="s">
        <v>975</v>
      </c>
      <c r="B522" s="1" t="s">
        <v>976</v>
      </c>
      <c r="C522" s="1" t="s">
        <v>20</v>
      </c>
      <c r="D522" s="1" t="s">
        <v>21</v>
      </c>
      <c r="E522" s="1" t="s">
        <v>22</v>
      </c>
      <c r="F522" s="1" t="s">
        <v>21</v>
      </c>
      <c r="G522" s="1">
        <v>10</v>
      </c>
      <c r="H522" s="1">
        <v>34531</v>
      </c>
      <c r="I522" s="1">
        <v>0.1</v>
      </c>
      <c r="J522" s="1">
        <v>310779</v>
      </c>
      <c r="K522" s="1">
        <v>39672.19</v>
      </c>
      <c r="L522" s="1" t="s">
        <v>70</v>
      </c>
      <c r="M522" s="1" t="str">
        <f>TEXT(Table1[[#This Row],[Order Date]],"mmm")</f>
        <v>Oct</v>
      </c>
      <c r="N522" s="1">
        <f>YEAR(Table1[[#This Row],[Order Date]])</f>
        <v>2024</v>
      </c>
    </row>
    <row r="523" spans="1:14" x14ac:dyDescent="0.35">
      <c r="A523" s="1" t="s">
        <v>977</v>
      </c>
      <c r="B523" s="1" t="s">
        <v>408</v>
      </c>
      <c r="C523" s="1" t="s">
        <v>55</v>
      </c>
      <c r="D523" s="1" t="s">
        <v>323</v>
      </c>
      <c r="E523" s="1" t="s">
        <v>33</v>
      </c>
      <c r="F523" s="1" t="s">
        <v>323</v>
      </c>
      <c r="G523" s="1">
        <v>7</v>
      </c>
      <c r="H523" s="1">
        <v>49078</v>
      </c>
      <c r="I523" s="1">
        <v>0.15</v>
      </c>
      <c r="J523" s="1">
        <v>292014.09999999998</v>
      </c>
      <c r="K523" s="1">
        <v>75885.710000000006</v>
      </c>
      <c r="L523" s="1" t="s">
        <v>23</v>
      </c>
      <c r="M523" s="1" t="str">
        <f>TEXT(Table1[[#This Row],[Order Date]],"mmm")</f>
        <v>Jul</v>
      </c>
      <c r="N523" s="1">
        <f>YEAR(Table1[[#This Row],[Order Date]])</f>
        <v>2023</v>
      </c>
    </row>
    <row r="524" spans="1:14" x14ac:dyDescent="0.35">
      <c r="A524" s="1" t="s">
        <v>978</v>
      </c>
      <c r="B524" s="1" t="s">
        <v>979</v>
      </c>
      <c r="C524" s="1" t="s">
        <v>370</v>
      </c>
      <c r="D524" s="1" t="s">
        <v>293</v>
      </c>
      <c r="E524" s="1" t="s">
        <v>33</v>
      </c>
      <c r="F524" s="1" t="s">
        <v>293</v>
      </c>
      <c r="G524" s="1">
        <v>6</v>
      </c>
      <c r="H524" s="1">
        <v>13540</v>
      </c>
      <c r="I524" s="1">
        <v>0.1</v>
      </c>
      <c r="J524" s="1">
        <v>73116</v>
      </c>
      <c r="K524" s="1">
        <v>17889.009999999998</v>
      </c>
      <c r="L524" s="1" t="s">
        <v>17</v>
      </c>
      <c r="M524" s="1" t="str">
        <f>TEXT(Table1[[#This Row],[Order Date]],"mmm")</f>
        <v>Jul</v>
      </c>
      <c r="N524" s="1">
        <f>YEAR(Table1[[#This Row],[Order Date]])</f>
        <v>2024</v>
      </c>
    </row>
    <row r="525" spans="1:14" x14ac:dyDescent="0.35">
      <c r="A525" s="1" t="s">
        <v>980</v>
      </c>
      <c r="B525" s="1" t="s">
        <v>466</v>
      </c>
      <c r="C525" s="1" t="s">
        <v>507</v>
      </c>
      <c r="D525" s="1" t="s">
        <v>27</v>
      </c>
      <c r="E525" s="1" t="s">
        <v>28</v>
      </c>
      <c r="F525" s="1" t="s">
        <v>27</v>
      </c>
      <c r="G525" s="1">
        <v>9</v>
      </c>
      <c r="H525" s="1">
        <v>22525</v>
      </c>
      <c r="I525" s="1">
        <v>0.1</v>
      </c>
      <c r="J525" s="1">
        <v>182452.5</v>
      </c>
      <c r="K525" s="1">
        <v>14735.79</v>
      </c>
      <c r="L525" s="1" t="s">
        <v>17</v>
      </c>
      <c r="M525" s="1" t="str">
        <f>TEXT(Table1[[#This Row],[Order Date]],"mmm")</f>
        <v>Feb</v>
      </c>
      <c r="N525" s="1">
        <f>YEAR(Table1[[#This Row],[Order Date]])</f>
        <v>2024</v>
      </c>
    </row>
    <row r="526" spans="1:14" x14ac:dyDescent="0.35">
      <c r="A526" s="1" t="s">
        <v>981</v>
      </c>
      <c r="B526" s="1" t="s">
        <v>493</v>
      </c>
      <c r="C526" s="1" t="s">
        <v>125</v>
      </c>
      <c r="D526" s="1" t="s">
        <v>32</v>
      </c>
      <c r="E526" s="1" t="s">
        <v>33</v>
      </c>
      <c r="F526" s="1" t="s">
        <v>32</v>
      </c>
      <c r="G526" s="1">
        <v>5</v>
      </c>
      <c r="H526" s="1">
        <v>57831</v>
      </c>
      <c r="I526" s="1">
        <v>0</v>
      </c>
      <c r="J526" s="1">
        <v>289155</v>
      </c>
      <c r="K526" s="1">
        <v>62409.51</v>
      </c>
      <c r="L526" s="1" t="s">
        <v>17</v>
      </c>
      <c r="M526" s="1" t="str">
        <f>TEXT(Table1[[#This Row],[Order Date]],"mmm")</f>
        <v>Nov</v>
      </c>
      <c r="N526" s="1">
        <f>YEAR(Table1[[#This Row],[Order Date]])</f>
        <v>2024</v>
      </c>
    </row>
    <row r="527" spans="1:14" x14ac:dyDescent="0.35">
      <c r="A527" s="1" t="s">
        <v>982</v>
      </c>
      <c r="B527" s="1" t="s">
        <v>846</v>
      </c>
      <c r="C527" s="1" t="s">
        <v>146</v>
      </c>
      <c r="D527" s="1" t="s">
        <v>44</v>
      </c>
      <c r="E527" s="1" t="s">
        <v>28</v>
      </c>
      <c r="F527" s="1" t="s">
        <v>44</v>
      </c>
      <c r="G527" s="1">
        <v>4</v>
      </c>
      <c r="H527" s="1">
        <v>5328</v>
      </c>
      <c r="I527" s="1">
        <v>0.15</v>
      </c>
      <c r="J527" s="1">
        <v>18115.2</v>
      </c>
      <c r="K527" s="1">
        <v>3851.35</v>
      </c>
      <c r="L527" s="1" t="s">
        <v>45</v>
      </c>
      <c r="M527" s="1" t="str">
        <f>TEXT(Table1[[#This Row],[Order Date]],"mmm")</f>
        <v>Aug</v>
      </c>
      <c r="N527" s="1">
        <f>YEAR(Table1[[#This Row],[Order Date]])</f>
        <v>2024</v>
      </c>
    </row>
    <row r="528" spans="1:14" x14ac:dyDescent="0.35">
      <c r="A528" s="1" t="s">
        <v>983</v>
      </c>
      <c r="B528" s="1" t="s">
        <v>365</v>
      </c>
      <c r="C528" s="1" t="s">
        <v>507</v>
      </c>
      <c r="D528" s="1" t="s">
        <v>224</v>
      </c>
      <c r="E528" s="1" t="s">
        <v>33</v>
      </c>
      <c r="F528" s="1" t="s">
        <v>224</v>
      </c>
      <c r="G528" s="1">
        <v>10</v>
      </c>
      <c r="H528" s="1">
        <v>4164</v>
      </c>
      <c r="I528" s="1">
        <v>0.15</v>
      </c>
      <c r="J528" s="1">
        <v>35394</v>
      </c>
      <c r="K528" s="1">
        <v>6360.1</v>
      </c>
      <c r="L528" s="1" t="s">
        <v>45</v>
      </c>
      <c r="M528" s="1" t="str">
        <f>TEXT(Table1[[#This Row],[Order Date]],"mmm")</f>
        <v>Jun</v>
      </c>
      <c r="N528" s="1">
        <f>YEAR(Table1[[#This Row],[Order Date]])</f>
        <v>2023</v>
      </c>
    </row>
    <row r="529" spans="1:14" x14ac:dyDescent="0.35">
      <c r="A529" s="1" t="s">
        <v>984</v>
      </c>
      <c r="B529" s="1" t="s">
        <v>369</v>
      </c>
      <c r="C529" s="1" t="s">
        <v>55</v>
      </c>
      <c r="D529" s="1" t="s">
        <v>137</v>
      </c>
      <c r="E529" s="1" t="s">
        <v>22</v>
      </c>
      <c r="F529" s="1" t="s">
        <v>137</v>
      </c>
      <c r="G529" s="1">
        <v>10</v>
      </c>
      <c r="H529" s="1">
        <v>37026</v>
      </c>
      <c r="I529" s="1">
        <v>0.1</v>
      </c>
      <c r="J529" s="1">
        <v>333234</v>
      </c>
      <c r="K529" s="1">
        <v>95372.82</v>
      </c>
      <c r="L529" s="1" t="s">
        <v>70</v>
      </c>
      <c r="M529" s="1" t="str">
        <f>TEXT(Table1[[#This Row],[Order Date]],"mmm")</f>
        <v>Sep</v>
      </c>
      <c r="N529" s="1">
        <f>YEAR(Table1[[#This Row],[Order Date]])</f>
        <v>2024</v>
      </c>
    </row>
    <row r="530" spans="1:14" x14ac:dyDescent="0.35">
      <c r="A530" s="1" t="s">
        <v>985</v>
      </c>
      <c r="B530" s="1" t="s">
        <v>670</v>
      </c>
      <c r="C530" s="1" t="s">
        <v>136</v>
      </c>
      <c r="D530" s="1" t="s">
        <v>52</v>
      </c>
      <c r="E530" s="1" t="s">
        <v>28</v>
      </c>
      <c r="F530" s="1" t="s">
        <v>52</v>
      </c>
      <c r="G530" s="1">
        <v>1</v>
      </c>
      <c r="H530" s="1">
        <v>5789</v>
      </c>
      <c r="I530" s="1">
        <v>0.2</v>
      </c>
      <c r="J530" s="1">
        <v>4631.2</v>
      </c>
      <c r="K530" s="1">
        <v>1063.72</v>
      </c>
      <c r="L530" s="1" t="s">
        <v>70</v>
      </c>
      <c r="M530" s="1" t="str">
        <f>TEXT(Table1[[#This Row],[Order Date]],"mmm")</f>
        <v>Feb</v>
      </c>
      <c r="N530" s="1">
        <f>YEAR(Table1[[#This Row],[Order Date]])</f>
        <v>2024</v>
      </c>
    </row>
    <row r="531" spans="1:14" x14ac:dyDescent="0.35">
      <c r="A531" s="1" t="s">
        <v>986</v>
      </c>
      <c r="B531" s="1" t="s">
        <v>969</v>
      </c>
      <c r="C531" s="1" t="s">
        <v>98</v>
      </c>
      <c r="D531" s="1" t="s">
        <v>27</v>
      </c>
      <c r="E531" s="1" t="s">
        <v>28</v>
      </c>
      <c r="F531" s="1" t="s">
        <v>27</v>
      </c>
      <c r="G531" s="1">
        <v>15</v>
      </c>
      <c r="H531" s="1">
        <v>39688</v>
      </c>
      <c r="I531" s="1">
        <v>0.2</v>
      </c>
      <c r="J531" s="1">
        <v>476256</v>
      </c>
      <c r="K531" s="1">
        <v>38486.83</v>
      </c>
      <c r="L531" s="1" t="s">
        <v>70</v>
      </c>
      <c r="M531" s="1" t="str">
        <f>TEXT(Table1[[#This Row],[Order Date]],"mmm")</f>
        <v>Aug</v>
      </c>
      <c r="N531" s="1">
        <f>YEAR(Table1[[#This Row],[Order Date]])</f>
        <v>2024</v>
      </c>
    </row>
    <row r="532" spans="1:14" x14ac:dyDescent="0.35">
      <c r="A532" s="1" t="s">
        <v>987</v>
      </c>
      <c r="B532" s="1" t="s">
        <v>859</v>
      </c>
      <c r="C532" s="1" t="s">
        <v>178</v>
      </c>
      <c r="D532" s="1" t="s">
        <v>21</v>
      </c>
      <c r="E532" s="1" t="s">
        <v>22</v>
      </c>
      <c r="F532" s="1" t="s">
        <v>21</v>
      </c>
      <c r="G532" s="1">
        <v>12</v>
      </c>
      <c r="H532" s="1">
        <v>14156</v>
      </c>
      <c r="I532" s="1">
        <v>0.15</v>
      </c>
      <c r="J532" s="1">
        <v>144391.20000000001</v>
      </c>
      <c r="K532" s="1">
        <v>40618.980000000003</v>
      </c>
      <c r="L532" s="1" t="s">
        <v>70</v>
      </c>
      <c r="M532" s="1" t="str">
        <f>TEXT(Table1[[#This Row],[Order Date]],"mmm")</f>
        <v>Mar</v>
      </c>
      <c r="N532" s="1">
        <f>YEAR(Table1[[#This Row],[Order Date]])</f>
        <v>2023</v>
      </c>
    </row>
    <row r="533" spans="1:14" x14ac:dyDescent="0.35">
      <c r="A533" s="1" t="s">
        <v>988</v>
      </c>
      <c r="B533" s="1" t="s">
        <v>989</v>
      </c>
      <c r="C533" s="1" t="s">
        <v>67</v>
      </c>
      <c r="D533" s="1" t="s">
        <v>60</v>
      </c>
      <c r="E533" s="1" t="s">
        <v>33</v>
      </c>
      <c r="F533" s="1" t="s">
        <v>60</v>
      </c>
      <c r="G533" s="1">
        <v>6</v>
      </c>
      <c r="H533" s="1">
        <v>32114</v>
      </c>
      <c r="I533" s="1">
        <v>0.15</v>
      </c>
      <c r="J533" s="1">
        <v>163781.4</v>
      </c>
      <c r="K533" s="1">
        <v>41572.47</v>
      </c>
      <c r="L533" s="1" t="s">
        <v>23</v>
      </c>
      <c r="M533" s="1" t="str">
        <f>TEXT(Table1[[#This Row],[Order Date]],"mmm")</f>
        <v>Oct</v>
      </c>
      <c r="N533" s="1">
        <f>YEAR(Table1[[#This Row],[Order Date]])</f>
        <v>2024</v>
      </c>
    </row>
    <row r="534" spans="1:14" x14ac:dyDescent="0.35">
      <c r="A534" s="1" t="s">
        <v>990</v>
      </c>
      <c r="B534" s="1" t="s">
        <v>991</v>
      </c>
      <c r="C534" s="1" t="s">
        <v>227</v>
      </c>
      <c r="D534" s="1" t="s">
        <v>60</v>
      </c>
      <c r="E534" s="1" t="s">
        <v>33</v>
      </c>
      <c r="F534" s="1" t="s">
        <v>60</v>
      </c>
      <c r="G534" s="1">
        <v>5</v>
      </c>
      <c r="H534" s="1">
        <v>52917</v>
      </c>
      <c r="I534" s="1">
        <v>0.2</v>
      </c>
      <c r="J534" s="1">
        <v>211668</v>
      </c>
      <c r="K534" s="1">
        <v>30459.93</v>
      </c>
      <c r="L534" s="1" t="s">
        <v>70</v>
      </c>
      <c r="M534" s="1" t="str">
        <f>TEXT(Table1[[#This Row],[Order Date]],"mmm")</f>
        <v>Feb</v>
      </c>
      <c r="N534" s="1">
        <f>YEAR(Table1[[#This Row],[Order Date]])</f>
        <v>2024</v>
      </c>
    </row>
    <row r="535" spans="1:14" x14ac:dyDescent="0.35">
      <c r="A535" s="1" t="s">
        <v>992</v>
      </c>
      <c r="B535" s="1" t="s">
        <v>853</v>
      </c>
      <c r="C535" s="1" t="s">
        <v>162</v>
      </c>
      <c r="D535" s="1" t="s">
        <v>151</v>
      </c>
      <c r="E535" s="1" t="s">
        <v>22</v>
      </c>
      <c r="F535" s="1" t="s">
        <v>151</v>
      </c>
      <c r="G535" s="1">
        <v>9</v>
      </c>
      <c r="H535" s="1">
        <v>18325</v>
      </c>
      <c r="I535" s="1">
        <v>0</v>
      </c>
      <c r="J535" s="1">
        <v>164925</v>
      </c>
      <c r="K535" s="1">
        <v>32469.17</v>
      </c>
      <c r="L535" s="1" t="s">
        <v>23</v>
      </c>
      <c r="M535" s="1" t="str">
        <f>TEXT(Table1[[#This Row],[Order Date]],"mmm")</f>
        <v>Jun</v>
      </c>
      <c r="N535" s="1">
        <f>YEAR(Table1[[#This Row],[Order Date]])</f>
        <v>2024</v>
      </c>
    </row>
    <row r="536" spans="1:14" x14ac:dyDescent="0.35">
      <c r="A536" s="1" t="s">
        <v>993</v>
      </c>
      <c r="B536" s="1" t="s">
        <v>776</v>
      </c>
      <c r="C536" s="1" t="s">
        <v>335</v>
      </c>
      <c r="D536" s="1" t="s">
        <v>15</v>
      </c>
      <c r="E536" s="1" t="s">
        <v>16</v>
      </c>
      <c r="F536" s="1" t="s">
        <v>15</v>
      </c>
      <c r="G536" s="1">
        <v>4</v>
      </c>
      <c r="H536" s="1">
        <v>3160</v>
      </c>
      <c r="I536" s="1">
        <v>0</v>
      </c>
      <c r="J536" s="1">
        <v>12640</v>
      </c>
      <c r="K536" s="1">
        <v>2019.51</v>
      </c>
      <c r="L536" s="1" t="s">
        <v>45</v>
      </c>
      <c r="M536" s="1" t="str">
        <f>TEXT(Table1[[#This Row],[Order Date]],"mmm")</f>
        <v>Feb</v>
      </c>
      <c r="N536" s="1">
        <f>YEAR(Table1[[#This Row],[Order Date]])</f>
        <v>2024</v>
      </c>
    </row>
    <row r="537" spans="1:14" x14ac:dyDescent="0.35">
      <c r="A537" s="1" t="s">
        <v>994</v>
      </c>
      <c r="B537" s="1" t="s">
        <v>565</v>
      </c>
      <c r="C537" s="1" t="s">
        <v>362</v>
      </c>
      <c r="D537" s="1" t="s">
        <v>114</v>
      </c>
      <c r="E537" s="1" t="s">
        <v>16</v>
      </c>
      <c r="F537" s="1" t="s">
        <v>114</v>
      </c>
      <c r="G537" s="1">
        <v>10</v>
      </c>
      <c r="H537" s="1">
        <v>34421</v>
      </c>
      <c r="I537" s="1">
        <v>0.2</v>
      </c>
      <c r="J537" s="1">
        <v>275368</v>
      </c>
      <c r="K537" s="1">
        <v>62251.1</v>
      </c>
      <c r="L537" s="1" t="s">
        <v>23</v>
      </c>
      <c r="M537" s="1" t="str">
        <f>TEXT(Table1[[#This Row],[Order Date]],"mmm")</f>
        <v>Nov</v>
      </c>
      <c r="N537" s="1">
        <f>YEAR(Table1[[#This Row],[Order Date]])</f>
        <v>2024</v>
      </c>
    </row>
    <row r="538" spans="1:14" x14ac:dyDescent="0.35">
      <c r="A538" s="1" t="s">
        <v>995</v>
      </c>
      <c r="B538" s="1" t="s">
        <v>996</v>
      </c>
      <c r="C538" s="1" t="s">
        <v>170</v>
      </c>
      <c r="D538" s="1" t="s">
        <v>74</v>
      </c>
      <c r="E538" s="1" t="s">
        <v>22</v>
      </c>
      <c r="F538" s="1" t="s">
        <v>74</v>
      </c>
      <c r="G538" s="1">
        <v>15</v>
      </c>
      <c r="H538" s="1">
        <v>53415</v>
      </c>
      <c r="I538" s="1">
        <v>0.15</v>
      </c>
      <c r="J538" s="1">
        <v>681041.25</v>
      </c>
      <c r="K538" s="1">
        <v>168401.14</v>
      </c>
      <c r="L538" s="1" t="s">
        <v>17</v>
      </c>
      <c r="M538" s="1" t="str">
        <f>TEXT(Table1[[#This Row],[Order Date]],"mmm")</f>
        <v>Feb</v>
      </c>
      <c r="N538" s="1">
        <f>YEAR(Table1[[#This Row],[Order Date]])</f>
        <v>2024</v>
      </c>
    </row>
    <row r="539" spans="1:14" x14ac:dyDescent="0.35">
      <c r="A539" s="1" t="s">
        <v>997</v>
      </c>
      <c r="B539" s="1" t="s">
        <v>394</v>
      </c>
      <c r="C539" s="1" t="s">
        <v>67</v>
      </c>
      <c r="D539" s="1" t="s">
        <v>78</v>
      </c>
      <c r="E539" s="1" t="s">
        <v>28</v>
      </c>
      <c r="F539" s="1" t="s">
        <v>78</v>
      </c>
      <c r="G539" s="1">
        <v>6</v>
      </c>
      <c r="H539" s="1">
        <v>25087</v>
      </c>
      <c r="I539" s="1">
        <v>0.05</v>
      </c>
      <c r="J539" s="1">
        <v>142995.9</v>
      </c>
      <c r="K539" s="1">
        <v>15615.18</v>
      </c>
      <c r="L539" s="1" t="s">
        <v>17</v>
      </c>
      <c r="M539" s="1" t="str">
        <f>TEXT(Table1[[#This Row],[Order Date]],"mmm")</f>
        <v>Sep</v>
      </c>
      <c r="N539" s="1">
        <f>YEAR(Table1[[#This Row],[Order Date]])</f>
        <v>2023</v>
      </c>
    </row>
    <row r="540" spans="1:14" x14ac:dyDescent="0.35">
      <c r="A540" s="1" t="s">
        <v>998</v>
      </c>
      <c r="B540" s="1" t="s">
        <v>999</v>
      </c>
      <c r="C540" s="1" t="s">
        <v>191</v>
      </c>
      <c r="D540" s="1" t="s">
        <v>293</v>
      </c>
      <c r="E540" s="1" t="s">
        <v>33</v>
      </c>
      <c r="F540" s="1" t="s">
        <v>293</v>
      </c>
      <c r="G540" s="1">
        <v>1</v>
      </c>
      <c r="H540" s="1">
        <v>22564</v>
      </c>
      <c r="I540" s="1">
        <v>0</v>
      </c>
      <c r="J540" s="1">
        <v>22564</v>
      </c>
      <c r="K540" s="1">
        <v>5526.91</v>
      </c>
      <c r="L540" s="1" t="s">
        <v>17</v>
      </c>
      <c r="M540" s="1" t="str">
        <f>TEXT(Table1[[#This Row],[Order Date]],"mmm")</f>
        <v>Jun</v>
      </c>
      <c r="N540" s="1">
        <f>YEAR(Table1[[#This Row],[Order Date]])</f>
        <v>2024</v>
      </c>
    </row>
    <row r="541" spans="1:14" x14ac:dyDescent="0.35">
      <c r="A541" s="1" t="s">
        <v>1000</v>
      </c>
      <c r="B541" s="1" t="s">
        <v>174</v>
      </c>
      <c r="C541" s="1" t="s">
        <v>128</v>
      </c>
      <c r="D541" s="1" t="s">
        <v>151</v>
      </c>
      <c r="E541" s="1" t="s">
        <v>22</v>
      </c>
      <c r="F541" s="1" t="s">
        <v>151</v>
      </c>
      <c r="G541" s="1">
        <v>6</v>
      </c>
      <c r="H541" s="1">
        <v>31082</v>
      </c>
      <c r="I541" s="1">
        <v>0</v>
      </c>
      <c r="J541" s="1">
        <v>186492</v>
      </c>
      <c r="K541" s="1">
        <v>42432.75</v>
      </c>
      <c r="L541" s="1" t="s">
        <v>17</v>
      </c>
      <c r="M541" s="1" t="str">
        <f>TEXT(Table1[[#This Row],[Order Date]],"mmm")</f>
        <v>Jun</v>
      </c>
      <c r="N541" s="1">
        <f>YEAR(Table1[[#This Row],[Order Date]])</f>
        <v>2024</v>
      </c>
    </row>
    <row r="542" spans="1:14" x14ac:dyDescent="0.35">
      <c r="A542" s="1" t="s">
        <v>1001</v>
      </c>
      <c r="B542" s="1" t="s">
        <v>272</v>
      </c>
      <c r="C542" s="1" t="s">
        <v>255</v>
      </c>
      <c r="D542" s="1" t="s">
        <v>224</v>
      </c>
      <c r="E542" s="1" t="s">
        <v>33</v>
      </c>
      <c r="F542" s="1" t="s">
        <v>224</v>
      </c>
      <c r="G542" s="1">
        <v>13</v>
      </c>
      <c r="H542" s="1">
        <v>45818</v>
      </c>
      <c r="I542" s="1">
        <v>0.05</v>
      </c>
      <c r="J542" s="1">
        <v>565852.30000000005</v>
      </c>
      <c r="K542" s="1">
        <v>104273.87</v>
      </c>
      <c r="L542" s="1" t="s">
        <v>70</v>
      </c>
      <c r="M542" s="1" t="str">
        <f>TEXT(Table1[[#This Row],[Order Date]],"mmm")</f>
        <v>Jun</v>
      </c>
      <c r="N542" s="1">
        <f>YEAR(Table1[[#This Row],[Order Date]])</f>
        <v>2023</v>
      </c>
    </row>
    <row r="543" spans="1:14" x14ac:dyDescent="0.35">
      <c r="A543" s="1" t="s">
        <v>1002</v>
      </c>
      <c r="B543" s="1" t="s">
        <v>423</v>
      </c>
      <c r="C543" s="1" t="s">
        <v>203</v>
      </c>
      <c r="D543" s="1" t="s">
        <v>179</v>
      </c>
      <c r="E543" s="1" t="s">
        <v>28</v>
      </c>
      <c r="F543" s="1" t="s">
        <v>179</v>
      </c>
      <c r="G543" s="1">
        <v>7</v>
      </c>
      <c r="H543" s="1">
        <v>26692</v>
      </c>
      <c r="I543" s="1">
        <v>0</v>
      </c>
      <c r="J543" s="1">
        <v>186844</v>
      </c>
      <c r="K543" s="1">
        <v>30561.42</v>
      </c>
      <c r="L543" s="1" t="s">
        <v>23</v>
      </c>
      <c r="M543" s="1" t="str">
        <f>TEXT(Table1[[#This Row],[Order Date]],"mmm")</f>
        <v>May</v>
      </c>
      <c r="N543" s="1">
        <f>YEAR(Table1[[#This Row],[Order Date]])</f>
        <v>2023</v>
      </c>
    </row>
    <row r="544" spans="1:14" x14ac:dyDescent="0.35">
      <c r="A544" s="1" t="s">
        <v>1003</v>
      </c>
      <c r="B544" s="1" t="s">
        <v>615</v>
      </c>
      <c r="C544" s="1" t="s">
        <v>208</v>
      </c>
      <c r="D544" s="1" t="s">
        <v>91</v>
      </c>
      <c r="E544" s="1" t="s">
        <v>16</v>
      </c>
      <c r="F544" s="1" t="s">
        <v>91</v>
      </c>
      <c r="G544" s="1">
        <v>3</v>
      </c>
      <c r="H544" s="1">
        <v>13313</v>
      </c>
      <c r="I544" s="1">
        <v>0.2</v>
      </c>
      <c r="J544" s="1">
        <v>31951.200000000001</v>
      </c>
      <c r="K544" s="1">
        <v>8633.7000000000007</v>
      </c>
      <c r="L544" s="1" t="s">
        <v>17</v>
      </c>
      <c r="M544" s="1" t="str">
        <f>TEXT(Table1[[#This Row],[Order Date]],"mmm")</f>
        <v>Jun</v>
      </c>
      <c r="N544" s="1">
        <f>YEAR(Table1[[#This Row],[Order Date]])</f>
        <v>2024</v>
      </c>
    </row>
    <row r="545" spans="1:14" x14ac:dyDescent="0.35">
      <c r="A545" s="1" t="s">
        <v>1004</v>
      </c>
      <c r="B545" s="1" t="s">
        <v>1005</v>
      </c>
      <c r="C545" s="1" t="s">
        <v>101</v>
      </c>
      <c r="D545" s="1" t="s">
        <v>167</v>
      </c>
      <c r="E545" s="1" t="s">
        <v>16</v>
      </c>
      <c r="F545" s="1" t="s">
        <v>167</v>
      </c>
      <c r="G545" s="1">
        <v>11</v>
      </c>
      <c r="H545" s="1">
        <v>38188</v>
      </c>
      <c r="I545" s="1">
        <v>0</v>
      </c>
      <c r="J545" s="1">
        <v>420068</v>
      </c>
      <c r="K545" s="1">
        <v>57118.53</v>
      </c>
      <c r="L545" s="1" t="s">
        <v>70</v>
      </c>
      <c r="M545" s="1" t="str">
        <f>TEXT(Table1[[#This Row],[Order Date]],"mmm")</f>
        <v>Aug</v>
      </c>
      <c r="N545" s="1">
        <f>YEAR(Table1[[#This Row],[Order Date]])</f>
        <v>2023</v>
      </c>
    </row>
    <row r="546" spans="1:14" x14ac:dyDescent="0.35">
      <c r="A546" s="1" t="s">
        <v>1006</v>
      </c>
      <c r="B546" s="1" t="s">
        <v>1007</v>
      </c>
      <c r="C546" s="1" t="s">
        <v>162</v>
      </c>
      <c r="D546" s="1" t="s">
        <v>74</v>
      </c>
      <c r="E546" s="1" t="s">
        <v>22</v>
      </c>
      <c r="F546" s="1" t="s">
        <v>74</v>
      </c>
      <c r="G546" s="1">
        <v>4</v>
      </c>
      <c r="H546" s="1">
        <v>1546</v>
      </c>
      <c r="I546" s="1">
        <v>0.05</v>
      </c>
      <c r="J546" s="1">
        <v>5874.8</v>
      </c>
      <c r="K546" s="1">
        <v>1584.34</v>
      </c>
      <c r="L546" s="1" t="s">
        <v>23</v>
      </c>
      <c r="M546" s="1" t="str">
        <f>TEXT(Table1[[#This Row],[Order Date]],"mmm")</f>
        <v>Apr</v>
      </c>
      <c r="N546" s="1">
        <f>YEAR(Table1[[#This Row],[Order Date]])</f>
        <v>2023</v>
      </c>
    </row>
    <row r="547" spans="1:14" x14ac:dyDescent="0.35">
      <c r="A547" s="1" t="s">
        <v>1008</v>
      </c>
      <c r="B547" s="1" t="s">
        <v>571</v>
      </c>
      <c r="C547" s="1" t="s">
        <v>51</v>
      </c>
      <c r="D547" s="1" t="s">
        <v>91</v>
      </c>
      <c r="E547" s="1" t="s">
        <v>16</v>
      </c>
      <c r="F547" s="1" t="s">
        <v>91</v>
      </c>
      <c r="G547" s="1">
        <v>8</v>
      </c>
      <c r="H547" s="1">
        <v>21404</v>
      </c>
      <c r="I547" s="1">
        <v>0.2</v>
      </c>
      <c r="J547" s="1">
        <v>136985.60000000001</v>
      </c>
      <c r="K547" s="1">
        <v>33709.589999999997</v>
      </c>
      <c r="L547" s="1" t="s">
        <v>70</v>
      </c>
      <c r="M547" s="1" t="str">
        <f>TEXT(Table1[[#This Row],[Order Date]],"mmm")</f>
        <v>Dec</v>
      </c>
      <c r="N547" s="1">
        <f>YEAR(Table1[[#This Row],[Order Date]])</f>
        <v>2023</v>
      </c>
    </row>
    <row r="548" spans="1:14" x14ac:dyDescent="0.35">
      <c r="A548" s="1" t="s">
        <v>1009</v>
      </c>
      <c r="B548" s="1" t="s">
        <v>1010</v>
      </c>
      <c r="C548" s="1" t="s">
        <v>208</v>
      </c>
      <c r="D548" s="1" t="s">
        <v>91</v>
      </c>
      <c r="E548" s="1" t="s">
        <v>16</v>
      </c>
      <c r="F548" s="1" t="s">
        <v>91</v>
      </c>
      <c r="G548" s="1">
        <v>1</v>
      </c>
      <c r="H548" s="1">
        <v>33447</v>
      </c>
      <c r="I548" s="1">
        <v>0</v>
      </c>
      <c r="J548" s="1">
        <v>33447</v>
      </c>
      <c r="K548" s="1">
        <v>2972.09</v>
      </c>
      <c r="L548" s="1" t="s">
        <v>17</v>
      </c>
      <c r="M548" s="1" t="str">
        <f>TEXT(Table1[[#This Row],[Order Date]],"mmm")</f>
        <v>May</v>
      </c>
      <c r="N548" s="1">
        <f>YEAR(Table1[[#This Row],[Order Date]])</f>
        <v>2024</v>
      </c>
    </row>
    <row r="549" spans="1:14" x14ac:dyDescent="0.35">
      <c r="A549" s="1" t="s">
        <v>1011</v>
      </c>
      <c r="B549" s="1" t="s">
        <v>497</v>
      </c>
      <c r="C549" s="1" t="s">
        <v>640</v>
      </c>
      <c r="D549" s="1" t="s">
        <v>27</v>
      </c>
      <c r="E549" s="1" t="s">
        <v>28</v>
      </c>
      <c r="F549" s="1" t="s">
        <v>27</v>
      </c>
      <c r="G549" s="1">
        <v>14</v>
      </c>
      <c r="H549" s="1">
        <v>51843</v>
      </c>
      <c r="I549" s="1">
        <v>0.1</v>
      </c>
      <c r="J549" s="1">
        <v>653221.80000000005</v>
      </c>
      <c r="K549" s="1">
        <v>106327.55</v>
      </c>
      <c r="L549" s="1" t="s">
        <v>17</v>
      </c>
      <c r="M549" s="1" t="str">
        <f>TEXT(Table1[[#This Row],[Order Date]],"mmm")</f>
        <v>Jul</v>
      </c>
      <c r="N549" s="1">
        <f>YEAR(Table1[[#This Row],[Order Date]])</f>
        <v>2024</v>
      </c>
    </row>
    <row r="550" spans="1:14" x14ac:dyDescent="0.35">
      <c r="A550" s="1" t="s">
        <v>1012</v>
      </c>
      <c r="B550" s="1" t="s">
        <v>1013</v>
      </c>
      <c r="C550" s="1" t="s">
        <v>349</v>
      </c>
      <c r="D550" s="1" t="s">
        <v>114</v>
      </c>
      <c r="E550" s="1" t="s">
        <v>16</v>
      </c>
      <c r="F550" s="1" t="s">
        <v>114</v>
      </c>
      <c r="G550" s="1">
        <v>7</v>
      </c>
      <c r="H550" s="1">
        <v>23218</v>
      </c>
      <c r="I550" s="1">
        <v>0.1</v>
      </c>
      <c r="J550" s="1">
        <v>146273.4</v>
      </c>
      <c r="K550" s="1">
        <v>41471.339999999997</v>
      </c>
      <c r="L550" s="1" t="s">
        <v>23</v>
      </c>
      <c r="M550" s="1" t="str">
        <f>TEXT(Table1[[#This Row],[Order Date]],"mmm")</f>
        <v>Sep</v>
      </c>
      <c r="N550" s="1">
        <f>YEAR(Table1[[#This Row],[Order Date]])</f>
        <v>2023</v>
      </c>
    </row>
    <row r="551" spans="1:14" x14ac:dyDescent="0.35">
      <c r="A551" s="1" t="s">
        <v>1014</v>
      </c>
      <c r="B551" s="1" t="s">
        <v>1015</v>
      </c>
      <c r="C551" s="1" t="s">
        <v>349</v>
      </c>
      <c r="D551" s="1" t="s">
        <v>48</v>
      </c>
      <c r="E551" s="1" t="s">
        <v>16</v>
      </c>
      <c r="F551" s="1" t="s">
        <v>48</v>
      </c>
      <c r="G551" s="1">
        <v>2</v>
      </c>
      <c r="H551" s="1">
        <v>7151</v>
      </c>
      <c r="I551" s="1">
        <v>0.15</v>
      </c>
      <c r="J551" s="1">
        <v>12156.7</v>
      </c>
      <c r="K551" s="1">
        <v>1872.56</v>
      </c>
      <c r="L551" s="1" t="s">
        <v>70</v>
      </c>
      <c r="M551" s="1" t="str">
        <f>TEXT(Table1[[#This Row],[Order Date]],"mmm")</f>
        <v>Aug</v>
      </c>
      <c r="N551" s="1">
        <f>YEAR(Table1[[#This Row],[Order Date]])</f>
        <v>2023</v>
      </c>
    </row>
    <row r="552" spans="1:14" x14ac:dyDescent="0.35">
      <c r="A552" s="1" t="s">
        <v>1016</v>
      </c>
      <c r="B552" s="1" t="s">
        <v>1017</v>
      </c>
      <c r="C552" s="1" t="s">
        <v>136</v>
      </c>
      <c r="D552" s="1" t="s">
        <v>37</v>
      </c>
      <c r="E552" s="1" t="s">
        <v>16</v>
      </c>
      <c r="F552" s="1" t="s">
        <v>37</v>
      </c>
      <c r="G552" s="1">
        <v>1</v>
      </c>
      <c r="H552" s="1">
        <v>7979</v>
      </c>
      <c r="I552" s="1">
        <v>0.1</v>
      </c>
      <c r="J552" s="1">
        <v>7181.1</v>
      </c>
      <c r="K552" s="1">
        <v>1851.63</v>
      </c>
      <c r="L552" s="1" t="s">
        <v>45</v>
      </c>
      <c r="M552" s="1" t="str">
        <f>TEXT(Table1[[#This Row],[Order Date]],"mmm")</f>
        <v>Feb</v>
      </c>
      <c r="N552" s="1">
        <f>YEAR(Table1[[#This Row],[Order Date]])</f>
        <v>2023</v>
      </c>
    </row>
    <row r="553" spans="1:14" x14ac:dyDescent="0.35">
      <c r="A553" s="1" t="s">
        <v>1018</v>
      </c>
      <c r="B553" s="1" t="s">
        <v>1019</v>
      </c>
      <c r="C553" s="1" t="s">
        <v>55</v>
      </c>
      <c r="D553" s="1" t="s">
        <v>41</v>
      </c>
      <c r="E553" s="1" t="s">
        <v>16</v>
      </c>
      <c r="F553" s="1" t="s">
        <v>41</v>
      </c>
      <c r="G553" s="1">
        <v>12</v>
      </c>
      <c r="H553" s="1">
        <v>14831</v>
      </c>
      <c r="I553" s="1">
        <v>0.15</v>
      </c>
      <c r="J553" s="1">
        <v>151276.20000000001</v>
      </c>
      <c r="K553" s="1">
        <v>20113.03</v>
      </c>
      <c r="L553" s="1" t="s">
        <v>70</v>
      </c>
      <c r="M553" s="1" t="str">
        <f>TEXT(Table1[[#This Row],[Order Date]],"mmm")</f>
        <v>Jun</v>
      </c>
      <c r="N553" s="1">
        <f>YEAR(Table1[[#This Row],[Order Date]])</f>
        <v>2024</v>
      </c>
    </row>
    <row r="554" spans="1:14" x14ac:dyDescent="0.35">
      <c r="A554" s="1" t="s">
        <v>1020</v>
      </c>
      <c r="B554" s="1" t="s">
        <v>907</v>
      </c>
      <c r="C554" s="1" t="s">
        <v>158</v>
      </c>
      <c r="D554" s="1" t="s">
        <v>323</v>
      </c>
      <c r="E554" s="1" t="s">
        <v>33</v>
      </c>
      <c r="F554" s="1" t="s">
        <v>323</v>
      </c>
      <c r="G554" s="1">
        <v>2</v>
      </c>
      <c r="H554" s="1">
        <v>34951</v>
      </c>
      <c r="I554" s="1">
        <v>0.15</v>
      </c>
      <c r="J554" s="1">
        <v>59416.7</v>
      </c>
      <c r="K554" s="1">
        <v>12144.17</v>
      </c>
      <c r="L554" s="1" t="s">
        <v>45</v>
      </c>
      <c r="M554" s="1" t="str">
        <f>TEXT(Table1[[#This Row],[Order Date]],"mmm")</f>
        <v>Mar</v>
      </c>
      <c r="N554" s="1">
        <f>YEAR(Table1[[#This Row],[Order Date]])</f>
        <v>2023</v>
      </c>
    </row>
    <row r="555" spans="1:14" x14ac:dyDescent="0.35">
      <c r="A555" s="1" t="s">
        <v>1021</v>
      </c>
      <c r="B555" s="1" t="s">
        <v>469</v>
      </c>
      <c r="C555" s="1" t="s">
        <v>170</v>
      </c>
      <c r="D555" s="1" t="s">
        <v>48</v>
      </c>
      <c r="E555" s="1" t="s">
        <v>16</v>
      </c>
      <c r="F555" s="1" t="s">
        <v>48</v>
      </c>
      <c r="G555" s="1">
        <v>9</v>
      </c>
      <c r="H555" s="1">
        <v>59989</v>
      </c>
      <c r="I555" s="1">
        <v>0.2</v>
      </c>
      <c r="J555" s="1">
        <v>431920.8</v>
      </c>
      <c r="K555" s="1">
        <v>50738.58</v>
      </c>
      <c r="L555" s="1" t="s">
        <v>23</v>
      </c>
      <c r="M555" s="1" t="str">
        <f>TEXT(Table1[[#This Row],[Order Date]],"mmm")</f>
        <v>Apr</v>
      </c>
      <c r="N555" s="1">
        <f>YEAR(Table1[[#This Row],[Order Date]])</f>
        <v>2023</v>
      </c>
    </row>
    <row r="556" spans="1:14" x14ac:dyDescent="0.35">
      <c r="A556" s="1" t="s">
        <v>1022</v>
      </c>
      <c r="B556" s="1" t="s">
        <v>1023</v>
      </c>
      <c r="C556" s="1" t="s">
        <v>67</v>
      </c>
      <c r="D556" s="1" t="s">
        <v>224</v>
      </c>
      <c r="E556" s="1" t="s">
        <v>33</v>
      </c>
      <c r="F556" s="1" t="s">
        <v>224</v>
      </c>
      <c r="G556" s="1">
        <v>14</v>
      </c>
      <c r="H556" s="1">
        <v>49274</v>
      </c>
      <c r="I556" s="1">
        <v>0.1</v>
      </c>
      <c r="J556" s="1">
        <v>620852.4</v>
      </c>
      <c r="K556" s="1">
        <v>56088.31</v>
      </c>
      <c r="L556" s="1" t="s">
        <v>70</v>
      </c>
      <c r="M556" s="1" t="str">
        <f>TEXT(Table1[[#This Row],[Order Date]],"mmm")</f>
        <v>May</v>
      </c>
      <c r="N556" s="1">
        <f>YEAR(Table1[[#This Row],[Order Date]])</f>
        <v>2023</v>
      </c>
    </row>
    <row r="557" spans="1:14" x14ac:dyDescent="0.35">
      <c r="A557" s="1" t="s">
        <v>1024</v>
      </c>
      <c r="B557" s="1" t="s">
        <v>1025</v>
      </c>
      <c r="C557" s="1" t="s">
        <v>55</v>
      </c>
      <c r="D557" s="1" t="s">
        <v>74</v>
      </c>
      <c r="E557" s="1" t="s">
        <v>22</v>
      </c>
      <c r="F557" s="1" t="s">
        <v>74</v>
      </c>
      <c r="G557" s="1">
        <v>3</v>
      </c>
      <c r="H557" s="1">
        <v>3359</v>
      </c>
      <c r="I557" s="1">
        <v>0.15</v>
      </c>
      <c r="J557" s="1">
        <v>8565.4500000000007</v>
      </c>
      <c r="K557" s="1">
        <v>1472.87</v>
      </c>
      <c r="L557" s="1" t="s">
        <v>70</v>
      </c>
      <c r="M557" s="1" t="str">
        <f>TEXT(Table1[[#This Row],[Order Date]],"mmm")</f>
        <v>Mar</v>
      </c>
      <c r="N557" s="1">
        <f>YEAR(Table1[[#This Row],[Order Date]])</f>
        <v>2023</v>
      </c>
    </row>
    <row r="558" spans="1:14" x14ac:dyDescent="0.35">
      <c r="A558" s="1" t="s">
        <v>1026</v>
      </c>
      <c r="B558" s="1" t="s">
        <v>1027</v>
      </c>
      <c r="C558" s="1" t="s">
        <v>98</v>
      </c>
      <c r="D558" s="1" t="s">
        <v>64</v>
      </c>
      <c r="E558" s="1" t="s">
        <v>33</v>
      </c>
      <c r="F558" s="1" t="s">
        <v>64</v>
      </c>
      <c r="G558" s="1">
        <v>1</v>
      </c>
      <c r="H558" s="1">
        <v>31042</v>
      </c>
      <c r="I558" s="1">
        <v>0.2</v>
      </c>
      <c r="J558" s="1">
        <v>24833.599999999999</v>
      </c>
      <c r="K558" s="1">
        <v>5610.41</v>
      </c>
      <c r="L558" s="1" t="s">
        <v>70</v>
      </c>
      <c r="M558" s="1" t="str">
        <f>TEXT(Table1[[#This Row],[Order Date]],"mmm")</f>
        <v>Nov</v>
      </c>
      <c r="N558" s="1">
        <f>YEAR(Table1[[#This Row],[Order Date]])</f>
        <v>2023</v>
      </c>
    </row>
    <row r="559" spans="1:14" x14ac:dyDescent="0.35">
      <c r="A559" s="1" t="s">
        <v>1028</v>
      </c>
      <c r="B559" s="1" t="s">
        <v>1029</v>
      </c>
      <c r="C559" s="1" t="s">
        <v>67</v>
      </c>
      <c r="D559" s="1" t="s">
        <v>179</v>
      </c>
      <c r="E559" s="1" t="s">
        <v>28</v>
      </c>
      <c r="F559" s="1" t="s">
        <v>179</v>
      </c>
      <c r="G559" s="1">
        <v>4</v>
      </c>
      <c r="H559" s="1">
        <v>7294</v>
      </c>
      <c r="I559" s="1">
        <v>0.1</v>
      </c>
      <c r="J559" s="1">
        <v>26258.400000000001</v>
      </c>
      <c r="K559" s="1">
        <v>3351.3</v>
      </c>
      <c r="L559" s="1" t="s">
        <v>17</v>
      </c>
      <c r="M559" s="1" t="str">
        <f>TEXT(Table1[[#This Row],[Order Date]],"mmm")</f>
        <v>Nov</v>
      </c>
      <c r="N559" s="1">
        <f>YEAR(Table1[[#This Row],[Order Date]])</f>
        <v>2024</v>
      </c>
    </row>
    <row r="560" spans="1:14" x14ac:dyDescent="0.35">
      <c r="A560" s="1" t="s">
        <v>1030</v>
      </c>
      <c r="B560" s="1" t="s">
        <v>827</v>
      </c>
      <c r="C560" s="1" t="s">
        <v>200</v>
      </c>
      <c r="D560" s="1" t="s">
        <v>78</v>
      </c>
      <c r="E560" s="1" t="s">
        <v>28</v>
      </c>
      <c r="F560" s="1" t="s">
        <v>78</v>
      </c>
      <c r="G560" s="1">
        <v>14</v>
      </c>
      <c r="H560" s="1">
        <v>54303</v>
      </c>
      <c r="I560" s="1">
        <v>0.05</v>
      </c>
      <c r="J560" s="1">
        <v>722229.9</v>
      </c>
      <c r="K560" s="1">
        <v>72596.289999999994</v>
      </c>
      <c r="L560" s="1" t="s">
        <v>70</v>
      </c>
      <c r="M560" s="1" t="str">
        <f>TEXT(Table1[[#This Row],[Order Date]],"mmm")</f>
        <v>Jan</v>
      </c>
      <c r="N560" s="1">
        <f>YEAR(Table1[[#This Row],[Order Date]])</f>
        <v>2023</v>
      </c>
    </row>
    <row r="561" spans="1:14" x14ac:dyDescent="0.35">
      <c r="A561" s="1" t="s">
        <v>1031</v>
      </c>
      <c r="B561" s="1" t="s">
        <v>1032</v>
      </c>
      <c r="C561" s="1" t="s">
        <v>203</v>
      </c>
      <c r="D561" s="1" t="s">
        <v>60</v>
      </c>
      <c r="E561" s="1" t="s">
        <v>33</v>
      </c>
      <c r="F561" s="1" t="s">
        <v>60</v>
      </c>
      <c r="G561" s="1">
        <v>14</v>
      </c>
      <c r="H561" s="1">
        <v>58116</v>
      </c>
      <c r="I561" s="1">
        <v>0.1</v>
      </c>
      <c r="J561" s="1">
        <v>732261.6</v>
      </c>
      <c r="K561" s="1">
        <v>200476.04</v>
      </c>
      <c r="L561" s="1" t="s">
        <v>70</v>
      </c>
      <c r="M561" s="1" t="str">
        <f>TEXT(Table1[[#This Row],[Order Date]],"mmm")</f>
        <v>May</v>
      </c>
      <c r="N561" s="1">
        <f>YEAR(Table1[[#This Row],[Order Date]])</f>
        <v>2024</v>
      </c>
    </row>
    <row r="562" spans="1:14" x14ac:dyDescent="0.35">
      <c r="A562" s="1" t="s">
        <v>1033</v>
      </c>
      <c r="B562" s="1" t="s">
        <v>485</v>
      </c>
      <c r="C562" s="1" t="s">
        <v>188</v>
      </c>
      <c r="D562" s="1" t="s">
        <v>74</v>
      </c>
      <c r="E562" s="1" t="s">
        <v>22</v>
      </c>
      <c r="F562" s="1" t="s">
        <v>74</v>
      </c>
      <c r="G562" s="1">
        <v>5</v>
      </c>
      <c r="H562" s="1">
        <v>14146</v>
      </c>
      <c r="I562" s="1">
        <v>0</v>
      </c>
      <c r="J562" s="1">
        <v>70730</v>
      </c>
      <c r="K562" s="1">
        <v>12046.33</v>
      </c>
      <c r="L562" s="1" t="s">
        <v>17</v>
      </c>
      <c r="M562" s="1" t="str">
        <f>TEXT(Table1[[#This Row],[Order Date]],"mmm")</f>
        <v>Nov</v>
      </c>
      <c r="N562" s="1">
        <f>YEAR(Table1[[#This Row],[Order Date]])</f>
        <v>2024</v>
      </c>
    </row>
    <row r="563" spans="1:14" x14ac:dyDescent="0.35">
      <c r="A563" s="1" t="s">
        <v>1034</v>
      </c>
      <c r="B563" s="1" t="s">
        <v>400</v>
      </c>
      <c r="C563" s="1" t="s">
        <v>88</v>
      </c>
      <c r="D563" s="1" t="s">
        <v>78</v>
      </c>
      <c r="E563" s="1" t="s">
        <v>28</v>
      </c>
      <c r="F563" s="1" t="s">
        <v>78</v>
      </c>
      <c r="G563" s="1">
        <v>5</v>
      </c>
      <c r="H563" s="1">
        <v>15463</v>
      </c>
      <c r="I563" s="1">
        <v>0.1</v>
      </c>
      <c r="J563" s="1">
        <v>69583.5</v>
      </c>
      <c r="K563" s="1">
        <v>15161.83</v>
      </c>
      <c r="L563" s="1" t="s">
        <v>17</v>
      </c>
      <c r="M563" s="1" t="str">
        <f>TEXT(Table1[[#This Row],[Order Date]],"mmm")</f>
        <v>Aug</v>
      </c>
      <c r="N563" s="1">
        <f>YEAR(Table1[[#This Row],[Order Date]])</f>
        <v>2023</v>
      </c>
    </row>
    <row r="564" spans="1:14" x14ac:dyDescent="0.35">
      <c r="A564" s="1" t="s">
        <v>1035</v>
      </c>
      <c r="B564" s="1" t="s">
        <v>979</v>
      </c>
      <c r="C564" s="1" t="s">
        <v>507</v>
      </c>
      <c r="D564" s="1" t="s">
        <v>85</v>
      </c>
      <c r="E564" s="1" t="s">
        <v>28</v>
      </c>
      <c r="F564" s="1" t="s">
        <v>85</v>
      </c>
      <c r="G564" s="1">
        <v>8</v>
      </c>
      <c r="H564" s="1">
        <v>53024</v>
      </c>
      <c r="I564" s="1">
        <v>0.1</v>
      </c>
      <c r="J564" s="1">
        <v>381772.79999999999</v>
      </c>
      <c r="K564" s="1">
        <v>87879.2</v>
      </c>
      <c r="L564" s="1" t="s">
        <v>17</v>
      </c>
      <c r="M564" s="1" t="str">
        <f>TEXT(Table1[[#This Row],[Order Date]],"mmm")</f>
        <v>Jul</v>
      </c>
      <c r="N564" s="1">
        <f>YEAR(Table1[[#This Row],[Order Date]])</f>
        <v>2024</v>
      </c>
    </row>
    <row r="565" spans="1:14" x14ac:dyDescent="0.35">
      <c r="A565" s="1" t="s">
        <v>1036</v>
      </c>
      <c r="B565" s="1" t="s">
        <v>262</v>
      </c>
      <c r="C565" s="1" t="s">
        <v>335</v>
      </c>
      <c r="D565" s="1" t="s">
        <v>179</v>
      </c>
      <c r="E565" s="1" t="s">
        <v>28</v>
      </c>
      <c r="F565" s="1" t="s">
        <v>179</v>
      </c>
      <c r="G565" s="1">
        <v>1</v>
      </c>
      <c r="H565" s="1">
        <v>27747</v>
      </c>
      <c r="I565" s="1">
        <v>0.05</v>
      </c>
      <c r="J565" s="1">
        <v>26359.65</v>
      </c>
      <c r="K565" s="1">
        <v>5762.67</v>
      </c>
      <c r="L565" s="1" t="s">
        <v>23</v>
      </c>
      <c r="M565" s="1" t="str">
        <f>TEXT(Table1[[#This Row],[Order Date]],"mmm")</f>
        <v>Jul</v>
      </c>
      <c r="N565" s="1">
        <f>YEAR(Table1[[#This Row],[Order Date]])</f>
        <v>2023</v>
      </c>
    </row>
    <row r="566" spans="1:14" x14ac:dyDescent="0.35">
      <c r="A566" s="1" t="s">
        <v>1037</v>
      </c>
      <c r="B566" s="1" t="s">
        <v>1038</v>
      </c>
      <c r="C566" s="1" t="s">
        <v>111</v>
      </c>
      <c r="D566" s="1" t="s">
        <v>32</v>
      </c>
      <c r="E566" s="1" t="s">
        <v>33</v>
      </c>
      <c r="F566" s="1" t="s">
        <v>32</v>
      </c>
      <c r="G566" s="1">
        <v>8</v>
      </c>
      <c r="H566" s="1">
        <v>31272</v>
      </c>
      <c r="I566" s="1">
        <v>0.05</v>
      </c>
      <c r="J566" s="1">
        <v>237667.20000000001</v>
      </c>
      <c r="K566" s="1">
        <v>39154.06</v>
      </c>
      <c r="L566" s="1" t="s">
        <v>17</v>
      </c>
      <c r="M566" s="1" t="str">
        <f>TEXT(Table1[[#This Row],[Order Date]],"mmm")</f>
        <v>Feb</v>
      </c>
      <c r="N566" s="1">
        <f>YEAR(Table1[[#This Row],[Order Date]])</f>
        <v>2024</v>
      </c>
    </row>
    <row r="567" spans="1:14" x14ac:dyDescent="0.35">
      <c r="A567" s="1" t="s">
        <v>1039</v>
      </c>
      <c r="B567" s="1" t="s">
        <v>812</v>
      </c>
      <c r="C567" s="1" t="s">
        <v>162</v>
      </c>
      <c r="D567" s="1" t="s">
        <v>151</v>
      </c>
      <c r="E567" s="1" t="s">
        <v>22</v>
      </c>
      <c r="F567" s="1" t="s">
        <v>151</v>
      </c>
      <c r="G567" s="1">
        <v>8</v>
      </c>
      <c r="H567" s="1">
        <v>23728</v>
      </c>
      <c r="I567" s="1">
        <v>0.2</v>
      </c>
      <c r="J567" s="1">
        <v>151859.20000000001</v>
      </c>
      <c r="K567" s="1">
        <v>27402.880000000001</v>
      </c>
      <c r="L567" s="1" t="s">
        <v>45</v>
      </c>
      <c r="M567" s="1" t="str">
        <f>TEXT(Table1[[#This Row],[Order Date]],"mmm")</f>
        <v>Dec</v>
      </c>
      <c r="N567" s="1">
        <f>YEAR(Table1[[#This Row],[Order Date]])</f>
        <v>2023</v>
      </c>
    </row>
    <row r="568" spans="1:14" x14ac:dyDescent="0.35">
      <c r="A568" s="1" t="s">
        <v>1040</v>
      </c>
      <c r="B568" s="1" t="s">
        <v>402</v>
      </c>
      <c r="C568" s="1" t="s">
        <v>31</v>
      </c>
      <c r="D568" s="1" t="s">
        <v>74</v>
      </c>
      <c r="E568" s="1" t="s">
        <v>22</v>
      </c>
      <c r="F568" s="1" t="s">
        <v>74</v>
      </c>
      <c r="G568" s="1">
        <v>14</v>
      </c>
      <c r="H568" s="1">
        <v>53814</v>
      </c>
      <c r="I568" s="1">
        <v>0.15</v>
      </c>
      <c r="J568" s="1">
        <v>640386.6</v>
      </c>
      <c r="K568" s="1">
        <v>114561.61</v>
      </c>
      <c r="L568" s="1" t="s">
        <v>45</v>
      </c>
      <c r="M568" s="1" t="str">
        <f>TEXT(Table1[[#This Row],[Order Date]],"mmm")</f>
        <v>Feb</v>
      </c>
      <c r="N568" s="1">
        <f>YEAR(Table1[[#This Row],[Order Date]])</f>
        <v>2023</v>
      </c>
    </row>
    <row r="569" spans="1:14" x14ac:dyDescent="0.35">
      <c r="A569" s="1" t="s">
        <v>1041</v>
      </c>
      <c r="B569" s="1" t="s">
        <v>419</v>
      </c>
      <c r="C569" s="1" t="s">
        <v>40</v>
      </c>
      <c r="D569" s="1" t="s">
        <v>108</v>
      </c>
      <c r="E569" s="1" t="s">
        <v>22</v>
      </c>
      <c r="F569" s="1" t="s">
        <v>108</v>
      </c>
      <c r="G569" s="1">
        <v>15</v>
      </c>
      <c r="H569" s="1">
        <v>10771</v>
      </c>
      <c r="I569" s="1">
        <v>0</v>
      </c>
      <c r="J569" s="1">
        <v>161565</v>
      </c>
      <c r="K569" s="1">
        <v>29496.85</v>
      </c>
      <c r="L569" s="1" t="s">
        <v>17</v>
      </c>
      <c r="M569" s="1" t="str">
        <f>TEXT(Table1[[#This Row],[Order Date]],"mmm")</f>
        <v>Feb</v>
      </c>
      <c r="N569" s="1">
        <f>YEAR(Table1[[#This Row],[Order Date]])</f>
        <v>2024</v>
      </c>
    </row>
    <row r="570" spans="1:14" x14ac:dyDescent="0.35">
      <c r="A570" s="1" t="s">
        <v>1042</v>
      </c>
      <c r="B570" s="1" t="s">
        <v>1043</v>
      </c>
      <c r="C570" s="1" t="s">
        <v>77</v>
      </c>
      <c r="D570" s="1" t="s">
        <v>44</v>
      </c>
      <c r="E570" s="1" t="s">
        <v>28</v>
      </c>
      <c r="F570" s="1" t="s">
        <v>44</v>
      </c>
      <c r="G570" s="1">
        <v>9</v>
      </c>
      <c r="H570" s="1">
        <v>41965</v>
      </c>
      <c r="I570" s="1">
        <v>0.05</v>
      </c>
      <c r="J570" s="1">
        <v>358800.75</v>
      </c>
      <c r="K570" s="1">
        <v>48225.98</v>
      </c>
      <c r="L570" s="1" t="s">
        <v>70</v>
      </c>
      <c r="M570" s="1" t="str">
        <f>TEXT(Table1[[#This Row],[Order Date]],"mmm")</f>
        <v>Aug</v>
      </c>
      <c r="N570" s="1">
        <f>YEAR(Table1[[#This Row],[Order Date]])</f>
        <v>2024</v>
      </c>
    </row>
    <row r="571" spans="1:14" x14ac:dyDescent="0.35">
      <c r="A571" s="1" t="s">
        <v>1044</v>
      </c>
      <c r="B571" s="1" t="s">
        <v>1045</v>
      </c>
      <c r="C571" s="1" t="s">
        <v>94</v>
      </c>
      <c r="D571" s="1" t="s">
        <v>293</v>
      </c>
      <c r="E571" s="1" t="s">
        <v>33</v>
      </c>
      <c r="F571" s="1" t="s">
        <v>293</v>
      </c>
      <c r="G571" s="1">
        <v>14</v>
      </c>
      <c r="H571" s="1">
        <v>19068</v>
      </c>
      <c r="I571" s="1">
        <v>0.1</v>
      </c>
      <c r="J571" s="1">
        <v>240256.8</v>
      </c>
      <c r="K571" s="1">
        <v>58860.31</v>
      </c>
      <c r="L571" s="1" t="s">
        <v>17</v>
      </c>
      <c r="M571" s="1" t="str">
        <f>TEXT(Table1[[#This Row],[Order Date]],"mmm")</f>
        <v>Feb</v>
      </c>
      <c r="N571" s="1">
        <f>YEAR(Table1[[#This Row],[Order Date]])</f>
        <v>2023</v>
      </c>
    </row>
    <row r="572" spans="1:14" x14ac:dyDescent="0.35">
      <c r="A572" s="1" t="s">
        <v>1046</v>
      </c>
      <c r="B572" s="1" t="s">
        <v>504</v>
      </c>
      <c r="C572" s="1" t="s">
        <v>40</v>
      </c>
      <c r="D572" s="1" t="s">
        <v>64</v>
      </c>
      <c r="E572" s="1" t="s">
        <v>33</v>
      </c>
      <c r="F572" s="1" t="s">
        <v>64</v>
      </c>
      <c r="G572" s="1">
        <v>5</v>
      </c>
      <c r="H572" s="1">
        <v>41519</v>
      </c>
      <c r="I572" s="1">
        <v>0.15</v>
      </c>
      <c r="J572" s="1">
        <v>176455.75</v>
      </c>
      <c r="K572" s="1">
        <v>44708.44</v>
      </c>
      <c r="L572" s="1" t="s">
        <v>23</v>
      </c>
      <c r="M572" s="1" t="str">
        <f>TEXT(Table1[[#This Row],[Order Date]],"mmm")</f>
        <v>Aug</v>
      </c>
      <c r="N572" s="1">
        <f>YEAR(Table1[[#This Row],[Order Date]])</f>
        <v>2023</v>
      </c>
    </row>
    <row r="573" spans="1:14" x14ac:dyDescent="0.35">
      <c r="A573" s="1" t="s">
        <v>1047</v>
      </c>
      <c r="B573" s="1" t="s">
        <v>1048</v>
      </c>
      <c r="C573" s="1" t="s">
        <v>77</v>
      </c>
      <c r="D573" s="1" t="s">
        <v>293</v>
      </c>
      <c r="E573" s="1" t="s">
        <v>33</v>
      </c>
      <c r="F573" s="1" t="s">
        <v>293</v>
      </c>
      <c r="G573" s="1">
        <v>3</v>
      </c>
      <c r="H573" s="1">
        <v>44221</v>
      </c>
      <c r="I573" s="1">
        <v>0.1</v>
      </c>
      <c r="J573" s="1">
        <v>119396.7</v>
      </c>
      <c r="K573" s="1">
        <v>25907.89</v>
      </c>
      <c r="L573" s="1" t="s">
        <v>17</v>
      </c>
      <c r="M573" s="1" t="str">
        <f>TEXT(Table1[[#This Row],[Order Date]],"mmm")</f>
        <v>May</v>
      </c>
      <c r="N573" s="1">
        <f>YEAR(Table1[[#This Row],[Order Date]])</f>
        <v>2024</v>
      </c>
    </row>
    <row r="574" spans="1:14" x14ac:dyDescent="0.35">
      <c r="A574" s="1" t="s">
        <v>1049</v>
      </c>
      <c r="B574" s="1" t="s">
        <v>257</v>
      </c>
      <c r="C574" s="1" t="s">
        <v>255</v>
      </c>
      <c r="D574" s="1" t="s">
        <v>108</v>
      </c>
      <c r="E574" s="1" t="s">
        <v>22</v>
      </c>
      <c r="F574" s="1" t="s">
        <v>108</v>
      </c>
      <c r="G574" s="1">
        <v>9</v>
      </c>
      <c r="H574" s="1">
        <v>11339</v>
      </c>
      <c r="I574" s="1">
        <v>0.05</v>
      </c>
      <c r="J574" s="1">
        <v>96948.45</v>
      </c>
      <c r="K574" s="1">
        <v>16152.97</v>
      </c>
      <c r="L574" s="1" t="s">
        <v>17</v>
      </c>
      <c r="M574" s="1" t="str">
        <f>TEXT(Table1[[#This Row],[Order Date]],"mmm")</f>
        <v>Aug</v>
      </c>
      <c r="N574" s="1">
        <f>YEAR(Table1[[#This Row],[Order Date]])</f>
        <v>2024</v>
      </c>
    </row>
    <row r="575" spans="1:14" x14ac:dyDescent="0.35">
      <c r="A575" s="1" t="s">
        <v>1050</v>
      </c>
      <c r="B575" s="1" t="s">
        <v>1051</v>
      </c>
      <c r="C575" s="1" t="s">
        <v>191</v>
      </c>
      <c r="D575" s="1" t="s">
        <v>41</v>
      </c>
      <c r="E575" s="1" t="s">
        <v>16</v>
      </c>
      <c r="F575" s="1" t="s">
        <v>41</v>
      </c>
      <c r="G575" s="1">
        <v>14</v>
      </c>
      <c r="H575" s="1">
        <v>10250</v>
      </c>
      <c r="I575" s="1">
        <v>0</v>
      </c>
      <c r="J575" s="1">
        <v>143500</v>
      </c>
      <c r="K575" s="1">
        <v>40707.589999999997</v>
      </c>
      <c r="L575" s="1" t="s">
        <v>70</v>
      </c>
      <c r="M575" s="1" t="str">
        <f>TEXT(Table1[[#This Row],[Order Date]],"mmm")</f>
        <v>Mar</v>
      </c>
      <c r="N575" s="1">
        <f>YEAR(Table1[[#This Row],[Order Date]])</f>
        <v>2023</v>
      </c>
    </row>
    <row r="576" spans="1:14" x14ac:dyDescent="0.35">
      <c r="A576" s="1" t="s">
        <v>1052</v>
      </c>
      <c r="B576" s="1" t="s">
        <v>582</v>
      </c>
      <c r="C576" s="1" t="s">
        <v>81</v>
      </c>
      <c r="D576" s="1" t="s">
        <v>108</v>
      </c>
      <c r="E576" s="1" t="s">
        <v>22</v>
      </c>
      <c r="F576" s="1" t="s">
        <v>108</v>
      </c>
      <c r="G576" s="1">
        <v>9</v>
      </c>
      <c r="H576" s="1">
        <v>29280</v>
      </c>
      <c r="I576" s="1">
        <v>0.2</v>
      </c>
      <c r="J576" s="1">
        <v>210816</v>
      </c>
      <c r="K576" s="1">
        <v>55927.9</v>
      </c>
      <c r="L576" s="1" t="s">
        <v>70</v>
      </c>
      <c r="M576" s="1" t="str">
        <f>TEXT(Table1[[#This Row],[Order Date]],"mmm")</f>
        <v>Apr</v>
      </c>
      <c r="N576" s="1">
        <f>YEAR(Table1[[#This Row],[Order Date]])</f>
        <v>2024</v>
      </c>
    </row>
    <row r="577" spans="1:14" x14ac:dyDescent="0.35">
      <c r="A577" s="1" t="s">
        <v>1053</v>
      </c>
      <c r="B577" s="1" t="s">
        <v>1054</v>
      </c>
      <c r="C577" s="1" t="s">
        <v>81</v>
      </c>
      <c r="D577" s="1" t="s">
        <v>167</v>
      </c>
      <c r="E577" s="1" t="s">
        <v>16</v>
      </c>
      <c r="F577" s="1" t="s">
        <v>167</v>
      </c>
      <c r="G577" s="1">
        <v>6</v>
      </c>
      <c r="H577" s="1">
        <v>28844</v>
      </c>
      <c r="I577" s="1">
        <v>0.1</v>
      </c>
      <c r="J577" s="1">
        <v>155757.6</v>
      </c>
      <c r="K577" s="1">
        <v>19386.5</v>
      </c>
      <c r="L577" s="1" t="s">
        <v>70</v>
      </c>
      <c r="M577" s="1" t="str">
        <f>TEXT(Table1[[#This Row],[Order Date]],"mmm")</f>
        <v>Nov</v>
      </c>
      <c r="N577" s="1">
        <f>YEAR(Table1[[#This Row],[Order Date]])</f>
        <v>2023</v>
      </c>
    </row>
    <row r="578" spans="1:14" x14ac:dyDescent="0.35">
      <c r="A578" s="1" t="s">
        <v>1055</v>
      </c>
      <c r="B578" s="1" t="s">
        <v>1056</v>
      </c>
      <c r="C578" s="1" t="s">
        <v>507</v>
      </c>
      <c r="D578" s="1" t="s">
        <v>85</v>
      </c>
      <c r="E578" s="1" t="s">
        <v>28</v>
      </c>
      <c r="F578" s="1" t="s">
        <v>85</v>
      </c>
      <c r="G578" s="1">
        <v>14</v>
      </c>
      <c r="H578" s="1">
        <v>987</v>
      </c>
      <c r="I578" s="1">
        <v>0.1</v>
      </c>
      <c r="J578" s="1">
        <v>12436.2</v>
      </c>
      <c r="K578" s="1">
        <v>2716.88</v>
      </c>
      <c r="L578" s="1" t="s">
        <v>17</v>
      </c>
      <c r="M578" s="1" t="str">
        <f>TEXT(Table1[[#This Row],[Order Date]],"mmm")</f>
        <v>Jul</v>
      </c>
      <c r="N578" s="1">
        <f>YEAR(Table1[[#This Row],[Order Date]])</f>
        <v>2024</v>
      </c>
    </row>
    <row r="579" spans="1:14" x14ac:dyDescent="0.35">
      <c r="A579" s="1" t="s">
        <v>1057</v>
      </c>
      <c r="B579" s="1" t="s">
        <v>524</v>
      </c>
      <c r="C579" s="1" t="s">
        <v>155</v>
      </c>
      <c r="D579" s="1" t="s">
        <v>133</v>
      </c>
      <c r="E579" s="1" t="s">
        <v>22</v>
      </c>
      <c r="F579" s="1" t="s">
        <v>133</v>
      </c>
      <c r="G579" s="1">
        <v>9</v>
      </c>
      <c r="H579" s="1">
        <v>53281</v>
      </c>
      <c r="I579" s="1">
        <v>0.15</v>
      </c>
      <c r="J579" s="1">
        <v>407599.65</v>
      </c>
      <c r="K579" s="1">
        <v>41985.99</v>
      </c>
      <c r="L579" s="1" t="s">
        <v>17</v>
      </c>
      <c r="M579" s="1" t="str">
        <f>TEXT(Table1[[#This Row],[Order Date]],"mmm")</f>
        <v>Nov</v>
      </c>
      <c r="N579" s="1">
        <f>YEAR(Table1[[#This Row],[Order Date]])</f>
        <v>2024</v>
      </c>
    </row>
    <row r="580" spans="1:14" x14ac:dyDescent="0.35">
      <c r="A580" s="1" t="s">
        <v>1058</v>
      </c>
      <c r="B580" s="1" t="s">
        <v>1059</v>
      </c>
      <c r="C580" s="1" t="s">
        <v>640</v>
      </c>
      <c r="D580" s="1" t="s">
        <v>60</v>
      </c>
      <c r="E580" s="1" t="s">
        <v>33</v>
      </c>
      <c r="F580" s="1" t="s">
        <v>60</v>
      </c>
      <c r="G580" s="1">
        <v>15</v>
      </c>
      <c r="H580" s="1">
        <v>36598</v>
      </c>
      <c r="I580" s="1">
        <v>0.2</v>
      </c>
      <c r="J580" s="1">
        <v>439176</v>
      </c>
      <c r="K580" s="1">
        <v>116613.3</v>
      </c>
      <c r="L580" s="1" t="s">
        <v>23</v>
      </c>
      <c r="M580" s="1" t="str">
        <f>TEXT(Table1[[#This Row],[Order Date]],"mmm")</f>
        <v>Nov</v>
      </c>
      <c r="N580" s="1">
        <f>YEAR(Table1[[#This Row],[Order Date]])</f>
        <v>2024</v>
      </c>
    </row>
    <row r="581" spans="1:14" x14ac:dyDescent="0.35">
      <c r="A581" s="1" t="s">
        <v>1060</v>
      </c>
      <c r="B581" s="1" t="s">
        <v>449</v>
      </c>
      <c r="C581" s="1" t="s">
        <v>31</v>
      </c>
      <c r="D581" s="1" t="s">
        <v>52</v>
      </c>
      <c r="E581" s="1" t="s">
        <v>28</v>
      </c>
      <c r="F581" s="1" t="s">
        <v>52</v>
      </c>
      <c r="G581" s="1">
        <v>4</v>
      </c>
      <c r="H581" s="1">
        <v>29357</v>
      </c>
      <c r="I581" s="1">
        <v>0.1</v>
      </c>
      <c r="J581" s="1">
        <v>105685.2</v>
      </c>
      <c r="K581" s="1">
        <v>22077.03</v>
      </c>
      <c r="L581" s="1" t="s">
        <v>17</v>
      </c>
      <c r="M581" s="1" t="str">
        <f>TEXT(Table1[[#This Row],[Order Date]],"mmm")</f>
        <v>Jan</v>
      </c>
      <c r="N581" s="1">
        <f>YEAR(Table1[[#This Row],[Order Date]])</f>
        <v>2024</v>
      </c>
    </row>
    <row r="582" spans="1:14" x14ac:dyDescent="0.35">
      <c r="A582" s="1" t="s">
        <v>1061</v>
      </c>
      <c r="B582" s="1" t="s">
        <v>276</v>
      </c>
      <c r="C582" s="1" t="s">
        <v>507</v>
      </c>
      <c r="D582" s="1" t="s">
        <v>64</v>
      </c>
      <c r="E582" s="1" t="s">
        <v>33</v>
      </c>
      <c r="F582" s="1" t="s">
        <v>64</v>
      </c>
      <c r="G582" s="1">
        <v>10</v>
      </c>
      <c r="H582" s="1">
        <v>2146</v>
      </c>
      <c r="I582" s="1">
        <v>0.2</v>
      </c>
      <c r="J582" s="1">
        <v>17168</v>
      </c>
      <c r="K582" s="1">
        <v>2738.59</v>
      </c>
      <c r="L582" s="1" t="s">
        <v>23</v>
      </c>
      <c r="M582" s="1" t="str">
        <f>TEXT(Table1[[#This Row],[Order Date]],"mmm")</f>
        <v>Apr</v>
      </c>
      <c r="N582" s="1">
        <f>YEAR(Table1[[#This Row],[Order Date]])</f>
        <v>2024</v>
      </c>
    </row>
    <row r="583" spans="1:14" x14ac:dyDescent="0.35">
      <c r="A583" s="1" t="s">
        <v>1062</v>
      </c>
      <c r="B583" s="1" t="s">
        <v>1063</v>
      </c>
      <c r="C583" s="1" t="s">
        <v>88</v>
      </c>
      <c r="D583" s="1" t="s">
        <v>27</v>
      </c>
      <c r="E583" s="1" t="s">
        <v>28</v>
      </c>
      <c r="F583" s="1" t="s">
        <v>27</v>
      </c>
      <c r="G583" s="1">
        <v>12</v>
      </c>
      <c r="H583" s="1">
        <v>44403</v>
      </c>
      <c r="I583" s="1">
        <v>0.1</v>
      </c>
      <c r="J583" s="1">
        <v>479552.4</v>
      </c>
      <c r="K583" s="1">
        <v>48666.400000000001</v>
      </c>
      <c r="L583" s="1" t="s">
        <v>23</v>
      </c>
      <c r="M583" s="1" t="str">
        <f>TEXT(Table1[[#This Row],[Order Date]],"mmm")</f>
        <v>Apr</v>
      </c>
      <c r="N583" s="1">
        <f>YEAR(Table1[[#This Row],[Order Date]])</f>
        <v>2024</v>
      </c>
    </row>
    <row r="584" spans="1:14" x14ac:dyDescent="0.35">
      <c r="A584" s="1" t="s">
        <v>1064</v>
      </c>
      <c r="B584" s="1" t="s">
        <v>1065</v>
      </c>
      <c r="C584" s="1" t="s">
        <v>208</v>
      </c>
      <c r="D584" s="1" t="s">
        <v>27</v>
      </c>
      <c r="E584" s="1" t="s">
        <v>28</v>
      </c>
      <c r="F584" s="1" t="s">
        <v>27</v>
      </c>
      <c r="G584" s="1">
        <v>8</v>
      </c>
      <c r="H584" s="1">
        <v>36595</v>
      </c>
      <c r="I584" s="1">
        <v>0.05</v>
      </c>
      <c r="J584" s="1">
        <v>278122</v>
      </c>
      <c r="K584" s="1">
        <v>28014.36</v>
      </c>
      <c r="L584" s="1" t="s">
        <v>70</v>
      </c>
      <c r="M584" s="1" t="str">
        <f>TEXT(Table1[[#This Row],[Order Date]],"mmm")</f>
        <v>Aug</v>
      </c>
      <c r="N584" s="1">
        <f>YEAR(Table1[[#This Row],[Order Date]])</f>
        <v>2024</v>
      </c>
    </row>
    <row r="585" spans="1:14" x14ac:dyDescent="0.35">
      <c r="A585" s="1" t="s">
        <v>1066</v>
      </c>
      <c r="B585" s="1" t="s">
        <v>413</v>
      </c>
      <c r="C585" s="1" t="s">
        <v>255</v>
      </c>
      <c r="D585" s="1" t="s">
        <v>27</v>
      </c>
      <c r="E585" s="1" t="s">
        <v>28</v>
      </c>
      <c r="F585" s="1" t="s">
        <v>27</v>
      </c>
      <c r="G585" s="1">
        <v>9</v>
      </c>
      <c r="H585" s="1">
        <v>28028</v>
      </c>
      <c r="I585" s="1">
        <v>0.15</v>
      </c>
      <c r="J585" s="1">
        <v>214414.2</v>
      </c>
      <c r="K585" s="1">
        <v>42426.15</v>
      </c>
      <c r="L585" s="1" t="s">
        <v>23</v>
      </c>
      <c r="M585" s="1" t="str">
        <f>TEXT(Table1[[#This Row],[Order Date]],"mmm")</f>
        <v>May</v>
      </c>
      <c r="N585" s="1">
        <f>YEAR(Table1[[#This Row],[Order Date]])</f>
        <v>2024</v>
      </c>
    </row>
    <row r="586" spans="1:14" x14ac:dyDescent="0.35">
      <c r="A586" s="1" t="s">
        <v>1067</v>
      </c>
      <c r="B586" s="1" t="s">
        <v>1068</v>
      </c>
      <c r="C586" s="1" t="s">
        <v>227</v>
      </c>
      <c r="D586" s="1" t="s">
        <v>91</v>
      </c>
      <c r="E586" s="1" t="s">
        <v>16</v>
      </c>
      <c r="F586" s="1" t="s">
        <v>91</v>
      </c>
      <c r="G586" s="1">
        <v>10</v>
      </c>
      <c r="H586" s="1">
        <v>46639</v>
      </c>
      <c r="I586" s="1">
        <v>0.2</v>
      </c>
      <c r="J586" s="1">
        <v>373112</v>
      </c>
      <c r="K586" s="1">
        <v>74120.25</v>
      </c>
      <c r="L586" s="1" t="s">
        <v>45</v>
      </c>
      <c r="M586" s="1" t="str">
        <f>TEXT(Table1[[#This Row],[Order Date]],"mmm")</f>
        <v>Apr</v>
      </c>
      <c r="N586" s="1">
        <f>YEAR(Table1[[#This Row],[Order Date]])</f>
        <v>2023</v>
      </c>
    </row>
    <row r="587" spans="1:14" x14ac:dyDescent="0.35">
      <c r="A587" s="1" t="s">
        <v>1069</v>
      </c>
      <c r="B587" s="1" t="s">
        <v>337</v>
      </c>
      <c r="C587" s="1" t="s">
        <v>227</v>
      </c>
      <c r="D587" s="1" t="s">
        <v>108</v>
      </c>
      <c r="E587" s="1" t="s">
        <v>22</v>
      </c>
      <c r="F587" s="1" t="s">
        <v>108</v>
      </c>
      <c r="G587" s="1">
        <v>3</v>
      </c>
      <c r="H587" s="1">
        <v>38725</v>
      </c>
      <c r="I587" s="1">
        <v>0</v>
      </c>
      <c r="J587" s="1">
        <v>116175</v>
      </c>
      <c r="K587" s="1">
        <v>26596.45</v>
      </c>
      <c r="L587" s="1" t="s">
        <v>23</v>
      </c>
      <c r="M587" s="1" t="str">
        <f>TEXT(Table1[[#This Row],[Order Date]],"mmm")</f>
        <v>May</v>
      </c>
      <c r="N587" s="1">
        <f>YEAR(Table1[[#This Row],[Order Date]])</f>
        <v>2024</v>
      </c>
    </row>
    <row r="588" spans="1:14" x14ac:dyDescent="0.35">
      <c r="A588" s="1" t="s">
        <v>1070</v>
      </c>
      <c r="B588" s="1" t="s">
        <v>1071</v>
      </c>
      <c r="C588" s="1" t="s">
        <v>158</v>
      </c>
      <c r="D588" s="1" t="s">
        <v>91</v>
      </c>
      <c r="E588" s="1" t="s">
        <v>16</v>
      </c>
      <c r="F588" s="1" t="s">
        <v>91</v>
      </c>
      <c r="G588" s="1">
        <v>14</v>
      </c>
      <c r="H588" s="1">
        <v>1237</v>
      </c>
      <c r="I588" s="1">
        <v>0.15</v>
      </c>
      <c r="J588" s="1">
        <v>14720.3</v>
      </c>
      <c r="K588" s="1">
        <v>3884.87</v>
      </c>
      <c r="L588" s="1" t="s">
        <v>23</v>
      </c>
      <c r="M588" s="1" t="str">
        <f>TEXT(Table1[[#This Row],[Order Date]],"mmm")</f>
        <v>Jul</v>
      </c>
      <c r="N588" s="1">
        <f>YEAR(Table1[[#This Row],[Order Date]])</f>
        <v>2024</v>
      </c>
    </row>
    <row r="589" spans="1:14" x14ac:dyDescent="0.35">
      <c r="A589" s="1" t="s">
        <v>1072</v>
      </c>
      <c r="B589" s="1" t="s">
        <v>610</v>
      </c>
      <c r="C589" s="1" t="s">
        <v>111</v>
      </c>
      <c r="D589" s="1" t="s">
        <v>108</v>
      </c>
      <c r="E589" s="1" t="s">
        <v>22</v>
      </c>
      <c r="F589" s="1" t="s">
        <v>108</v>
      </c>
      <c r="G589" s="1">
        <v>8</v>
      </c>
      <c r="H589" s="1">
        <v>7753</v>
      </c>
      <c r="I589" s="1">
        <v>0.1</v>
      </c>
      <c r="J589" s="1">
        <v>55821.599999999999</v>
      </c>
      <c r="K589" s="1">
        <v>15558.92</v>
      </c>
      <c r="L589" s="1" t="s">
        <v>17</v>
      </c>
      <c r="M589" s="1" t="str">
        <f>TEXT(Table1[[#This Row],[Order Date]],"mmm")</f>
        <v>Dec</v>
      </c>
      <c r="N589" s="1">
        <f>YEAR(Table1[[#This Row],[Order Date]])</f>
        <v>2023</v>
      </c>
    </row>
    <row r="590" spans="1:14" x14ac:dyDescent="0.35">
      <c r="A590" s="1" t="s">
        <v>1073</v>
      </c>
      <c r="B590" s="1" t="s">
        <v>504</v>
      </c>
      <c r="C590" s="1" t="s">
        <v>136</v>
      </c>
      <c r="D590" s="1" t="s">
        <v>108</v>
      </c>
      <c r="E590" s="1" t="s">
        <v>22</v>
      </c>
      <c r="F590" s="1" t="s">
        <v>108</v>
      </c>
      <c r="G590" s="1">
        <v>4</v>
      </c>
      <c r="H590" s="1">
        <v>46260</v>
      </c>
      <c r="I590" s="1">
        <v>0.1</v>
      </c>
      <c r="J590" s="1">
        <v>166536</v>
      </c>
      <c r="K590" s="1">
        <v>25648.23</v>
      </c>
      <c r="L590" s="1" t="s">
        <v>23</v>
      </c>
      <c r="M590" s="1" t="str">
        <f>TEXT(Table1[[#This Row],[Order Date]],"mmm")</f>
        <v>Aug</v>
      </c>
      <c r="N590" s="1">
        <f>YEAR(Table1[[#This Row],[Order Date]])</f>
        <v>2023</v>
      </c>
    </row>
    <row r="591" spans="1:14" x14ac:dyDescent="0.35">
      <c r="A591" s="1" t="s">
        <v>1074</v>
      </c>
      <c r="B591" s="1" t="s">
        <v>873</v>
      </c>
      <c r="C591" s="1" t="s">
        <v>84</v>
      </c>
      <c r="D591" s="1" t="s">
        <v>48</v>
      </c>
      <c r="E591" s="1" t="s">
        <v>16</v>
      </c>
      <c r="F591" s="1" t="s">
        <v>48</v>
      </c>
      <c r="G591" s="1">
        <v>10</v>
      </c>
      <c r="H591" s="1">
        <v>648</v>
      </c>
      <c r="I591" s="1">
        <v>0.05</v>
      </c>
      <c r="J591" s="1">
        <v>6156</v>
      </c>
      <c r="K591" s="1">
        <v>1211.42</v>
      </c>
      <c r="L591" s="1" t="s">
        <v>70</v>
      </c>
      <c r="M591" s="1" t="str">
        <f>TEXT(Table1[[#This Row],[Order Date]],"mmm")</f>
        <v>Dec</v>
      </c>
      <c r="N591" s="1">
        <f>YEAR(Table1[[#This Row],[Order Date]])</f>
        <v>2023</v>
      </c>
    </row>
    <row r="592" spans="1:14" x14ac:dyDescent="0.35">
      <c r="A592" s="1" t="s">
        <v>1075</v>
      </c>
      <c r="B592" s="1" t="s">
        <v>638</v>
      </c>
      <c r="C592" s="1" t="s">
        <v>640</v>
      </c>
      <c r="D592" s="1" t="s">
        <v>179</v>
      </c>
      <c r="E592" s="1" t="s">
        <v>28</v>
      </c>
      <c r="F592" s="1" t="s">
        <v>179</v>
      </c>
      <c r="G592" s="1">
        <v>13</v>
      </c>
      <c r="H592" s="1">
        <v>41907</v>
      </c>
      <c r="I592" s="1">
        <v>0</v>
      </c>
      <c r="J592" s="1">
        <v>544791</v>
      </c>
      <c r="K592" s="1">
        <v>61607.46</v>
      </c>
      <c r="L592" s="1" t="s">
        <v>70</v>
      </c>
      <c r="M592" s="1" t="str">
        <f>TEXT(Table1[[#This Row],[Order Date]],"mmm")</f>
        <v>May</v>
      </c>
      <c r="N592" s="1">
        <f>YEAR(Table1[[#This Row],[Order Date]])</f>
        <v>2023</v>
      </c>
    </row>
    <row r="593" spans="1:14" x14ac:dyDescent="0.35">
      <c r="A593" s="1" t="s">
        <v>1076</v>
      </c>
      <c r="B593" s="1" t="s">
        <v>612</v>
      </c>
      <c r="C593" s="1" t="s">
        <v>14</v>
      </c>
      <c r="D593" s="1" t="s">
        <v>41</v>
      </c>
      <c r="E593" s="1" t="s">
        <v>16</v>
      </c>
      <c r="F593" s="1" t="s">
        <v>41</v>
      </c>
      <c r="G593" s="1">
        <v>4</v>
      </c>
      <c r="H593" s="1">
        <v>59226</v>
      </c>
      <c r="I593" s="1">
        <v>0</v>
      </c>
      <c r="J593" s="1">
        <v>236904</v>
      </c>
      <c r="K593" s="1">
        <v>70696.12</v>
      </c>
      <c r="L593" s="1" t="s">
        <v>70</v>
      </c>
      <c r="M593" s="1" t="str">
        <f>TEXT(Table1[[#This Row],[Order Date]],"mmm")</f>
        <v>May</v>
      </c>
      <c r="N593" s="1">
        <f>YEAR(Table1[[#This Row],[Order Date]])</f>
        <v>2024</v>
      </c>
    </row>
    <row r="594" spans="1:14" x14ac:dyDescent="0.35">
      <c r="A594" s="1" t="s">
        <v>1077</v>
      </c>
      <c r="B594" s="1" t="s">
        <v>301</v>
      </c>
      <c r="C594" s="1" t="s">
        <v>170</v>
      </c>
      <c r="D594" s="1" t="s">
        <v>179</v>
      </c>
      <c r="E594" s="1" t="s">
        <v>28</v>
      </c>
      <c r="F594" s="1" t="s">
        <v>179</v>
      </c>
      <c r="G594" s="1">
        <v>15</v>
      </c>
      <c r="H594" s="1">
        <v>28155</v>
      </c>
      <c r="I594" s="1">
        <v>0.1</v>
      </c>
      <c r="J594" s="1">
        <v>380092.5</v>
      </c>
      <c r="K594" s="1">
        <v>92660.71</v>
      </c>
      <c r="L594" s="1" t="s">
        <v>17</v>
      </c>
      <c r="M594" s="1" t="str">
        <f>TEXT(Table1[[#This Row],[Order Date]],"mmm")</f>
        <v>Jul</v>
      </c>
      <c r="N594" s="1">
        <f>YEAR(Table1[[#This Row],[Order Date]])</f>
        <v>2023</v>
      </c>
    </row>
    <row r="595" spans="1:14" x14ac:dyDescent="0.35">
      <c r="A595" s="1" t="s">
        <v>1078</v>
      </c>
      <c r="B595" s="1" t="s">
        <v>404</v>
      </c>
      <c r="C595" s="1" t="s">
        <v>208</v>
      </c>
      <c r="D595" s="1" t="s">
        <v>293</v>
      </c>
      <c r="E595" s="1" t="s">
        <v>33</v>
      </c>
      <c r="F595" s="1" t="s">
        <v>293</v>
      </c>
      <c r="G595" s="1">
        <v>10</v>
      </c>
      <c r="H595" s="1">
        <v>16898</v>
      </c>
      <c r="I595" s="1">
        <v>0.05</v>
      </c>
      <c r="J595" s="1">
        <v>160531</v>
      </c>
      <c r="K595" s="1">
        <v>33767.730000000003</v>
      </c>
      <c r="L595" s="1" t="s">
        <v>70</v>
      </c>
      <c r="M595" s="1" t="str">
        <f>TEXT(Table1[[#This Row],[Order Date]],"mmm")</f>
        <v>Jan</v>
      </c>
      <c r="N595" s="1">
        <f>YEAR(Table1[[#This Row],[Order Date]])</f>
        <v>2023</v>
      </c>
    </row>
    <row r="596" spans="1:14" x14ac:dyDescent="0.35">
      <c r="A596" s="1" t="s">
        <v>1079</v>
      </c>
      <c r="B596" s="1" t="s">
        <v>1080</v>
      </c>
      <c r="C596" s="1" t="s">
        <v>59</v>
      </c>
      <c r="D596" s="1" t="s">
        <v>60</v>
      </c>
      <c r="E596" s="1" t="s">
        <v>33</v>
      </c>
      <c r="F596" s="1" t="s">
        <v>60</v>
      </c>
      <c r="G596" s="1">
        <v>10</v>
      </c>
      <c r="H596" s="1">
        <v>42130</v>
      </c>
      <c r="I596" s="1">
        <v>0</v>
      </c>
      <c r="J596" s="1">
        <v>421300</v>
      </c>
      <c r="K596" s="1">
        <v>106422.27</v>
      </c>
      <c r="L596" s="1" t="s">
        <v>45</v>
      </c>
      <c r="M596" s="1" t="str">
        <f>TEXT(Table1[[#This Row],[Order Date]],"mmm")</f>
        <v>Apr</v>
      </c>
      <c r="N596" s="1">
        <f>YEAR(Table1[[#This Row],[Order Date]])</f>
        <v>2024</v>
      </c>
    </row>
    <row r="597" spans="1:14" x14ac:dyDescent="0.35">
      <c r="A597" s="1" t="s">
        <v>1081</v>
      </c>
      <c r="B597" s="1" t="s">
        <v>914</v>
      </c>
      <c r="C597" s="1" t="s">
        <v>55</v>
      </c>
      <c r="D597" s="1" t="s">
        <v>32</v>
      </c>
      <c r="E597" s="1" t="s">
        <v>33</v>
      </c>
      <c r="F597" s="1" t="s">
        <v>32</v>
      </c>
      <c r="G597" s="1">
        <v>15</v>
      </c>
      <c r="H597" s="1">
        <v>4338</v>
      </c>
      <c r="I597" s="1">
        <v>0.2</v>
      </c>
      <c r="J597" s="1">
        <v>52056</v>
      </c>
      <c r="K597" s="1">
        <v>15093.26</v>
      </c>
      <c r="L597" s="1" t="s">
        <v>17</v>
      </c>
      <c r="M597" s="1" t="str">
        <f>TEXT(Table1[[#This Row],[Order Date]],"mmm")</f>
        <v>Apr</v>
      </c>
      <c r="N597" s="1">
        <f>YEAR(Table1[[#This Row],[Order Date]])</f>
        <v>2023</v>
      </c>
    </row>
    <row r="598" spans="1:14" x14ac:dyDescent="0.35">
      <c r="A598" s="1" t="s">
        <v>1082</v>
      </c>
      <c r="B598" s="1" t="s">
        <v>1083</v>
      </c>
      <c r="C598" s="1" t="s">
        <v>170</v>
      </c>
      <c r="D598" s="1" t="s">
        <v>95</v>
      </c>
      <c r="E598" s="1" t="s">
        <v>33</v>
      </c>
      <c r="F598" s="1" t="s">
        <v>95</v>
      </c>
      <c r="G598" s="1">
        <v>6</v>
      </c>
      <c r="H598" s="1">
        <v>26520</v>
      </c>
      <c r="I598" s="1">
        <v>0.1</v>
      </c>
      <c r="J598" s="1">
        <v>143208</v>
      </c>
      <c r="K598" s="1">
        <v>26158.26</v>
      </c>
      <c r="L598" s="1" t="s">
        <v>17</v>
      </c>
      <c r="M598" s="1" t="str">
        <f>TEXT(Table1[[#This Row],[Order Date]],"mmm")</f>
        <v>Jul</v>
      </c>
      <c r="N598" s="1">
        <f>YEAR(Table1[[#This Row],[Order Date]])</f>
        <v>2023</v>
      </c>
    </row>
    <row r="599" spans="1:14" x14ac:dyDescent="0.35">
      <c r="A599" s="1" t="s">
        <v>1084</v>
      </c>
      <c r="B599" s="1" t="s">
        <v>1085</v>
      </c>
      <c r="C599" s="1" t="s">
        <v>98</v>
      </c>
      <c r="D599" s="1" t="s">
        <v>108</v>
      </c>
      <c r="E599" s="1" t="s">
        <v>22</v>
      </c>
      <c r="F599" s="1" t="s">
        <v>108</v>
      </c>
      <c r="G599" s="1">
        <v>2</v>
      </c>
      <c r="H599" s="1">
        <v>45495</v>
      </c>
      <c r="I599" s="1">
        <v>0.2</v>
      </c>
      <c r="J599" s="1">
        <v>72792</v>
      </c>
      <c r="K599" s="1">
        <v>19461.650000000001</v>
      </c>
      <c r="L599" s="1" t="s">
        <v>17</v>
      </c>
      <c r="M599" s="1" t="str">
        <f>TEXT(Table1[[#This Row],[Order Date]],"mmm")</f>
        <v>Aug</v>
      </c>
      <c r="N599" s="1">
        <f>YEAR(Table1[[#This Row],[Order Date]])</f>
        <v>2023</v>
      </c>
    </row>
    <row r="600" spans="1:14" x14ac:dyDescent="0.35">
      <c r="A600" s="1" t="s">
        <v>1086</v>
      </c>
      <c r="B600" s="1" t="s">
        <v>831</v>
      </c>
      <c r="C600" s="1" t="s">
        <v>335</v>
      </c>
      <c r="D600" s="1" t="s">
        <v>32</v>
      </c>
      <c r="E600" s="1" t="s">
        <v>33</v>
      </c>
      <c r="F600" s="1" t="s">
        <v>32</v>
      </c>
      <c r="G600" s="1">
        <v>11</v>
      </c>
      <c r="H600" s="1">
        <v>49444</v>
      </c>
      <c r="I600" s="1">
        <v>0</v>
      </c>
      <c r="J600" s="1">
        <v>543884</v>
      </c>
      <c r="K600" s="1">
        <v>126828.78</v>
      </c>
      <c r="L600" s="1" t="s">
        <v>45</v>
      </c>
      <c r="M600" s="1" t="str">
        <f>TEXT(Table1[[#This Row],[Order Date]],"mmm")</f>
        <v>Jun</v>
      </c>
      <c r="N600" s="1">
        <f>YEAR(Table1[[#This Row],[Order Date]])</f>
        <v>2024</v>
      </c>
    </row>
    <row r="601" spans="1:14" x14ac:dyDescent="0.35">
      <c r="A601" s="1" t="s">
        <v>1087</v>
      </c>
      <c r="B601" s="1" t="s">
        <v>742</v>
      </c>
      <c r="C601" s="1" t="s">
        <v>120</v>
      </c>
      <c r="D601" s="1" t="s">
        <v>91</v>
      </c>
      <c r="E601" s="1" t="s">
        <v>16</v>
      </c>
      <c r="F601" s="1" t="s">
        <v>91</v>
      </c>
      <c r="G601" s="1">
        <v>10</v>
      </c>
      <c r="H601" s="1">
        <v>30671</v>
      </c>
      <c r="I601" s="1">
        <v>0.15</v>
      </c>
      <c r="J601" s="1">
        <v>260703.5</v>
      </c>
      <c r="K601" s="1">
        <v>51719.41</v>
      </c>
      <c r="L601" s="1" t="s">
        <v>45</v>
      </c>
      <c r="M601" s="1" t="str">
        <f>TEXT(Table1[[#This Row],[Order Date]],"mmm")</f>
        <v>Aug</v>
      </c>
      <c r="N601" s="1">
        <f>YEAR(Table1[[#This Row],[Order Date]])</f>
        <v>2023</v>
      </c>
    </row>
    <row r="602" spans="1:14" x14ac:dyDescent="0.35">
      <c r="A602" s="1" t="s">
        <v>1088</v>
      </c>
      <c r="B602" s="1" t="s">
        <v>355</v>
      </c>
      <c r="C602" s="1" t="s">
        <v>104</v>
      </c>
      <c r="D602" s="1" t="s">
        <v>91</v>
      </c>
      <c r="E602" s="1" t="s">
        <v>16</v>
      </c>
      <c r="F602" s="1" t="s">
        <v>91</v>
      </c>
      <c r="G602" s="1">
        <v>3</v>
      </c>
      <c r="H602" s="1">
        <v>1787</v>
      </c>
      <c r="I602" s="1">
        <v>0.1</v>
      </c>
      <c r="J602" s="1">
        <v>4824.8999999999996</v>
      </c>
      <c r="K602" s="1">
        <v>1407.93</v>
      </c>
      <c r="L602" s="1" t="s">
        <v>45</v>
      </c>
      <c r="M602" s="1" t="str">
        <f>TEXT(Table1[[#This Row],[Order Date]],"mmm")</f>
        <v>Dec</v>
      </c>
      <c r="N602" s="1">
        <f>YEAR(Table1[[#This Row],[Order Date]])</f>
        <v>2023</v>
      </c>
    </row>
    <row r="603" spans="1:14" x14ac:dyDescent="0.35">
      <c r="A603" s="1" t="s">
        <v>1089</v>
      </c>
      <c r="B603" s="1" t="s">
        <v>1090</v>
      </c>
      <c r="C603" s="1" t="s">
        <v>117</v>
      </c>
      <c r="D603" s="1" t="s">
        <v>48</v>
      </c>
      <c r="E603" s="1" t="s">
        <v>16</v>
      </c>
      <c r="F603" s="1" t="s">
        <v>48</v>
      </c>
      <c r="G603" s="1">
        <v>1</v>
      </c>
      <c r="H603" s="1">
        <v>38669</v>
      </c>
      <c r="I603" s="1">
        <v>0.15</v>
      </c>
      <c r="J603" s="1">
        <v>32868.65</v>
      </c>
      <c r="K603" s="1">
        <v>7458.73</v>
      </c>
      <c r="L603" s="1" t="s">
        <v>70</v>
      </c>
      <c r="M603" s="1" t="str">
        <f>TEXT(Table1[[#This Row],[Order Date]],"mmm")</f>
        <v>Feb</v>
      </c>
      <c r="N603" s="1">
        <f>YEAR(Table1[[#This Row],[Order Date]])</f>
        <v>2024</v>
      </c>
    </row>
    <row r="604" spans="1:14" x14ac:dyDescent="0.35">
      <c r="A604" s="1" t="s">
        <v>1091</v>
      </c>
      <c r="B604" s="1" t="s">
        <v>1092</v>
      </c>
      <c r="C604" s="1" t="s">
        <v>158</v>
      </c>
      <c r="D604" s="1" t="s">
        <v>48</v>
      </c>
      <c r="E604" s="1" t="s">
        <v>16</v>
      </c>
      <c r="F604" s="1" t="s">
        <v>48</v>
      </c>
      <c r="G604" s="1">
        <v>14</v>
      </c>
      <c r="H604" s="1">
        <v>36962</v>
      </c>
      <c r="I604" s="1">
        <v>0.2</v>
      </c>
      <c r="J604" s="1">
        <v>413974.4</v>
      </c>
      <c r="K604" s="1">
        <v>68817.3</v>
      </c>
      <c r="L604" s="1" t="s">
        <v>23</v>
      </c>
      <c r="M604" s="1" t="str">
        <f>TEXT(Table1[[#This Row],[Order Date]],"mmm")</f>
        <v>Feb</v>
      </c>
      <c r="N604" s="1">
        <f>YEAR(Table1[[#This Row],[Order Date]])</f>
        <v>2024</v>
      </c>
    </row>
    <row r="605" spans="1:14" x14ac:dyDescent="0.35">
      <c r="A605" s="1" t="s">
        <v>1093</v>
      </c>
      <c r="B605" s="1" t="s">
        <v>853</v>
      </c>
      <c r="C605" s="1" t="s">
        <v>88</v>
      </c>
      <c r="D605" s="1" t="s">
        <v>27</v>
      </c>
      <c r="E605" s="1" t="s">
        <v>28</v>
      </c>
      <c r="F605" s="1" t="s">
        <v>27</v>
      </c>
      <c r="G605" s="1">
        <v>1</v>
      </c>
      <c r="H605" s="1">
        <v>8402</v>
      </c>
      <c r="I605" s="1">
        <v>0.05</v>
      </c>
      <c r="J605" s="1">
        <v>7981.9</v>
      </c>
      <c r="K605" s="1">
        <v>2269.0100000000002</v>
      </c>
      <c r="L605" s="1" t="s">
        <v>45</v>
      </c>
      <c r="M605" s="1" t="str">
        <f>TEXT(Table1[[#This Row],[Order Date]],"mmm")</f>
        <v>Jun</v>
      </c>
      <c r="N605" s="1">
        <f>YEAR(Table1[[#This Row],[Order Date]])</f>
        <v>2024</v>
      </c>
    </row>
    <row r="606" spans="1:14" x14ac:dyDescent="0.35">
      <c r="A606" s="1" t="s">
        <v>1094</v>
      </c>
      <c r="B606" s="1" t="s">
        <v>1095</v>
      </c>
      <c r="C606" s="1" t="s">
        <v>31</v>
      </c>
      <c r="D606" s="1" t="s">
        <v>133</v>
      </c>
      <c r="E606" s="1" t="s">
        <v>22</v>
      </c>
      <c r="F606" s="1" t="s">
        <v>133</v>
      </c>
      <c r="G606" s="1">
        <v>14</v>
      </c>
      <c r="H606" s="1">
        <v>21343</v>
      </c>
      <c r="I606" s="1">
        <v>0</v>
      </c>
      <c r="J606" s="1">
        <v>298802</v>
      </c>
      <c r="K606" s="1">
        <v>59248.29</v>
      </c>
      <c r="L606" s="1" t="s">
        <v>23</v>
      </c>
      <c r="M606" s="1" t="str">
        <f>TEXT(Table1[[#This Row],[Order Date]],"mmm")</f>
        <v>Jun</v>
      </c>
      <c r="N606" s="1">
        <f>YEAR(Table1[[#This Row],[Order Date]])</f>
        <v>2023</v>
      </c>
    </row>
    <row r="607" spans="1:14" x14ac:dyDescent="0.35">
      <c r="A607" s="1" t="s">
        <v>1096</v>
      </c>
      <c r="B607" s="1" t="s">
        <v>1097</v>
      </c>
      <c r="C607" s="1" t="s">
        <v>203</v>
      </c>
      <c r="D607" s="1" t="s">
        <v>41</v>
      </c>
      <c r="E607" s="1" t="s">
        <v>16</v>
      </c>
      <c r="F607" s="1" t="s">
        <v>41</v>
      </c>
      <c r="G607" s="1">
        <v>4</v>
      </c>
      <c r="H607" s="1">
        <v>8677</v>
      </c>
      <c r="I607" s="1">
        <v>0.15</v>
      </c>
      <c r="J607" s="1">
        <v>29501.8</v>
      </c>
      <c r="K607" s="1">
        <v>4296.5</v>
      </c>
      <c r="L607" s="1" t="s">
        <v>45</v>
      </c>
      <c r="M607" s="1" t="str">
        <f>TEXT(Table1[[#This Row],[Order Date]],"mmm")</f>
        <v>Sep</v>
      </c>
      <c r="N607" s="1">
        <f>YEAR(Table1[[#This Row],[Order Date]])</f>
        <v>2024</v>
      </c>
    </row>
    <row r="608" spans="1:14" x14ac:dyDescent="0.35">
      <c r="A608" s="1" t="s">
        <v>1098</v>
      </c>
      <c r="B608" s="1" t="s">
        <v>1099</v>
      </c>
      <c r="C608" s="1" t="s">
        <v>120</v>
      </c>
      <c r="D608" s="1" t="s">
        <v>52</v>
      </c>
      <c r="E608" s="1" t="s">
        <v>28</v>
      </c>
      <c r="F608" s="1" t="s">
        <v>52</v>
      </c>
      <c r="G608" s="1">
        <v>2</v>
      </c>
      <c r="H608" s="1">
        <v>50464</v>
      </c>
      <c r="I608" s="1">
        <v>0</v>
      </c>
      <c r="J608" s="1">
        <v>100928</v>
      </c>
      <c r="K608" s="1">
        <v>22760.27</v>
      </c>
      <c r="L608" s="1" t="s">
        <v>23</v>
      </c>
      <c r="M608" s="1" t="str">
        <f>TEXT(Table1[[#This Row],[Order Date]],"mmm")</f>
        <v>Oct</v>
      </c>
      <c r="N608" s="1">
        <f>YEAR(Table1[[#This Row],[Order Date]])</f>
        <v>2023</v>
      </c>
    </row>
    <row r="609" spans="1:14" x14ac:dyDescent="0.35">
      <c r="A609" s="1" t="s">
        <v>1100</v>
      </c>
      <c r="B609" s="1" t="s">
        <v>1101</v>
      </c>
      <c r="C609" s="1" t="s">
        <v>162</v>
      </c>
      <c r="D609" s="1" t="s">
        <v>15</v>
      </c>
      <c r="E609" s="1" t="s">
        <v>16</v>
      </c>
      <c r="F609" s="1" t="s">
        <v>15</v>
      </c>
      <c r="G609" s="1">
        <v>14</v>
      </c>
      <c r="H609" s="1">
        <v>53298</v>
      </c>
      <c r="I609" s="1">
        <v>0.15</v>
      </c>
      <c r="J609" s="1">
        <v>634246.19999999995</v>
      </c>
      <c r="K609" s="1">
        <v>164917.73000000001</v>
      </c>
      <c r="L609" s="1" t="s">
        <v>45</v>
      </c>
      <c r="M609" s="1" t="str">
        <f>TEXT(Table1[[#This Row],[Order Date]],"mmm")</f>
        <v>Jun</v>
      </c>
      <c r="N609" s="1">
        <f>YEAR(Table1[[#This Row],[Order Date]])</f>
        <v>2024</v>
      </c>
    </row>
    <row r="610" spans="1:14" x14ac:dyDescent="0.35">
      <c r="A610" s="1" t="s">
        <v>1102</v>
      </c>
      <c r="B610" s="1" t="s">
        <v>169</v>
      </c>
      <c r="C610" s="1" t="s">
        <v>175</v>
      </c>
      <c r="D610" s="1" t="s">
        <v>78</v>
      </c>
      <c r="E610" s="1" t="s">
        <v>28</v>
      </c>
      <c r="F610" s="1" t="s">
        <v>78</v>
      </c>
      <c r="G610" s="1">
        <v>8</v>
      </c>
      <c r="H610" s="1">
        <v>35654</v>
      </c>
      <c r="I610" s="1">
        <v>0.15</v>
      </c>
      <c r="J610" s="1">
        <v>242447.2</v>
      </c>
      <c r="K610" s="1">
        <v>32318.84</v>
      </c>
      <c r="L610" s="1" t="s">
        <v>45</v>
      </c>
      <c r="M610" s="1" t="str">
        <f>TEXT(Table1[[#This Row],[Order Date]],"mmm")</f>
        <v>Nov</v>
      </c>
      <c r="N610" s="1">
        <f>YEAR(Table1[[#This Row],[Order Date]])</f>
        <v>2024</v>
      </c>
    </row>
    <row r="611" spans="1:14" x14ac:dyDescent="0.35">
      <c r="A611" s="1" t="s">
        <v>1103</v>
      </c>
      <c r="B611" s="1" t="s">
        <v>1104</v>
      </c>
      <c r="C611" s="1" t="s">
        <v>36</v>
      </c>
      <c r="D611" s="1" t="s">
        <v>224</v>
      </c>
      <c r="E611" s="1" t="s">
        <v>33</v>
      </c>
      <c r="F611" s="1" t="s">
        <v>224</v>
      </c>
      <c r="G611" s="1">
        <v>14</v>
      </c>
      <c r="H611" s="1">
        <v>27214</v>
      </c>
      <c r="I611" s="1">
        <v>0.1</v>
      </c>
      <c r="J611" s="1">
        <v>342896.4</v>
      </c>
      <c r="K611" s="1">
        <v>53357.78</v>
      </c>
      <c r="L611" s="1" t="s">
        <v>17</v>
      </c>
      <c r="M611" s="1" t="str">
        <f>TEXT(Table1[[#This Row],[Order Date]],"mmm")</f>
        <v>Oct</v>
      </c>
      <c r="N611" s="1">
        <f>YEAR(Table1[[#This Row],[Order Date]])</f>
        <v>2023</v>
      </c>
    </row>
    <row r="612" spans="1:14" x14ac:dyDescent="0.35">
      <c r="A612" s="1" t="s">
        <v>1105</v>
      </c>
      <c r="B612" s="1" t="s">
        <v>797</v>
      </c>
      <c r="C612" s="1" t="s">
        <v>507</v>
      </c>
      <c r="D612" s="1" t="s">
        <v>293</v>
      </c>
      <c r="E612" s="1" t="s">
        <v>33</v>
      </c>
      <c r="F612" s="1" t="s">
        <v>293</v>
      </c>
      <c r="G612" s="1">
        <v>14</v>
      </c>
      <c r="H612" s="1">
        <v>27446</v>
      </c>
      <c r="I612" s="1">
        <v>0</v>
      </c>
      <c r="J612" s="1">
        <v>384244</v>
      </c>
      <c r="K612" s="1">
        <v>96837.5</v>
      </c>
      <c r="L612" s="1" t="s">
        <v>70</v>
      </c>
      <c r="M612" s="1" t="str">
        <f>TEXT(Table1[[#This Row],[Order Date]],"mmm")</f>
        <v>Nov</v>
      </c>
      <c r="N612" s="1">
        <f>YEAR(Table1[[#This Row],[Order Date]])</f>
        <v>2023</v>
      </c>
    </row>
    <row r="613" spans="1:14" x14ac:dyDescent="0.35">
      <c r="A613" s="1" t="s">
        <v>1106</v>
      </c>
      <c r="B613" s="1" t="s">
        <v>1107</v>
      </c>
      <c r="C613" s="1" t="s">
        <v>640</v>
      </c>
      <c r="D613" s="1" t="s">
        <v>27</v>
      </c>
      <c r="E613" s="1" t="s">
        <v>28</v>
      </c>
      <c r="F613" s="1" t="s">
        <v>27</v>
      </c>
      <c r="G613" s="1">
        <v>3</v>
      </c>
      <c r="H613" s="1">
        <v>35247</v>
      </c>
      <c r="I613" s="1">
        <v>0.15</v>
      </c>
      <c r="J613" s="1">
        <v>89879.85</v>
      </c>
      <c r="K613" s="1">
        <v>13541.02</v>
      </c>
      <c r="L613" s="1" t="s">
        <v>23</v>
      </c>
      <c r="M613" s="1" t="str">
        <f>TEXT(Table1[[#This Row],[Order Date]],"mmm")</f>
        <v>Dec</v>
      </c>
      <c r="N613" s="1">
        <f>YEAR(Table1[[#This Row],[Order Date]])</f>
        <v>2023</v>
      </c>
    </row>
    <row r="614" spans="1:14" x14ac:dyDescent="0.35">
      <c r="A614" s="1" t="s">
        <v>1108</v>
      </c>
      <c r="B614" s="1" t="s">
        <v>1109</v>
      </c>
      <c r="C614" s="1" t="s">
        <v>14</v>
      </c>
      <c r="D614" s="1" t="s">
        <v>167</v>
      </c>
      <c r="E614" s="1" t="s">
        <v>16</v>
      </c>
      <c r="F614" s="1" t="s">
        <v>167</v>
      </c>
      <c r="G614" s="1">
        <v>6</v>
      </c>
      <c r="H614" s="1">
        <v>40161</v>
      </c>
      <c r="I614" s="1">
        <v>0.15</v>
      </c>
      <c r="J614" s="1">
        <v>204821.1</v>
      </c>
      <c r="K614" s="1">
        <v>27365.65</v>
      </c>
      <c r="L614" s="1" t="s">
        <v>70</v>
      </c>
      <c r="M614" s="1" t="str">
        <f>TEXT(Table1[[#This Row],[Order Date]],"mmm")</f>
        <v>Nov</v>
      </c>
      <c r="N614" s="1">
        <f>YEAR(Table1[[#This Row],[Order Date]])</f>
        <v>2023</v>
      </c>
    </row>
    <row r="615" spans="1:14" x14ac:dyDescent="0.35">
      <c r="A615" s="1" t="s">
        <v>1110</v>
      </c>
      <c r="B615" s="1" t="s">
        <v>963</v>
      </c>
      <c r="C615" s="1" t="s">
        <v>260</v>
      </c>
      <c r="D615" s="1" t="s">
        <v>41</v>
      </c>
      <c r="E615" s="1" t="s">
        <v>16</v>
      </c>
      <c r="F615" s="1" t="s">
        <v>41</v>
      </c>
      <c r="G615" s="1">
        <v>4</v>
      </c>
      <c r="H615" s="1">
        <v>43510</v>
      </c>
      <c r="I615" s="1">
        <v>0.05</v>
      </c>
      <c r="J615" s="1">
        <v>165338</v>
      </c>
      <c r="K615" s="1">
        <v>35318.160000000003</v>
      </c>
      <c r="L615" s="1" t="s">
        <v>17</v>
      </c>
      <c r="M615" s="1" t="str">
        <f>TEXT(Table1[[#This Row],[Order Date]],"mmm")</f>
        <v>Oct</v>
      </c>
      <c r="N615" s="1">
        <f>YEAR(Table1[[#This Row],[Order Date]])</f>
        <v>2024</v>
      </c>
    </row>
    <row r="616" spans="1:14" x14ac:dyDescent="0.35">
      <c r="A616" s="1" t="s">
        <v>1111</v>
      </c>
      <c r="B616" s="1" t="s">
        <v>240</v>
      </c>
      <c r="C616" s="1" t="s">
        <v>107</v>
      </c>
      <c r="D616" s="1" t="s">
        <v>91</v>
      </c>
      <c r="E616" s="1" t="s">
        <v>16</v>
      </c>
      <c r="F616" s="1" t="s">
        <v>91</v>
      </c>
      <c r="G616" s="1">
        <v>2</v>
      </c>
      <c r="H616" s="1">
        <v>18054</v>
      </c>
      <c r="I616" s="1">
        <v>0.15</v>
      </c>
      <c r="J616" s="1">
        <v>30691.8</v>
      </c>
      <c r="K616" s="1">
        <v>9202.84</v>
      </c>
      <c r="L616" s="1" t="s">
        <v>17</v>
      </c>
      <c r="M616" s="1" t="str">
        <f>TEXT(Table1[[#This Row],[Order Date]],"mmm")</f>
        <v>Sep</v>
      </c>
      <c r="N616" s="1">
        <f>YEAR(Table1[[#This Row],[Order Date]])</f>
        <v>2024</v>
      </c>
    </row>
    <row r="617" spans="1:14" x14ac:dyDescent="0.35">
      <c r="A617" s="1" t="s">
        <v>1112</v>
      </c>
      <c r="B617" s="1" t="s">
        <v>1113</v>
      </c>
      <c r="C617" s="1" t="s">
        <v>63</v>
      </c>
      <c r="D617" s="1" t="s">
        <v>78</v>
      </c>
      <c r="E617" s="1" t="s">
        <v>28</v>
      </c>
      <c r="F617" s="1" t="s">
        <v>78</v>
      </c>
      <c r="G617" s="1">
        <v>5</v>
      </c>
      <c r="H617" s="1">
        <v>52415</v>
      </c>
      <c r="I617" s="1">
        <v>0.1</v>
      </c>
      <c r="J617" s="1">
        <v>235867.5</v>
      </c>
      <c r="K617" s="1">
        <v>25314.28</v>
      </c>
      <c r="L617" s="1" t="s">
        <v>70</v>
      </c>
      <c r="M617" s="1" t="str">
        <f>TEXT(Table1[[#This Row],[Order Date]],"mmm")</f>
        <v>Feb</v>
      </c>
      <c r="N617" s="1">
        <f>YEAR(Table1[[#This Row],[Order Date]])</f>
        <v>2023</v>
      </c>
    </row>
    <row r="618" spans="1:14" x14ac:dyDescent="0.35">
      <c r="A618" s="1" t="s">
        <v>1114</v>
      </c>
      <c r="B618" s="1" t="s">
        <v>1115</v>
      </c>
      <c r="C618" s="1" t="s">
        <v>349</v>
      </c>
      <c r="D618" s="1" t="s">
        <v>179</v>
      </c>
      <c r="E618" s="1" t="s">
        <v>28</v>
      </c>
      <c r="F618" s="1" t="s">
        <v>179</v>
      </c>
      <c r="G618" s="1">
        <v>12</v>
      </c>
      <c r="H618" s="1">
        <v>27169</v>
      </c>
      <c r="I618" s="1">
        <v>0</v>
      </c>
      <c r="J618" s="1">
        <v>326028</v>
      </c>
      <c r="K618" s="1">
        <v>58353.59</v>
      </c>
      <c r="L618" s="1" t="s">
        <v>70</v>
      </c>
      <c r="M618" s="1" t="str">
        <f>TEXT(Table1[[#This Row],[Order Date]],"mmm")</f>
        <v>Jan</v>
      </c>
      <c r="N618" s="1">
        <f>YEAR(Table1[[#This Row],[Order Date]])</f>
        <v>2024</v>
      </c>
    </row>
    <row r="619" spans="1:14" x14ac:dyDescent="0.35">
      <c r="A619" s="1" t="s">
        <v>1116</v>
      </c>
      <c r="B619" s="1" t="s">
        <v>610</v>
      </c>
      <c r="C619" s="1" t="s">
        <v>40</v>
      </c>
      <c r="D619" s="1" t="s">
        <v>48</v>
      </c>
      <c r="E619" s="1" t="s">
        <v>16</v>
      </c>
      <c r="F619" s="1" t="s">
        <v>48</v>
      </c>
      <c r="G619" s="1">
        <v>8</v>
      </c>
      <c r="H619" s="1">
        <v>46390</v>
      </c>
      <c r="I619" s="1">
        <v>0.05</v>
      </c>
      <c r="J619" s="1">
        <v>352564</v>
      </c>
      <c r="K619" s="1">
        <v>88391.89</v>
      </c>
      <c r="L619" s="1" t="s">
        <v>17</v>
      </c>
      <c r="M619" s="1" t="str">
        <f>TEXT(Table1[[#This Row],[Order Date]],"mmm")</f>
        <v>Dec</v>
      </c>
      <c r="N619" s="1">
        <f>YEAR(Table1[[#This Row],[Order Date]])</f>
        <v>2023</v>
      </c>
    </row>
    <row r="620" spans="1:14" x14ac:dyDescent="0.35">
      <c r="A620" s="1" t="s">
        <v>1117</v>
      </c>
      <c r="B620" s="1" t="s">
        <v>357</v>
      </c>
      <c r="C620" s="1" t="s">
        <v>40</v>
      </c>
      <c r="D620" s="1" t="s">
        <v>48</v>
      </c>
      <c r="E620" s="1" t="s">
        <v>16</v>
      </c>
      <c r="F620" s="1" t="s">
        <v>48</v>
      </c>
      <c r="G620" s="1">
        <v>13</v>
      </c>
      <c r="H620" s="1">
        <v>47221</v>
      </c>
      <c r="I620" s="1">
        <v>0</v>
      </c>
      <c r="J620" s="1">
        <v>613873</v>
      </c>
      <c r="K620" s="1">
        <v>90061.31</v>
      </c>
      <c r="L620" s="1" t="s">
        <v>17</v>
      </c>
      <c r="M620" s="1" t="str">
        <f>TEXT(Table1[[#This Row],[Order Date]],"mmm")</f>
        <v>Apr</v>
      </c>
      <c r="N620" s="1">
        <f>YEAR(Table1[[#This Row],[Order Date]])</f>
        <v>2023</v>
      </c>
    </row>
    <row r="621" spans="1:14" x14ac:dyDescent="0.35">
      <c r="A621" s="1" t="s">
        <v>1118</v>
      </c>
      <c r="B621" s="1" t="s">
        <v>464</v>
      </c>
      <c r="C621" s="1" t="s">
        <v>332</v>
      </c>
      <c r="D621" s="1" t="s">
        <v>224</v>
      </c>
      <c r="E621" s="1" t="s">
        <v>33</v>
      </c>
      <c r="F621" s="1" t="s">
        <v>224</v>
      </c>
      <c r="G621" s="1">
        <v>2</v>
      </c>
      <c r="H621" s="1">
        <v>51180</v>
      </c>
      <c r="I621" s="1">
        <v>0.1</v>
      </c>
      <c r="J621" s="1">
        <v>92124</v>
      </c>
      <c r="K621" s="1">
        <v>11143.13</v>
      </c>
      <c r="L621" s="1" t="s">
        <v>17</v>
      </c>
      <c r="M621" s="1" t="str">
        <f>TEXT(Table1[[#This Row],[Order Date]],"mmm")</f>
        <v>Mar</v>
      </c>
      <c r="N621" s="1">
        <f>YEAR(Table1[[#This Row],[Order Date]])</f>
        <v>2024</v>
      </c>
    </row>
    <row r="622" spans="1:14" x14ac:dyDescent="0.35">
      <c r="A622" s="1" t="s">
        <v>1119</v>
      </c>
      <c r="B622" s="1" t="s">
        <v>485</v>
      </c>
      <c r="C622" s="1" t="s">
        <v>107</v>
      </c>
      <c r="D622" s="1" t="s">
        <v>224</v>
      </c>
      <c r="E622" s="1" t="s">
        <v>33</v>
      </c>
      <c r="F622" s="1" t="s">
        <v>224</v>
      </c>
      <c r="G622" s="1">
        <v>7</v>
      </c>
      <c r="H622" s="1">
        <v>6308</v>
      </c>
      <c r="I622" s="1">
        <v>0.2</v>
      </c>
      <c r="J622" s="1">
        <v>35324.800000000003</v>
      </c>
      <c r="K622" s="1">
        <v>5553.24</v>
      </c>
      <c r="L622" s="1" t="s">
        <v>70</v>
      </c>
      <c r="M622" s="1" t="str">
        <f>TEXT(Table1[[#This Row],[Order Date]],"mmm")</f>
        <v>Nov</v>
      </c>
      <c r="N622" s="1">
        <f>YEAR(Table1[[#This Row],[Order Date]])</f>
        <v>2024</v>
      </c>
    </row>
    <row r="623" spans="1:14" x14ac:dyDescent="0.35">
      <c r="A623" s="1" t="s">
        <v>1120</v>
      </c>
      <c r="B623" s="1" t="s">
        <v>1121</v>
      </c>
      <c r="C623" s="1" t="s">
        <v>63</v>
      </c>
      <c r="D623" s="1" t="s">
        <v>15</v>
      </c>
      <c r="E623" s="1" t="s">
        <v>16</v>
      </c>
      <c r="F623" s="1" t="s">
        <v>15</v>
      </c>
      <c r="G623" s="1">
        <v>6</v>
      </c>
      <c r="H623" s="1">
        <v>33098</v>
      </c>
      <c r="I623" s="1">
        <v>0</v>
      </c>
      <c r="J623" s="1">
        <v>198588</v>
      </c>
      <c r="K623" s="1">
        <v>29502.63</v>
      </c>
      <c r="L623" s="1" t="s">
        <v>45</v>
      </c>
      <c r="M623" s="1" t="str">
        <f>TEXT(Table1[[#This Row],[Order Date]],"mmm")</f>
        <v>Nov</v>
      </c>
      <c r="N623" s="1">
        <f>YEAR(Table1[[#This Row],[Order Date]])</f>
        <v>2024</v>
      </c>
    </row>
    <row r="624" spans="1:14" x14ac:dyDescent="0.35">
      <c r="A624" s="1" t="s">
        <v>1122</v>
      </c>
      <c r="B624" s="1" t="s">
        <v>954</v>
      </c>
      <c r="C624" s="1" t="s">
        <v>125</v>
      </c>
      <c r="D624" s="1" t="s">
        <v>167</v>
      </c>
      <c r="E624" s="1" t="s">
        <v>16</v>
      </c>
      <c r="F624" s="1" t="s">
        <v>167</v>
      </c>
      <c r="G624" s="1">
        <v>3</v>
      </c>
      <c r="H624" s="1">
        <v>49926</v>
      </c>
      <c r="I624" s="1">
        <v>0.15</v>
      </c>
      <c r="J624" s="1">
        <v>127311.3</v>
      </c>
      <c r="K624" s="1">
        <v>15524.59</v>
      </c>
      <c r="L624" s="1" t="s">
        <v>45</v>
      </c>
      <c r="M624" s="1" t="str">
        <f>TEXT(Table1[[#This Row],[Order Date]],"mmm")</f>
        <v>Jul</v>
      </c>
      <c r="N624" s="1">
        <f>YEAR(Table1[[#This Row],[Order Date]])</f>
        <v>2024</v>
      </c>
    </row>
    <row r="625" spans="1:14" x14ac:dyDescent="0.35">
      <c r="A625" s="1" t="s">
        <v>1123</v>
      </c>
      <c r="B625" s="1" t="s">
        <v>1124</v>
      </c>
      <c r="C625" s="1" t="s">
        <v>36</v>
      </c>
      <c r="D625" s="1" t="s">
        <v>114</v>
      </c>
      <c r="E625" s="1" t="s">
        <v>16</v>
      </c>
      <c r="F625" s="1" t="s">
        <v>114</v>
      </c>
      <c r="G625" s="1">
        <v>8</v>
      </c>
      <c r="H625" s="1">
        <v>12913</v>
      </c>
      <c r="I625" s="1">
        <v>0</v>
      </c>
      <c r="J625" s="1">
        <v>103304</v>
      </c>
      <c r="K625" s="1">
        <v>18900.13</v>
      </c>
      <c r="L625" s="1" t="s">
        <v>45</v>
      </c>
      <c r="M625" s="1" t="str">
        <f>TEXT(Table1[[#This Row],[Order Date]],"mmm")</f>
        <v>Feb</v>
      </c>
      <c r="N625" s="1">
        <f>YEAR(Table1[[#This Row],[Order Date]])</f>
        <v>2024</v>
      </c>
    </row>
    <row r="626" spans="1:14" x14ac:dyDescent="0.35">
      <c r="A626" s="1" t="s">
        <v>1125</v>
      </c>
      <c r="B626" s="1" t="s">
        <v>520</v>
      </c>
      <c r="C626" s="1" t="s">
        <v>51</v>
      </c>
      <c r="D626" s="1" t="s">
        <v>141</v>
      </c>
      <c r="E626" s="1" t="s">
        <v>22</v>
      </c>
      <c r="F626" s="1" t="s">
        <v>141</v>
      </c>
      <c r="G626" s="1">
        <v>8</v>
      </c>
      <c r="H626" s="1">
        <v>45719</v>
      </c>
      <c r="I626" s="1">
        <v>0.1</v>
      </c>
      <c r="J626" s="1">
        <v>329176.8</v>
      </c>
      <c r="K626" s="1">
        <v>92248.2</v>
      </c>
      <c r="L626" s="1" t="s">
        <v>23</v>
      </c>
      <c r="M626" s="1" t="str">
        <f>TEXT(Table1[[#This Row],[Order Date]],"mmm")</f>
        <v>Mar</v>
      </c>
      <c r="N626" s="1">
        <f>YEAR(Table1[[#This Row],[Order Date]])</f>
        <v>2023</v>
      </c>
    </row>
    <row r="627" spans="1:14" x14ac:dyDescent="0.35">
      <c r="A627" s="1" t="s">
        <v>1126</v>
      </c>
      <c r="B627" s="1" t="s">
        <v>1019</v>
      </c>
      <c r="C627" s="1" t="s">
        <v>59</v>
      </c>
      <c r="D627" s="1" t="s">
        <v>48</v>
      </c>
      <c r="E627" s="1" t="s">
        <v>16</v>
      </c>
      <c r="F627" s="1" t="s">
        <v>48</v>
      </c>
      <c r="G627" s="1">
        <v>3</v>
      </c>
      <c r="H627" s="1">
        <v>36902</v>
      </c>
      <c r="I627" s="1">
        <v>0.15</v>
      </c>
      <c r="J627" s="1">
        <v>94100.1</v>
      </c>
      <c r="K627" s="1">
        <v>19848.28</v>
      </c>
      <c r="L627" s="1" t="s">
        <v>45</v>
      </c>
      <c r="M627" s="1" t="str">
        <f>TEXT(Table1[[#This Row],[Order Date]],"mmm")</f>
        <v>Jun</v>
      </c>
      <c r="N627" s="1">
        <f>YEAR(Table1[[#This Row],[Order Date]])</f>
        <v>2024</v>
      </c>
    </row>
    <row r="628" spans="1:14" x14ac:dyDescent="0.35">
      <c r="A628" s="1" t="s">
        <v>1127</v>
      </c>
      <c r="B628" s="1" t="s">
        <v>1128</v>
      </c>
      <c r="C628" s="1" t="s">
        <v>362</v>
      </c>
      <c r="D628" s="1" t="s">
        <v>52</v>
      </c>
      <c r="E628" s="1" t="s">
        <v>28</v>
      </c>
      <c r="F628" s="1" t="s">
        <v>52</v>
      </c>
      <c r="G628" s="1">
        <v>6</v>
      </c>
      <c r="H628" s="1">
        <v>23663</v>
      </c>
      <c r="I628" s="1">
        <v>0.05</v>
      </c>
      <c r="J628" s="1">
        <v>134879.1</v>
      </c>
      <c r="K628" s="1">
        <v>37738.26</v>
      </c>
      <c r="L628" s="1" t="s">
        <v>17</v>
      </c>
      <c r="M628" s="1" t="str">
        <f>TEXT(Table1[[#This Row],[Order Date]],"mmm")</f>
        <v>Sep</v>
      </c>
      <c r="N628" s="1">
        <f>YEAR(Table1[[#This Row],[Order Date]])</f>
        <v>2024</v>
      </c>
    </row>
    <row r="629" spans="1:14" x14ac:dyDescent="0.35">
      <c r="A629" s="1" t="s">
        <v>1129</v>
      </c>
      <c r="B629" s="1" t="s">
        <v>314</v>
      </c>
      <c r="C629" s="1" t="s">
        <v>14</v>
      </c>
      <c r="D629" s="1" t="s">
        <v>167</v>
      </c>
      <c r="E629" s="1" t="s">
        <v>16</v>
      </c>
      <c r="F629" s="1" t="s">
        <v>167</v>
      </c>
      <c r="G629" s="1">
        <v>12</v>
      </c>
      <c r="H629" s="1">
        <v>56500</v>
      </c>
      <c r="I629" s="1">
        <v>0.1</v>
      </c>
      <c r="J629" s="1">
        <v>610200</v>
      </c>
      <c r="K629" s="1">
        <v>100311.83</v>
      </c>
      <c r="L629" s="1" t="s">
        <v>17</v>
      </c>
      <c r="M629" s="1" t="str">
        <f>TEXT(Table1[[#This Row],[Order Date]],"mmm")</f>
        <v>Nov</v>
      </c>
      <c r="N629" s="1">
        <f>YEAR(Table1[[#This Row],[Order Date]])</f>
        <v>2024</v>
      </c>
    </row>
    <row r="630" spans="1:14" x14ac:dyDescent="0.35">
      <c r="A630" s="1" t="s">
        <v>1130</v>
      </c>
      <c r="B630" s="1" t="s">
        <v>1131</v>
      </c>
      <c r="C630" s="1" t="s">
        <v>120</v>
      </c>
      <c r="D630" s="1" t="s">
        <v>293</v>
      </c>
      <c r="E630" s="1" t="s">
        <v>33</v>
      </c>
      <c r="F630" s="1" t="s">
        <v>293</v>
      </c>
      <c r="G630" s="1">
        <v>5</v>
      </c>
      <c r="H630" s="1">
        <v>12606</v>
      </c>
      <c r="I630" s="1">
        <v>0.05</v>
      </c>
      <c r="J630" s="1">
        <v>59878.5</v>
      </c>
      <c r="K630" s="1">
        <v>8055.92</v>
      </c>
      <c r="L630" s="1" t="s">
        <v>23</v>
      </c>
      <c r="M630" s="1" t="str">
        <f>TEXT(Table1[[#This Row],[Order Date]],"mmm")</f>
        <v>Sep</v>
      </c>
      <c r="N630" s="1">
        <f>YEAR(Table1[[#This Row],[Order Date]])</f>
        <v>2023</v>
      </c>
    </row>
    <row r="631" spans="1:14" x14ac:dyDescent="0.35">
      <c r="A631" s="1" t="s">
        <v>1132</v>
      </c>
      <c r="B631" s="1" t="s">
        <v>1133</v>
      </c>
      <c r="C631" s="1" t="s">
        <v>191</v>
      </c>
      <c r="D631" s="1" t="s">
        <v>85</v>
      </c>
      <c r="E631" s="1" t="s">
        <v>28</v>
      </c>
      <c r="F631" s="1" t="s">
        <v>85</v>
      </c>
      <c r="G631" s="1">
        <v>7</v>
      </c>
      <c r="H631" s="1">
        <v>19799</v>
      </c>
      <c r="I631" s="1">
        <v>0.05</v>
      </c>
      <c r="J631" s="1">
        <v>131663.35</v>
      </c>
      <c r="K631" s="1">
        <v>28323.46</v>
      </c>
      <c r="L631" s="1" t="s">
        <v>70</v>
      </c>
      <c r="M631" s="1" t="str">
        <f>TEXT(Table1[[#This Row],[Order Date]],"mmm")</f>
        <v>Nov</v>
      </c>
      <c r="N631" s="1">
        <f>YEAR(Table1[[#This Row],[Order Date]])</f>
        <v>2024</v>
      </c>
    </row>
    <row r="632" spans="1:14" x14ac:dyDescent="0.35">
      <c r="A632" s="1" t="s">
        <v>1134</v>
      </c>
      <c r="B632" s="1" t="s">
        <v>322</v>
      </c>
      <c r="C632" s="1" t="s">
        <v>59</v>
      </c>
      <c r="D632" s="1" t="s">
        <v>108</v>
      </c>
      <c r="E632" s="1" t="s">
        <v>22</v>
      </c>
      <c r="F632" s="1" t="s">
        <v>108</v>
      </c>
      <c r="G632" s="1">
        <v>6</v>
      </c>
      <c r="H632" s="1">
        <v>16853</v>
      </c>
      <c r="I632" s="1">
        <v>0.15</v>
      </c>
      <c r="J632" s="1">
        <v>85950.3</v>
      </c>
      <c r="K632" s="1">
        <v>16580.45</v>
      </c>
      <c r="L632" s="1" t="s">
        <v>70</v>
      </c>
      <c r="M632" s="1" t="str">
        <f>TEXT(Table1[[#This Row],[Order Date]],"mmm")</f>
        <v>Sep</v>
      </c>
      <c r="N632" s="1">
        <f>YEAR(Table1[[#This Row],[Order Date]])</f>
        <v>2023</v>
      </c>
    </row>
    <row r="633" spans="1:14" x14ac:dyDescent="0.35">
      <c r="A633" s="1" t="s">
        <v>1135</v>
      </c>
      <c r="B633" s="1" t="s">
        <v>485</v>
      </c>
      <c r="C633" s="1" t="s">
        <v>104</v>
      </c>
      <c r="D633" s="1" t="s">
        <v>323</v>
      </c>
      <c r="E633" s="1" t="s">
        <v>33</v>
      </c>
      <c r="F633" s="1" t="s">
        <v>323</v>
      </c>
      <c r="G633" s="1">
        <v>6</v>
      </c>
      <c r="H633" s="1">
        <v>30783</v>
      </c>
      <c r="I633" s="1">
        <v>0.15</v>
      </c>
      <c r="J633" s="1">
        <v>156993.29999999999</v>
      </c>
      <c r="K633" s="1">
        <v>23334.9</v>
      </c>
      <c r="L633" s="1" t="s">
        <v>45</v>
      </c>
      <c r="M633" s="1" t="str">
        <f>TEXT(Table1[[#This Row],[Order Date]],"mmm")</f>
        <v>Nov</v>
      </c>
      <c r="N633" s="1">
        <f>YEAR(Table1[[#This Row],[Order Date]])</f>
        <v>2024</v>
      </c>
    </row>
    <row r="634" spans="1:14" x14ac:dyDescent="0.35">
      <c r="A634" s="1" t="s">
        <v>1136</v>
      </c>
      <c r="B634" s="1" t="s">
        <v>1137</v>
      </c>
      <c r="C634" s="1" t="s">
        <v>55</v>
      </c>
      <c r="D634" s="1" t="s">
        <v>179</v>
      </c>
      <c r="E634" s="1" t="s">
        <v>28</v>
      </c>
      <c r="F634" s="1" t="s">
        <v>179</v>
      </c>
      <c r="G634" s="1">
        <v>14</v>
      </c>
      <c r="H634" s="1">
        <v>42466</v>
      </c>
      <c r="I634" s="1">
        <v>0</v>
      </c>
      <c r="J634" s="1">
        <v>594524</v>
      </c>
      <c r="K634" s="1">
        <v>131942.69</v>
      </c>
      <c r="L634" s="1" t="s">
        <v>70</v>
      </c>
      <c r="M634" s="1" t="str">
        <f>TEXT(Table1[[#This Row],[Order Date]],"mmm")</f>
        <v>Apr</v>
      </c>
      <c r="N634" s="1">
        <f>YEAR(Table1[[#This Row],[Order Date]])</f>
        <v>2023</v>
      </c>
    </row>
    <row r="635" spans="1:14" x14ac:dyDescent="0.35">
      <c r="A635" s="1" t="s">
        <v>1138</v>
      </c>
      <c r="B635" s="1" t="s">
        <v>413</v>
      </c>
      <c r="C635" s="1" t="s">
        <v>136</v>
      </c>
      <c r="D635" s="1" t="s">
        <v>74</v>
      </c>
      <c r="E635" s="1" t="s">
        <v>22</v>
      </c>
      <c r="F635" s="1" t="s">
        <v>74</v>
      </c>
      <c r="G635" s="1">
        <v>13</v>
      </c>
      <c r="H635" s="1">
        <v>57989</v>
      </c>
      <c r="I635" s="1">
        <v>0</v>
      </c>
      <c r="J635" s="1">
        <v>753857</v>
      </c>
      <c r="K635" s="1">
        <v>87188.65</v>
      </c>
      <c r="L635" s="1" t="s">
        <v>45</v>
      </c>
      <c r="M635" s="1" t="str">
        <f>TEXT(Table1[[#This Row],[Order Date]],"mmm")</f>
        <v>May</v>
      </c>
      <c r="N635" s="1">
        <f>YEAR(Table1[[#This Row],[Order Date]])</f>
        <v>2024</v>
      </c>
    </row>
    <row r="636" spans="1:14" x14ac:dyDescent="0.35">
      <c r="A636" s="1" t="s">
        <v>1139</v>
      </c>
      <c r="B636" s="1" t="s">
        <v>1140</v>
      </c>
      <c r="C636" s="1" t="s">
        <v>120</v>
      </c>
      <c r="D636" s="1" t="s">
        <v>91</v>
      </c>
      <c r="E636" s="1" t="s">
        <v>16</v>
      </c>
      <c r="F636" s="1" t="s">
        <v>91</v>
      </c>
      <c r="G636" s="1">
        <v>3</v>
      </c>
      <c r="H636" s="1">
        <v>16725</v>
      </c>
      <c r="I636" s="1">
        <v>0.2</v>
      </c>
      <c r="J636" s="1">
        <v>40140</v>
      </c>
      <c r="K636" s="1">
        <v>3794</v>
      </c>
      <c r="L636" s="1" t="s">
        <v>17</v>
      </c>
      <c r="M636" s="1" t="str">
        <f>TEXT(Table1[[#This Row],[Order Date]],"mmm")</f>
        <v>May</v>
      </c>
      <c r="N636" s="1">
        <f>YEAR(Table1[[#This Row],[Order Date]])</f>
        <v>2024</v>
      </c>
    </row>
    <row r="637" spans="1:14" x14ac:dyDescent="0.35">
      <c r="A637" s="1" t="s">
        <v>1141</v>
      </c>
      <c r="B637" s="1" t="s">
        <v>605</v>
      </c>
      <c r="C637" s="1" t="s">
        <v>51</v>
      </c>
      <c r="D637" s="1" t="s">
        <v>85</v>
      </c>
      <c r="E637" s="1" t="s">
        <v>28</v>
      </c>
      <c r="F637" s="1" t="s">
        <v>85</v>
      </c>
      <c r="G637" s="1">
        <v>12</v>
      </c>
      <c r="H637" s="1">
        <v>25976</v>
      </c>
      <c r="I637" s="1">
        <v>0</v>
      </c>
      <c r="J637" s="1">
        <v>311712</v>
      </c>
      <c r="K637" s="1">
        <v>64003.199999999997</v>
      </c>
      <c r="L637" s="1" t="s">
        <v>17</v>
      </c>
      <c r="M637" s="1" t="str">
        <f>TEXT(Table1[[#This Row],[Order Date]],"mmm")</f>
        <v>Oct</v>
      </c>
      <c r="N637" s="1">
        <f>YEAR(Table1[[#This Row],[Order Date]])</f>
        <v>2023</v>
      </c>
    </row>
    <row r="638" spans="1:14" x14ac:dyDescent="0.35">
      <c r="A638" s="1" t="s">
        <v>1142</v>
      </c>
      <c r="B638" s="1" t="s">
        <v>1143</v>
      </c>
      <c r="C638" s="1" t="s">
        <v>208</v>
      </c>
      <c r="D638" s="1" t="s">
        <v>48</v>
      </c>
      <c r="E638" s="1" t="s">
        <v>16</v>
      </c>
      <c r="F638" s="1" t="s">
        <v>48</v>
      </c>
      <c r="G638" s="1">
        <v>10</v>
      </c>
      <c r="H638" s="1">
        <v>28580</v>
      </c>
      <c r="I638" s="1">
        <v>0.15</v>
      </c>
      <c r="J638" s="1">
        <v>242930</v>
      </c>
      <c r="K638" s="1">
        <v>32575.78</v>
      </c>
      <c r="L638" s="1" t="s">
        <v>45</v>
      </c>
      <c r="M638" s="1" t="str">
        <f>TEXT(Table1[[#This Row],[Order Date]],"mmm")</f>
        <v>Feb</v>
      </c>
      <c r="N638" s="1">
        <f>YEAR(Table1[[#This Row],[Order Date]])</f>
        <v>2024</v>
      </c>
    </row>
    <row r="639" spans="1:14" x14ac:dyDescent="0.35">
      <c r="A639" s="1" t="s">
        <v>1144</v>
      </c>
      <c r="B639" s="1" t="s">
        <v>621</v>
      </c>
      <c r="C639" s="1" t="s">
        <v>208</v>
      </c>
      <c r="D639" s="1" t="s">
        <v>52</v>
      </c>
      <c r="E639" s="1" t="s">
        <v>28</v>
      </c>
      <c r="F639" s="1" t="s">
        <v>52</v>
      </c>
      <c r="G639" s="1">
        <v>2</v>
      </c>
      <c r="H639" s="1">
        <v>58604</v>
      </c>
      <c r="I639" s="1">
        <v>0.1</v>
      </c>
      <c r="J639" s="1">
        <v>105487.2</v>
      </c>
      <c r="K639" s="1">
        <v>25390.45</v>
      </c>
      <c r="L639" s="1" t="s">
        <v>23</v>
      </c>
      <c r="M639" s="1" t="str">
        <f>TEXT(Table1[[#This Row],[Order Date]],"mmm")</f>
        <v>Jan</v>
      </c>
      <c r="N639" s="1">
        <f>YEAR(Table1[[#This Row],[Order Date]])</f>
        <v>2024</v>
      </c>
    </row>
    <row r="640" spans="1:14" x14ac:dyDescent="0.35">
      <c r="A640" s="1" t="s">
        <v>1145</v>
      </c>
      <c r="B640" s="1" t="s">
        <v>1146</v>
      </c>
      <c r="C640" s="1" t="s">
        <v>200</v>
      </c>
      <c r="D640" s="1" t="s">
        <v>64</v>
      </c>
      <c r="E640" s="1" t="s">
        <v>33</v>
      </c>
      <c r="F640" s="1" t="s">
        <v>64</v>
      </c>
      <c r="G640" s="1">
        <v>11</v>
      </c>
      <c r="H640" s="1">
        <v>30146</v>
      </c>
      <c r="I640" s="1">
        <v>0.05</v>
      </c>
      <c r="J640" s="1">
        <v>315025.7</v>
      </c>
      <c r="K640" s="1">
        <v>80382.69</v>
      </c>
      <c r="L640" s="1" t="s">
        <v>70</v>
      </c>
      <c r="M640" s="1" t="str">
        <f>TEXT(Table1[[#This Row],[Order Date]],"mmm")</f>
        <v>Apr</v>
      </c>
      <c r="N640" s="1">
        <f>YEAR(Table1[[#This Row],[Order Date]])</f>
        <v>2024</v>
      </c>
    </row>
    <row r="641" spans="1:14" x14ac:dyDescent="0.35">
      <c r="A641" s="1" t="s">
        <v>1147</v>
      </c>
      <c r="B641" s="1" t="s">
        <v>760</v>
      </c>
      <c r="C641" s="1" t="s">
        <v>178</v>
      </c>
      <c r="D641" s="1" t="s">
        <v>52</v>
      </c>
      <c r="E641" s="1" t="s">
        <v>28</v>
      </c>
      <c r="F641" s="1" t="s">
        <v>52</v>
      </c>
      <c r="G641" s="1">
        <v>12</v>
      </c>
      <c r="H641" s="1">
        <v>14070</v>
      </c>
      <c r="I641" s="1">
        <v>0.2</v>
      </c>
      <c r="J641" s="1">
        <v>135072</v>
      </c>
      <c r="K641" s="1">
        <v>27505.74</v>
      </c>
      <c r="L641" s="1" t="s">
        <v>70</v>
      </c>
      <c r="M641" s="1" t="str">
        <f>TEXT(Table1[[#This Row],[Order Date]],"mmm")</f>
        <v>Jan</v>
      </c>
      <c r="N641" s="1">
        <f>YEAR(Table1[[#This Row],[Order Date]])</f>
        <v>2023</v>
      </c>
    </row>
    <row r="642" spans="1:14" x14ac:dyDescent="0.35">
      <c r="A642" s="1" t="s">
        <v>1148</v>
      </c>
      <c r="B642" s="1" t="s">
        <v>1149</v>
      </c>
      <c r="C642" s="1" t="s">
        <v>178</v>
      </c>
      <c r="D642" s="1" t="s">
        <v>52</v>
      </c>
      <c r="E642" s="1" t="s">
        <v>28</v>
      </c>
      <c r="F642" s="1" t="s">
        <v>52</v>
      </c>
      <c r="G642" s="1">
        <v>11</v>
      </c>
      <c r="H642" s="1">
        <v>23946</v>
      </c>
      <c r="I642" s="1">
        <v>0</v>
      </c>
      <c r="J642" s="1">
        <v>263406</v>
      </c>
      <c r="K642" s="1">
        <v>58670.11</v>
      </c>
      <c r="L642" s="1" t="s">
        <v>70</v>
      </c>
      <c r="M642" s="1" t="str">
        <f>TEXT(Table1[[#This Row],[Order Date]],"mmm")</f>
        <v>Jul</v>
      </c>
      <c r="N642" s="1">
        <f>YEAR(Table1[[#This Row],[Order Date]])</f>
        <v>2024</v>
      </c>
    </row>
    <row r="643" spans="1:14" x14ac:dyDescent="0.35">
      <c r="A643" s="1" t="s">
        <v>1150</v>
      </c>
      <c r="B643" s="1" t="s">
        <v>1151</v>
      </c>
      <c r="C643" s="1" t="s">
        <v>98</v>
      </c>
      <c r="D643" s="1" t="s">
        <v>151</v>
      </c>
      <c r="E643" s="1" t="s">
        <v>22</v>
      </c>
      <c r="F643" s="1" t="s">
        <v>151</v>
      </c>
      <c r="G643" s="1">
        <v>14</v>
      </c>
      <c r="H643" s="1">
        <v>10867</v>
      </c>
      <c r="I643" s="1">
        <v>0</v>
      </c>
      <c r="J643" s="1">
        <v>152138</v>
      </c>
      <c r="K643" s="1">
        <v>25903.91</v>
      </c>
      <c r="L643" s="1" t="s">
        <v>70</v>
      </c>
      <c r="M643" s="1" t="str">
        <f>TEXT(Table1[[#This Row],[Order Date]],"mmm")</f>
        <v>Jul</v>
      </c>
      <c r="N643" s="1">
        <f>YEAR(Table1[[#This Row],[Order Date]])</f>
        <v>2023</v>
      </c>
    </row>
    <row r="644" spans="1:14" x14ac:dyDescent="0.35">
      <c r="A644" s="1" t="s">
        <v>1152</v>
      </c>
      <c r="B644" s="1" t="s">
        <v>1153</v>
      </c>
      <c r="C644" s="1" t="s">
        <v>107</v>
      </c>
      <c r="D644" s="1" t="s">
        <v>44</v>
      </c>
      <c r="E644" s="1" t="s">
        <v>28</v>
      </c>
      <c r="F644" s="1" t="s">
        <v>44</v>
      </c>
      <c r="G644" s="1">
        <v>12</v>
      </c>
      <c r="H644" s="1">
        <v>27605</v>
      </c>
      <c r="I644" s="1">
        <v>0.05</v>
      </c>
      <c r="J644" s="1">
        <v>314697</v>
      </c>
      <c r="K644" s="1">
        <v>67609.72</v>
      </c>
      <c r="L644" s="1" t="s">
        <v>23</v>
      </c>
      <c r="M644" s="1" t="str">
        <f>TEXT(Table1[[#This Row],[Order Date]],"mmm")</f>
        <v>Feb</v>
      </c>
      <c r="N644" s="1">
        <f>YEAR(Table1[[#This Row],[Order Date]])</f>
        <v>2024</v>
      </c>
    </row>
    <row r="645" spans="1:14" x14ac:dyDescent="0.35">
      <c r="A645" s="1" t="s">
        <v>1154</v>
      </c>
      <c r="B645" s="1" t="s">
        <v>1155</v>
      </c>
      <c r="C645" s="1" t="s">
        <v>255</v>
      </c>
      <c r="D645" s="1" t="s">
        <v>108</v>
      </c>
      <c r="E645" s="1" t="s">
        <v>22</v>
      </c>
      <c r="F645" s="1" t="s">
        <v>108</v>
      </c>
      <c r="G645" s="1">
        <v>6</v>
      </c>
      <c r="H645" s="1">
        <v>7939</v>
      </c>
      <c r="I645" s="1">
        <v>0.05</v>
      </c>
      <c r="J645" s="1">
        <v>45252.3</v>
      </c>
      <c r="K645" s="1">
        <v>10422.32</v>
      </c>
      <c r="L645" s="1" t="s">
        <v>23</v>
      </c>
      <c r="M645" s="1" t="str">
        <f>TEXT(Table1[[#This Row],[Order Date]],"mmm")</f>
        <v>May</v>
      </c>
      <c r="N645" s="1">
        <f>YEAR(Table1[[#This Row],[Order Date]])</f>
        <v>2024</v>
      </c>
    </row>
    <row r="646" spans="1:14" x14ac:dyDescent="0.35">
      <c r="A646" s="1" t="s">
        <v>1156</v>
      </c>
      <c r="B646" s="1" t="s">
        <v>303</v>
      </c>
      <c r="C646" s="1" t="s">
        <v>125</v>
      </c>
      <c r="D646" s="1" t="s">
        <v>179</v>
      </c>
      <c r="E646" s="1" t="s">
        <v>28</v>
      </c>
      <c r="F646" s="1" t="s">
        <v>179</v>
      </c>
      <c r="G646" s="1">
        <v>9</v>
      </c>
      <c r="H646" s="1">
        <v>40518</v>
      </c>
      <c r="I646" s="1">
        <v>0.15</v>
      </c>
      <c r="J646" s="1">
        <v>309962.7</v>
      </c>
      <c r="K646" s="1">
        <v>65113.41</v>
      </c>
      <c r="L646" s="1" t="s">
        <v>70</v>
      </c>
      <c r="M646" s="1" t="str">
        <f>TEXT(Table1[[#This Row],[Order Date]],"mmm")</f>
        <v>Jun</v>
      </c>
      <c r="N646" s="1">
        <f>YEAR(Table1[[#This Row],[Order Date]])</f>
        <v>2024</v>
      </c>
    </row>
    <row r="647" spans="1:14" x14ac:dyDescent="0.35">
      <c r="A647" s="1" t="s">
        <v>1157</v>
      </c>
      <c r="B647" s="1" t="s">
        <v>174</v>
      </c>
      <c r="C647" s="1" t="s">
        <v>191</v>
      </c>
      <c r="D647" s="1" t="s">
        <v>114</v>
      </c>
      <c r="E647" s="1" t="s">
        <v>16</v>
      </c>
      <c r="F647" s="1" t="s">
        <v>114</v>
      </c>
      <c r="G647" s="1">
        <v>11</v>
      </c>
      <c r="H647" s="1">
        <v>38628</v>
      </c>
      <c r="I647" s="1">
        <v>0.1</v>
      </c>
      <c r="J647" s="1">
        <v>382417.2</v>
      </c>
      <c r="K647" s="1">
        <v>32058.39</v>
      </c>
      <c r="L647" s="1" t="s">
        <v>70</v>
      </c>
      <c r="M647" s="1" t="str">
        <f>TEXT(Table1[[#This Row],[Order Date]],"mmm")</f>
        <v>Jun</v>
      </c>
      <c r="N647" s="1">
        <f>YEAR(Table1[[#This Row],[Order Date]])</f>
        <v>2024</v>
      </c>
    </row>
    <row r="648" spans="1:14" x14ac:dyDescent="0.35">
      <c r="A648" s="1" t="s">
        <v>1158</v>
      </c>
      <c r="B648" s="1" t="s">
        <v>1015</v>
      </c>
      <c r="C648" s="1" t="s">
        <v>362</v>
      </c>
      <c r="D648" s="1" t="s">
        <v>137</v>
      </c>
      <c r="E648" s="1" t="s">
        <v>22</v>
      </c>
      <c r="F648" s="1" t="s">
        <v>137</v>
      </c>
      <c r="G648" s="1">
        <v>10</v>
      </c>
      <c r="H648" s="1">
        <v>44269</v>
      </c>
      <c r="I648" s="1">
        <v>0.05</v>
      </c>
      <c r="J648" s="1">
        <v>420555.5</v>
      </c>
      <c r="K648" s="1">
        <v>83632.81</v>
      </c>
      <c r="L648" s="1" t="s">
        <v>70</v>
      </c>
      <c r="M648" s="1" t="str">
        <f>TEXT(Table1[[#This Row],[Order Date]],"mmm")</f>
        <v>Aug</v>
      </c>
      <c r="N648" s="1">
        <f>YEAR(Table1[[#This Row],[Order Date]])</f>
        <v>2023</v>
      </c>
    </row>
    <row r="649" spans="1:14" x14ac:dyDescent="0.35">
      <c r="A649" s="1" t="s">
        <v>1159</v>
      </c>
      <c r="B649" s="1" t="s">
        <v>1155</v>
      </c>
      <c r="C649" s="1" t="s">
        <v>26</v>
      </c>
      <c r="D649" s="1" t="s">
        <v>64</v>
      </c>
      <c r="E649" s="1" t="s">
        <v>33</v>
      </c>
      <c r="F649" s="1" t="s">
        <v>64</v>
      </c>
      <c r="G649" s="1">
        <v>3</v>
      </c>
      <c r="H649" s="1">
        <v>10135</v>
      </c>
      <c r="I649" s="1">
        <v>0.05</v>
      </c>
      <c r="J649" s="1">
        <v>28884.75</v>
      </c>
      <c r="K649" s="1">
        <v>4807.8599999999997</v>
      </c>
      <c r="L649" s="1" t="s">
        <v>23</v>
      </c>
      <c r="M649" s="1" t="str">
        <f>TEXT(Table1[[#This Row],[Order Date]],"mmm")</f>
        <v>May</v>
      </c>
      <c r="N649" s="1">
        <f>YEAR(Table1[[#This Row],[Order Date]])</f>
        <v>2024</v>
      </c>
    </row>
    <row r="650" spans="1:14" x14ac:dyDescent="0.35">
      <c r="A650" s="1" t="s">
        <v>1160</v>
      </c>
      <c r="B650" s="1" t="s">
        <v>1161</v>
      </c>
      <c r="C650" s="1" t="s">
        <v>255</v>
      </c>
      <c r="D650" s="1" t="s">
        <v>133</v>
      </c>
      <c r="E650" s="1" t="s">
        <v>22</v>
      </c>
      <c r="F650" s="1" t="s">
        <v>133</v>
      </c>
      <c r="G650" s="1">
        <v>3</v>
      </c>
      <c r="H650" s="1">
        <v>19402</v>
      </c>
      <c r="I650" s="1">
        <v>0.2</v>
      </c>
      <c r="J650" s="1">
        <v>46564.800000000003</v>
      </c>
      <c r="K650" s="1">
        <v>9058.34</v>
      </c>
      <c r="L650" s="1" t="s">
        <v>23</v>
      </c>
      <c r="M650" s="1" t="str">
        <f>TEXT(Table1[[#This Row],[Order Date]],"mmm")</f>
        <v>Mar</v>
      </c>
      <c r="N650" s="1">
        <f>YEAR(Table1[[#This Row],[Order Date]])</f>
        <v>2024</v>
      </c>
    </row>
    <row r="651" spans="1:14" x14ac:dyDescent="0.35">
      <c r="A651" s="1" t="s">
        <v>1162</v>
      </c>
      <c r="B651" s="1" t="s">
        <v>1163</v>
      </c>
      <c r="C651" s="1" t="s">
        <v>162</v>
      </c>
      <c r="D651" s="1" t="s">
        <v>133</v>
      </c>
      <c r="E651" s="1" t="s">
        <v>22</v>
      </c>
      <c r="F651" s="1" t="s">
        <v>133</v>
      </c>
      <c r="G651" s="1">
        <v>7</v>
      </c>
      <c r="H651" s="1">
        <v>23361</v>
      </c>
      <c r="I651" s="1">
        <v>0.05</v>
      </c>
      <c r="J651" s="1">
        <v>155350.65</v>
      </c>
      <c r="K651" s="1">
        <v>27027.88</v>
      </c>
      <c r="L651" s="1" t="s">
        <v>23</v>
      </c>
      <c r="M651" s="1" t="str">
        <f>TEXT(Table1[[#This Row],[Order Date]],"mmm")</f>
        <v>Jun</v>
      </c>
      <c r="N651" s="1">
        <f>YEAR(Table1[[#This Row],[Order Date]])</f>
        <v>2023</v>
      </c>
    </row>
    <row r="652" spans="1:14" x14ac:dyDescent="0.35">
      <c r="A652" s="1" t="s">
        <v>1164</v>
      </c>
      <c r="B652" s="1" t="s">
        <v>306</v>
      </c>
      <c r="C652" s="1" t="s">
        <v>101</v>
      </c>
      <c r="D652" s="1" t="s">
        <v>151</v>
      </c>
      <c r="E652" s="1" t="s">
        <v>22</v>
      </c>
      <c r="F652" s="1" t="s">
        <v>151</v>
      </c>
      <c r="G652" s="1">
        <v>1</v>
      </c>
      <c r="H652" s="1">
        <v>58948</v>
      </c>
      <c r="I652" s="1">
        <v>0.1</v>
      </c>
      <c r="J652" s="1">
        <v>53053.2</v>
      </c>
      <c r="K652" s="1">
        <v>12040.66</v>
      </c>
      <c r="L652" s="1" t="s">
        <v>45</v>
      </c>
      <c r="M652" s="1" t="str">
        <f>TEXT(Table1[[#This Row],[Order Date]],"mmm")</f>
        <v>Jul</v>
      </c>
      <c r="N652" s="1">
        <f>YEAR(Table1[[#This Row],[Order Date]])</f>
        <v>2024</v>
      </c>
    </row>
    <row r="653" spans="1:14" x14ac:dyDescent="0.35">
      <c r="A653" s="1" t="s">
        <v>1165</v>
      </c>
      <c r="B653" s="1" t="s">
        <v>1166</v>
      </c>
      <c r="C653" s="1" t="s">
        <v>158</v>
      </c>
      <c r="D653" s="1" t="s">
        <v>293</v>
      </c>
      <c r="E653" s="1" t="s">
        <v>33</v>
      </c>
      <c r="F653" s="1" t="s">
        <v>293</v>
      </c>
      <c r="G653" s="1">
        <v>11</v>
      </c>
      <c r="H653" s="1">
        <v>36437</v>
      </c>
      <c r="I653" s="1">
        <v>0.05</v>
      </c>
      <c r="J653" s="1">
        <v>380766.65</v>
      </c>
      <c r="K653" s="1">
        <v>110917.85</v>
      </c>
      <c r="L653" s="1" t="s">
        <v>23</v>
      </c>
      <c r="M653" s="1" t="str">
        <f>TEXT(Table1[[#This Row],[Order Date]],"mmm")</f>
        <v>Oct</v>
      </c>
      <c r="N653" s="1">
        <f>YEAR(Table1[[#This Row],[Order Date]])</f>
        <v>2024</v>
      </c>
    </row>
    <row r="654" spans="1:14" x14ac:dyDescent="0.35">
      <c r="A654" s="1" t="s">
        <v>1167</v>
      </c>
      <c r="B654" s="1" t="s">
        <v>1168</v>
      </c>
      <c r="C654" s="1" t="s">
        <v>175</v>
      </c>
      <c r="D654" s="1" t="s">
        <v>95</v>
      </c>
      <c r="E654" s="1" t="s">
        <v>33</v>
      </c>
      <c r="F654" s="1" t="s">
        <v>95</v>
      </c>
      <c r="G654" s="1">
        <v>7</v>
      </c>
      <c r="H654" s="1">
        <v>21302</v>
      </c>
      <c r="I654" s="1">
        <v>0.15</v>
      </c>
      <c r="J654" s="1">
        <v>126746.9</v>
      </c>
      <c r="K654" s="1">
        <v>26560.89</v>
      </c>
      <c r="L654" s="1" t="s">
        <v>70</v>
      </c>
      <c r="M654" s="1" t="str">
        <f>TEXT(Table1[[#This Row],[Order Date]],"mmm")</f>
        <v>Sep</v>
      </c>
      <c r="N654" s="1">
        <f>YEAR(Table1[[#This Row],[Order Date]])</f>
        <v>2024</v>
      </c>
    </row>
    <row r="655" spans="1:14" x14ac:dyDescent="0.35">
      <c r="A655" s="1" t="s">
        <v>1169</v>
      </c>
      <c r="B655" s="1" t="s">
        <v>197</v>
      </c>
      <c r="C655" s="1" t="s">
        <v>507</v>
      </c>
      <c r="D655" s="1" t="s">
        <v>48</v>
      </c>
      <c r="E655" s="1" t="s">
        <v>16</v>
      </c>
      <c r="F655" s="1" t="s">
        <v>48</v>
      </c>
      <c r="G655" s="1">
        <v>1</v>
      </c>
      <c r="H655" s="1">
        <v>37833</v>
      </c>
      <c r="I655" s="1">
        <v>0</v>
      </c>
      <c r="J655" s="1">
        <v>37833</v>
      </c>
      <c r="K655" s="1">
        <v>10702.26</v>
      </c>
      <c r="L655" s="1" t="s">
        <v>23</v>
      </c>
      <c r="M655" s="1" t="str">
        <f>TEXT(Table1[[#This Row],[Order Date]],"mmm")</f>
        <v>Feb</v>
      </c>
      <c r="N655" s="1">
        <f>YEAR(Table1[[#This Row],[Order Date]])</f>
        <v>2024</v>
      </c>
    </row>
    <row r="656" spans="1:14" x14ac:dyDescent="0.35">
      <c r="A656" s="1" t="s">
        <v>1170</v>
      </c>
      <c r="B656" s="1" t="s">
        <v>1171</v>
      </c>
      <c r="C656" s="1" t="s">
        <v>155</v>
      </c>
      <c r="D656" s="1" t="s">
        <v>151</v>
      </c>
      <c r="E656" s="1" t="s">
        <v>22</v>
      </c>
      <c r="F656" s="1" t="s">
        <v>151</v>
      </c>
      <c r="G656" s="1">
        <v>8</v>
      </c>
      <c r="H656" s="1">
        <v>10136</v>
      </c>
      <c r="I656" s="1">
        <v>0.2</v>
      </c>
      <c r="J656" s="1">
        <v>64870.400000000001</v>
      </c>
      <c r="K656" s="1">
        <v>17188.740000000002</v>
      </c>
      <c r="L656" s="1" t="s">
        <v>70</v>
      </c>
      <c r="M656" s="1" t="str">
        <f>TEXT(Table1[[#This Row],[Order Date]],"mmm")</f>
        <v>Aug</v>
      </c>
      <c r="N656" s="1">
        <f>YEAR(Table1[[#This Row],[Order Date]])</f>
        <v>2024</v>
      </c>
    </row>
    <row r="657" spans="1:14" x14ac:dyDescent="0.35">
      <c r="A657" s="1" t="s">
        <v>1172</v>
      </c>
      <c r="B657" s="1" t="s">
        <v>506</v>
      </c>
      <c r="C657" s="1" t="s">
        <v>77</v>
      </c>
      <c r="D657" s="1" t="s">
        <v>56</v>
      </c>
      <c r="E657" s="1" t="s">
        <v>22</v>
      </c>
      <c r="F657" s="1" t="s">
        <v>56</v>
      </c>
      <c r="G657" s="1">
        <v>12</v>
      </c>
      <c r="H657" s="1">
        <v>44694</v>
      </c>
      <c r="I657" s="1">
        <v>0.1</v>
      </c>
      <c r="J657" s="1">
        <v>482695.2</v>
      </c>
      <c r="K657" s="1">
        <v>41366.03</v>
      </c>
      <c r="L657" s="1" t="s">
        <v>23</v>
      </c>
      <c r="M657" s="1" t="str">
        <f>TEXT(Table1[[#This Row],[Order Date]],"mmm")</f>
        <v>Jul</v>
      </c>
      <c r="N657" s="1">
        <f>YEAR(Table1[[#This Row],[Order Date]])</f>
        <v>2024</v>
      </c>
    </row>
    <row r="658" spans="1:14" x14ac:dyDescent="0.35">
      <c r="A658" s="1" t="s">
        <v>1173</v>
      </c>
      <c r="B658" s="1" t="s">
        <v>700</v>
      </c>
      <c r="C658" s="1" t="s">
        <v>335</v>
      </c>
      <c r="D658" s="1" t="s">
        <v>64</v>
      </c>
      <c r="E658" s="1" t="s">
        <v>33</v>
      </c>
      <c r="F658" s="1" t="s">
        <v>64</v>
      </c>
      <c r="G658" s="1">
        <v>10</v>
      </c>
      <c r="H658" s="1">
        <v>32477</v>
      </c>
      <c r="I658" s="1">
        <v>0.05</v>
      </c>
      <c r="J658" s="1">
        <v>308531.5</v>
      </c>
      <c r="K658" s="1">
        <v>31232.5</v>
      </c>
      <c r="L658" s="1" t="s">
        <v>23</v>
      </c>
      <c r="M658" s="1" t="str">
        <f>TEXT(Table1[[#This Row],[Order Date]],"mmm")</f>
        <v>Feb</v>
      </c>
      <c r="N658" s="1">
        <f>YEAR(Table1[[#This Row],[Order Date]])</f>
        <v>2024</v>
      </c>
    </row>
    <row r="659" spans="1:14" x14ac:dyDescent="0.35">
      <c r="A659" s="1" t="s">
        <v>1174</v>
      </c>
      <c r="B659" s="1" t="s">
        <v>837</v>
      </c>
      <c r="C659" s="1" t="s">
        <v>125</v>
      </c>
      <c r="D659" s="1" t="s">
        <v>37</v>
      </c>
      <c r="E659" s="1" t="s">
        <v>16</v>
      </c>
      <c r="F659" s="1" t="s">
        <v>37</v>
      </c>
      <c r="G659" s="1">
        <v>6</v>
      </c>
      <c r="H659" s="1">
        <v>5702</v>
      </c>
      <c r="I659" s="1">
        <v>0.1</v>
      </c>
      <c r="J659" s="1">
        <v>30790.799999999999</v>
      </c>
      <c r="K659" s="1">
        <v>7437.22</v>
      </c>
      <c r="L659" s="1" t="s">
        <v>17</v>
      </c>
      <c r="M659" s="1" t="str">
        <f>TEXT(Table1[[#This Row],[Order Date]],"mmm")</f>
        <v>Feb</v>
      </c>
      <c r="N659" s="1">
        <f>YEAR(Table1[[#This Row],[Order Date]])</f>
        <v>2024</v>
      </c>
    </row>
    <row r="660" spans="1:14" x14ac:dyDescent="0.35">
      <c r="A660" s="1" t="s">
        <v>1175</v>
      </c>
      <c r="B660" s="1" t="s">
        <v>1023</v>
      </c>
      <c r="C660" s="1" t="s">
        <v>332</v>
      </c>
      <c r="D660" s="1" t="s">
        <v>85</v>
      </c>
      <c r="E660" s="1" t="s">
        <v>28</v>
      </c>
      <c r="F660" s="1" t="s">
        <v>85</v>
      </c>
      <c r="G660" s="1">
        <v>1</v>
      </c>
      <c r="H660" s="1">
        <v>42128</v>
      </c>
      <c r="I660" s="1">
        <v>0</v>
      </c>
      <c r="J660" s="1">
        <v>42128</v>
      </c>
      <c r="K660" s="1">
        <v>3562.87</v>
      </c>
      <c r="L660" s="1" t="s">
        <v>45</v>
      </c>
      <c r="M660" s="1" t="str">
        <f>TEXT(Table1[[#This Row],[Order Date]],"mmm")</f>
        <v>May</v>
      </c>
      <c r="N660" s="1">
        <f>YEAR(Table1[[#This Row],[Order Date]])</f>
        <v>2023</v>
      </c>
    </row>
    <row r="661" spans="1:14" x14ac:dyDescent="0.35">
      <c r="A661" s="1" t="s">
        <v>1176</v>
      </c>
      <c r="B661" s="1" t="s">
        <v>493</v>
      </c>
      <c r="C661" s="1" t="s">
        <v>162</v>
      </c>
      <c r="D661" s="1" t="s">
        <v>52</v>
      </c>
      <c r="E661" s="1" t="s">
        <v>28</v>
      </c>
      <c r="F661" s="1" t="s">
        <v>52</v>
      </c>
      <c r="G661" s="1">
        <v>3</v>
      </c>
      <c r="H661" s="1">
        <v>31102</v>
      </c>
      <c r="I661" s="1">
        <v>0.15</v>
      </c>
      <c r="J661" s="1">
        <v>79310.100000000006</v>
      </c>
      <c r="K661" s="1">
        <v>6664.69</v>
      </c>
      <c r="L661" s="1" t="s">
        <v>17</v>
      </c>
      <c r="M661" s="1" t="str">
        <f>TEXT(Table1[[#This Row],[Order Date]],"mmm")</f>
        <v>Nov</v>
      </c>
      <c r="N661" s="1">
        <f>YEAR(Table1[[#This Row],[Order Date]])</f>
        <v>2024</v>
      </c>
    </row>
    <row r="662" spans="1:14" x14ac:dyDescent="0.35">
      <c r="A662" s="1" t="s">
        <v>1177</v>
      </c>
      <c r="B662" s="1" t="s">
        <v>1178</v>
      </c>
      <c r="C662" s="1" t="s">
        <v>128</v>
      </c>
      <c r="D662" s="1" t="s">
        <v>32</v>
      </c>
      <c r="E662" s="1" t="s">
        <v>33</v>
      </c>
      <c r="F662" s="1" t="s">
        <v>32</v>
      </c>
      <c r="G662" s="1">
        <v>15</v>
      </c>
      <c r="H662" s="1">
        <v>50027</v>
      </c>
      <c r="I662" s="1">
        <v>0.05</v>
      </c>
      <c r="J662" s="1">
        <v>712884.75</v>
      </c>
      <c r="K662" s="1">
        <v>101146.91</v>
      </c>
      <c r="L662" s="1" t="s">
        <v>70</v>
      </c>
      <c r="M662" s="1" t="str">
        <f>TEXT(Table1[[#This Row],[Order Date]],"mmm")</f>
        <v>Feb</v>
      </c>
      <c r="N662" s="1">
        <f>YEAR(Table1[[#This Row],[Order Date]])</f>
        <v>2023</v>
      </c>
    </row>
    <row r="663" spans="1:14" x14ac:dyDescent="0.35">
      <c r="A663" s="1" t="s">
        <v>1179</v>
      </c>
      <c r="B663" s="1" t="s">
        <v>1180</v>
      </c>
      <c r="C663" s="1" t="s">
        <v>203</v>
      </c>
      <c r="D663" s="1" t="s">
        <v>52</v>
      </c>
      <c r="E663" s="1" t="s">
        <v>28</v>
      </c>
      <c r="F663" s="1" t="s">
        <v>52</v>
      </c>
      <c r="G663" s="1">
        <v>1</v>
      </c>
      <c r="H663" s="1">
        <v>20632</v>
      </c>
      <c r="I663" s="1">
        <v>0.1</v>
      </c>
      <c r="J663" s="1">
        <v>18568.8</v>
      </c>
      <c r="K663" s="1">
        <v>3649.15</v>
      </c>
      <c r="L663" s="1" t="s">
        <v>70</v>
      </c>
      <c r="M663" s="1" t="str">
        <f>TEXT(Table1[[#This Row],[Order Date]],"mmm")</f>
        <v>Oct</v>
      </c>
      <c r="N663" s="1">
        <f>YEAR(Table1[[#This Row],[Order Date]])</f>
        <v>2023</v>
      </c>
    </row>
    <row r="664" spans="1:14" x14ac:dyDescent="0.35">
      <c r="A664" s="1" t="s">
        <v>1181</v>
      </c>
      <c r="B664" s="1" t="s">
        <v>569</v>
      </c>
      <c r="C664" s="1" t="s">
        <v>88</v>
      </c>
      <c r="D664" s="1" t="s">
        <v>179</v>
      </c>
      <c r="E664" s="1" t="s">
        <v>28</v>
      </c>
      <c r="F664" s="1" t="s">
        <v>179</v>
      </c>
      <c r="G664" s="1">
        <v>15</v>
      </c>
      <c r="H664" s="1">
        <v>44519</v>
      </c>
      <c r="I664" s="1">
        <v>0.05</v>
      </c>
      <c r="J664" s="1">
        <v>634395.75</v>
      </c>
      <c r="K664" s="1">
        <v>78622.22</v>
      </c>
      <c r="L664" s="1" t="s">
        <v>17</v>
      </c>
      <c r="M664" s="1" t="str">
        <f>TEXT(Table1[[#This Row],[Order Date]],"mmm")</f>
        <v>Sep</v>
      </c>
      <c r="N664" s="1">
        <f>YEAR(Table1[[#This Row],[Order Date]])</f>
        <v>2024</v>
      </c>
    </row>
    <row r="665" spans="1:14" x14ac:dyDescent="0.35">
      <c r="A665" s="1" t="s">
        <v>1182</v>
      </c>
      <c r="B665" s="1" t="s">
        <v>453</v>
      </c>
      <c r="C665" s="1" t="s">
        <v>26</v>
      </c>
      <c r="D665" s="1" t="s">
        <v>78</v>
      </c>
      <c r="E665" s="1" t="s">
        <v>28</v>
      </c>
      <c r="F665" s="1" t="s">
        <v>78</v>
      </c>
      <c r="G665" s="1">
        <v>2</v>
      </c>
      <c r="H665" s="1">
        <v>3521</v>
      </c>
      <c r="I665" s="1">
        <v>0</v>
      </c>
      <c r="J665" s="1">
        <v>7042</v>
      </c>
      <c r="K665" s="1">
        <v>1187.1199999999999</v>
      </c>
      <c r="L665" s="1" t="s">
        <v>45</v>
      </c>
      <c r="M665" s="1" t="str">
        <f>TEXT(Table1[[#This Row],[Order Date]],"mmm")</f>
        <v>Jul</v>
      </c>
      <c r="N665" s="1">
        <f>YEAR(Table1[[#This Row],[Order Date]])</f>
        <v>2023</v>
      </c>
    </row>
    <row r="666" spans="1:14" x14ac:dyDescent="0.35">
      <c r="A666" s="1" t="s">
        <v>1183</v>
      </c>
      <c r="B666" s="1" t="s">
        <v>1184</v>
      </c>
      <c r="C666" s="1" t="s">
        <v>40</v>
      </c>
      <c r="D666" s="1" t="s">
        <v>179</v>
      </c>
      <c r="E666" s="1" t="s">
        <v>28</v>
      </c>
      <c r="F666" s="1" t="s">
        <v>179</v>
      </c>
      <c r="G666" s="1">
        <v>6</v>
      </c>
      <c r="H666" s="1">
        <v>56198</v>
      </c>
      <c r="I666" s="1">
        <v>0</v>
      </c>
      <c r="J666" s="1">
        <v>337188</v>
      </c>
      <c r="K666" s="1">
        <v>66496.259999999995</v>
      </c>
      <c r="L666" s="1" t="s">
        <v>17</v>
      </c>
      <c r="M666" s="1" t="str">
        <f>TEXT(Table1[[#This Row],[Order Date]],"mmm")</f>
        <v>Oct</v>
      </c>
      <c r="N666" s="1">
        <f>YEAR(Table1[[#This Row],[Order Date]])</f>
        <v>2023</v>
      </c>
    </row>
    <row r="667" spans="1:14" x14ac:dyDescent="0.35">
      <c r="A667" s="1" t="s">
        <v>1185</v>
      </c>
      <c r="B667" s="1" t="s">
        <v>1186</v>
      </c>
      <c r="C667" s="1" t="s">
        <v>178</v>
      </c>
      <c r="D667" s="1" t="s">
        <v>91</v>
      </c>
      <c r="E667" s="1" t="s">
        <v>16</v>
      </c>
      <c r="F667" s="1" t="s">
        <v>91</v>
      </c>
      <c r="G667" s="1">
        <v>12</v>
      </c>
      <c r="H667" s="1">
        <v>19388</v>
      </c>
      <c r="I667" s="1">
        <v>0.2</v>
      </c>
      <c r="J667" s="1">
        <v>186124.79999999999</v>
      </c>
      <c r="K667" s="1">
        <v>28542.17</v>
      </c>
      <c r="L667" s="1" t="s">
        <v>23</v>
      </c>
      <c r="M667" s="1" t="str">
        <f>TEXT(Table1[[#This Row],[Order Date]],"mmm")</f>
        <v>Mar</v>
      </c>
      <c r="N667" s="1">
        <f>YEAR(Table1[[#This Row],[Order Date]])</f>
        <v>2023</v>
      </c>
    </row>
    <row r="668" spans="1:14" x14ac:dyDescent="0.35">
      <c r="A668" s="1" t="s">
        <v>1187</v>
      </c>
      <c r="B668" s="1" t="s">
        <v>1188</v>
      </c>
      <c r="C668" s="1" t="s">
        <v>507</v>
      </c>
      <c r="D668" s="1" t="s">
        <v>78</v>
      </c>
      <c r="E668" s="1" t="s">
        <v>28</v>
      </c>
      <c r="F668" s="1" t="s">
        <v>78</v>
      </c>
      <c r="G668" s="1">
        <v>3</v>
      </c>
      <c r="H668" s="1">
        <v>33917</v>
      </c>
      <c r="I668" s="1">
        <v>0</v>
      </c>
      <c r="J668" s="1">
        <v>101751</v>
      </c>
      <c r="K668" s="1">
        <v>23304.23</v>
      </c>
      <c r="L668" s="1" t="s">
        <v>17</v>
      </c>
      <c r="M668" s="1" t="str">
        <f>TEXT(Table1[[#This Row],[Order Date]],"mmm")</f>
        <v>Oct</v>
      </c>
      <c r="N668" s="1">
        <f>YEAR(Table1[[#This Row],[Order Date]])</f>
        <v>2024</v>
      </c>
    </row>
    <row r="669" spans="1:14" x14ac:dyDescent="0.35">
      <c r="A669" s="1" t="s">
        <v>1189</v>
      </c>
      <c r="B669" s="1" t="s">
        <v>556</v>
      </c>
      <c r="C669" s="1" t="s">
        <v>36</v>
      </c>
      <c r="D669" s="1" t="s">
        <v>323</v>
      </c>
      <c r="E669" s="1" t="s">
        <v>33</v>
      </c>
      <c r="F669" s="1" t="s">
        <v>323</v>
      </c>
      <c r="G669" s="1">
        <v>7</v>
      </c>
      <c r="H669" s="1">
        <v>3986</v>
      </c>
      <c r="I669" s="1">
        <v>0.15</v>
      </c>
      <c r="J669" s="1">
        <v>23716.7</v>
      </c>
      <c r="K669" s="1">
        <v>5734.55</v>
      </c>
      <c r="L669" s="1" t="s">
        <v>23</v>
      </c>
      <c r="M669" s="1" t="str">
        <f>TEXT(Table1[[#This Row],[Order Date]],"mmm")</f>
        <v>Nov</v>
      </c>
      <c r="N669" s="1">
        <f>YEAR(Table1[[#This Row],[Order Date]])</f>
        <v>2024</v>
      </c>
    </row>
    <row r="670" spans="1:14" x14ac:dyDescent="0.35">
      <c r="A670" s="1" t="s">
        <v>1190</v>
      </c>
      <c r="B670" s="1" t="s">
        <v>1191</v>
      </c>
      <c r="C670" s="1" t="s">
        <v>59</v>
      </c>
      <c r="D670" s="1" t="s">
        <v>114</v>
      </c>
      <c r="E670" s="1" t="s">
        <v>16</v>
      </c>
      <c r="F670" s="1" t="s">
        <v>114</v>
      </c>
      <c r="G670" s="1">
        <v>6</v>
      </c>
      <c r="H670" s="1">
        <v>21371</v>
      </c>
      <c r="I670" s="1">
        <v>0.2</v>
      </c>
      <c r="J670" s="1">
        <v>102580.8</v>
      </c>
      <c r="K670" s="1">
        <v>11451.44</v>
      </c>
      <c r="L670" s="1" t="s">
        <v>45</v>
      </c>
      <c r="M670" s="1" t="str">
        <f>TEXT(Table1[[#This Row],[Order Date]],"mmm")</f>
        <v>Aug</v>
      </c>
      <c r="N670" s="1">
        <f>YEAR(Table1[[#This Row],[Order Date]])</f>
        <v>2024</v>
      </c>
    </row>
    <row r="671" spans="1:14" x14ac:dyDescent="0.35">
      <c r="A671" s="1" t="s">
        <v>1192</v>
      </c>
      <c r="B671" s="1" t="s">
        <v>43</v>
      </c>
      <c r="C671" s="1" t="s">
        <v>191</v>
      </c>
      <c r="D671" s="1" t="s">
        <v>85</v>
      </c>
      <c r="E671" s="1" t="s">
        <v>28</v>
      </c>
      <c r="F671" s="1" t="s">
        <v>85</v>
      </c>
      <c r="G671" s="1">
        <v>12</v>
      </c>
      <c r="H671" s="1">
        <v>59368</v>
      </c>
      <c r="I671" s="1">
        <v>0.1</v>
      </c>
      <c r="J671" s="1">
        <v>641174.4</v>
      </c>
      <c r="K671" s="1">
        <v>96713.57</v>
      </c>
      <c r="L671" s="1" t="s">
        <v>17</v>
      </c>
      <c r="M671" s="1" t="str">
        <f>TEXT(Table1[[#This Row],[Order Date]],"mmm")</f>
        <v>Jun</v>
      </c>
      <c r="N671" s="1">
        <f>YEAR(Table1[[#This Row],[Order Date]])</f>
        <v>2023</v>
      </c>
    </row>
    <row r="672" spans="1:14" x14ac:dyDescent="0.35">
      <c r="A672" s="1" t="s">
        <v>1193</v>
      </c>
      <c r="B672" s="1" t="s">
        <v>792</v>
      </c>
      <c r="C672" s="1" t="s">
        <v>104</v>
      </c>
      <c r="D672" s="1" t="s">
        <v>141</v>
      </c>
      <c r="E672" s="1" t="s">
        <v>22</v>
      </c>
      <c r="F672" s="1" t="s">
        <v>141</v>
      </c>
      <c r="G672" s="1">
        <v>14</v>
      </c>
      <c r="H672" s="1">
        <v>21260</v>
      </c>
      <c r="I672" s="1">
        <v>0.05</v>
      </c>
      <c r="J672" s="1">
        <v>282758</v>
      </c>
      <c r="K672" s="1">
        <v>79662.98</v>
      </c>
      <c r="L672" s="1" t="s">
        <v>45</v>
      </c>
      <c r="M672" s="1" t="str">
        <f>TEXT(Table1[[#This Row],[Order Date]],"mmm")</f>
        <v>Aug</v>
      </c>
      <c r="N672" s="1">
        <f>YEAR(Table1[[#This Row],[Order Date]])</f>
        <v>2023</v>
      </c>
    </row>
    <row r="673" spans="1:14" x14ac:dyDescent="0.35">
      <c r="A673" s="1" t="s">
        <v>1194</v>
      </c>
      <c r="B673" s="1" t="s">
        <v>881</v>
      </c>
      <c r="C673" s="1" t="s">
        <v>120</v>
      </c>
      <c r="D673" s="1" t="s">
        <v>15</v>
      </c>
      <c r="E673" s="1" t="s">
        <v>16</v>
      </c>
      <c r="F673" s="1" t="s">
        <v>15</v>
      </c>
      <c r="G673" s="1">
        <v>15</v>
      </c>
      <c r="H673" s="1">
        <v>56043</v>
      </c>
      <c r="I673" s="1">
        <v>0.15</v>
      </c>
      <c r="J673" s="1">
        <v>714548.25</v>
      </c>
      <c r="K673" s="1">
        <v>180046.9</v>
      </c>
      <c r="L673" s="1" t="s">
        <v>45</v>
      </c>
      <c r="M673" s="1" t="str">
        <f>TEXT(Table1[[#This Row],[Order Date]],"mmm")</f>
        <v>Oct</v>
      </c>
      <c r="N673" s="1">
        <f>YEAR(Table1[[#This Row],[Order Date]])</f>
        <v>2024</v>
      </c>
    </row>
    <row r="674" spans="1:14" x14ac:dyDescent="0.35">
      <c r="A674" s="1" t="s">
        <v>1195</v>
      </c>
      <c r="B674" s="1" t="s">
        <v>1196</v>
      </c>
      <c r="C674" s="1" t="s">
        <v>136</v>
      </c>
      <c r="D674" s="1" t="s">
        <v>48</v>
      </c>
      <c r="E674" s="1" t="s">
        <v>16</v>
      </c>
      <c r="F674" s="1" t="s">
        <v>48</v>
      </c>
      <c r="G674" s="1">
        <v>14</v>
      </c>
      <c r="H674" s="1">
        <v>16845</v>
      </c>
      <c r="I674" s="1">
        <v>0.1</v>
      </c>
      <c r="J674" s="1">
        <v>212247</v>
      </c>
      <c r="K674" s="1">
        <v>39059.620000000003</v>
      </c>
      <c r="L674" s="1" t="s">
        <v>70</v>
      </c>
      <c r="M674" s="1" t="str">
        <f>TEXT(Table1[[#This Row],[Order Date]],"mmm")</f>
        <v>May</v>
      </c>
      <c r="N674" s="1">
        <f>YEAR(Table1[[#This Row],[Order Date]])</f>
        <v>2023</v>
      </c>
    </row>
    <row r="675" spans="1:14" x14ac:dyDescent="0.35">
      <c r="A675" s="1" t="s">
        <v>1197</v>
      </c>
      <c r="B675" s="1" t="s">
        <v>1198</v>
      </c>
      <c r="C675" s="1" t="s">
        <v>208</v>
      </c>
      <c r="D675" s="1" t="s">
        <v>151</v>
      </c>
      <c r="E675" s="1" t="s">
        <v>22</v>
      </c>
      <c r="F675" s="1" t="s">
        <v>151</v>
      </c>
      <c r="G675" s="1">
        <v>8</v>
      </c>
      <c r="H675" s="1">
        <v>23543</v>
      </c>
      <c r="I675" s="1">
        <v>0.05</v>
      </c>
      <c r="J675" s="1">
        <v>178926.8</v>
      </c>
      <c r="K675" s="1">
        <v>40862.46</v>
      </c>
      <c r="L675" s="1" t="s">
        <v>45</v>
      </c>
      <c r="M675" s="1" t="str">
        <f>TEXT(Table1[[#This Row],[Order Date]],"mmm")</f>
        <v>Mar</v>
      </c>
      <c r="N675" s="1">
        <f>YEAR(Table1[[#This Row],[Order Date]])</f>
        <v>2023</v>
      </c>
    </row>
    <row r="676" spans="1:14" x14ac:dyDescent="0.35">
      <c r="A676" s="1" t="s">
        <v>1199</v>
      </c>
      <c r="B676" s="1" t="s">
        <v>1025</v>
      </c>
      <c r="C676" s="1" t="s">
        <v>117</v>
      </c>
      <c r="D676" s="1" t="s">
        <v>293</v>
      </c>
      <c r="E676" s="1" t="s">
        <v>33</v>
      </c>
      <c r="F676" s="1" t="s">
        <v>293</v>
      </c>
      <c r="G676" s="1">
        <v>6</v>
      </c>
      <c r="H676" s="1">
        <v>40544</v>
      </c>
      <c r="I676" s="1">
        <v>0.05</v>
      </c>
      <c r="J676" s="1">
        <v>231100.79999999999</v>
      </c>
      <c r="K676" s="1">
        <v>40394.68</v>
      </c>
      <c r="L676" s="1" t="s">
        <v>70</v>
      </c>
      <c r="M676" s="1" t="str">
        <f>TEXT(Table1[[#This Row],[Order Date]],"mmm")</f>
        <v>Mar</v>
      </c>
      <c r="N676" s="1">
        <f>YEAR(Table1[[#This Row],[Order Date]])</f>
        <v>2023</v>
      </c>
    </row>
    <row r="677" spans="1:14" x14ac:dyDescent="0.35">
      <c r="A677" s="1" t="s">
        <v>1200</v>
      </c>
      <c r="B677" s="1" t="s">
        <v>1201</v>
      </c>
      <c r="C677" s="1" t="s">
        <v>175</v>
      </c>
      <c r="D677" s="1" t="s">
        <v>108</v>
      </c>
      <c r="E677" s="1" t="s">
        <v>22</v>
      </c>
      <c r="F677" s="1" t="s">
        <v>108</v>
      </c>
      <c r="G677" s="1">
        <v>9</v>
      </c>
      <c r="H677" s="1">
        <v>29209</v>
      </c>
      <c r="I677" s="1">
        <v>0.1</v>
      </c>
      <c r="J677" s="1">
        <v>236592.9</v>
      </c>
      <c r="K677" s="1">
        <v>20034.48</v>
      </c>
      <c r="L677" s="1" t="s">
        <v>23</v>
      </c>
      <c r="M677" s="1" t="str">
        <f>TEXT(Table1[[#This Row],[Order Date]],"mmm")</f>
        <v>Nov</v>
      </c>
      <c r="N677" s="1">
        <f>YEAR(Table1[[#This Row],[Order Date]])</f>
        <v>2024</v>
      </c>
    </row>
    <row r="678" spans="1:14" x14ac:dyDescent="0.35">
      <c r="A678" s="1" t="s">
        <v>1202</v>
      </c>
      <c r="B678" s="1" t="s">
        <v>1203</v>
      </c>
      <c r="C678" s="1" t="s">
        <v>370</v>
      </c>
      <c r="D678" s="1" t="s">
        <v>167</v>
      </c>
      <c r="E678" s="1" t="s">
        <v>16</v>
      </c>
      <c r="F678" s="1" t="s">
        <v>167</v>
      </c>
      <c r="G678" s="1">
        <v>13</v>
      </c>
      <c r="H678" s="1">
        <v>58527</v>
      </c>
      <c r="I678" s="1">
        <v>0</v>
      </c>
      <c r="J678" s="1">
        <v>760851</v>
      </c>
      <c r="K678" s="1">
        <v>151875.70000000001</v>
      </c>
      <c r="L678" s="1" t="s">
        <v>17</v>
      </c>
      <c r="M678" s="1" t="str">
        <f>TEXT(Table1[[#This Row],[Order Date]],"mmm")</f>
        <v>Apr</v>
      </c>
      <c r="N678" s="1">
        <f>YEAR(Table1[[#This Row],[Order Date]])</f>
        <v>2024</v>
      </c>
    </row>
    <row r="679" spans="1:14" x14ac:dyDescent="0.35">
      <c r="A679" s="1" t="s">
        <v>1204</v>
      </c>
      <c r="B679" s="1" t="s">
        <v>1205</v>
      </c>
      <c r="C679" s="1" t="s">
        <v>362</v>
      </c>
      <c r="D679" s="1" t="s">
        <v>37</v>
      </c>
      <c r="E679" s="1" t="s">
        <v>16</v>
      </c>
      <c r="F679" s="1" t="s">
        <v>37</v>
      </c>
      <c r="G679" s="1">
        <v>11</v>
      </c>
      <c r="H679" s="1">
        <v>437</v>
      </c>
      <c r="I679" s="1">
        <v>0.15</v>
      </c>
      <c r="J679" s="1">
        <v>4085.95</v>
      </c>
      <c r="K679" s="1">
        <v>644.46</v>
      </c>
      <c r="L679" s="1" t="s">
        <v>17</v>
      </c>
      <c r="M679" s="1" t="str">
        <f>TEXT(Table1[[#This Row],[Order Date]],"mmm")</f>
        <v>Dec</v>
      </c>
      <c r="N679" s="1">
        <f>YEAR(Table1[[#This Row],[Order Date]])</f>
        <v>2023</v>
      </c>
    </row>
    <row r="680" spans="1:14" x14ac:dyDescent="0.35">
      <c r="A680" s="1" t="s">
        <v>1206</v>
      </c>
      <c r="B680" s="1" t="s">
        <v>177</v>
      </c>
      <c r="C680" s="1" t="s">
        <v>155</v>
      </c>
      <c r="D680" s="1" t="s">
        <v>91</v>
      </c>
      <c r="E680" s="1" t="s">
        <v>16</v>
      </c>
      <c r="F680" s="1" t="s">
        <v>91</v>
      </c>
      <c r="G680" s="1">
        <v>12</v>
      </c>
      <c r="H680" s="1">
        <v>6095</v>
      </c>
      <c r="I680" s="1">
        <v>0.1</v>
      </c>
      <c r="J680" s="1">
        <v>65826</v>
      </c>
      <c r="K680" s="1">
        <v>15383.46</v>
      </c>
      <c r="L680" s="1" t="s">
        <v>23</v>
      </c>
      <c r="M680" s="1" t="str">
        <f>TEXT(Table1[[#This Row],[Order Date]],"mmm")</f>
        <v>Jun</v>
      </c>
      <c r="N680" s="1">
        <f>YEAR(Table1[[#This Row],[Order Date]])</f>
        <v>2023</v>
      </c>
    </row>
    <row r="681" spans="1:14" x14ac:dyDescent="0.35">
      <c r="A681" s="1" t="s">
        <v>1207</v>
      </c>
      <c r="B681" s="1" t="s">
        <v>891</v>
      </c>
      <c r="C681" s="1" t="s">
        <v>146</v>
      </c>
      <c r="D681" s="1" t="s">
        <v>74</v>
      </c>
      <c r="E681" s="1" t="s">
        <v>22</v>
      </c>
      <c r="F681" s="1" t="s">
        <v>74</v>
      </c>
      <c r="G681" s="1">
        <v>12</v>
      </c>
      <c r="H681" s="1">
        <v>35272</v>
      </c>
      <c r="I681" s="1">
        <v>0</v>
      </c>
      <c r="J681" s="1">
        <v>423264</v>
      </c>
      <c r="K681" s="1">
        <v>121751.3</v>
      </c>
      <c r="L681" s="1" t="s">
        <v>23</v>
      </c>
      <c r="M681" s="1" t="str">
        <f>TEXT(Table1[[#This Row],[Order Date]],"mmm")</f>
        <v>Feb</v>
      </c>
      <c r="N681" s="1">
        <f>YEAR(Table1[[#This Row],[Order Date]])</f>
        <v>2024</v>
      </c>
    </row>
    <row r="682" spans="1:14" x14ac:dyDescent="0.35">
      <c r="A682" s="1" t="s">
        <v>1208</v>
      </c>
      <c r="B682" s="1" t="s">
        <v>1209</v>
      </c>
      <c r="C682" s="1" t="s">
        <v>640</v>
      </c>
      <c r="D682" s="1" t="s">
        <v>60</v>
      </c>
      <c r="E682" s="1" t="s">
        <v>33</v>
      </c>
      <c r="F682" s="1" t="s">
        <v>60</v>
      </c>
      <c r="G682" s="1">
        <v>4</v>
      </c>
      <c r="H682" s="1">
        <v>9340</v>
      </c>
      <c r="I682" s="1">
        <v>0.15</v>
      </c>
      <c r="J682" s="1">
        <v>31756</v>
      </c>
      <c r="K682" s="1">
        <v>7365.5</v>
      </c>
      <c r="L682" s="1" t="s">
        <v>23</v>
      </c>
      <c r="M682" s="1" t="str">
        <f>TEXT(Table1[[#This Row],[Order Date]],"mmm")</f>
        <v>Jan</v>
      </c>
      <c r="N682" s="1">
        <f>YEAR(Table1[[#This Row],[Order Date]])</f>
        <v>2023</v>
      </c>
    </row>
    <row r="683" spans="1:14" x14ac:dyDescent="0.35">
      <c r="A683" s="1" t="s">
        <v>1210</v>
      </c>
      <c r="B683" s="1" t="s">
        <v>231</v>
      </c>
      <c r="C683" s="1" t="s">
        <v>36</v>
      </c>
      <c r="D683" s="1" t="s">
        <v>323</v>
      </c>
      <c r="E683" s="1" t="s">
        <v>33</v>
      </c>
      <c r="F683" s="1" t="s">
        <v>323</v>
      </c>
      <c r="G683" s="1">
        <v>8</v>
      </c>
      <c r="H683" s="1">
        <v>41743</v>
      </c>
      <c r="I683" s="1">
        <v>0.05</v>
      </c>
      <c r="J683" s="1">
        <v>317246.8</v>
      </c>
      <c r="K683" s="1">
        <v>87096.68</v>
      </c>
      <c r="L683" s="1" t="s">
        <v>23</v>
      </c>
      <c r="M683" s="1" t="str">
        <f>TEXT(Table1[[#This Row],[Order Date]],"mmm")</f>
        <v>Sep</v>
      </c>
      <c r="N683" s="1">
        <f>YEAR(Table1[[#This Row],[Order Date]])</f>
        <v>2024</v>
      </c>
    </row>
    <row r="684" spans="1:14" x14ac:dyDescent="0.35">
      <c r="A684" s="1" t="s">
        <v>1211</v>
      </c>
      <c r="B684" s="1" t="s">
        <v>1212</v>
      </c>
      <c r="C684" s="1" t="s">
        <v>81</v>
      </c>
      <c r="D684" s="1" t="s">
        <v>41</v>
      </c>
      <c r="E684" s="1" t="s">
        <v>16</v>
      </c>
      <c r="F684" s="1" t="s">
        <v>41</v>
      </c>
      <c r="G684" s="1">
        <v>5</v>
      </c>
      <c r="H684" s="1">
        <v>31758</v>
      </c>
      <c r="I684" s="1">
        <v>0.15</v>
      </c>
      <c r="J684" s="1">
        <v>134971.5</v>
      </c>
      <c r="K684" s="1">
        <v>17749.37</v>
      </c>
      <c r="L684" s="1" t="s">
        <v>45</v>
      </c>
      <c r="M684" s="1" t="str">
        <f>TEXT(Table1[[#This Row],[Order Date]],"mmm")</f>
        <v>Dec</v>
      </c>
      <c r="N684" s="1">
        <f>YEAR(Table1[[#This Row],[Order Date]])</f>
        <v>2023</v>
      </c>
    </row>
    <row r="685" spans="1:14" x14ac:dyDescent="0.35">
      <c r="A685" s="1" t="s">
        <v>1213</v>
      </c>
      <c r="B685" s="1" t="s">
        <v>240</v>
      </c>
      <c r="C685" s="1" t="s">
        <v>200</v>
      </c>
      <c r="D685" s="1" t="s">
        <v>27</v>
      </c>
      <c r="E685" s="1" t="s">
        <v>28</v>
      </c>
      <c r="F685" s="1" t="s">
        <v>27</v>
      </c>
      <c r="G685" s="1">
        <v>2</v>
      </c>
      <c r="H685" s="1">
        <v>59945</v>
      </c>
      <c r="I685" s="1">
        <v>0.2</v>
      </c>
      <c r="J685" s="1">
        <v>95912</v>
      </c>
      <c r="K685" s="1">
        <v>10372.01</v>
      </c>
      <c r="L685" s="1" t="s">
        <v>23</v>
      </c>
      <c r="M685" s="1" t="str">
        <f>TEXT(Table1[[#This Row],[Order Date]],"mmm")</f>
        <v>Sep</v>
      </c>
      <c r="N685" s="1">
        <f>YEAR(Table1[[#This Row],[Order Date]])</f>
        <v>2024</v>
      </c>
    </row>
    <row r="686" spans="1:14" x14ac:dyDescent="0.35">
      <c r="A686" s="1" t="s">
        <v>1214</v>
      </c>
      <c r="B686" s="1" t="s">
        <v>1097</v>
      </c>
      <c r="C686" s="1" t="s">
        <v>140</v>
      </c>
      <c r="D686" s="1" t="s">
        <v>167</v>
      </c>
      <c r="E686" s="1" t="s">
        <v>16</v>
      </c>
      <c r="F686" s="1" t="s">
        <v>167</v>
      </c>
      <c r="G686" s="1">
        <v>14</v>
      </c>
      <c r="H686" s="1">
        <v>9873</v>
      </c>
      <c r="I686" s="1">
        <v>0</v>
      </c>
      <c r="J686" s="1">
        <v>138222</v>
      </c>
      <c r="K686" s="1">
        <v>41086.79</v>
      </c>
      <c r="L686" s="1" t="s">
        <v>17</v>
      </c>
      <c r="M686" s="1" t="str">
        <f>TEXT(Table1[[#This Row],[Order Date]],"mmm")</f>
        <v>Sep</v>
      </c>
      <c r="N686" s="1">
        <f>YEAR(Table1[[#This Row],[Order Date]])</f>
        <v>2024</v>
      </c>
    </row>
    <row r="687" spans="1:14" x14ac:dyDescent="0.35">
      <c r="A687" s="1" t="s">
        <v>1215</v>
      </c>
      <c r="B687" s="1" t="s">
        <v>253</v>
      </c>
      <c r="C687" s="1" t="s">
        <v>158</v>
      </c>
      <c r="D687" s="1" t="s">
        <v>108</v>
      </c>
      <c r="E687" s="1" t="s">
        <v>22</v>
      </c>
      <c r="F687" s="1" t="s">
        <v>108</v>
      </c>
      <c r="G687" s="1">
        <v>13</v>
      </c>
      <c r="H687" s="1">
        <v>12505</v>
      </c>
      <c r="I687" s="1">
        <v>0.15</v>
      </c>
      <c r="J687" s="1">
        <v>138180.25</v>
      </c>
      <c r="K687" s="1">
        <v>23838.45</v>
      </c>
      <c r="L687" s="1" t="s">
        <v>17</v>
      </c>
      <c r="M687" s="1" t="str">
        <f>TEXT(Table1[[#This Row],[Order Date]],"mmm")</f>
        <v>Apr</v>
      </c>
      <c r="N687" s="1">
        <f>YEAR(Table1[[#This Row],[Order Date]])</f>
        <v>2024</v>
      </c>
    </row>
    <row r="688" spans="1:14" x14ac:dyDescent="0.35">
      <c r="A688" s="1" t="s">
        <v>1216</v>
      </c>
      <c r="B688" s="1" t="s">
        <v>879</v>
      </c>
      <c r="C688" s="1" t="s">
        <v>111</v>
      </c>
      <c r="D688" s="1" t="s">
        <v>60</v>
      </c>
      <c r="E688" s="1" t="s">
        <v>33</v>
      </c>
      <c r="F688" s="1" t="s">
        <v>60</v>
      </c>
      <c r="G688" s="1">
        <v>6</v>
      </c>
      <c r="H688" s="1">
        <v>21982</v>
      </c>
      <c r="I688" s="1">
        <v>0.05</v>
      </c>
      <c r="J688" s="1">
        <v>125297.4</v>
      </c>
      <c r="K688" s="1">
        <v>34639.980000000003</v>
      </c>
      <c r="L688" s="1" t="s">
        <v>45</v>
      </c>
      <c r="M688" s="1" t="str">
        <f>TEXT(Table1[[#This Row],[Order Date]],"mmm")</f>
        <v>Jul</v>
      </c>
      <c r="N688" s="1">
        <f>YEAR(Table1[[#This Row],[Order Date]])</f>
        <v>2023</v>
      </c>
    </row>
    <row r="689" spans="1:14" x14ac:dyDescent="0.35">
      <c r="A689" s="1" t="s">
        <v>1217</v>
      </c>
      <c r="B689" s="1" t="s">
        <v>1218</v>
      </c>
      <c r="C689" s="1" t="s">
        <v>362</v>
      </c>
      <c r="D689" s="1" t="s">
        <v>48</v>
      </c>
      <c r="E689" s="1" t="s">
        <v>16</v>
      </c>
      <c r="F689" s="1" t="s">
        <v>48</v>
      </c>
      <c r="G689" s="1">
        <v>4</v>
      </c>
      <c r="H689" s="1">
        <v>10962</v>
      </c>
      <c r="I689" s="1">
        <v>0</v>
      </c>
      <c r="J689" s="1">
        <v>43848</v>
      </c>
      <c r="K689" s="1">
        <v>7322.49</v>
      </c>
      <c r="L689" s="1" t="s">
        <v>23</v>
      </c>
      <c r="M689" s="1" t="str">
        <f>TEXT(Table1[[#This Row],[Order Date]],"mmm")</f>
        <v>May</v>
      </c>
      <c r="N689" s="1">
        <f>YEAR(Table1[[#This Row],[Order Date]])</f>
        <v>2024</v>
      </c>
    </row>
    <row r="690" spans="1:14" x14ac:dyDescent="0.35">
      <c r="A690" s="1" t="s">
        <v>1219</v>
      </c>
      <c r="B690" s="1" t="s">
        <v>1220</v>
      </c>
      <c r="C690" s="1" t="s">
        <v>175</v>
      </c>
      <c r="D690" s="1" t="s">
        <v>167</v>
      </c>
      <c r="E690" s="1" t="s">
        <v>16</v>
      </c>
      <c r="F690" s="1" t="s">
        <v>167</v>
      </c>
      <c r="G690" s="1">
        <v>15</v>
      </c>
      <c r="H690" s="1">
        <v>49087</v>
      </c>
      <c r="I690" s="1">
        <v>0.1</v>
      </c>
      <c r="J690" s="1">
        <v>662674.5</v>
      </c>
      <c r="K690" s="1">
        <v>109276.18</v>
      </c>
      <c r="L690" s="1" t="s">
        <v>23</v>
      </c>
      <c r="M690" s="1" t="str">
        <f>TEXT(Table1[[#This Row],[Order Date]],"mmm")</f>
        <v>Oct</v>
      </c>
      <c r="N690" s="1">
        <f>YEAR(Table1[[#This Row],[Order Date]])</f>
        <v>2024</v>
      </c>
    </row>
    <row r="691" spans="1:14" x14ac:dyDescent="0.35">
      <c r="A691" s="1" t="s">
        <v>1221</v>
      </c>
      <c r="B691" s="1" t="s">
        <v>404</v>
      </c>
      <c r="C691" s="1" t="s">
        <v>203</v>
      </c>
      <c r="D691" s="1" t="s">
        <v>74</v>
      </c>
      <c r="E691" s="1" t="s">
        <v>22</v>
      </c>
      <c r="F691" s="1" t="s">
        <v>74</v>
      </c>
      <c r="G691" s="1">
        <v>10</v>
      </c>
      <c r="H691" s="1">
        <v>35421</v>
      </c>
      <c r="I691" s="1">
        <v>0.05</v>
      </c>
      <c r="J691" s="1">
        <v>336499.5</v>
      </c>
      <c r="K691" s="1">
        <v>65398.400000000001</v>
      </c>
      <c r="L691" s="1" t="s">
        <v>17</v>
      </c>
      <c r="M691" s="1" t="str">
        <f>TEXT(Table1[[#This Row],[Order Date]],"mmm")</f>
        <v>Jan</v>
      </c>
      <c r="N691" s="1">
        <f>YEAR(Table1[[#This Row],[Order Date]])</f>
        <v>2023</v>
      </c>
    </row>
    <row r="692" spans="1:14" x14ac:dyDescent="0.35">
      <c r="A692" s="1" t="s">
        <v>1222</v>
      </c>
      <c r="B692" s="1" t="s">
        <v>181</v>
      </c>
      <c r="C692" s="1" t="s">
        <v>200</v>
      </c>
      <c r="D692" s="1" t="s">
        <v>91</v>
      </c>
      <c r="E692" s="1" t="s">
        <v>16</v>
      </c>
      <c r="F692" s="1" t="s">
        <v>91</v>
      </c>
      <c r="G692" s="1">
        <v>11</v>
      </c>
      <c r="H692" s="1">
        <v>19067</v>
      </c>
      <c r="I692" s="1">
        <v>0.2</v>
      </c>
      <c r="J692" s="1">
        <v>167789.6</v>
      </c>
      <c r="K692" s="1">
        <v>18486.93</v>
      </c>
      <c r="L692" s="1" t="s">
        <v>70</v>
      </c>
      <c r="M692" s="1" t="str">
        <f>TEXT(Table1[[#This Row],[Order Date]],"mmm")</f>
        <v>May</v>
      </c>
      <c r="N692" s="1">
        <f>YEAR(Table1[[#This Row],[Order Date]])</f>
        <v>2023</v>
      </c>
    </row>
    <row r="693" spans="1:14" x14ac:dyDescent="0.35">
      <c r="A693" s="1" t="s">
        <v>1223</v>
      </c>
      <c r="B693" s="1" t="s">
        <v>655</v>
      </c>
      <c r="C693" s="1" t="s">
        <v>136</v>
      </c>
      <c r="D693" s="1" t="s">
        <v>167</v>
      </c>
      <c r="E693" s="1" t="s">
        <v>16</v>
      </c>
      <c r="F693" s="1" t="s">
        <v>167</v>
      </c>
      <c r="G693" s="1">
        <v>1</v>
      </c>
      <c r="H693" s="1">
        <v>48902</v>
      </c>
      <c r="I693" s="1">
        <v>0.05</v>
      </c>
      <c r="J693" s="1">
        <v>46456.9</v>
      </c>
      <c r="K693" s="1">
        <v>8434.52</v>
      </c>
      <c r="L693" s="1" t="s">
        <v>70</v>
      </c>
      <c r="M693" s="1" t="str">
        <f>TEXT(Table1[[#This Row],[Order Date]],"mmm")</f>
        <v>Jul</v>
      </c>
      <c r="N693" s="1">
        <f>YEAR(Table1[[#This Row],[Order Date]])</f>
        <v>2023</v>
      </c>
    </row>
    <row r="694" spans="1:14" x14ac:dyDescent="0.35">
      <c r="A694" s="1" t="s">
        <v>1224</v>
      </c>
      <c r="B694" s="1" t="s">
        <v>1225</v>
      </c>
      <c r="C694" s="1" t="s">
        <v>175</v>
      </c>
      <c r="D694" s="1" t="s">
        <v>37</v>
      </c>
      <c r="E694" s="1" t="s">
        <v>16</v>
      </c>
      <c r="F694" s="1" t="s">
        <v>37</v>
      </c>
      <c r="G694" s="1">
        <v>11</v>
      </c>
      <c r="H694" s="1">
        <v>47631</v>
      </c>
      <c r="I694" s="1">
        <v>0.1</v>
      </c>
      <c r="J694" s="1">
        <v>471546.9</v>
      </c>
      <c r="K694" s="1">
        <v>99885.46</v>
      </c>
      <c r="L694" s="1" t="s">
        <v>70</v>
      </c>
      <c r="M694" s="1" t="str">
        <f>TEXT(Table1[[#This Row],[Order Date]],"mmm")</f>
        <v>May</v>
      </c>
      <c r="N694" s="1">
        <f>YEAR(Table1[[#This Row],[Order Date]])</f>
        <v>2023</v>
      </c>
    </row>
    <row r="695" spans="1:14" x14ac:dyDescent="0.35">
      <c r="A695" s="1" t="s">
        <v>1226</v>
      </c>
      <c r="B695" s="1" t="s">
        <v>1227</v>
      </c>
      <c r="C695" s="1" t="s">
        <v>111</v>
      </c>
      <c r="D695" s="1" t="s">
        <v>27</v>
      </c>
      <c r="E695" s="1" t="s">
        <v>28</v>
      </c>
      <c r="F695" s="1" t="s">
        <v>27</v>
      </c>
      <c r="G695" s="1">
        <v>9</v>
      </c>
      <c r="H695" s="1">
        <v>23009</v>
      </c>
      <c r="I695" s="1">
        <v>0.1</v>
      </c>
      <c r="J695" s="1">
        <v>186372.9</v>
      </c>
      <c r="K695" s="1">
        <v>55882.52</v>
      </c>
      <c r="L695" s="1" t="s">
        <v>23</v>
      </c>
      <c r="M695" s="1" t="str">
        <f>TEXT(Table1[[#This Row],[Order Date]],"mmm")</f>
        <v>Apr</v>
      </c>
      <c r="N695" s="1">
        <f>YEAR(Table1[[#This Row],[Order Date]])</f>
        <v>2023</v>
      </c>
    </row>
    <row r="696" spans="1:14" x14ac:dyDescent="0.35">
      <c r="A696" s="1" t="s">
        <v>1228</v>
      </c>
      <c r="B696" s="1" t="s">
        <v>577</v>
      </c>
      <c r="C696" s="1" t="s">
        <v>162</v>
      </c>
      <c r="D696" s="1" t="s">
        <v>37</v>
      </c>
      <c r="E696" s="1" t="s">
        <v>16</v>
      </c>
      <c r="F696" s="1" t="s">
        <v>37</v>
      </c>
      <c r="G696" s="1">
        <v>15</v>
      </c>
      <c r="H696" s="1">
        <v>56407</v>
      </c>
      <c r="I696" s="1">
        <v>0.15</v>
      </c>
      <c r="J696" s="1">
        <v>719189.25</v>
      </c>
      <c r="K696" s="1">
        <v>140232.32000000001</v>
      </c>
      <c r="L696" s="1" t="s">
        <v>70</v>
      </c>
      <c r="M696" s="1" t="str">
        <f>TEXT(Table1[[#This Row],[Order Date]],"mmm")</f>
        <v>Mar</v>
      </c>
      <c r="N696" s="1">
        <f>YEAR(Table1[[#This Row],[Order Date]])</f>
        <v>2024</v>
      </c>
    </row>
    <row r="697" spans="1:14" x14ac:dyDescent="0.35">
      <c r="A697" s="1" t="s">
        <v>1229</v>
      </c>
      <c r="B697" s="1" t="s">
        <v>1090</v>
      </c>
      <c r="C697" s="1" t="s">
        <v>349</v>
      </c>
      <c r="D697" s="1" t="s">
        <v>167</v>
      </c>
      <c r="E697" s="1" t="s">
        <v>16</v>
      </c>
      <c r="F697" s="1" t="s">
        <v>167</v>
      </c>
      <c r="G697" s="1">
        <v>4</v>
      </c>
      <c r="H697" s="1">
        <v>38740</v>
      </c>
      <c r="I697" s="1">
        <v>0</v>
      </c>
      <c r="J697" s="1">
        <v>154960</v>
      </c>
      <c r="K697" s="1">
        <v>30297.3</v>
      </c>
      <c r="L697" s="1" t="s">
        <v>23</v>
      </c>
      <c r="M697" s="1" t="str">
        <f>TEXT(Table1[[#This Row],[Order Date]],"mmm")</f>
        <v>Feb</v>
      </c>
      <c r="N697" s="1">
        <f>YEAR(Table1[[#This Row],[Order Date]])</f>
        <v>2024</v>
      </c>
    </row>
    <row r="698" spans="1:14" x14ac:dyDescent="0.35">
      <c r="A698" s="1" t="s">
        <v>1230</v>
      </c>
      <c r="B698" s="1" t="s">
        <v>318</v>
      </c>
      <c r="C698" s="1" t="s">
        <v>67</v>
      </c>
      <c r="D698" s="1" t="s">
        <v>91</v>
      </c>
      <c r="E698" s="1" t="s">
        <v>16</v>
      </c>
      <c r="F698" s="1" t="s">
        <v>91</v>
      </c>
      <c r="G698" s="1">
        <v>6</v>
      </c>
      <c r="H698" s="1">
        <v>37576</v>
      </c>
      <c r="I698" s="1">
        <v>0</v>
      </c>
      <c r="J698" s="1">
        <v>225456</v>
      </c>
      <c r="K698" s="1">
        <v>44882.75</v>
      </c>
      <c r="L698" s="1" t="s">
        <v>23</v>
      </c>
      <c r="M698" s="1" t="str">
        <f>TEXT(Table1[[#This Row],[Order Date]],"mmm")</f>
        <v>Aug</v>
      </c>
      <c r="N698" s="1">
        <f>YEAR(Table1[[#This Row],[Order Date]])</f>
        <v>2023</v>
      </c>
    </row>
    <row r="699" spans="1:14" x14ac:dyDescent="0.35">
      <c r="A699" s="1" t="s">
        <v>1231</v>
      </c>
      <c r="B699" s="1" t="s">
        <v>1232</v>
      </c>
      <c r="C699" s="1" t="s">
        <v>155</v>
      </c>
      <c r="D699" s="1" t="s">
        <v>41</v>
      </c>
      <c r="E699" s="1" t="s">
        <v>16</v>
      </c>
      <c r="F699" s="1" t="s">
        <v>41</v>
      </c>
      <c r="G699" s="1">
        <v>2</v>
      </c>
      <c r="H699" s="1">
        <v>5938</v>
      </c>
      <c r="I699" s="1">
        <v>0.15</v>
      </c>
      <c r="J699" s="1">
        <v>10094.6</v>
      </c>
      <c r="K699" s="1">
        <v>2600.34</v>
      </c>
      <c r="L699" s="1" t="s">
        <v>17</v>
      </c>
      <c r="M699" s="1" t="str">
        <f>TEXT(Table1[[#This Row],[Order Date]],"mmm")</f>
        <v>Sep</v>
      </c>
      <c r="N699" s="1">
        <f>YEAR(Table1[[#This Row],[Order Date]])</f>
        <v>2023</v>
      </c>
    </row>
    <row r="700" spans="1:14" x14ac:dyDescent="0.35">
      <c r="A700" s="1" t="s">
        <v>1233</v>
      </c>
      <c r="B700" s="1" t="s">
        <v>835</v>
      </c>
      <c r="C700" s="1" t="s">
        <v>208</v>
      </c>
      <c r="D700" s="1" t="s">
        <v>179</v>
      </c>
      <c r="E700" s="1" t="s">
        <v>28</v>
      </c>
      <c r="F700" s="1" t="s">
        <v>179</v>
      </c>
      <c r="G700" s="1">
        <v>13</v>
      </c>
      <c r="H700" s="1">
        <v>58498</v>
      </c>
      <c r="I700" s="1">
        <v>0.05</v>
      </c>
      <c r="J700" s="1">
        <v>722450.3</v>
      </c>
      <c r="K700" s="1">
        <v>210122.88</v>
      </c>
      <c r="L700" s="1" t="s">
        <v>70</v>
      </c>
      <c r="M700" s="1" t="str">
        <f>TEXT(Table1[[#This Row],[Order Date]],"mmm")</f>
        <v>Nov</v>
      </c>
      <c r="N700" s="1">
        <f>YEAR(Table1[[#This Row],[Order Date]])</f>
        <v>2024</v>
      </c>
    </row>
    <row r="701" spans="1:14" x14ac:dyDescent="0.35">
      <c r="A701" s="1" t="s">
        <v>1234</v>
      </c>
      <c r="B701" s="1" t="s">
        <v>1235</v>
      </c>
      <c r="C701" s="1" t="s">
        <v>260</v>
      </c>
      <c r="D701" s="1" t="s">
        <v>141</v>
      </c>
      <c r="E701" s="1" t="s">
        <v>22</v>
      </c>
      <c r="F701" s="1" t="s">
        <v>141</v>
      </c>
      <c r="G701" s="1">
        <v>11</v>
      </c>
      <c r="H701" s="1">
        <v>35871</v>
      </c>
      <c r="I701" s="1">
        <v>0.2</v>
      </c>
      <c r="J701" s="1">
        <v>315664.8</v>
      </c>
      <c r="K701" s="1">
        <v>47215.02</v>
      </c>
      <c r="L701" s="1" t="s">
        <v>45</v>
      </c>
      <c r="M701" s="1" t="str">
        <f>TEXT(Table1[[#This Row],[Order Date]],"mmm")</f>
        <v>Oct</v>
      </c>
      <c r="N701" s="1">
        <f>YEAR(Table1[[#This Row],[Order Date]])</f>
        <v>2024</v>
      </c>
    </row>
    <row r="702" spans="1:14" x14ac:dyDescent="0.35">
      <c r="A702" s="1" t="s">
        <v>1236</v>
      </c>
      <c r="B702" s="1" t="s">
        <v>873</v>
      </c>
      <c r="C702" s="1" t="s">
        <v>362</v>
      </c>
      <c r="D702" s="1" t="s">
        <v>32</v>
      </c>
      <c r="E702" s="1" t="s">
        <v>33</v>
      </c>
      <c r="F702" s="1" t="s">
        <v>32</v>
      </c>
      <c r="G702" s="1">
        <v>6</v>
      </c>
      <c r="H702" s="1">
        <v>57467</v>
      </c>
      <c r="I702" s="1">
        <v>0</v>
      </c>
      <c r="J702" s="1">
        <v>344802</v>
      </c>
      <c r="K702" s="1">
        <v>49032.94</v>
      </c>
      <c r="L702" s="1" t="s">
        <v>17</v>
      </c>
      <c r="M702" s="1" t="str">
        <f>TEXT(Table1[[#This Row],[Order Date]],"mmm")</f>
        <v>Dec</v>
      </c>
      <c r="N702" s="1">
        <f>YEAR(Table1[[#This Row],[Order Date]])</f>
        <v>2023</v>
      </c>
    </row>
    <row r="703" spans="1:14" x14ac:dyDescent="0.35">
      <c r="A703" s="1" t="s">
        <v>1237</v>
      </c>
      <c r="B703" s="1" t="s">
        <v>1238</v>
      </c>
      <c r="C703" s="1" t="s">
        <v>335</v>
      </c>
      <c r="D703" s="1" t="s">
        <v>323</v>
      </c>
      <c r="E703" s="1" t="s">
        <v>33</v>
      </c>
      <c r="F703" s="1" t="s">
        <v>323</v>
      </c>
      <c r="G703" s="1">
        <v>12</v>
      </c>
      <c r="H703" s="1">
        <v>9988</v>
      </c>
      <c r="I703" s="1">
        <v>0.1</v>
      </c>
      <c r="J703" s="1">
        <v>107870.39999999999</v>
      </c>
      <c r="K703" s="1">
        <v>20708.63</v>
      </c>
      <c r="L703" s="1" t="s">
        <v>23</v>
      </c>
      <c r="M703" s="1" t="str">
        <f>TEXT(Table1[[#This Row],[Order Date]],"mmm")</f>
        <v>Dec</v>
      </c>
      <c r="N703" s="1">
        <f>YEAR(Table1[[#This Row],[Order Date]])</f>
        <v>2023</v>
      </c>
    </row>
    <row r="704" spans="1:14" x14ac:dyDescent="0.35">
      <c r="A704" s="1" t="s">
        <v>1239</v>
      </c>
      <c r="B704" s="1" t="s">
        <v>1240</v>
      </c>
      <c r="C704" s="1" t="s">
        <v>640</v>
      </c>
      <c r="D704" s="1" t="s">
        <v>41</v>
      </c>
      <c r="E704" s="1" t="s">
        <v>16</v>
      </c>
      <c r="F704" s="1" t="s">
        <v>41</v>
      </c>
      <c r="G704" s="1">
        <v>15</v>
      </c>
      <c r="H704" s="1">
        <v>12454</v>
      </c>
      <c r="I704" s="1">
        <v>0.1</v>
      </c>
      <c r="J704" s="1">
        <v>168129</v>
      </c>
      <c r="K704" s="1">
        <v>27937.97</v>
      </c>
      <c r="L704" s="1" t="s">
        <v>70</v>
      </c>
      <c r="M704" s="1" t="str">
        <f>TEXT(Table1[[#This Row],[Order Date]],"mmm")</f>
        <v>Jan</v>
      </c>
      <c r="N704" s="1">
        <f>YEAR(Table1[[#This Row],[Order Date]])</f>
        <v>2024</v>
      </c>
    </row>
    <row r="705" spans="1:14" x14ac:dyDescent="0.35">
      <c r="A705" s="1" t="s">
        <v>1241</v>
      </c>
      <c r="B705" s="1" t="s">
        <v>210</v>
      </c>
      <c r="C705" s="1" t="s">
        <v>255</v>
      </c>
      <c r="D705" s="1" t="s">
        <v>60</v>
      </c>
      <c r="E705" s="1" t="s">
        <v>33</v>
      </c>
      <c r="F705" s="1" t="s">
        <v>60</v>
      </c>
      <c r="G705" s="1">
        <v>11</v>
      </c>
      <c r="H705" s="1">
        <v>8042</v>
      </c>
      <c r="I705" s="1">
        <v>0.05</v>
      </c>
      <c r="J705" s="1">
        <v>84038.9</v>
      </c>
      <c r="K705" s="1">
        <v>21163.119999999999</v>
      </c>
      <c r="L705" s="1" t="s">
        <v>45</v>
      </c>
      <c r="M705" s="1" t="str">
        <f>TEXT(Table1[[#This Row],[Order Date]],"mmm")</f>
        <v>Jun</v>
      </c>
      <c r="N705" s="1">
        <f>YEAR(Table1[[#This Row],[Order Date]])</f>
        <v>2023</v>
      </c>
    </row>
    <row r="706" spans="1:14" x14ac:dyDescent="0.35">
      <c r="A706" s="1" t="s">
        <v>1242</v>
      </c>
      <c r="B706" s="1" t="s">
        <v>617</v>
      </c>
      <c r="C706" s="1" t="s">
        <v>362</v>
      </c>
      <c r="D706" s="1" t="s">
        <v>44</v>
      </c>
      <c r="E706" s="1" t="s">
        <v>28</v>
      </c>
      <c r="F706" s="1" t="s">
        <v>44</v>
      </c>
      <c r="G706" s="1">
        <v>3</v>
      </c>
      <c r="H706" s="1">
        <v>52922</v>
      </c>
      <c r="I706" s="1">
        <v>0.05</v>
      </c>
      <c r="J706" s="1">
        <v>150827.70000000001</v>
      </c>
      <c r="K706" s="1">
        <v>24451.77</v>
      </c>
      <c r="L706" s="1" t="s">
        <v>17</v>
      </c>
      <c r="M706" s="1" t="str">
        <f>TEXT(Table1[[#This Row],[Order Date]],"mmm")</f>
        <v>Jul</v>
      </c>
      <c r="N706" s="1">
        <f>YEAR(Table1[[#This Row],[Order Date]])</f>
        <v>2023</v>
      </c>
    </row>
    <row r="707" spans="1:14" x14ac:dyDescent="0.35">
      <c r="A707" s="1" t="s">
        <v>1243</v>
      </c>
      <c r="B707" s="1" t="s">
        <v>603</v>
      </c>
      <c r="C707" s="1" t="s">
        <v>188</v>
      </c>
      <c r="D707" s="1" t="s">
        <v>60</v>
      </c>
      <c r="E707" s="1" t="s">
        <v>33</v>
      </c>
      <c r="F707" s="1" t="s">
        <v>60</v>
      </c>
      <c r="G707" s="1">
        <v>5</v>
      </c>
      <c r="H707" s="1">
        <v>47455</v>
      </c>
      <c r="I707" s="1">
        <v>0.15</v>
      </c>
      <c r="J707" s="1">
        <v>201683.75</v>
      </c>
      <c r="K707" s="1">
        <v>23689.82</v>
      </c>
      <c r="L707" s="1" t="s">
        <v>17</v>
      </c>
      <c r="M707" s="1" t="str">
        <f>TEXT(Table1[[#This Row],[Order Date]],"mmm")</f>
        <v>Dec</v>
      </c>
      <c r="N707" s="1">
        <f>YEAR(Table1[[#This Row],[Order Date]])</f>
        <v>2023</v>
      </c>
    </row>
    <row r="708" spans="1:14" x14ac:dyDescent="0.35">
      <c r="A708" s="1" t="s">
        <v>1244</v>
      </c>
      <c r="B708" s="1" t="s">
        <v>1245</v>
      </c>
      <c r="C708" s="1" t="s">
        <v>20</v>
      </c>
      <c r="D708" s="1" t="s">
        <v>64</v>
      </c>
      <c r="E708" s="1" t="s">
        <v>33</v>
      </c>
      <c r="F708" s="1" t="s">
        <v>64</v>
      </c>
      <c r="G708" s="1">
        <v>4</v>
      </c>
      <c r="H708" s="1">
        <v>44237</v>
      </c>
      <c r="I708" s="1">
        <v>0</v>
      </c>
      <c r="J708" s="1">
        <v>176948</v>
      </c>
      <c r="K708" s="1">
        <v>31800.42</v>
      </c>
      <c r="L708" s="1" t="s">
        <v>45</v>
      </c>
      <c r="M708" s="1" t="str">
        <f>TEXT(Table1[[#This Row],[Order Date]],"mmm")</f>
        <v>Nov</v>
      </c>
      <c r="N708" s="1">
        <f>YEAR(Table1[[#This Row],[Order Date]])</f>
        <v>2024</v>
      </c>
    </row>
    <row r="709" spans="1:14" x14ac:dyDescent="0.35">
      <c r="A709" s="1" t="s">
        <v>1246</v>
      </c>
      <c r="B709" s="1" t="s">
        <v>174</v>
      </c>
      <c r="C709" s="1" t="s">
        <v>14</v>
      </c>
      <c r="D709" s="1" t="s">
        <v>95</v>
      </c>
      <c r="E709" s="1" t="s">
        <v>33</v>
      </c>
      <c r="F709" s="1" t="s">
        <v>95</v>
      </c>
      <c r="G709" s="1">
        <v>13</v>
      </c>
      <c r="H709" s="1">
        <v>15035</v>
      </c>
      <c r="I709" s="1">
        <v>0.15</v>
      </c>
      <c r="J709" s="1">
        <v>166136.75</v>
      </c>
      <c r="K709" s="1">
        <v>18868.38</v>
      </c>
      <c r="L709" s="1" t="s">
        <v>70</v>
      </c>
      <c r="M709" s="1" t="str">
        <f>TEXT(Table1[[#This Row],[Order Date]],"mmm")</f>
        <v>Jun</v>
      </c>
      <c r="N709" s="1">
        <f>YEAR(Table1[[#This Row],[Order Date]])</f>
        <v>2024</v>
      </c>
    </row>
    <row r="710" spans="1:14" x14ac:dyDescent="0.35">
      <c r="A710" s="1" t="s">
        <v>1247</v>
      </c>
      <c r="B710" s="1" t="s">
        <v>556</v>
      </c>
      <c r="C710" s="1" t="s">
        <v>67</v>
      </c>
      <c r="D710" s="1" t="s">
        <v>56</v>
      </c>
      <c r="E710" s="1" t="s">
        <v>22</v>
      </c>
      <c r="F710" s="1" t="s">
        <v>56</v>
      </c>
      <c r="G710" s="1">
        <v>5</v>
      </c>
      <c r="H710" s="1">
        <v>40320</v>
      </c>
      <c r="I710" s="1">
        <v>0.15</v>
      </c>
      <c r="J710" s="1">
        <v>171360</v>
      </c>
      <c r="K710" s="1">
        <v>31141.78</v>
      </c>
      <c r="L710" s="1" t="s">
        <v>70</v>
      </c>
      <c r="M710" s="1" t="str">
        <f>TEXT(Table1[[#This Row],[Order Date]],"mmm")</f>
        <v>Nov</v>
      </c>
      <c r="N710" s="1">
        <f>YEAR(Table1[[#This Row],[Order Date]])</f>
        <v>2024</v>
      </c>
    </row>
    <row r="711" spans="1:14" x14ac:dyDescent="0.35">
      <c r="A711" s="1" t="s">
        <v>1248</v>
      </c>
      <c r="B711" s="1" t="s">
        <v>269</v>
      </c>
      <c r="C711" s="1" t="s">
        <v>158</v>
      </c>
      <c r="D711" s="1" t="s">
        <v>179</v>
      </c>
      <c r="E711" s="1" t="s">
        <v>28</v>
      </c>
      <c r="F711" s="1" t="s">
        <v>179</v>
      </c>
      <c r="G711" s="1">
        <v>7</v>
      </c>
      <c r="H711" s="1">
        <v>42824</v>
      </c>
      <c r="I711" s="1">
        <v>0.1</v>
      </c>
      <c r="J711" s="1">
        <v>269791.2</v>
      </c>
      <c r="K711" s="1">
        <v>56931.4</v>
      </c>
      <c r="L711" s="1" t="s">
        <v>23</v>
      </c>
      <c r="M711" s="1" t="str">
        <f>TEXT(Table1[[#This Row],[Order Date]],"mmm")</f>
        <v>Dec</v>
      </c>
      <c r="N711" s="1">
        <f>YEAR(Table1[[#This Row],[Order Date]])</f>
        <v>2023</v>
      </c>
    </row>
    <row r="712" spans="1:14" x14ac:dyDescent="0.35">
      <c r="A712" s="1" t="s">
        <v>1249</v>
      </c>
      <c r="B712" s="1" t="s">
        <v>663</v>
      </c>
      <c r="C712" s="1" t="s">
        <v>63</v>
      </c>
      <c r="D712" s="1" t="s">
        <v>293</v>
      </c>
      <c r="E712" s="1" t="s">
        <v>33</v>
      </c>
      <c r="F712" s="1" t="s">
        <v>293</v>
      </c>
      <c r="G712" s="1">
        <v>14</v>
      </c>
      <c r="H712" s="1">
        <v>54490</v>
      </c>
      <c r="I712" s="1">
        <v>0.15</v>
      </c>
      <c r="J712" s="1">
        <v>648431</v>
      </c>
      <c r="K712" s="1">
        <v>65117.49</v>
      </c>
      <c r="L712" s="1" t="s">
        <v>23</v>
      </c>
      <c r="M712" s="1" t="str">
        <f>TEXT(Table1[[#This Row],[Order Date]],"mmm")</f>
        <v>Oct</v>
      </c>
      <c r="N712" s="1">
        <f>YEAR(Table1[[#This Row],[Order Date]])</f>
        <v>2023</v>
      </c>
    </row>
    <row r="713" spans="1:14" x14ac:dyDescent="0.35">
      <c r="A713" s="1" t="s">
        <v>1250</v>
      </c>
      <c r="B713" s="1" t="s">
        <v>369</v>
      </c>
      <c r="C713" s="1" t="s">
        <v>117</v>
      </c>
      <c r="D713" s="1" t="s">
        <v>141</v>
      </c>
      <c r="E713" s="1" t="s">
        <v>22</v>
      </c>
      <c r="F713" s="1" t="s">
        <v>141</v>
      </c>
      <c r="G713" s="1">
        <v>9</v>
      </c>
      <c r="H713" s="1">
        <v>43139</v>
      </c>
      <c r="I713" s="1">
        <v>0.05</v>
      </c>
      <c r="J713" s="1">
        <v>368838.45</v>
      </c>
      <c r="K713" s="1">
        <v>69949.570000000007</v>
      </c>
      <c r="L713" s="1" t="s">
        <v>70</v>
      </c>
      <c r="M713" s="1" t="str">
        <f>TEXT(Table1[[#This Row],[Order Date]],"mmm")</f>
        <v>Sep</v>
      </c>
      <c r="N713" s="1">
        <f>YEAR(Table1[[#This Row],[Order Date]])</f>
        <v>2024</v>
      </c>
    </row>
    <row r="714" spans="1:14" x14ac:dyDescent="0.35">
      <c r="A714" s="1" t="s">
        <v>1251</v>
      </c>
      <c r="B714" s="1" t="s">
        <v>35</v>
      </c>
      <c r="C714" s="1" t="s">
        <v>59</v>
      </c>
      <c r="D714" s="1" t="s">
        <v>95</v>
      </c>
      <c r="E714" s="1" t="s">
        <v>33</v>
      </c>
      <c r="F714" s="1" t="s">
        <v>95</v>
      </c>
      <c r="G714" s="1">
        <v>1</v>
      </c>
      <c r="H714" s="1">
        <v>18050</v>
      </c>
      <c r="I714" s="1">
        <v>0.15</v>
      </c>
      <c r="J714" s="1">
        <v>15342.5</v>
      </c>
      <c r="K714" s="1">
        <v>1901.76</v>
      </c>
      <c r="L714" s="1" t="s">
        <v>70</v>
      </c>
      <c r="M714" s="1" t="str">
        <f>TEXT(Table1[[#This Row],[Order Date]],"mmm")</f>
        <v>Jan</v>
      </c>
      <c r="N714" s="1">
        <f>YEAR(Table1[[#This Row],[Order Date]])</f>
        <v>2023</v>
      </c>
    </row>
    <row r="715" spans="1:14" x14ac:dyDescent="0.35">
      <c r="A715" s="1" t="s">
        <v>1252</v>
      </c>
      <c r="B715" s="1" t="s">
        <v>653</v>
      </c>
      <c r="C715" s="1" t="s">
        <v>40</v>
      </c>
      <c r="D715" s="1" t="s">
        <v>52</v>
      </c>
      <c r="E715" s="1" t="s">
        <v>28</v>
      </c>
      <c r="F715" s="1" t="s">
        <v>52</v>
      </c>
      <c r="G715" s="1">
        <v>3</v>
      </c>
      <c r="H715" s="1">
        <v>9919</v>
      </c>
      <c r="I715" s="1">
        <v>0.1</v>
      </c>
      <c r="J715" s="1">
        <v>26781.3</v>
      </c>
      <c r="K715" s="1">
        <v>2795.79</v>
      </c>
      <c r="L715" s="1" t="s">
        <v>17</v>
      </c>
      <c r="M715" s="1" t="str">
        <f>TEXT(Table1[[#This Row],[Order Date]],"mmm")</f>
        <v>Nov</v>
      </c>
      <c r="N715" s="1">
        <f>YEAR(Table1[[#This Row],[Order Date]])</f>
        <v>2024</v>
      </c>
    </row>
    <row r="716" spans="1:14" x14ac:dyDescent="0.35">
      <c r="A716" s="1" t="s">
        <v>1253</v>
      </c>
      <c r="B716" s="1" t="s">
        <v>1254</v>
      </c>
      <c r="C716" s="1" t="s">
        <v>26</v>
      </c>
      <c r="D716" s="1" t="s">
        <v>85</v>
      </c>
      <c r="E716" s="1" t="s">
        <v>28</v>
      </c>
      <c r="F716" s="1" t="s">
        <v>85</v>
      </c>
      <c r="G716" s="1">
        <v>6</v>
      </c>
      <c r="H716" s="1">
        <v>26560</v>
      </c>
      <c r="I716" s="1">
        <v>0.2</v>
      </c>
      <c r="J716" s="1">
        <v>127488</v>
      </c>
      <c r="K716" s="1">
        <v>29618.15</v>
      </c>
      <c r="L716" s="1" t="s">
        <v>70</v>
      </c>
      <c r="M716" s="1" t="str">
        <f>TEXT(Table1[[#This Row],[Order Date]],"mmm")</f>
        <v>Jul</v>
      </c>
      <c r="N716" s="1">
        <f>YEAR(Table1[[#This Row],[Order Date]])</f>
        <v>2023</v>
      </c>
    </row>
    <row r="717" spans="1:14" x14ac:dyDescent="0.35">
      <c r="A717" s="1" t="s">
        <v>1255</v>
      </c>
      <c r="B717" s="1" t="s">
        <v>667</v>
      </c>
      <c r="C717" s="1" t="s">
        <v>101</v>
      </c>
      <c r="D717" s="1" t="s">
        <v>52</v>
      </c>
      <c r="E717" s="1" t="s">
        <v>28</v>
      </c>
      <c r="F717" s="1" t="s">
        <v>52</v>
      </c>
      <c r="G717" s="1">
        <v>5</v>
      </c>
      <c r="H717" s="1">
        <v>3778</v>
      </c>
      <c r="I717" s="1">
        <v>0.2</v>
      </c>
      <c r="J717" s="1">
        <v>15112</v>
      </c>
      <c r="K717" s="1">
        <v>3691.12</v>
      </c>
      <c r="L717" s="1" t="s">
        <v>23</v>
      </c>
      <c r="M717" s="1" t="str">
        <f>TEXT(Table1[[#This Row],[Order Date]],"mmm")</f>
        <v>Jun</v>
      </c>
      <c r="N717" s="1">
        <f>YEAR(Table1[[#This Row],[Order Date]])</f>
        <v>2024</v>
      </c>
    </row>
    <row r="718" spans="1:14" x14ac:dyDescent="0.35">
      <c r="A718" s="1" t="s">
        <v>1256</v>
      </c>
      <c r="B718" s="1" t="s">
        <v>413</v>
      </c>
      <c r="C718" s="1" t="s">
        <v>120</v>
      </c>
      <c r="D718" s="1" t="s">
        <v>41</v>
      </c>
      <c r="E718" s="1" t="s">
        <v>16</v>
      </c>
      <c r="F718" s="1" t="s">
        <v>41</v>
      </c>
      <c r="G718" s="1">
        <v>4</v>
      </c>
      <c r="H718" s="1">
        <v>13042</v>
      </c>
      <c r="I718" s="1">
        <v>0.1</v>
      </c>
      <c r="J718" s="1">
        <v>46951.199999999997</v>
      </c>
      <c r="K718" s="1">
        <v>7748.81</v>
      </c>
      <c r="L718" s="1" t="s">
        <v>45</v>
      </c>
      <c r="M718" s="1" t="str">
        <f>TEXT(Table1[[#This Row],[Order Date]],"mmm")</f>
        <v>May</v>
      </c>
      <c r="N718" s="1">
        <f>YEAR(Table1[[#This Row],[Order Date]])</f>
        <v>2024</v>
      </c>
    </row>
    <row r="719" spans="1:14" x14ac:dyDescent="0.35">
      <c r="A719" s="1" t="s">
        <v>1257</v>
      </c>
      <c r="B719" s="1" t="s">
        <v>1258</v>
      </c>
      <c r="C719" s="1" t="s">
        <v>136</v>
      </c>
      <c r="D719" s="1" t="s">
        <v>15</v>
      </c>
      <c r="E719" s="1" t="s">
        <v>16</v>
      </c>
      <c r="F719" s="1" t="s">
        <v>15</v>
      </c>
      <c r="G719" s="1">
        <v>1</v>
      </c>
      <c r="H719" s="1">
        <v>40318</v>
      </c>
      <c r="I719" s="1">
        <v>0.2</v>
      </c>
      <c r="J719" s="1">
        <v>32254.400000000001</v>
      </c>
      <c r="K719" s="1">
        <v>3129.61</v>
      </c>
      <c r="L719" s="1" t="s">
        <v>45</v>
      </c>
      <c r="M719" s="1" t="str">
        <f>TEXT(Table1[[#This Row],[Order Date]],"mmm")</f>
        <v>Jun</v>
      </c>
      <c r="N719" s="1">
        <f>YEAR(Table1[[#This Row],[Order Date]])</f>
        <v>2023</v>
      </c>
    </row>
    <row r="720" spans="1:14" x14ac:dyDescent="0.35">
      <c r="A720" s="1" t="s">
        <v>1259</v>
      </c>
      <c r="B720" s="1" t="s">
        <v>1171</v>
      </c>
      <c r="C720" s="1" t="s">
        <v>63</v>
      </c>
      <c r="D720" s="1" t="s">
        <v>91</v>
      </c>
      <c r="E720" s="1" t="s">
        <v>16</v>
      </c>
      <c r="F720" s="1" t="s">
        <v>91</v>
      </c>
      <c r="G720" s="1">
        <v>9</v>
      </c>
      <c r="H720" s="1">
        <v>19443</v>
      </c>
      <c r="I720" s="1">
        <v>0.1</v>
      </c>
      <c r="J720" s="1">
        <v>157488.29999999999</v>
      </c>
      <c r="K720" s="1">
        <v>28881.24</v>
      </c>
      <c r="L720" s="1" t="s">
        <v>70</v>
      </c>
      <c r="M720" s="1" t="str">
        <f>TEXT(Table1[[#This Row],[Order Date]],"mmm")</f>
        <v>Aug</v>
      </c>
      <c r="N720" s="1">
        <f>YEAR(Table1[[#This Row],[Order Date]])</f>
        <v>2024</v>
      </c>
    </row>
    <row r="721" spans="1:14" x14ac:dyDescent="0.35">
      <c r="A721" s="1" t="s">
        <v>1260</v>
      </c>
      <c r="B721" s="1" t="s">
        <v>1261</v>
      </c>
      <c r="C721" s="1" t="s">
        <v>162</v>
      </c>
      <c r="D721" s="1" t="s">
        <v>52</v>
      </c>
      <c r="E721" s="1" t="s">
        <v>28</v>
      </c>
      <c r="F721" s="1" t="s">
        <v>52</v>
      </c>
      <c r="G721" s="1">
        <v>1</v>
      </c>
      <c r="H721" s="1">
        <v>5266</v>
      </c>
      <c r="I721" s="1">
        <v>0.1</v>
      </c>
      <c r="J721" s="1">
        <v>4739.3999999999996</v>
      </c>
      <c r="K721" s="1">
        <v>626.12</v>
      </c>
      <c r="L721" s="1" t="s">
        <v>45</v>
      </c>
      <c r="M721" s="1" t="str">
        <f>TEXT(Table1[[#This Row],[Order Date]],"mmm")</f>
        <v>Jul</v>
      </c>
      <c r="N721" s="1">
        <f>YEAR(Table1[[#This Row],[Order Date]])</f>
        <v>2023</v>
      </c>
    </row>
    <row r="722" spans="1:14" x14ac:dyDescent="0.35">
      <c r="A722" s="1" t="s">
        <v>1262</v>
      </c>
      <c r="B722" s="1" t="s">
        <v>357</v>
      </c>
      <c r="C722" s="1" t="s">
        <v>362</v>
      </c>
      <c r="D722" s="1" t="s">
        <v>137</v>
      </c>
      <c r="E722" s="1" t="s">
        <v>22</v>
      </c>
      <c r="F722" s="1" t="s">
        <v>137</v>
      </c>
      <c r="G722" s="1">
        <v>10</v>
      </c>
      <c r="H722" s="1">
        <v>3637</v>
      </c>
      <c r="I722" s="1">
        <v>0.05</v>
      </c>
      <c r="J722" s="1">
        <v>34551.5</v>
      </c>
      <c r="K722" s="1">
        <v>8785.02</v>
      </c>
      <c r="L722" s="1" t="s">
        <v>23</v>
      </c>
      <c r="M722" s="1" t="str">
        <f>TEXT(Table1[[#This Row],[Order Date]],"mmm")</f>
        <v>Apr</v>
      </c>
      <c r="N722" s="1">
        <f>YEAR(Table1[[#This Row],[Order Date]])</f>
        <v>2023</v>
      </c>
    </row>
    <row r="723" spans="1:14" x14ac:dyDescent="0.35">
      <c r="A723" s="1" t="s">
        <v>1263</v>
      </c>
      <c r="B723" s="1" t="s">
        <v>853</v>
      </c>
      <c r="C723" s="1" t="s">
        <v>88</v>
      </c>
      <c r="D723" s="1" t="s">
        <v>44</v>
      </c>
      <c r="E723" s="1" t="s">
        <v>28</v>
      </c>
      <c r="F723" s="1" t="s">
        <v>44</v>
      </c>
      <c r="G723" s="1">
        <v>5</v>
      </c>
      <c r="H723" s="1">
        <v>38459</v>
      </c>
      <c r="I723" s="1">
        <v>0.2</v>
      </c>
      <c r="J723" s="1">
        <v>153836</v>
      </c>
      <c r="K723" s="1">
        <v>35837.33</v>
      </c>
      <c r="L723" s="1" t="s">
        <v>45</v>
      </c>
      <c r="M723" s="1" t="str">
        <f>TEXT(Table1[[#This Row],[Order Date]],"mmm")</f>
        <v>Jun</v>
      </c>
      <c r="N723" s="1">
        <f>YEAR(Table1[[#This Row],[Order Date]])</f>
        <v>2024</v>
      </c>
    </row>
    <row r="724" spans="1:14" x14ac:dyDescent="0.35">
      <c r="A724" s="1" t="s">
        <v>1264</v>
      </c>
      <c r="B724" s="1" t="s">
        <v>1265</v>
      </c>
      <c r="C724" s="1" t="s">
        <v>88</v>
      </c>
      <c r="D724" s="1" t="s">
        <v>224</v>
      </c>
      <c r="E724" s="1" t="s">
        <v>33</v>
      </c>
      <c r="F724" s="1" t="s">
        <v>224</v>
      </c>
      <c r="G724" s="1">
        <v>12</v>
      </c>
      <c r="H724" s="1">
        <v>49591</v>
      </c>
      <c r="I724" s="1">
        <v>0.15</v>
      </c>
      <c r="J724" s="1">
        <v>505828.2</v>
      </c>
      <c r="K724" s="1">
        <v>117662.96</v>
      </c>
      <c r="L724" s="1" t="s">
        <v>45</v>
      </c>
      <c r="M724" s="1" t="str">
        <f>TEXT(Table1[[#This Row],[Order Date]],"mmm")</f>
        <v>Mar</v>
      </c>
      <c r="N724" s="1">
        <f>YEAR(Table1[[#This Row],[Order Date]])</f>
        <v>2023</v>
      </c>
    </row>
    <row r="725" spans="1:14" x14ac:dyDescent="0.35">
      <c r="A725" s="1" t="s">
        <v>1266</v>
      </c>
      <c r="B725" s="1" t="s">
        <v>1267</v>
      </c>
      <c r="C725" s="1" t="s">
        <v>507</v>
      </c>
      <c r="D725" s="1" t="s">
        <v>74</v>
      </c>
      <c r="E725" s="1" t="s">
        <v>22</v>
      </c>
      <c r="F725" s="1" t="s">
        <v>74</v>
      </c>
      <c r="G725" s="1">
        <v>4</v>
      </c>
      <c r="H725" s="1">
        <v>40803</v>
      </c>
      <c r="I725" s="1">
        <v>0.1</v>
      </c>
      <c r="J725" s="1">
        <v>146890.79999999999</v>
      </c>
      <c r="K725" s="1">
        <v>24473.759999999998</v>
      </c>
      <c r="L725" s="1" t="s">
        <v>45</v>
      </c>
      <c r="M725" s="1" t="str">
        <f>TEXT(Table1[[#This Row],[Order Date]],"mmm")</f>
        <v>Jan</v>
      </c>
      <c r="N725" s="1">
        <f>YEAR(Table1[[#This Row],[Order Date]])</f>
        <v>2023</v>
      </c>
    </row>
    <row r="726" spans="1:14" x14ac:dyDescent="0.35">
      <c r="A726" s="1" t="s">
        <v>1268</v>
      </c>
      <c r="B726" s="1" t="s">
        <v>624</v>
      </c>
      <c r="C726" s="1" t="s">
        <v>26</v>
      </c>
      <c r="D726" s="1" t="s">
        <v>91</v>
      </c>
      <c r="E726" s="1" t="s">
        <v>16</v>
      </c>
      <c r="F726" s="1" t="s">
        <v>91</v>
      </c>
      <c r="G726" s="1">
        <v>13</v>
      </c>
      <c r="H726" s="1">
        <v>23675</v>
      </c>
      <c r="I726" s="1">
        <v>0</v>
      </c>
      <c r="J726" s="1">
        <v>307775</v>
      </c>
      <c r="K726" s="1">
        <v>60497.83</v>
      </c>
      <c r="L726" s="1" t="s">
        <v>23</v>
      </c>
      <c r="M726" s="1" t="str">
        <f>TEXT(Table1[[#This Row],[Order Date]],"mmm")</f>
        <v>May</v>
      </c>
      <c r="N726" s="1">
        <f>YEAR(Table1[[#This Row],[Order Date]])</f>
        <v>2023</v>
      </c>
    </row>
    <row r="727" spans="1:14" x14ac:dyDescent="0.35">
      <c r="A727" s="1" t="s">
        <v>1269</v>
      </c>
      <c r="B727" s="1" t="s">
        <v>143</v>
      </c>
      <c r="C727" s="1" t="s">
        <v>332</v>
      </c>
      <c r="D727" s="1" t="s">
        <v>141</v>
      </c>
      <c r="E727" s="1" t="s">
        <v>22</v>
      </c>
      <c r="F727" s="1" t="s">
        <v>141</v>
      </c>
      <c r="G727" s="1">
        <v>6</v>
      </c>
      <c r="H727" s="1">
        <v>6793</v>
      </c>
      <c r="I727" s="1">
        <v>0</v>
      </c>
      <c r="J727" s="1">
        <v>40758</v>
      </c>
      <c r="K727" s="1">
        <v>3624.57</v>
      </c>
      <c r="L727" s="1" t="s">
        <v>45</v>
      </c>
      <c r="M727" s="1" t="str">
        <f>TEXT(Table1[[#This Row],[Order Date]],"mmm")</f>
        <v>Jul</v>
      </c>
      <c r="N727" s="1">
        <f>YEAR(Table1[[#This Row],[Order Date]])</f>
        <v>2023</v>
      </c>
    </row>
    <row r="728" spans="1:14" x14ac:dyDescent="0.35">
      <c r="A728" s="1" t="s">
        <v>1270</v>
      </c>
      <c r="B728" s="1" t="s">
        <v>778</v>
      </c>
      <c r="C728" s="1" t="s">
        <v>88</v>
      </c>
      <c r="D728" s="1" t="s">
        <v>37</v>
      </c>
      <c r="E728" s="1" t="s">
        <v>16</v>
      </c>
      <c r="F728" s="1" t="s">
        <v>37</v>
      </c>
      <c r="G728" s="1">
        <v>9</v>
      </c>
      <c r="H728" s="1">
        <v>21670</v>
      </c>
      <c r="I728" s="1">
        <v>0.05</v>
      </c>
      <c r="J728" s="1">
        <v>185278.5</v>
      </c>
      <c r="K728" s="1">
        <v>42180.13</v>
      </c>
      <c r="L728" s="1" t="s">
        <v>17</v>
      </c>
      <c r="M728" s="1" t="str">
        <f>TEXT(Table1[[#This Row],[Order Date]],"mmm")</f>
        <v>Nov</v>
      </c>
      <c r="N728" s="1">
        <f>YEAR(Table1[[#This Row],[Order Date]])</f>
        <v>2023</v>
      </c>
    </row>
    <row r="729" spans="1:14" x14ac:dyDescent="0.35">
      <c r="A729" s="1" t="s">
        <v>1271</v>
      </c>
      <c r="B729" s="1" t="s">
        <v>565</v>
      </c>
      <c r="C729" s="1" t="s">
        <v>36</v>
      </c>
      <c r="D729" s="1" t="s">
        <v>293</v>
      </c>
      <c r="E729" s="1" t="s">
        <v>33</v>
      </c>
      <c r="F729" s="1" t="s">
        <v>293</v>
      </c>
      <c r="G729" s="1">
        <v>8</v>
      </c>
      <c r="H729" s="1">
        <v>37061</v>
      </c>
      <c r="I729" s="1">
        <v>0.2</v>
      </c>
      <c r="J729" s="1">
        <v>237190.39999999999</v>
      </c>
      <c r="K729" s="1">
        <v>26567.17</v>
      </c>
      <c r="L729" s="1" t="s">
        <v>17</v>
      </c>
      <c r="M729" s="1" t="str">
        <f>TEXT(Table1[[#This Row],[Order Date]],"mmm")</f>
        <v>Nov</v>
      </c>
      <c r="N729" s="1">
        <f>YEAR(Table1[[#This Row],[Order Date]])</f>
        <v>2024</v>
      </c>
    </row>
    <row r="730" spans="1:14" x14ac:dyDescent="0.35">
      <c r="A730" s="1" t="s">
        <v>1272</v>
      </c>
      <c r="B730" s="1" t="s">
        <v>634</v>
      </c>
      <c r="C730" s="1" t="s">
        <v>125</v>
      </c>
      <c r="D730" s="1" t="s">
        <v>27</v>
      </c>
      <c r="E730" s="1" t="s">
        <v>28</v>
      </c>
      <c r="F730" s="1" t="s">
        <v>27</v>
      </c>
      <c r="G730" s="1">
        <v>3</v>
      </c>
      <c r="H730" s="1">
        <v>22225</v>
      </c>
      <c r="I730" s="1">
        <v>0.15</v>
      </c>
      <c r="J730" s="1">
        <v>56673.75</v>
      </c>
      <c r="K730" s="1">
        <v>15504.8</v>
      </c>
      <c r="L730" s="1" t="s">
        <v>45</v>
      </c>
      <c r="M730" s="1" t="str">
        <f>TEXT(Table1[[#This Row],[Order Date]],"mmm")</f>
        <v>Nov</v>
      </c>
      <c r="N730" s="1">
        <f>YEAR(Table1[[#This Row],[Order Date]])</f>
        <v>2024</v>
      </c>
    </row>
    <row r="731" spans="1:14" x14ac:dyDescent="0.35">
      <c r="A731" s="1" t="s">
        <v>1273</v>
      </c>
      <c r="B731" s="1" t="s">
        <v>1274</v>
      </c>
      <c r="C731" s="1" t="s">
        <v>94</v>
      </c>
      <c r="D731" s="1" t="s">
        <v>108</v>
      </c>
      <c r="E731" s="1" t="s">
        <v>22</v>
      </c>
      <c r="F731" s="1" t="s">
        <v>108</v>
      </c>
      <c r="G731" s="1">
        <v>15</v>
      </c>
      <c r="H731" s="1">
        <v>50567</v>
      </c>
      <c r="I731" s="1">
        <v>0</v>
      </c>
      <c r="J731" s="1">
        <v>758505</v>
      </c>
      <c r="K731" s="1">
        <v>96706.41</v>
      </c>
      <c r="L731" s="1" t="s">
        <v>23</v>
      </c>
      <c r="M731" s="1" t="str">
        <f>TEXT(Table1[[#This Row],[Order Date]],"mmm")</f>
        <v>Feb</v>
      </c>
      <c r="N731" s="1">
        <f>YEAR(Table1[[#This Row],[Order Date]])</f>
        <v>2023</v>
      </c>
    </row>
    <row r="732" spans="1:14" x14ac:dyDescent="0.35">
      <c r="A732" s="1" t="s">
        <v>1275</v>
      </c>
      <c r="B732" s="1" t="s">
        <v>1276</v>
      </c>
      <c r="C732" s="1" t="s">
        <v>640</v>
      </c>
      <c r="D732" s="1" t="s">
        <v>137</v>
      </c>
      <c r="E732" s="1" t="s">
        <v>22</v>
      </c>
      <c r="F732" s="1" t="s">
        <v>137</v>
      </c>
      <c r="G732" s="1">
        <v>13</v>
      </c>
      <c r="H732" s="1">
        <v>38819</v>
      </c>
      <c r="I732" s="1">
        <v>0.2</v>
      </c>
      <c r="J732" s="1">
        <v>403717.6</v>
      </c>
      <c r="K732" s="1">
        <v>47497.17</v>
      </c>
      <c r="L732" s="1" t="s">
        <v>45</v>
      </c>
      <c r="M732" s="1" t="str">
        <f>TEXT(Table1[[#This Row],[Order Date]],"mmm")</f>
        <v>Apr</v>
      </c>
      <c r="N732" s="1">
        <f>YEAR(Table1[[#This Row],[Order Date]])</f>
        <v>2023</v>
      </c>
    </row>
    <row r="733" spans="1:14" x14ac:dyDescent="0.35">
      <c r="A733" s="1" t="s">
        <v>1277</v>
      </c>
      <c r="B733" s="1" t="s">
        <v>1278</v>
      </c>
      <c r="C733" s="1" t="s">
        <v>370</v>
      </c>
      <c r="D733" s="1" t="s">
        <v>60</v>
      </c>
      <c r="E733" s="1" t="s">
        <v>33</v>
      </c>
      <c r="F733" s="1" t="s">
        <v>60</v>
      </c>
      <c r="G733" s="1">
        <v>3</v>
      </c>
      <c r="H733" s="1">
        <v>12272</v>
      </c>
      <c r="I733" s="1">
        <v>0.15</v>
      </c>
      <c r="J733" s="1">
        <v>31293.599999999999</v>
      </c>
      <c r="K733" s="1">
        <v>4033.22</v>
      </c>
      <c r="L733" s="1" t="s">
        <v>23</v>
      </c>
      <c r="M733" s="1" t="str">
        <f>TEXT(Table1[[#This Row],[Order Date]],"mmm")</f>
        <v>Aug</v>
      </c>
      <c r="N733" s="1">
        <f>YEAR(Table1[[#This Row],[Order Date]])</f>
        <v>2023</v>
      </c>
    </row>
    <row r="734" spans="1:14" x14ac:dyDescent="0.35">
      <c r="A734" s="1" t="s">
        <v>1279</v>
      </c>
      <c r="B734" s="1" t="s">
        <v>565</v>
      </c>
      <c r="C734" s="1" t="s">
        <v>94</v>
      </c>
      <c r="D734" s="1" t="s">
        <v>137</v>
      </c>
      <c r="E734" s="1" t="s">
        <v>22</v>
      </c>
      <c r="F734" s="1" t="s">
        <v>137</v>
      </c>
      <c r="G734" s="1">
        <v>14</v>
      </c>
      <c r="H734" s="1">
        <v>55984</v>
      </c>
      <c r="I734" s="1">
        <v>0.1</v>
      </c>
      <c r="J734" s="1">
        <v>705398.4</v>
      </c>
      <c r="K734" s="1">
        <v>142590.54</v>
      </c>
      <c r="L734" s="1" t="s">
        <v>45</v>
      </c>
      <c r="M734" s="1" t="str">
        <f>TEXT(Table1[[#This Row],[Order Date]],"mmm")</f>
        <v>Nov</v>
      </c>
      <c r="N734" s="1">
        <f>YEAR(Table1[[#This Row],[Order Date]])</f>
        <v>2024</v>
      </c>
    </row>
    <row r="735" spans="1:14" x14ac:dyDescent="0.35">
      <c r="A735" s="1" t="s">
        <v>1280</v>
      </c>
      <c r="B735" s="1" t="s">
        <v>676</v>
      </c>
      <c r="C735" s="1" t="s">
        <v>255</v>
      </c>
      <c r="D735" s="1" t="s">
        <v>85</v>
      </c>
      <c r="E735" s="1" t="s">
        <v>28</v>
      </c>
      <c r="F735" s="1" t="s">
        <v>85</v>
      </c>
      <c r="G735" s="1">
        <v>15</v>
      </c>
      <c r="H735" s="1">
        <v>23044</v>
      </c>
      <c r="I735" s="1">
        <v>0.05</v>
      </c>
      <c r="J735" s="1">
        <v>328377</v>
      </c>
      <c r="K735" s="1">
        <v>65885.89</v>
      </c>
      <c r="L735" s="1" t="s">
        <v>45</v>
      </c>
      <c r="M735" s="1" t="str">
        <f>TEXT(Table1[[#This Row],[Order Date]],"mmm")</f>
        <v>Oct</v>
      </c>
      <c r="N735" s="1">
        <f>YEAR(Table1[[#This Row],[Order Date]])</f>
        <v>2023</v>
      </c>
    </row>
    <row r="736" spans="1:14" x14ac:dyDescent="0.35">
      <c r="A736" s="1" t="s">
        <v>1281</v>
      </c>
      <c r="B736" s="1" t="s">
        <v>1282</v>
      </c>
      <c r="C736" s="1" t="s">
        <v>20</v>
      </c>
      <c r="D736" s="1" t="s">
        <v>32</v>
      </c>
      <c r="E736" s="1" t="s">
        <v>33</v>
      </c>
      <c r="F736" s="1" t="s">
        <v>32</v>
      </c>
      <c r="G736" s="1">
        <v>12</v>
      </c>
      <c r="H736" s="1">
        <v>41982</v>
      </c>
      <c r="I736" s="1">
        <v>0.05</v>
      </c>
      <c r="J736" s="1">
        <v>478594.8</v>
      </c>
      <c r="K736" s="1">
        <v>118125.79</v>
      </c>
      <c r="L736" s="1" t="s">
        <v>70</v>
      </c>
      <c r="M736" s="1" t="str">
        <f>TEXT(Table1[[#This Row],[Order Date]],"mmm")</f>
        <v>Sep</v>
      </c>
      <c r="N736" s="1">
        <f>YEAR(Table1[[#This Row],[Order Date]])</f>
        <v>2023</v>
      </c>
    </row>
    <row r="737" spans="1:14" x14ac:dyDescent="0.35">
      <c r="A737" s="1" t="s">
        <v>1283</v>
      </c>
      <c r="B737" s="1" t="s">
        <v>1025</v>
      </c>
      <c r="C737" s="1" t="s">
        <v>73</v>
      </c>
      <c r="D737" s="1" t="s">
        <v>56</v>
      </c>
      <c r="E737" s="1" t="s">
        <v>22</v>
      </c>
      <c r="F737" s="1" t="s">
        <v>56</v>
      </c>
      <c r="G737" s="1">
        <v>1</v>
      </c>
      <c r="H737" s="1">
        <v>14689</v>
      </c>
      <c r="I737" s="1">
        <v>0.1</v>
      </c>
      <c r="J737" s="1">
        <v>13220.1</v>
      </c>
      <c r="K737" s="1">
        <v>3410.44</v>
      </c>
      <c r="L737" s="1" t="s">
        <v>23</v>
      </c>
      <c r="M737" s="1" t="str">
        <f>TEXT(Table1[[#This Row],[Order Date]],"mmm")</f>
        <v>Mar</v>
      </c>
      <c r="N737" s="1">
        <f>YEAR(Table1[[#This Row],[Order Date]])</f>
        <v>2023</v>
      </c>
    </row>
    <row r="738" spans="1:14" x14ac:dyDescent="0.35">
      <c r="A738" s="1" t="s">
        <v>1284</v>
      </c>
      <c r="B738" s="1" t="s">
        <v>963</v>
      </c>
      <c r="C738" s="1" t="s">
        <v>63</v>
      </c>
      <c r="D738" s="1" t="s">
        <v>27</v>
      </c>
      <c r="E738" s="1" t="s">
        <v>28</v>
      </c>
      <c r="F738" s="1" t="s">
        <v>27</v>
      </c>
      <c r="G738" s="1">
        <v>10</v>
      </c>
      <c r="H738" s="1">
        <v>4485</v>
      </c>
      <c r="I738" s="1">
        <v>0.2</v>
      </c>
      <c r="J738" s="1">
        <v>35880</v>
      </c>
      <c r="K738" s="1">
        <v>7666.35</v>
      </c>
      <c r="L738" s="1" t="s">
        <v>17</v>
      </c>
      <c r="M738" s="1" t="str">
        <f>TEXT(Table1[[#This Row],[Order Date]],"mmm")</f>
        <v>Oct</v>
      </c>
      <c r="N738" s="1">
        <f>YEAR(Table1[[#This Row],[Order Date]])</f>
        <v>2024</v>
      </c>
    </row>
    <row r="739" spans="1:14" x14ac:dyDescent="0.35">
      <c r="A739" s="1" t="s">
        <v>1285</v>
      </c>
      <c r="B739" s="1" t="s">
        <v>1286</v>
      </c>
      <c r="C739" s="1" t="s">
        <v>332</v>
      </c>
      <c r="D739" s="1" t="s">
        <v>108</v>
      </c>
      <c r="E739" s="1" t="s">
        <v>22</v>
      </c>
      <c r="F739" s="1" t="s">
        <v>108</v>
      </c>
      <c r="G739" s="1">
        <v>2</v>
      </c>
      <c r="H739" s="1">
        <v>43577</v>
      </c>
      <c r="I739" s="1">
        <v>0.1</v>
      </c>
      <c r="J739" s="1">
        <v>78438.600000000006</v>
      </c>
      <c r="K739" s="1">
        <v>16920.16</v>
      </c>
      <c r="L739" s="1" t="s">
        <v>45</v>
      </c>
      <c r="M739" s="1" t="str">
        <f>TEXT(Table1[[#This Row],[Order Date]],"mmm")</f>
        <v>Mar</v>
      </c>
      <c r="N739" s="1">
        <f>YEAR(Table1[[#This Row],[Order Date]])</f>
        <v>2023</v>
      </c>
    </row>
    <row r="740" spans="1:14" x14ac:dyDescent="0.35">
      <c r="A740" s="1" t="s">
        <v>1287</v>
      </c>
      <c r="B740" s="1" t="s">
        <v>1288</v>
      </c>
      <c r="C740" s="1" t="s">
        <v>362</v>
      </c>
      <c r="D740" s="1" t="s">
        <v>95</v>
      </c>
      <c r="E740" s="1" t="s">
        <v>33</v>
      </c>
      <c r="F740" s="1" t="s">
        <v>95</v>
      </c>
      <c r="G740" s="1">
        <v>2</v>
      </c>
      <c r="H740" s="1">
        <v>25453</v>
      </c>
      <c r="I740" s="1">
        <v>0</v>
      </c>
      <c r="J740" s="1">
        <v>50906</v>
      </c>
      <c r="K740" s="1">
        <v>14191.08</v>
      </c>
      <c r="L740" s="1" t="s">
        <v>45</v>
      </c>
      <c r="M740" s="1" t="str">
        <f>TEXT(Table1[[#This Row],[Order Date]],"mmm")</f>
        <v>Feb</v>
      </c>
      <c r="N740" s="1">
        <f>YEAR(Table1[[#This Row],[Order Date]])</f>
        <v>2024</v>
      </c>
    </row>
    <row r="741" spans="1:14" x14ac:dyDescent="0.35">
      <c r="A741" s="1" t="s">
        <v>1289</v>
      </c>
      <c r="B741" s="1" t="s">
        <v>1290</v>
      </c>
      <c r="C741" s="1" t="s">
        <v>227</v>
      </c>
      <c r="D741" s="1" t="s">
        <v>44</v>
      </c>
      <c r="E741" s="1" t="s">
        <v>28</v>
      </c>
      <c r="F741" s="1" t="s">
        <v>44</v>
      </c>
      <c r="G741" s="1">
        <v>1</v>
      </c>
      <c r="H741" s="1">
        <v>2820</v>
      </c>
      <c r="I741" s="1">
        <v>0.15</v>
      </c>
      <c r="J741" s="1">
        <v>2397</v>
      </c>
      <c r="K741" s="1">
        <v>574.70000000000005</v>
      </c>
      <c r="L741" s="1" t="s">
        <v>23</v>
      </c>
      <c r="M741" s="1" t="str">
        <f>TEXT(Table1[[#This Row],[Order Date]],"mmm")</f>
        <v>Mar</v>
      </c>
      <c r="N741" s="1">
        <f>YEAR(Table1[[#This Row],[Order Date]])</f>
        <v>2023</v>
      </c>
    </row>
    <row r="742" spans="1:14" x14ac:dyDescent="0.35">
      <c r="A742" s="1" t="s">
        <v>1291</v>
      </c>
      <c r="B742" s="1" t="s">
        <v>1292</v>
      </c>
      <c r="C742" s="1" t="s">
        <v>227</v>
      </c>
      <c r="D742" s="1" t="s">
        <v>179</v>
      </c>
      <c r="E742" s="1" t="s">
        <v>28</v>
      </c>
      <c r="F742" s="1" t="s">
        <v>179</v>
      </c>
      <c r="G742" s="1">
        <v>3</v>
      </c>
      <c r="H742" s="1">
        <v>47044</v>
      </c>
      <c r="I742" s="1">
        <v>0.05</v>
      </c>
      <c r="J742" s="1">
        <v>134075.4</v>
      </c>
      <c r="K742" s="1">
        <v>24803.25</v>
      </c>
      <c r="L742" s="1" t="s">
        <v>23</v>
      </c>
      <c r="M742" s="1" t="str">
        <f>TEXT(Table1[[#This Row],[Order Date]],"mmm")</f>
        <v>Jun</v>
      </c>
      <c r="N742" s="1">
        <f>YEAR(Table1[[#This Row],[Order Date]])</f>
        <v>2023</v>
      </c>
    </row>
    <row r="743" spans="1:14" x14ac:dyDescent="0.35">
      <c r="A743" s="1" t="s">
        <v>1293</v>
      </c>
      <c r="B743" s="1" t="s">
        <v>610</v>
      </c>
      <c r="C743" s="1" t="s">
        <v>170</v>
      </c>
      <c r="D743" s="1" t="s">
        <v>52</v>
      </c>
      <c r="E743" s="1" t="s">
        <v>28</v>
      </c>
      <c r="F743" s="1" t="s">
        <v>52</v>
      </c>
      <c r="G743" s="1">
        <v>3</v>
      </c>
      <c r="H743" s="1">
        <v>31665</v>
      </c>
      <c r="I743" s="1">
        <v>0.05</v>
      </c>
      <c r="J743" s="1">
        <v>90245.25</v>
      </c>
      <c r="K743" s="1">
        <v>20606.419999999998</v>
      </c>
      <c r="L743" s="1" t="s">
        <v>70</v>
      </c>
      <c r="M743" s="1" t="str">
        <f>TEXT(Table1[[#This Row],[Order Date]],"mmm")</f>
        <v>Dec</v>
      </c>
      <c r="N743" s="1">
        <f>YEAR(Table1[[#This Row],[Order Date]])</f>
        <v>2023</v>
      </c>
    </row>
    <row r="744" spans="1:14" x14ac:dyDescent="0.35">
      <c r="A744" s="1" t="s">
        <v>1294</v>
      </c>
      <c r="B744" s="1" t="s">
        <v>1295</v>
      </c>
      <c r="C744" s="1" t="s">
        <v>178</v>
      </c>
      <c r="D744" s="1" t="s">
        <v>64</v>
      </c>
      <c r="E744" s="1" t="s">
        <v>33</v>
      </c>
      <c r="F744" s="1" t="s">
        <v>64</v>
      </c>
      <c r="G744" s="1">
        <v>9</v>
      </c>
      <c r="H744" s="1">
        <v>29549</v>
      </c>
      <c r="I744" s="1">
        <v>0</v>
      </c>
      <c r="J744" s="1">
        <v>265941</v>
      </c>
      <c r="K744" s="1">
        <v>27656.14</v>
      </c>
      <c r="L744" s="1" t="s">
        <v>70</v>
      </c>
      <c r="M744" s="1" t="str">
        <f>TEXT(Table1[[#This Row],[Order Date]],"mmm")</f>
        <v>Oct</v>
      </c>
      <c r="N744" s="1">
        <f>YEAR(Table1[[#This Row],[Order Date]])</f>
        <v>2024</v>
      </c>
    </row>
    <row r="745" spans="1:14" x14ac:dyDescent="0.35">
      <c r="A745" s="1" t="s">
        <v>1296</v>
      </c>
      <c r="B745" s="1" t="s">
        <v>1297</v>
      </c>
      <c r="C745" s="1" t="s">
        <v>140</v>
      </c>
      <c r="D745" s="1" t="s">
        <v>167</v>
      </c>
      <c r="E745" s="1" t="s">
        <v>16</v>
      </c>
      <c r="F745" s="1" t="s">
        <v>167</v>
      </c>
      <c r="G745" s="1">
        <v>15</v>
      </c>
      <c r="H745" s="1">
        <v>43082</v>
      </c>
      <c r="I745" s="1">
        <v>0.1</v>
      </c>
      <c r="J745" s="1">
        <v>581607</v>
      </c>
      <c r="K745" s="1">
        <v>132752.89000000001</v>
      </c>
      <c r="L745" s="1" t="s">
        <v>17</v>
      </c>
      <c r="M745" s="1" t="str">
        <f>TEXT(Table1[[#This Row],[Order Date]],"mmm")</f>
        <v>Jun</v>
      </c>
      <c r="N745" s="1">
        <f>YEAR(Table1[[#This Row],[Order Date]])</f>
        <v>2024</v>
      </c>
    </row>
    <row r="746" spans="1:14" x14ac:dyDescent="0.35">
      <c r="A746" s="1" t="s">
        <v>1298</v>
      </c>
      <c r="B746" s="1" t="s">
        <v>1299</v>
      </c>
      <c r="C746" s="1" t="s">
        <v>117</v>
      </c>
      <c r="D746" s="1" t="s">
        <v>52</v>
      </c>
      <c r="E746" s="1" t="s">
        <v>28</v>
      </c>
      <c r="F746" s="1" t="s">
        <v>52</v>
      </c>
      <c r="G746" s="1">
        <v>3</v>
      </c>
      <c r="H746" s="1">
        <v>44207</v>
      </c>
      <c r="I746" s="1">
        <v>0.1</v>
      </c>
      <c r="J746" s="1">
        <v>119358.9</v>
      </c>
      <c r="K746" s="1">
        <v>10701.2</v>
      </c>
      <c r="L746" s="1" t="s">
        <v>70</v>
      </c>
      <c r="M746" s="1" t="str">
        <f>TEXT(Table1[[#This Row],[Order Date]],"mmm")</f>
        <v>Sep</v>
      </c>
      <c r="N746" s="1">
        <f>YEAR(Table1[[#This Row],[Order Date]])</f>
        <v>2024</v>
      </c>
    </row>
    <row r="747" spans="1:14" x14ac:dyDescent="0.35">
      <c r="A747" s="1" t="s">
        <v>1300</v>
      </c>
      <c r="B747" s="1" t="s">
        <v>1301</v>
      </c>
      <c r="C747" s="1" t="s">
        <v>31</v>
      </c>
      <c r="D747" s="1" t="s">
        <v>323</v>
      </c>
      <c r="E747" s="1" t="s">
        <v>33</v>
      </c>
      <c r="F747" s="1" t="s">
        <v>323</v>
      </c>
      <c r="G747" s="1">
        <v>13</v>
      </c>
      <c r="H747" s="1">
        <v>25053</v>
      </c>
      <c r="I747" s="1">
        <v>0.1</v>
      </c>
      <c r="J747" s="1">
        <v>293120.09999999998</v>
      </c>
      <c r="K747" s="1">
        <v>86782.38</v>
      </c>
      <c r="L747" s="1" t="s">
        <v>23</v>
      </c>
      <c r="M747" s="1" t="str">
        <f>TEXT(Table1[[#This Row],[Order Date]],"mmm")</f>
        <v>Jul</v>
      </c>
      <c r="N747" s="1">
        <f>YEAR(Table1[[#This Row],[Order Date]])</f>
        <v>2024</v>
      </c>
    </row>
    <row r="748" spans="1:14" x14ac:dyDescent="0.35">
      <c r="A748" s="1" t="s">
        <v>1302</v>
      </c>
      <c r="B748" s="1" t="s">
        <v>1274</v>
      </c>
      <c r="C748" s="1" t="s">
        <v>155</v>
      </c>
      <c r="D748" s="1" t="s">
        <v>41</v>
      </c>
      <c r="E748" s="1" t="s">
        <v>16</v>
      </c>
      <c r="F748" s="1" t="s">
        <v>41</v>
      </c>
      <c r="G748" s="1">
        <v>8</v>
      </c>
      <c r="H748" s="1">
        <v>913</v>
      </c>
      <c r="I748" s="1">
        <v>0.1</v>
      </c>
      <c r="J748" s="1">
        <v>6573.6</v>
      </c>
      <c r="K748" s="1">
        <v>1547.11</v>
      </c>
      <c r="L748" s="1" t="s">
        <v>70</v>
      </c>
      <c r="M748" s="1" t="str">
        <f>TEXT(Table1[[#This Row],[Order Date]],"mmm")</f>
        <v>Feb</v>
      </c>
      <c r="N748" s="1">
        <f>YEAR(Table1[[#This Row],[Order Date]])</f>
        <v>2023</v>
      </c>
    </row>
    <row r="749" spans="1:14" x14ac:dyDescent="0.35">
      <c r="A749" s="1" t="s">
        <v>1303</v>
      </c>
      <c r="B749" s="1" t="s">
        <v>1038</v>
      </c>
      <c r="C749" s="1" t="s">
        <v>188</v>
      </c>
      <c r="D749" s="1" t="s">
        <v>27</v>
      </c>
      <c r="E749" s="1" t="s">
        <v>28</v>
      </c>
      <c r="F749" s="1" t="s">
        <v>27</v>
      </c>
      <c r="G749" s="1">
        <v>5</v>
      </c>
      <c r="H749" s="1">
        <v>12001</v>
      </c>
      <c r="I749" s="1">
        <v>0.1</v>
      </c>
      <c r="J749" s="1">
        <v>54004.5</v>
      </c>
      <c r="K749" s="1">
        <v>4530.51</v>
      </c>
      <c r="L749" s="1" t="s">
        <v>23</v>
      </c>
      <c r="M749" s="1" t="str">
        <f>TEXT(Table1[[#This Row],[Order Date]],"mmm")</f>
        <v>Feb</v>
      </c>
      <c r="N749" s="1">
        <f>YEAR(Table1[[#This Row],[Order Date]])</f>
        <v>2024</v>
      </c>
    </row>
    <row r="750" spans="1:14" x14ac:dyDescent="0.35">
      <c r="A750" s="1" t="s">
        <v>1304</v>
      </c>
      <c r="B750" s="1" t="s">
        <v>1065</v>
      </c>
      <c r="C750" s="1" t="s">
        <v>128</v>
      </c>
      <c r="D750" s="1" t="s">
        <v>293</v>
      </c>
      <c r="E750" s="1" t="s">
        <v>33</v>
      </c>
      <c r="F750" s="1" t="s">
        <v>293</v>
      </c>
      <c r="G750" s="1">
        <v>9</v>
      </c>
      <c r="H750" s="1">
        <v>48527</v>
      </c>
      <c r="I750" s="1">
        <v>0.1</v>
      </c>
      <c r="J750" s="1">
        <v>393068.7</v>
      </c>
      <c r="K750" s="1">
        <v>109392.92</v>
      </c>
      <c r="L750" s="1" t="s">
        <v>45</v>
      </c>
      <c r="M750" s="1" t="str">
        <f>TEXT(Table1[[#This Row],[Order Date]],"mmm")</f>
        <v>Aug</v>
      </c>
      <c r="N750" s="1">
        <f>YEAR(Table1[[#This Row],[Order Date]])</f>
        <v>2024</v>
      </c>
    </row>
    <row r="751" spans="1:14" x14ac:dyDescent="0.35">
      <c r="A751" s="1" t="s">
        <v>1305</v>
      </c>
      <c r="B751" s="1" t="s">
        <v>907</v>
      </c>
      <c r="C751" s="1" t="s">
        <v>63</v>
      </c>
      <c r="D751" s="1" t="s">
        <v>48</v>
      </c>
      <c r="E751" s="1" t="s">
        <v>16</v>
      </c>
      <c r="F751" s="1" t="s">
        <v>48</v>
      </c>
      <c r="G751" s="1">
        <v>11</v>
      </c>
      <c r="H751" s="1">
        <v>4090</v>
      </c>
      <c r="I751" s="1">
        <v>0.1</v>
      </c>
      <c r="J751" s="1">
        <v>40491</v>
      </c>
      <c r="K751" s="1">
        <v>12061.91</v>
      </c>
      <c r="L751" s="1" t="s">
        <v>23</v>
      </c>
      <c r="M751" s="1" t="str">
        <f>TEXT(Table1[[#This Row],[Order Date]],"mmm")</f>
        <v>Mar</v>
      </c>
      <c r="N751" s="1">
        <f>YEAR(Table1[[#This Row],[Order Date]])</f>
        <v>2023</v>
      </c>
    </row>
    <row r="752" spans="1:14" x14ac:dyDescent="0.35">
      <c r="A752" s="1" t="s">
        <v>1306</v>
      </c>
      <c r="B752" s="1" t="s">
        <v>1238</v>
      </c>
      <c r="C752" s="1" t="s">
        <v>63</v>
      </c>
      <c r="D752" s="1" t="s">
        <v>114</v>
      </c>
      <c r="E752" s="1" t="s">
        <v>16</v>
      </c>
      <c r="F752" s="1" t="s">
        <v>114</v>
      </c>
      <c r="G752" s="1">
        <v>2</v>
      </c>
      <c r="H752" s="1">
        <v>29255</v>
      </c>
      <c r="I752" s="1">
        <v>0.2</v>
      </c>
      <c r="J752" s="1">
        <v>46808</v>
      </c>
      <c r="K752" s="1">
        <v>5285.78</v>
      </c>
      <c r="L752" s="1" t="s">
        <v>70</v>
      </c>
      <c r="M752" s="1" t="str">
        <f>TEXT(Table1[[#This Row],[Order Date]],"mmm")</f>
        <v>Dec</v>
      </c>
      <c r="N752" s="1">
        <f>YEAR(Table1[[#This Row],[Order Date]])</f>
        <v>2023</v>
      </c>
    </row>
    <row r="753" spans="1:14" x14ac:dyDescent="0.35">
      <c r="A753" s="1" t="s">
        <v>1307</v>
      </c>
      <c r="B753" s="1" t="s">
        <v>524</v>
      </c>
      <c r="C753" s="1" t="s">
        <v>349</v>
      </c>
      <c r="D753" s="1" t="s">
        <v>137</v>
      </c>
      <c r="E753" s="1" t="s">
        <v>22</v>
      </c>
      <c r="F753" s="1" t="s">
        <v>137</v>
      </c>
      <c r="G753" s="1">
        <v>13</v>
      </c>
      <c r="H753" s="1">
        <v>58833</v>
      </c>
      <c r="I753" s="1">
        <v>0.2</v>
      </c>
      <c r="J753" s="1">
        <v>611863.19999999995</v>
      </c>
      <c r="K753" s="1">
        <v>127583.08</v>
      </c>
      <c r="L753" s="1" t="s">
        <v>45</v>
      </c>
      <c r="M753" s="1" t="str">
        <f>TEXT(Table1[[#This Row],[Order Date]],"mmm")</f>
        <v>Nov</v>
      </c>
      <c r="N753" s="1">
        <f>YEAR(Table1[[#This Row],[Order Date]])</f>
        <v>2024</v>
      </c>
    </row>
    <row r="754" spans="1:14" x14ac:dyDescent="0.35">
      <c r="A754" s="1" t="s">
        <v>1308</v>
      </c>
      <c r="B754" s="1" t="s">
        <v>360</v>
      </c>
      <c r="C754" s="1" t="s">
        <v>20</v>
      </c>
      <c r="D754" s="1" t="s">
        <v>21</v>
      </c>
      <c r="E754" s="1" t="s">
        <v>22</v>
      </c>
      <c r="F754" s="1" t="s">
        <v>21</v>
      </c>
      <c r="G754" s="1">
        <v>1</v>
      </c>
      <c r="H754" s="1">
        <v>42888</v>
      </c>
      <c r="I754" s="1">
        <v>0</v>
      </c>
      <c r="J754" s="1">
        <v>42888</v>
      </c>
      <c r="K754" s="1">
        <v>9763.83</v>
      </c>
      <c r="L754" s="1" t="s">
        <v>70</v>
      </c>
      <c r="M754" s="1" t="str">
        <f>TEXT(Table1[[#This Row],[Order Date]],"mmm")</f>
        <v>Jun</v>
      </c>
      <c r="N754" s="1">
        <f>YEAR(Table1[[#This Row],[Order Date]])</f>
        <v>2023</v>
      </c>
    </row>
    <row r="755" spans="1:14" x14ac:dyDescent="0.35">
      <c r="A755" s="1" t="s">
        <v>1309</v>
      </c>
      <c r="B755" s="1" t="s">
        <v>1310</v>
      </c>
      <c r="C755" s="1" t="s">
        <v>117</v>
      </c>
      <c r="D755" s="1" t="s">
        <v>141</v>
      </c>
      <c r="E755" s="1" t="s">
        <v>22</v>
      </c>
      <c r="F755" s="1" t="s">
        <v>141</v>
      </c>
      <c r="G755" s="1">
        <v>6</v>
      </c>
      <c r="H755" s="1">
        <v>44769</v>
      </c>
      <c r="I755" s="1">
        <v>0</v>
      </c>
      <c r="J755" s="1">
        <v>268614</v>
      </c>
      <c r="K755" s="1">
        <v>64827.79</v>
      </c>
      <c r="L755" s="1" t="s">
        <v>70</v>
      </c>
      <c r="M755" s="1" t="str">
        <f>TEXT(Table1[[#This Row],[Order Date]],"mmm")</f>
        <v>Jan</v>
      </c>
      <c r="N755" s="1">
        <f>YEAR(Table1[[#This Row],[Order Date]])</f>
        <v>2024</v>
      </c>
    </row>
    <row r="756" spans="1:14" x14ac:dyDescent="0.35">
      <c r="A756" s="1" t="s">
        <v>1311</v>
      </c>
      <c r="B756" s="1" t="s">
        <v>1109</v>
      </c>
      <c r="C756" s="1" t="s">
        <v>203</v>
      </c>
      <c r="D756" s="1" t="s">
        <v>52</v>
      </c>
      <c r="E756" s="1" t="s">
        <v>28</v>
      </c>
      <c r="F756" s="1" t="s">
        <v>52</v>
      </c>
      <c r="G756" s="1">
        <v>2</v>
      </c>
      <c r="H756" s="1">
        <v>39706</v>
      </c>
      <c r="I756" s="1">
        <v>0</v>
      </c>
      <c r="J756" s="1">
        <v>79412</v>
      </c>
      <c r="K756" s="1">
        <v>21382.37</v>
      </c>
      <c r="L756" s="1" t="s">
        <v>70</v>
      </c>
      <c r="M756" s="1" t="str">
        <f>TEXT(Table1[[#This Row],[Order Date]],"mmm")</f>
        <v>Nov</v>
      </c>
      <c r="N756" s="1">
        <f>YEAR(Table1[[#This Row],[Order Date]])</f>
        <v>2023</v>
      </c>
    </row>
    <row r="757" spans="1:14" x14ac:dyDescent="0.35">
      <c r="A757" s="1" t="s">
        <v>1312</v>
      </c>
      <c r="B757" s="1" t="s">
        <v>265</v>
      </c>
      <c r="C757" s="1" t="s">
        <v>200</v>
      </c>
      <c r="D757" s="1" t="s">
        <v>167</v>
      </c>
      <c r="E757" s="1" t="s">
        <v>16</v>
      </c>
      <c r="F757" s="1" t="s">
        <v>167</v>
      </c>
      <c r="G757" s="1">
        <v>6</v>
      </c>
      <c r="H757" s="1">
        <v>8613</v>
      </c>
      <c r="I757" s="1">
        <v>0.05</v>
      </c>
      <c r="J757" s="1">
        <v>49094.1</v>
      </c>
      <c r="K757" s="1">
        <v>7432.76</v>
      </c>
      <c r="L757" s="1" t="s">
        <v>45</v>
      </c>
      <c r="M757" s="1" t="str">
        <f>TEXT(Table1[[#This Row],[Order Date]],"mmm")</f>
        <v>Aug</v>
      </c>
      <c r="N757" s="1">
        <f>YEAR(Table1[[#This Row],[Order Date]])</f>
        <v>2023</v>
      </c>
    </row>
    <row r="758" spans="1:14" x14ac:dyDescent="0.35">
      <c r="A758" s="1" t="s">
        <v>1313</v>
      </c>
      <c r="B758" s="1" t="s">
        <v>707</v>
      </c>
      <c r="C758" s="1" t="s">
        <v>84</v>
      </c>
      <c r="D758" s="1" t="s">
        <v>114</v>
      </c>
      <c r="E758" s="1" t="s">
        <v>16</v>
      </c>
      <c r="F758" s="1" t="s">
        <v>114</v>
      </c>
      <c r="G758" s="1">
        <v>11</v>
      </c>
      <c r="H758" s="1">
        <v>27849</v>
      </c>
      <c r="I758" s="1">
        <v>0</v>
      </c>
      <c r="J758" s="1">
        <v>306339</v>
      </c>
      <c r="K758" s="1">
        <v>63361.19</v>
      </c>
      <c r="L758" s="1" t="s">
        <v>70</v>
      </c>
      <c r="M758" s="1" t="str">
        <f>TEXT(Table1[[#This Row],[Order Date]],"mmm")</f>
        <v>Oct</v>
      </c>
      <c r="N758" s="1">
        <f>YEAR(Table1[[#This Row],[Order Date]])</f>
        <v>2024</v>
      </c>
    </row>
    <row r="759" spans="1:14" x14ac:dyDescent="0.35">
      <c r="A759" s="1" t="s">
        <v>1314</v>
      </c>
      <c r="B759" s="1" t="s">
        <v>721</v>
      </c>
      <c r="C759" s="1" t="s">
        <v>117</v>
      </c>
      <c r="D759" s="1" t="s">
        <v>41</v>
      </c>
      <c r="E759" s="1" t="s">
        <v>16</v>
      </c>
      <c r="F759" s="1" t="s">
        <v>41</v>
      </c>
      <c r="G759" s="1">
        <v>9</v>
      </c>
      <c r="H759" s="1">
        <v>21710</v>
      </c>
      <c r="I759" s="1">
        <v>0.1</v>
      </c>
      <c r="J759" s="1">
        <v>175851</v>
      </c>
      <c r="K759" s="1">
        <v>47984.9</v>
      </c>
      <c r="L759" s="1" t="s">
        <v>45</v>
      </c>
      <c r="M759" s="1" t="str">
        <f>TEXT(Table1[[#This Row],[Order Date]],"mmm")</f>
        <v>Sep</v>
      </c>
      <c r="N759" s="1">
        <f>YEAR(Table1[[#This Row],[Order Date]])</f>
        <v>2023</v>
      </c>
    </row>
    <row r="760" spans="1:14" x14ac:dyDescent="0.35">
      <c r="A760" s="1" t="s">
        <v>1315</v>
      </c>
      <c r="B760" s="1" t="s">
        <v>1212</v>
      </c>
      <c r="C760" s="1" t="s">
        <v>335</v>
      </c>
      <c r="D760" s="1" t="s">
        <v>41</v>
      </c>
      <c r="E760" s="1" t="s">
        <v>16</v>
      </c>
      <c r="F760" s="1" t="s">
        <v>41</v>
      </c>
      <c r="G760" s="1">
        <v>12</v>
      </c>
      <c r="H760" s="1">
        <v>58804</v>
      </c>
      <c r="I760" s="1">
        <v>0</v>
      </c>
      <c r="J760" s="1">
        <v>705648</v>
      </c>
      <c r="K760" s="1">
        <v>134798.37</v>
      </c>
      <c r="L760" s="1" t="s">
        <v>45</v>
      </c>
      <c r="M760" s="1" t="str">
        <f>TEXT(Table1[[#This Row],[Order Date]],"mmm")</f>
        <v>Dec</v>
      </c>
      <c r="N760" s="1">
        <f>YEAR(Table1[[#This Row],[Order Date]])</f>
        <v>2023</v>
      </c>
    </row>
    <row r="761" spans="1:14" x14ac:dyDescent="0.35">
      <c r="A761" s="1" t="s">
        <v>1316</v>
      </c>
      <c r="B761" s="1" t="s">
        <v>692</v>
      </c>
      <c r="C761" s="1" t="s">
        <v>370</v>
      </c>
      <c r="D761" s="1" t="s">
        <v>56</v>
      </c>
      <c r="E761" s="1" t="s">
        <v>22</v>
      </c>
      <c r="F761" s="1" t="s">
        <v>56</v>
      </c>
      <c r="G761" s="1">
        <v>2</v>
      </c>
      <c r="H761" s="1">
        <v>29275</v>
      </c>
      <c r="I761" s="1">
        <v>0.2</v>
      </c>
      <c r="J761" s="1">
        <v>46840</v>
      </c>
      <c r="K761" s="1">
        <v>5362.7</v>
      </c>
      <c r="L761" s="1" t="s">
        <v>17</v>
      </c>
      <c r="M761" s="1" t="str">
        <f>TEXT(Table1[[#This Row],[Order Date]],"mmm")</f>
        <v>Nov</v>
      </c>
      <c r="N761" s="1">
        <f>YEAR(Table1[[#This Row],[Order Date]])</f>
        <v>2023</v>
      </c>
    </row>
    <row r="762" spans="1:14" x14ac:dyDescent="0.35">
      <c r="A762" s="1" t="s">
        <v>1317</v>
      </c>
      <c r="B762" s="1" t="s">
        <v>1318</v>
      </c>
      <c r="C762" s="1" t="s">
        <v>111</v>
      </c>
      <c r="D762" s="1" t="s">
        <v>37</v>
      </c>
      <c r="E762" s="1" t="s">
        <v>16</v>
      </c>
      <c r="F762" s="1" t="s">
        <v>37</v>
      </c>
      <c r="G762" s="1">
        <v>1</v>
      </c>
      <c r="H762" s="1">
        <v>1528</v>
      </c>
      <c r="I762" s="1">
        <v>0.05</v>
      </c>
      <c r="J762" s="1">
        <v>1451.6</v>
      </c>
      <c r="K762" s="1">
        <v>142.63</v>
      </c>
      <c r="L762" s="1" t="s">
        <v>17</v>
      </c>
      <c r="M762" s="1" t="str">
        <f>TEXT(Table1[[#This Row],[Order Date]],"mmm")</f>
        <v>Feb</v>
      </c>
      <c r="N762" s="1">
        <f>YEAR(Table1[[#This Row],[Order Date]])</f>
        <v>2023</v>
      </c>
    </row>
    <row r="763" spans="1:14" x14ac:dyDescent="0.35">
      <c r="A763" s="1" t="s">
        <v>1319</v>
      </c>
      <c r="B763" s="1" t="s">
        <v>1320</v>
      </c>
      <c r="C763" s="1" t="s">
        <v>77</v>
      </c>
      <c r="D763" s="1" t="s">
        <v>52</v>
      </c>
      <c r="E763" s="1" t="s">
        <v>28</v>
      </c>
      <c r="F763" s="1" t="s">
        <v>52</v>
      </c>
      <c r="G763" s="1">
        <v>13</v>
      </c>
      <c r="H763" s="1">
        <v>8597</v>
      </c>
      <c r="I763" s="1">
        <v>0.2</v>
      </c>
      <c r="J763" s="1">
        <v>89408.8</v>
      </c>
      <c r="K763" s="1">
        <v>17356.68</v>
      </c>
      <c r="L763" s="1" t="s">
        <v>23</v>
      </c>
      <c r="M763" s="1" t="str">
        <f>TEXT(Table1[[#This Row],[Order Date]],"mmm")</f>
        <v>Mar</v>
      </c>
      <c r="N763" s="1">
        <f>YEAR(Table1[[#This Row],[Order Date]])</f>
        <v>2023</v>
      </c>
    </row>
    <row r="764" spans="1:14" x14ac:dyDescent="0.35">
      <c r="A764" s="1" t="s">
        <v>1321</v>
      </c>
      <c r="B764" s="1" t="s">
        <v>1322</v>
      </c>
      <c r="C764" s="1" t="s">
        <v>120</v>
      </c>
      <c r="D764" s="1" t="s">
        <v>27</v>
      </c>
      <c r="E764" s="1" t="s">
        <v>28</v>
      </c>
      <c r="F764" s="1" t="s">
        <v>27</v>
      </c>
      <c r="G764" s="1">
        <v>2</v>
      </c>
      <c r="H764" s="1">
        <v>30752</v>
      </c>
      <c r="I764" s="1">
        <v>0.05</v>
      </c>
      <c r="J764" s="1">
        <v>58428.800000000003</v>
      </c>
      <c r="K764" s="1">
        <v>6762.23</v>
      </c>
      <c r="L764" s="1" t="s">
        <v>23</v>
      </c>
      <c r="M764" s="1" t="str">
        <f>TEXT(Table1[[#This Row],[Order Date]],"mmm")</f>
        <v>Sep</v>
      </c>
      <c r="N764" s="1">
        <f>YEAR(Table1[[#This Row],[Order Date]])</f>
        <v>2023</v>
      </c>
    </row>
    <row r="765" spans="1:14" x14ac:dyDescent="0.35">
      <c r="A765" s="1" t="s">
        <v>1323</v>
      </c>
      <c r="B765" s="1" t="s">
        <v>1324</v>
      </c>
      <c r="C765" s="1" t="s">
        <v>36</v>
      </c>
      <c r="D765" s="1" t="s">
        <v>114</v>
      </c>
      <c r="E765" s="1" t="s">
        <v>16</v>
      </c>
      <c r="F765" s="1" t="s">
        <v>114</v>
      </c>
      <c r="G765" s="1">
        <v>8</v>
      </c>
      <c r="H765" s="1">
        <v>13699</v>
      </c>
      <c r="I765" s="1">
        <v>0.05</v>
      </c>
      <c r="J765" s="1">
        <v>104112.4</v>
      </c>
      <c r="K765" s="1">
        <v>16763.37</v>
      </c>
      <c r="L765" s="1" t="s">
        <v>23</v>
      </c>
      <c r="M765" s="1" t="str">
        <f>TEXT(Table1[[#This Row],[Order Date]],"mmm")</f>
        <v>Aug</v>
      </c>
      <c r="N765" s="1">
        <f>YEAR(Table1[[#This Row],[Order Date]])</f>
        <v>2024</v>
      </c>
    </row>
    <row r="766" spans="1:14" x14ac:dyDescent="0.35">
      <c r="A766" s="1" t="s">
        <v>1325</v>
      </c>
      <c r="B766" s="1" t="s">
        <v>1326</v>
      </c>
      <c r="C766" s="1" t="s">
        <v>111</v>
      </c>
      <c r="D766" s="1" t="s">
        <v>41</v>
      </c>
      <c r="E766" s="1" t="s">
        <v>16</v>
      </c>
      <c r="F766" s="1" t="s">
        <v>41</v>
      </c>
      <c r="G766" s="1">
        <v>14</v>
      </c>
      <c r="H766" s="1">
        <v>40506</v>
      </c>
      <c r="I766" s="1">
        <v>0.2</v>
      </c>
      <c r="J766" s="1">
        <v>453667.2</v>
      </c>
      <c r="K766" s="1">
        <v>77805.25</v>
      </c>
      <c r="L766" s="1" t="s">
        <v>45</v>
      </c>
      <c r="M766" s="1" t="str">
        <f>TEXT(Table1[[#This Row],[Order Date]],"mmm")</f>
        <v>Dec</v>
      </c>
      <c r="N766" s="1">
        <f>YEAR(Table1[[#This Row],[Order Date]])</f>
        <v>2023</v>
      </c>
    </row>
    <row r="767" spans="1:14" x14ac:dyDescent="0.35">
      <c r="A767" s="1" t="s">
        <v>1327</v>
      </c>
      <c r="B767" s="1" t="s">
        <v>1198</v>
      </c>
      <c r="C767" s="1" t="s">
        <v>227</v>
      </c>
      <c r="D767" s="1" t="s">
        <v>64</v>
      </c>
      <c r="E767" s="1" t="s">
        <v>33</v>
      </c>
      <c r="F767" s="1" t="s">
        <v>64</v>
      </c>
      <c r="G767" s="1">
        <v>8</v>
      </c>
      <c r="H767" s="1">
        <v>15546</v>
      </c>
      <c r="I767" s="1">
        <v>0.05</v>
      </c>
      <c r="J767" s="1">
        <v>118149.6</v>
      </c>
      <c r="K767" s="1">
        <v>10613.68</v>
      </c>
      <c r="L767" s="1" t="s">
        <v>17</v>
      </c>
      <c r="M767" s="1" t="str">
        <f>TEXT(Table1[[#This Row],[Order Date]],"mmm")</f>
        <v>Mar</v>
      </c>
      <c r="N767" s="1">
        <f>YEAR(Table1[[#This Row],[Order Date]])</f>
        <v>2023</v>
      </c>
    </row>
    <row r="768" spans="1:14" x14ac:dyDescent="0.35">
      <c r="A768" s="1" t="s">
        <v>1328</v>
      </c>
      <c r="B768" s="1" t="s">
        <v>879</v>
      </c>
      <c r="C768" s="1" t="s">
        <v>208</v>
      </c>
      <c r="D768" s="1" t="s">
        <v>137</v>
      </c>
      <c r="E768" s="1" t="s">
        <v>22</v>
      </c>
      <c r="F768" s="1" t="s">
        <v>137</v>
      </c>
      <c r="G768" s="1">
        <v>5</v>
      </c>
      <c r="H768" s="1">
        <v>37024</v>
      </c>
      <c r="I768" s="1">
        <v>0</v>
      </c>
      <c r="J768" s="1">
        <v>185120</v>
      </c>
      <c r="K768" s="1">
        <v>22766.27</v>
      </c>
      <c r="L768" s="1" t="s">
        <v>17</v>
      </c>
      <c r="M768" s="1" t="str">
        <f>TEXT(Table1[[#This Row],[Order Date]],"mmm")</f>
        <v>Jul</v>
      </c>
      <c r="N768" s="1">
        <f>YEAR(Table1[[#This Row],[Order Date]])</f>
        <v>2023</v>
      </c>
    </row>
    <row r="769" spans="1:14" x14ac:dyDescent="0.35">
      <c r="A769" s="1" t="s">
        <v>1329</v>
      </c>
      <c r="B769" s="1" t="s">
        <v>587</v>
      </c>
      <c r="C769" s="1" t="s">
        <v>55</v>
      </c>
      <c r="D769" s="1" t="s">
        <v>114</v>
      </c>
      <c r="E769" s="1" t="s">
        <v>16</v>
      </c>
      <c r="F769" s="1" t="s">
        <v>114</v>
      </c>
      <c r="G769" s="1">
        <v>6</v>
      </c>
      <c r="H769" s="1">
        <v>51331</v>
      </c>
      <c r="I769" s="1">
        <v>0.05</v>
      </c>
      <c r="J769" s="1">
        <v>292586.7</v>
      </c>
      <c r="K769" s="1">
        <v>44108.19</v>
      </c>
      <c r="L769" s="1" t="s">
        <v>70</v>
      </c>
      <c r="M769" s="1" t="str">
        <f>TEXT(Table1[[#This Row],[Order Date]],"mmm")</f>
        <v>Oct</v>
      </c>
      <c r="N769" s="1">
        <f>YEAR(Table1[[#This Row],[Order Date]])</f>
        <v>2024</v>
      </c>
    </row>
    <row r="770" spans="1:14" x14ac:dyDescent="0.35">
      <c r="A770" s="1" t="s">
        <v>1330</v>
      </c>
      <c r="B770" s="1" t="s">
        <v>731</v>
      </c>
      <c r="C770" s="1" t="s">
        <v>77</v>
      </c>
      <c r="D770" s="1" t="s">
        <v>41</v>
      </c>
      <c r="E770" s="1" t="s">
        <v>16</v>
      </c>
      <c r="F770" s="1" t="s">
        <v>41</v>
      </c>
      <c r="G770" s="1">
        <v>8</v>
      </c>
      <c r="H770" s="1">
        <v>10013</v>
      </c>
      <c r="I770" s="1">
        <v>0</v>
      </c>
      <c r="J770" s="1">
        <v>80104</v>
      </c>
      <c r="K770" s="1">
        <v>20058.55</v>
      </c>
      <c r="L770" s="1" t="s">
        <v>23</v>
      </c>
      <c r="M770" s="1" t="str">
        <f>TEXT(Table1[[#This Row],[Order Date]],"mmm")</f>
        <v>Mar</v>
      </c>
      <c r="N770" s="1">
        <f>YEAR(Table1[[#This Row],[Order Date]])</f>
        <v>2023</v>
      </c>
    </row>
    <row r="771" spans="1:14" x14ac:dyDescent="0.35">
      <c r="A771" s="1" t="s">
        <v>1331</v>
      </c>
      <c r="B771" s="1" t="s">
        <v>712</v>
      </c>
      <c r="C771" s="1" t="s">
        <v>640</v>
      </c>
      <c r="D771" s="1" t="s">
        <v>21</v>
      </c>
      <c r="E771" s="1" t="s">
        <v>22</v>
      </c>
      <c r="F771" s="1" t="s">
        <v>21</v>
      </c>
      <c r="G771" s="1">
        <v>11</v>
      </c>
      <c r="H771" s="1">
        <v>56685</v>
      </c>
      <c r="I771" s="1">
        <v>0</v>
      </c>
      <c r="J771" s="1">
        <v>623535</v>
      </c>
      <c r="K771" s="1">
        <v>177483.37</v>
      </c>
      <c r="L771" s="1" t="s">
        <v>70</v>
      </c>
      <c r="M771" s="1" t="str">
        <f>TEXT(Table1[[#This Row],[Order Date]],"mmm")</f>
        <v>Sep</v>
      </c>
      <c r="N771" s="1">
        <f>YEAR(Table1[[#This Row],[Order Date]])</f>
        <v>2023</v>
      </c>
    </row>
    <row r="772" spans="1:14" x14ac:dyDescent="0.35">
      <c r="A772" s="1" t="s">
        <v>1332</v>
      </c>
      <c r="B772" s="1" t="s">
        <v>1333</v>
      </c>
      <c r="C772" s="1" t="s">
        <v>67</v>
      </c>
      <c r="D772" s="1" t="s">
        <v>151</v>
      </c>
      <c r="E772" s="1" t="s">
        <v>22</v>
      </c>
      <c r="F772" s="1" t="s">
        <v>151</v>
      </c>
      <c r="G772" s="1">
        <v>4</v>
      </c>
      <c r="H772" s="1">
        <v>10036</v>
      </c>
      <c r="I772" s="1">
        <v>0</v>
      </c>
      <c r="J772" s="1">
        <v>40144</v>
      </c>
      <c r="K772" s="1">
        <v>7320.81</v>
      </c>
      <c r="L772" s="1" t="s">
        <v>45</v>
      </c>
      <c r="M772" s="1" t="str">
        <f>TEXT(Table1[[#This Row],[Order Date]],"mmm")</f>
        <v>Jan</v>
      </c>
      <c r="N772" s="1">
        <f>YEAR(Table1[[#This Row],[Order Date]])</f>
        <v>2024</v>
      </c>
    </row>
    <row r="773" spans="1:14" x14ac:dyDescent="0.35">
      <c r="A773" s="1" t="s">
        <v>1334</v>
      </c>
      <c r="B773" s="1" t="s">
        <v>157</v>
      </c>
      <c r="C773" s="1" t="s">
        <v>73</v>
      </c>
      <c r="D773" s="1" t="s">
        <v>15</v>
      </c>
      <c r="E773" s="1" t="s">
        <v>16</v>
      </c>
      <c r="F773" s="1" t="s">
        <v>15</v>
      </c>
      <c r="G773" s="1">
        <v>7</v>
      </c>
      <c r="H773" s="1">
        <v>28892</v>
      </c>
      <c r="I773" s="1">
        <v>0.2</v>
      </c>
      <c r="J773" s="1">
        <v>161795.20000000001</v>
      </c>
      <c r="K773" s="1">
        <v>17386.27</v>
      </c>
      <c r="L773" s="1" t="s">
        <v>70</v>
      </c>
      <c r="M773" s="1" t="str">
        <f>TEXT(Table1[[#This Row],[Order Date]],"mmm")</f>
        <v>Jan</v>
      </c>
      <c r="N773" s="1">
        <f>YEAR(Table1[[#This Row],[Order Date]])</f>
        <v>2024</v>
      </c>
    </row>
    <row r="774" spans="1:14" x14ac:dyDescent="0.35">
      <c r="A774" s="1" t="s">
        <v>1335</v>
      </c>
      <c r="B774" s="1" t="s">
        <v>776</v>
      </c>
      <c r="C774" s="1" t="s">
        <v>73</v>
      </c>
      <c r="D774" s="1" t="s">
        <v>41</v>
      </c>
      <c r="E774" s="1" t="s">
        <v>16</v>
      </c>
      <c r="F774" s="1" t="s">
        <v>41</v>
      </c>
      <c r="G774" s="1">
        <v>5</v>
      </c>
      <c r="H774" s="1">
        <v>32808</v>
      </c>
      <c r="I774" s="1">
        <v>0.15</v>
      </c>
      <c r="J774" s="1">
        <v>139434</v>
      </c>
      <c r="K774" s="1">
        <v>25518.87</v>
      </c>
      <c r="L774" s="1" t="s">
        <v>45</v>
      </c>
      <c r="M774" s="1" t="str">
        <f>TEXT(Table1[[#This Row],[Order Date]],"mmm")</f>
        <v>Feb</v>
      </c>
      <c r="N774" s="1">
        <f>YEAR(Table1[[#This Row],[Order Date]])</f>
        <v>2024</v>
      </c>
    </row>
    <row r="775" spans="1:14" x14ac:dyDescent="0.35">
      <c r="A775" s="1" t="s">
        <v>1336</v>
      </c>
      <c r="B775" s="1" t="s">
        <v>1337</v>
      </c>
      <c r="C775" s="1" t="s">
        <v>73</v>
      </c>
      <c r="D775" s="1" t="s">
        <v>114</v>
      </c>
      <c r="E775" s="1" t="s">
        <v>16</v>
      </c>
      <c r="F775" s="1" t="s">
        <v>114</v>
      </c>
      <c r="G775" s="1">
        <v>14</v>
      </c>
      <c r="H775" s="1">
        <v>49837</v>
      </c>
      <c r="I775" s="1">
        <v>0</v>
      </c>
      <c r="J775" s="1">
        <v>697718</v>
      </c>
      <c r="K775" s="1">
        <v>176733.83</v>
      </c>
      <c r="L775" s="1" t="s">
        <v>23</v>
      </c>
      <c r="M775" s="1" t="str">
        <f>TEXT(Table1[[#This Row],[Order Date]],"mmm")</f>
        <v>Dec</v>
      </c>
      <c r="N775" s="1">
        <f>YEAR(Table1[[#This Row],[Order Date]])</f>
        <v>2024</v>
      </c>
    </row>
    <row r="776" spans="1:14" x14ac:dyDescent="0.35">
      <c r="A776" s="1" t="s">
        <v>1338</v>
      </c>
      <c r="B776" s="1" t="s">
        <v>1339</v>
      </c>
      <c r="C776" s="1" t="s">
        <v>120</v>
      </c>
      <c r="D776" s="1" t="s">
        <v>32</v>
      </c>
      <c r="E776" s="1" t="s">
        <v>33</v>
      </c>
      <c r="F776" s="1" t="s">
        <v>32</v>
      </c>
      <c r="G776" s="1">
        <v>4</v>
      </c>
      <c r="H776" s="1">
        <v>36268</v>
      </c>
      <c r="I776" s="1">
        <v>0.15</v>
      </c>
      <c r="J776" s="1">
        <v>123311.2</v>
      </c>
      <c r="K776" s="1">
        <v>15976.63</v>
      </c>
      <c r="L776" s="1" t="s">
        <v>17</v>
      </c>
      <c r="M776" s="1" t="str">
        <f>TEXT(Table1[[#This Row],[Order Date]],"mmm")</f>
        <v>Jul</v>
      </c>
      <c r="N776" s="1">
        <f>YEAR(Table1[[#This Row],[Order Date]])</f>
        <v>2023</v>
      </c>
    </row>
    <row r="777" spans="1:14" x14ac:dyDescent="0.35">
      <c r="A777" s="1" t="s">
        <v>1340</v>
      </c>
      <c r="B777" s="1" t="s">
        <v>1341</v>
      </c>
      <c r="C777" s="1" t="s">
        <v>51</v>
      </c>
      <c r="D777" s="1" t="s">
        <v>56</v>
      </c>
      <c r="E777" s="1" t="s">
        <v>22</v>
      </c>
      <c r="F777" s="1" t="s">
        <v>56</v>
      </c>
      <c r="G777" s="1">
        <v>15</v>
      </c>
      <c r="H777" s="1">
        <v>11074</v>
      </c>
      <c r="I777" s="1">
        <v>0.2</v>
      </c>
      <c r="J777" s="1">
        <v>132888</v>
      </c>
      <c r="K777" s="1">
        <v>12351.06</v>
      </c>
      <c r="L777" s="1" t="s">
        <v>45</v>
      </c>
      <c r="M777" s="1" t="str">
        <f>TEXT(Table1[[#This Row],[Order Date]],"mmm")</f>
        <v>Oct</v>
      </c>
      <c r="N777" s="1">
        <f>YEAR(Table1[[#This Row],[Order Date]])</f>
        <v>2024</v>
      </c>
    </row>
    <row r="778" spans="1:14" x14ac:dyDescent="0.35">
      <c r="A778" s="1" t="s">
        <v>1342</v>
      </c>
      <c r="B778" s="1" t="s">
        <v>843</v>
      </c>
      <c r="C778" s="1" t="s">
        <v>98</v>
      </c>
      <c r="D778" s="1" t="s">
        <v>95</v>
      </c>
      <c r="E778" s="1" t="s">
        <v>33</v>
      </c>
      <c r="F778" s="1" t="s">
        <v>95</v>
      </c>
      <c r="G778" s="1">
        <v>13</v>
      </c>
      <c r="H778" s="1">
        <v>11303</v>
      </c>
      <c r="I778" s="1">
        <v>0.2</v>
      </c>
      <c r="J778" s="1">
        <v>117551.2</v>
      </c>
      <c r="K778" s="1">
        <v>16331.2</v>
      </c>
      <c r="L778" s="1" t="s">
        <v>45</v>
      </c>
      <c r="M778" s="1" t="str">
        <f>TEXT(Table1[[#This Row],[Order Date]],"mmm")</f>
        <v>Feb</v>
      </c>
      <c r="N778" s="1">
        <f>YEAR(Table1[[#This Row],[Order Date]])</f>
        <v>2023</v>
      </c>
    </row>
    <row r="779" spans="1:14" x14ac:dyDescent="0.35">
      <c r="A779" s="1" t="s">
        <v>1343</v>
      </c>
      <c r="B779" s="1" t="s">
        <v>394</v>
      </c>
      <c r="C779" s="1" t="s">
        <v>507</v>
      </c>
      <c r="D779" s="1" t="s">
        <v>141</v>
      </c>
      <c r="E779" s="1" t="s">
        <v>22</v>
      </c>
      <c r="F779" s="1" t="s">
        <v>141</v>
      </c>
      <c r="G779" s="1">
        <v>9</v>
      </c>
      <c r="H779" s="1">
        <v>20431</v>
      </c>
      <c r="I779" s="1">
        <v>0.2</v>
      </c>
      <c r="J779" s="1">
        <v>147103.20000000001</v>
      </c>
      <c r="K779" s="1">
        <v>41191.440000000002</v>
      </c>
      <c r="L779" s="1" t="s">
        <v>23</v>
      </c>
      <c r="M779" s="1" t="str">
        <f>TEXT(Table1[[#This Row],[Order Date]],"mmm")</f>
        <v>Sep</v>
      </c>
      <c r="N779" s="1">
        <f>YEAR(Table1[[#This Row],[Order Date]])</f>
        <v>2023</v>
      </c>
    </row>
    <row r="780" spans="1:14" x14ac:dyDescent="0.35">
      <c r="A780" s="1" t="s">
        <v>1344</v>
      </c>
      <c r="B780" s="1" t="s">
        <v>698</v>
      </c>
      <c r="C780" s="1" t="s">
        <v>40</v>
      </c>
      <c r="D780" s="1" t="s">
        <v>141</v>
      </c>
      <c r="E780" s="1" t="s">
        <v>22</v>
      </c>
      <c r="F780" s="1" t="s">
        <v>141</v>
      </c>
      <c r="G780" s="1">
        <v>5</v>
      </c>
      <c r="H780" s="1">
        <v>25511</v>
      </c>
      <c r="I780" s="1">
        <v>0.1</v>
      </c>
      <c r="J780" s="1">
        <v>114799.5</v>
      </c>
      <c r="K780" s="1">
        <v>10906.1</v>
      </c>
      <c r="L780" s="1" t="s">
        <v>17</v>
      </c>
      <c r="M780" s="1" t="str">
        <f>TEXT(Table1[[#This Row],[Order Date]],"mmm")</f>
        <v>Mar</v>
      </c>
      <c r="N780" s="1">
        <f>YEAR(Table1[[#This Row],[Order Date]])</f>
        <v>2023</v>
      </c>
    </row>
    <row r="781" spans="1:14" x14ac:dyDescent="0.35">
      <c r="A781" s="1" t="s">
        <v>1345</v>
      </c>
      <c r="B781" s="1" t="s">
        <v>1346</v>
      </c>
      <c r="C781" s="1" t="s">
        <v>178</v>
      </c>
      <c r="D781" s="1" t="s">
        <v>323</v>
      </c>
      <c r="E781" s="1" t="s">
        <v>33</v>
      </c>
      <c r="F781" s="1" t="s">
        <v>323</v>
      </c>
      <c r="G781" s="1">
        <v>3</v>
      </c>
      <c r="H781" s="1">
        <v>18335</v>
      </c>
      <c r="I781" s="1">
        <v>0.15</v>
      </c>
      <c r="J781" s="1">
        <v>46754.25</v>
      </c>
      <c r="K781" s="1">
        <v>11947.05</v>
      </c>
      <c r="L781" s="1" t="s">
        <v>45</v>
      </c>
      <c r="M781" s="1" t="str">
        <f>TEXT(Table1[[#This Row],[Order Date]],"mmm")</f>
        <v>Aug</v>
      </c>
      <c r="N781" s="1">
        <f>YEAR(Table1[[#This Row],[Order Date]])</f>
        <v>2023</v>
      </c>
    </row>
    <row r="782" spans="1:14" x14ac:dyDescent="0.35">
      <c r="A782" s="1" t="s">
        <v>1347</v>
      </c>
      <c r="B782" s="1" t="s">
        <v>1348</v>
      </c>
      <c r="C782" s="1" t="s">
        <v>104</v>
      </c>
      <c r="D782" s="1" t="s">
        <v>41</v>
      </c>
      <c r="E782" s="1" t="s">
        <v>16</v>
      </c>
      <c r="F782" s="1" t="s">
        <v>41</v>
      </c>
      <c r="G782" s="1">
        <v>15</v>
      </c>
      <c r="H782" s="1">
        <v>4633</v>
      </c>
      <c r="I782" s="1">
        <v>0.05</v>
      </c>
      <c r="J782" s="1">
        <v>66020.25</v>
      </c>
      <c r="K782" s="1">
        <v>6372.39</v>
      </c>
      <c r="L782" s="1" t="s">
        <v>45</v>
      </c>
      <c r="M782" s="1" t="str">
        <f>TEXT(Table1[[#This Row],[Order Date]],"mmm")</f>
        <v>Dec</v>
      </c>
      <c r="N782" s="1">
        <f>YEAR(Table1[[#This Row],[Order Date]])</f>
        <v>2023</v>
      </c>
    </row>
    <row r="783" spans="1:14" x14ac:dyDescent="0.35">
      <c r="A783" s="1" t="s">
        <v>1349</v>
      </c>
      <c r="B783" s="1" t="s">
        <v>166</v>
      </c>
      <c r="C783" s="1" t="s">
        <v>203</v>
      </c>
      <c r="D783" s="1" t="s">
        <v>74</v>
      </c>
      <c r="E783" s="1" t="s">
        <v>22</v>
      </c>
      <c r="F783" s="1" t="s">
        <v>74</v>
      </c>
      <c r="G783" s="1">
        <v>7</v>
      </c>
      <c r="H783" s="1">
        <v>19078</v>
      </c>
      <c r="I783" s="1">
        <v>0.2</v>
      </c>
      <c r="J783" s="1">
        <v>106836.8</v>
      </c>
      <c r="K783" s="1">
        <v>14659.57</v>
      </c>
      <c r="L783" s="1" t="s">
        <v>70</v>
      </c>
      <c r="M783" s="1" t="str">
        <f>TEXT(Table1[[#This Row],[Order Date]],"mmm")</f>
        <v>Jan</v>
      </c>
      <c r="N783" s="1">
        <f>YEAR(Table1[[#This Row],[Order Date]])</f>
        <v>2024</v>
      </c>
    </row>
    <row r="784" spans="1:14" x14ac:dyDescent="0.35">
      <c r="A784" s="1" t="s">
        <v>1350</v>
      </c>
      <c r="B784" s="1" t="s">
        <v>833</v>
      </c>
      <c r="C784" s="1" t="s">
        <v>55</v>
      </c>
      <c r="D784" s="1" t="s">
        <v>114</v>
      </c>
      <c r="E784" s="1" t="s">
        <v>16</v>
      </c>
      <c r="F784" s="1" t="s">
        <v>114</v>
      </c>
      <c r="G784" s="1">
        <v>4</v>
      </c>
      <c r="H784" s="1">
        <v>40373</v>
      </c>
      <c r="I784" s="1">
        <v>0.15</v>
      </c>
      <c r="J784" s="1">
        <v>137268.20000000001</v>
      </c>
      <c r="K784" s="1">
        <v>29456.21</v>
      </c>
      <c r="L784" s="1" t="s">
        <v>23</v>
      </c>
      <c r="M784" s="1" t="str">
        <f>TEXT(Table1[[#This Row],[Order Date]],"mmm")</f>
        <v>Apr</v>
      </c>
      <c r="N784" s="1">
        <f>YEAR(Table1[[#This Row],[Order Date]])</f>
        <v>2023</v>
      </c>
    </row>
    <row r="785" spans="1:14" x14ac:dyDescent="0.35">
      <c r="A785" s="1" t="s">
        <v>1351</v>
      </c>
      <c r="B785" s="1" t="s">
        <v>575</v>
      </c>
      <c r="C785" s="1" t="s">
        <v>162</v>
      </c>
      <c r="D785" s="1" t="s">
        <v>74</v>
      </c>
      <c r="E785" s="1" t="s">
        <v>22</v>
      </c>
      <c r="F785" s="1" t="s">
        <v>74</v>
      </c>
      <c r="G785" s="1">
        <v>12</v>
      </c>
      <c r="H785" s="1">
        <v>31116</v>
      </c>
      <c r="I785" s="1">
        <v>0.05</v>
      </c>
      <c r="J785" s="1">
        <v>354722.4</v>
      </c>
      <c r="K785" s="1">
        <v>94331.17</v>
      </c>
      <c r="L785" s="1" t="s">
        <v>45</v>
      </c>
      <c r="M785" s="1" t="str">
        <f>TEXT(Table1[[#This Row],[Order Date]],"mmm")</f>
        <v>Jul</v>
      </c>
      <c r="N785" s="1">
        <f>YEAR(Table1[[#This Row],[Order Date]])</f>
        <v>2024</v>
      </c>
    </row>
    <row r="786" spans="1:14" x14ac:dyDescent="0.35">
      <c r="A786" s="1" t="s">
        <v>1352</v>
      </c>
      <c r="B786" s="1" t="s">
        <v>166</v>
      </c>
      <c r="C786" s="1" t="s">
        <v>260</v>
      </c>
      <c r="D786" s="1" t="s">
        <v>52</v>
      </c>
      <c r="E786" s="1" t="s">
        <v>28</v>
      </c>
      <c r="F786" s="1" t="s">
        <v>52</v>
      </c>
      <c r="G786" s="1">
        <v>1</v>
      </c>
      <c r="H786" s="1">
        <v>12074</v>
      </c>
      <c r="I786" s="1">
        <v>0.2</v>
      </c>
      <c r="J786" s="1">
        <v>9659.2000000000007</v>
      </c>
      <c r="K786" s="1">
        <v>1466.53</v>
      </c>
      <c r="L786" s="1" t="s">
        <v>45</v>
      </c>
      <c r="M786" s="1" t="str">
        <f>TEXT(Table1[[#This Row],[Order Date]],"mmm")</f>
        <v>Jan</v>
      </c>
      <c r="N786" s="1">
        <f>YEAR(Table1[[#This Row],[Order Date]])</f>
        <v>2024</v>
      </c>
    </row>
    <row r="787" spans="1:14" x14ac:dyDescent="0.35">
      <c r="A787" s="1" t="s">
        <v>1353</v>
      </c>
      <c r="B787" s="1" t="s">
        <v>1354</v>
      </c>
      <c r="C787" s="1" t="s">
        <v>104</v>
      </c>
      <c r="D787" s="1" t="s">
        <v>64</v>
      </c>
      <c r="E787" s="1" t="s">
        <v>33</v>
      </c>
      <c r="F787" s="1" t="s">
        <v>64</v>
      </c>
      <c r="G787" s="1">
        <v>3</v>
      </c>
      <c r="H787" s="1">
        <v>22347</v>
      </c>
      <c r="I787" s="1">
        <v>0.2</v>
      </c>
      <c r="J787" s="1">
        <v>53632.800000000003</v>
      </c>
      <c r="K787" s="1">
        <v>13147.74</v>
      </c>
      <c r="L787" s="1" t="s">
        <v>17</v>
      </c>
      <c r="M787" s="1" t="str">
        <f>TEXT(Table1[[#This Row],[Order Date]],"mmm")</f>
        <v>Aug</v>
      </c>
      <c r="N787" s="1">
        <f>YEAR(Table1[[#This Row],[Order Date]])</f>
        <v>2024</v>
      </c>
    </row>
    <row r="788" spans="1:14" x14ac:dyDescent="0.35">
      <c r="A788" s="1" t="s">
        <v>1355</v>
      </c>
      <c r="B788" s="1" t="s">
        <v>1356</v>
      </c>
      <c r="C788" s="1" t="s">
        <v>31</v>
      </c>
      <c r="D788" s="1" t="s">
        <v>85</v>
      </c>
      <c r="E788" s="1" t="s">
        <v>28</v>
      </c>
      <c r="F788" s="1" t="s">
        <v>85</v>
      </c>
      <c r="G788" s="1">
        <v>1</v>
      </c>
      <c r="H788" s="1">
        <v>27952</v>
      </c>
      <c r="I788" s="1">
        <v>0.15</v>
      </c>
      <c r="J788" s="1">
        <v>23759.200000000001</v>
      </c>
      <c r="K788" s="1">
        <v>4653.59</v>
      </c>
      <c r="L788" s="1" t="s">
        <v>23</v>
      </c>
      <c r="M788" s="1" t="str">
        <f>TEXT(Table1[[#This Row],[Order Date]],"mmm")</f>
        <v>Jun</v>
      </c>
      <c r="N788" s="1">
        <f>YEAR(Table1[[#This Row],[Order Date]])</f>
        <v>2023</v>
      </c>
    </row>
    <row r="789" spans="1:14" x14ac:dyDescent="0.35">
      <c r="A789" s="1" t="s">
        <v>1357</v>
      </c>
      <c r="B789" s="1" t="s">
        <v>355</v>
      </c>
      <c r="C789" s="1" t="s">
        <v>20</v>
      </c>
      <c r="D789" s="1" t="s">
        <v>64</v>
      </c>
      <c r="E789" s="1" t="s">
        <v>33</v>
      </c>
      <c r="F789" s="1" t="s">
        <v>64</v>
      </c>
      <c r="G789" s="1">
        <v>6</v>
      </c>
      <c r="H789" s="1">
        <v>26336</v>
      </c>
      <c r="I789" s="1">
        <v>0.1</v>
      </c>
      <c r="J789" s="1">
        <v>142214.39999999999</v>
      </c>
      <c r="K789" s="1">
        <v>42026.18</v>
      </c>
      <c r="L789" s="1" t="s">
        <v>23</v>
      </c>
      <c r="M789" s="1" t="str">
        <f>TEXT(Table1[[#This Row],[Order Date]],"mmm")</f>
        <v>Dec</v>
      </c>
      <c r="N789" s="1">
        <f>YEAR(Table1[[#This Row],[Order Date]])</f>
        <v>2023</v>
      </c>
    </row>
    <row r="790" spans="1:14" x14ac:dyDescent="0.35">
      <c r="A790" s="1" t="s">
        <v>1358</v>
      </c>
      <c r="B790" s="1" t="s">
        <v>1359</v>
      </c>
      <c r="C790" s="1" t="s">
        <v>20</v>
      </c>
      <c r="D790" s="1" t="s">
        <v>108</v>
      </c>
      <c r="E790" s="1" t="s">
        <v>22</v>
      </c>
      <c r="F790" s="1" t="s">
        <v>108</v>
      </c>
      <c r="G790" s="1">
        <v>14</v>
      </c>
      <c r="H790" s="1">
        <v>22653</v>
      </c>
      <c r="I790" s="1">
        <v>0</v>
      </c>
      <c r="J790" s="1">
        <v>317142</v>
      </c>
      <c r="K790" s="1">
        <v>28892.27</v>
      </c>
      <c r="L790" s="1" t="s">
        <v>23</v>
      </c>
      <c r="M790" s="1" t="str">
        <f>TEXT(Table1[[#This Row],[Order Date]],"mmm")</f>
        <v>Jul</v>
      </c>
      <c r="N790" s="1">
        <f>YEAR(Table1[[#This Row],[Order Date]])</f>
        <v>2023</v>
      </c>
    </row>
    <row r="791" spans="1:14" x14ac:dyDescent="0.35">
      <c r="A791" s="1" t="s">
        <v>1360</v>
      </c>
      <c r="B791" s="1" t="s">
        <v>1361</v>
      </c>
      <c r="C791" s="1" t="s">
        <v>20</v>
      </c>
      <c r="D791" s="1" t="s">
        <v>85</v>
      </c>
      <c r="E791" s="1" t="s">
        <v>28</v>
      </c>
      <c r="F791" s="1" t="s">
        <v>85</v>
      </c>
      <c r="G791" s="1">
        <v>15</v>
      </c>
      <c r="H791" s="1">
        <v>38640</v>
      </c>
      <c r="I791" s="1">
        <v>0.2</v>
      </c>
      <c r="J791" s="1">
        <v>463680</v>
      </c>
      <c r="K791" s="1">
        <v>51959.18</v>
      </c>
      <c r="L791" s="1" t="s">
        <v>45</v>
      </c>
      <c r="M791" s="1" t="str">
        <f>TEXT(Table1[[#This Row],[Order Date]],"mmm")</f>
        <v>Apr</v>
      </c>
      <c r="N791" s="1">
        <f>YEAR(Table1[[#This Row],[Order Date]])</f>
        <v>2023</v>
      </c>
    </row>
    <row r="792" spans="1:14" x14ac:dyDescent="0.35">
      <c r="A792" s="1" t="s">
        <v>1362</v>
      </c>
      <c r="B792" s="1" t="s">
        <v>1107</v>
      </c>
      <c r="C792" s="1" t="s">
        <v>188</v>
      </c>
      <c r="D792" s="1" t="s">
        <v>95</v>
      </c>
      <c r="E792" s="1" t="s">
        <v>33</v>
      </c>
      <c r="F792" s="1" t="s">
        <v>95</v>
      </c>
      <c r="G792" s="1">
        <v>2</v>
      </c>
      <c r="H792" s="1">
        <v>4546</v>
      </c>
      <c r="I792" s="1">
        <v>0</v>
      </c>
      <c r="J792" s="1">
        <v>9092</v>
      </c>
      <c r="K792" s="1">
        <v>1869.31</v>
      </c>
      <c r="L792" s="1" t="s">
        <v>23</v>
      </c>
      <c r="M792" s="1" t="str">
        <f>TEXT(Table1[[#This Row],[Order Date]],"mmm")</f>
        <v>Dec</v>
      </c>
      <c r="N792" s="1">
        <f>YEAR(Table1[[#This Row],[Order Date]])</f>
        <v>2023</v>
      </c>
    </row>
    <row r="793" spans="1:14" x14ac:dyDescent="0.35">
      <c r="A793" s="1" t="s">
        <v>1363</v>
      </c>
      <c r="B793" s="1" t="s">
        <v>25</v>
      </c>
      <c r="C793" s="1" t="s">
        <v>101</v>
      </c>
      <c r="D793" s="1" t="s">
        <v>95</v>
      </c>
      <c r="E793" s="1" t="s">
        <v>33</v>
      </c>
      <c r="F793" s="1" t="s">
        <v>95</v>
      </c>
      <c r="G793" s="1">
        <v>15</v>
      </c>
      <c r="H793" s="1">
        <v>46485</v>
      </c>
      <c r="I793" s="1">
        <v>0.1</v>
      </c>
      <c r="J793" s="1">
        <v>627547.5</v>
      </c>
      <c r="K793" s="1">
        <v>145398.79999999999</v>
      </c>
      <c r="L793" s="1" t="s">
        <v>17</v>
      </c>
      <c r="M793" s="1" t="str">
        <f>TEXT(Table1[[#This Row],[Order Date]],"mmm")</f>
        <v>Apr</v>
      </c>
      <c r="N793" s="1">
        <f>YEAR(Table1[[#This Row],[Order Date]])</f>
        <v>2023</v>
      </c>
    </row>
    <row r="794" spans="1:14" x14ac:dyDescent="0.35">
      <c r="A794" s="1" t="s">
        <v>1364</v>
      </c>
      <c r="B794" s="1" t="s">
        <v>1286</v>
      </c>
      <c r="C794" s="1" t="s">
        <v>77</v>
      </c>
      <c r="D794" s="1" t="s">
        <v>133</v>
      </c>
      <c r="E794" s="1" t="s">
        <v>22</v>
      </c>
      <c r="F794" s="1" t="s">
        <v>133</v>
      </c>
      <c r="G794" s="1">
        <v>2</v>
      </c>
      <c r="H794" s="1">
        <v>31764</v>
      </c>
      <c r="I794" s="1">
        <v>0</v>
      </c>
      <c r="J794" s="1">
        <v>63528</v>
      </c>
      <c r="K794" s="1">
        <v>9557.06</v>
      </c>
      <c r="L794" s="1" t="s">
        <v>45</v>
      </c>
      <c r="M794" s="1" t="str">
        <f>TEXT(Table1[[#This Row],[Order Date]],"mmm")</f>
        <v>Mar</v>
      </c>
      <c r="N794" s="1">
        <f>YEAR(Table1[[#This Row],[Order Date]])</f>
        <v>2023</v>
      </c>
    </row>
    <row r="795" spans="1:14" x14ac:dyDescent="0.35">
      <c r="A795" s="1" t="s">
        <v>1365</v>
      </c>
      <c r="B795" s="1" t="s">
        <v>1366</v>
      </c>
      <c r="C795" s="1" t="s">
        <v>170</v>
      </c>
      <c r="D795" s="1" t="s">
        <v>224</v>
      </c>
      <c r="E795" s="1" t="s">
        <v>33</v>
      </c>
      <c r="F795" s="1" t="s">
        <v>224</v>
      </c>
      <c r="G795" s="1">
        <v>13</v>
      </c>
      <c r="H795" s="1">
        <v>18483</v>
      </c>
      <c r="I795" s="1">
        <v>0.15</v>
      </c>
      <c r="J795" s="1">
        <v>204237.15</v>
      </c>
      <c r="K795" s="1">
        <v>16998.689999999999</v>
      </c>
      <c r="L795" s="1" t="s">
        <v>70</v>
      </c>
      <c r="M795" s="1" t="str">
        <f>TEXT(Table1[[#This Row],[Order Date]],"mmm")</f>
        <v>Jan</v>
      </c>
      <c r="N795" s="1">
        <f>YEAR(Table1[[#This Row],[Order Date]])</f>
        <v>2023</v>
      </c>
    </row>
    <row r="796" spans="1:14" x14ac:dyDescent="0.35">
      <c r="A796" s="1" t="s">
        <v>1367</v>
      </c>
      <c r="B796" s="1" t="s">
        <v>1032</v>
      </c>
      <c r="C796" s="1" t="s">
        <v>81</v>
      </c>
      <c r="D796" s="1" t="s">
        <v>21</v>
      </c>
      <c r="E796" s="1" t="s">
        <v>22</v>
      </c>
      <c r="F796" s="1" t="s">
        <v>21</v>
      </c>
      <c r="G796" s="1">
        <v>12</v>
      </c>
      <c r="H796" s="1">
        <v>30223</v>
      </c>
      <c r="I796" s="1">
        <v>0.05</v>
      </c>
      <c r="J796" s="1">
        <v>344542.2</v>
      </c>
      <c r="K796" s="1">
        <v>80125.919999999998</v>
      </c>
      <c r="L796" s="1" t="s">
        <v>23</v>
      </c>
      <c r="M796" s="1" t="str">
        <f>TEXT(Table1[[#This Row],[Order Date]],"mmm")</f>
        <v>May</v>
      </c>
      <c r="N796" s="1">
        <f>YEAR(Table1[[#This Row],[Order Date]])</f>
        <v>2024</v>
      </c>
    </row>
    <row r="797" spans="1:14" x14ac:dyDescent="0.35">
      <c r="A797" s="1" t="s">
        <v>1368</v>
      </c>
      <c r="B797" s="1" t="s">
        <v>737</v>
      </c>
      <c r="C797" s="1" t="s">
        <v>255</v>
      </c>
      <c r="D797" s="1" t="s">
        <v>293</v>
      </c>
      <c r="E797" s="1" t="s">
        <v>33</v>
      </c>
      <c r="F797" s="1" t="s">
        <v>293</v>
      </c>
      <c r="G797" s="1">
        <v>6</v>
      </c>
      <c r="H797" s="1">
        <v>21857</v>
      </c>
      <c r="I797" s="1">
        <v>0.2</v>
      </c>
      <c r="J797" s="1">
        <v>104913.60000000001</v>
      </c>
      <c r="K797" s="1">
        <v>29642.26</v>
      </c>
      <c r="L797" s="1" t="s">
        <v>23</v>
      </c>
      <c r="M797" s="1" t="str">
        <f>TEXT(Table1[[#This Row],[Order Date]],"mmm")</f>
        <v>Aug</v>
      </c>
      <c r="N797" s="1">
        <f>YEAR(Table1[[#This Row],[Order Date]])</f>
        <v>2023</v>
      </c>
    </row>
    <row r="798" spans="1:14" x14ac:dyDescent="0.35">
      <c r="A798" s="1" t="s">
        <v>1369</v>
      </c>
      <c r="B798" s="1" t="s">
        <v>1023</v>
      </c>
      <c r="C798" s="1" t="s">
        <v>362</v>
      </c>
      <c r="D798" s="1" t="s">
        <v>141</v>
      </c>
      <c r="E798" s="1" t="s">
        <v>22</v>
      </c>
      <c r="F798" s="1" t="s">
        <v>141</v>
      </c>
      <c r="G798" s="1">
        <v>13</v>
      </c>
      <c r="H798" s="1">
        <v>27816</v>
      </c>
      <c r="I798" s="1">
        <v>0.15</v>
      </c>
      <c r="J798" s="1">
        <v>307366.8</v>
      </c>
      <c r="K798" s="1">
        <v>50149.72</v>
      </c>
      <c r="L798" s="1" t="s">
        <v>45</v>
      </c>
      <c r="M798" s="1" t="str">
        <f>TEXT(Table1[[#This Row],[Order Date]],"mmm")</f>
        <v>May</v>
      </c>
      <c r="N798" s="1">
        <f>YEAR(Table1[[#This Row],[Order Date]])</f>
        <v>2023</v>
      </c>
    </row>
    <row r="799" spans="1:14" x14ac:dyDescent="0.35">
      <c r="A799" s="1" t="s">
        <v>1370</v>
      </c>
      <c r="B799" s="1" t="s">
        <v>1371</v>
      </c>
      <c r="C799" s="1" t="s">
        <v>26</v>
      </c>
      <c r="D799" s="1" t="s">
        <v>37</v>
      </c>
      <c r="E799" s="1" t="s">
        <v>16</v>
      </c>
      <c r="F799" s="1" t="s">
        <v>37</v>
      </c>
      <c r="G799" s="1">
        <v>2</v>
      </c>
      <c r="H799" s="1">
        <v>31683</v>
      </c>
      <c r="I799" s="1">
        <v>0.1</v>
      </c>
      <c r="J799" s="1">
        <v>57029.4</v>
      </c>
      <c r="K799" s="1">
        <v>11279.91</v>
      </c>
      <c r="L799" s="1" t="s">
        <v>45</v>
      </c>
      <c r="M799" s="1" t="str">
        <f>TEXT(Table1[[#This Row],[Order Date]],"mmm")</f>
        <v>Jan</v>
      </c>
      <c r="N799" s="1">
        <f>YEAR(Table1[[#This Row],[Order Date]])</f>
        <v>2023</v>
      </c>
    </row>
    <row r="800" spans="1:14" x14ac:dyDescent="0.35">
      <c r="A800" s="1" t="s">
        <v>1372</v>
      </c>
      <c r="B800" s="1" t="s">
        <v>934</v>
      </c>
      <c r="C800" s="1" t="s">
        <v>63</v>
      </c>
      <c r="D800" s="1" t="s">
        <v>141</v>
      </c>
      <c r="E800" s="1" t="s">
        <v>22</v>
      </c>
      <c r="F800" s="1" t="s">
        <v>141</v>
      </c>
      <c r="G800" s="1">
        <v>11</v>
      </c>
      <c r="H800" s="1">
        <v>41688</v>
      </c>
      <c r="I800" s="1">
        <v>0.15</v>
      </c>
      <c r="J800" s="1">
        <v>389782.8</v>
      </c>
      <c r="K800" s="1">
        <v>116127.7</v>
      </c>
      <c r="L800" s="1" t="s">
        <v>23</v>
      </c>
      <c r="M800" s="1" t="str">
        <f>TEXT(Table1[[#This Row],[Order Date]],"mmm")</f>
        <v>Jun</v>
      </c>
      <c r="N800" s="1">
        <f>YEAR(Table1[[#This Row],[Order Date]])</f>
        <v>2023</v>
      </c>
    </row>
    <row r="801" spans="1:14" x14ac:dyDescent="0.35">
      <c r="A801" s="1" t="s">
        <v>1373</v>
      </c>
      <c r="B801" s="1" t="s">
        <v>1374</v>
      </c>
      <c r="C801" s="1" t="s">
        <v>128</v>
      </c>
      <c r="D801" s="1" t="s">
        <v>32</v>
      </c>
      <c r="E801" s="1" t="s">
        <v>33</v>
      </c>
      <c r="F801" s="1" t="s">
        <v>32</v>
      </c>
      <c r="G801" s="1">
        <v>14</v>
      </c>
      <c r="H801" s="1">
        <v>14853</v>
      </c>
      <c r="I801" s="1">
        <v>0.05</v>
      </c>
      <c r="J801" s="1">
        <v>197544.9</v>
      </c>
      <c r="K801" s="1">
        <v>44780.67</v>
      </c>
      <c r="L801" s="1" t="s">
        <v>23</v>
      </c>
      <c r="M801" s="1" t="str">
        <f>TEXT(Table1[[#This Row],[Order Date]],"mmm")</f>
        <v>May</v>
      </c>
      <c r="N801" s="1">
        <f>YEAR(Table1[[#This Row],[Order Date]])</f>
        <v>2023</v>
      </c>
    </row>
    <row r="802" spans="1:14" x14ac:dyDescent="0.35">
      <c r="A802" s="1" t="s">
        <v>1375</v>
      </c>
      <c r="B802" s="1" t="s">
        <v>1376</v>
      </c>
      <c r="C802" s="1" t="s">
        <v>104</v>
      </c>
      <c r="D802" s="1" t="s">
        <v>151</v>
      </c>
      <c r="E802" s="1" t="s">
        <v>22</v>
      </c>
      <c r="F802" s="1" t="s">
        <v>151</v>
      </c>
      <c r="G802" s="1">
        <v>2</v>
      </c>
      <c r="H802" s="1">
        <v>12990</v>
      </c>
      <c r="I802" s="1">
        <v>0.1</v>
      </c>
      <c r="J802" s="1">
        <v>23382</v>
      </c>
      <c r="K802" s="1">
        <v>3192.12</v>
      </c>
      <c r="L802" s="1" t="s">
        <v>45</v>
      </c>
      <c r="M802" s="1" t="str">
        <f>TEXT(Table1[[#This Row],[Order Date]],"mmm")</f>
        <v>Jan</v>
      </c>
      <c r="N802" s="1">
        <f>YEAR(Table1[[#This Row],[Order Date]])</f>
        <v>2024</v>
      </c>
    </row>
    <row r="803" spans="1:14" x14ac:dyDescent="0.35">
      <c r="A803" s="1" t="s">
        <v>1377</v>
      </c>
      <c r="B803" s="1" t="s">
        <v>712</v>
      </c>
      <c r="C803" s="1" t="s">
        <v>55</v>
      </c>
      <c r="D803" s="1" t="s">
        <v>52</v>
      </c>
      <c r="E803" s="1" t="s">
        <v>28</v>
      </c>
      <c r="F803" s="1" t="s">
        <v>52</v>
      </c>
      <c r="G803" s="1">
        <v>2</v>
      </c>
      <c r="H803" s="1">
        <v>16295</v>
      </c>
      <c r="I803" s="1">
        <v>0.05</v>
      </c>
      <c r="J803" s="1">
        <v>30960.5</v>
      </c>
      <c r="K803" s="1">
        <v>8389.17</v>
      </c>
      <c r="L803" s="1" t="s">
        <v>70</v>
      </c>
      <c r="M803" s="1" t="str">
        <f>TEXT(Table1[[#This Row],[Order Date]],"mmm")</f>
        <v>Sep</v>
      </c>
      <c r="N803" s="1">
        <f>YEAR(Table1[[#This Row],[Order Date]])</f>
        <v>2023</v>
      </c>
    </row>
    <row r="804" spans="1:14" x14ac:dyDescent="0.35">
      <c r="A804" s="1" t="s">
        <v>1378</v>
      </c>
      <c r="B804" s="1" t="s">
        <v>1379</v>
      </c>
      <c r="C804" s="1" t="s">
        <v>59</v>
      </c>
      <c r="D804" s="1" t="s">
        <v>95</v>
      </c>
      <c r="E804" s="1" t="s">
        <v>33</v>
      </c>
      <c r="F804" s="1" t="s">
        <v>95</v>
      </c>
      <c r="G804" s="1">
        <v>10</v>
      </c>
      <c r="H804" s="1">
        <v>49447</v>
      </c>
      <c r="I804" s="1">
        <v>0.05</v>
      </c>
      <c r="J804" s="1">
        <v>469746.5</v>
      </c>
      <c r="K804" s="1">
        <v>39729.85</v>
      </c>
      <c r="L804" s="1" t="s">
        <v>23</v>
      </c>
      <c r="M804" s="1" t="str">
        <f>TEXT(Table1[[#This Row],[Order Date]],"mmm")</f>
        <v>Mar</v>
      </c>
      <c r="N804" s="1">
        <f>YEAR(Table1[[#This Row],[Order Date]])</f>
        <v>2023</v>
      </c>
    </row>
    <row r="805" spans="1:14" x14ac:dyDescent="0.35">
      <c r="A805" s="1" t="s">
        <v>1380</v>
      </c>
      <c r="B805" s="1" t="s">
        <v>608</v>
      </c>
      <c r="C805" s="1" t="s">
        <v>88</v>
      </c>
      <c r="D805" s="1" t="s">
        <v>224</v>
      </c>
      <c r="E805" s="1" t="s">
        <v>33</v>
      </c>
      <c r="F805" s="1" t="s">
        <v>224</v>
      </c>
      <c r="G805" s="1">
        <v>9</v>
      </c>
      <c r="H805" s="1">
        <v>28977</v>
      </c>
      <c r="I805" s="1">
        <v>0</v>
      </c>
      <c r="J805" s="1">
        <v>260793</v>
      </c>
      <c r="K805" s="1">
        <v>37384.03</v>
      </c>
      <c r="L805" s="1" t="s">
        <v>17</v>
      </c>
      <c r="M805" s="1" t="str">
        <f>TEXT(Table1[[#This Row],[Order Date]],"mmm")</f>
        <v>May</v>
      </c>
      <c r="N805" s="1">
        <f>YEAR(Table1[[#This Row],[Order Date]])</f>
        <v>2024</v>
      </c>
    </row>
    <row r="806" spans="1:14" x14ac:dyDescent="0.35">
      <c r="A806" s="1" t="s">
        <v>1381</v>
      </c>
      <c r="B806" s="1" t="s">
        <v>837</v>
      </c>
      <c r="C806" s="1" t="s">
        <v>101</v>
      </c>
      <c r="D806" s="1" t="s">
        <v>151</v>
      </c>
      <c r="E806" s="1" t="s">
        <v>22</v>
      </c>
      <c r="F806" s="1" t="s">
        <v>151</v>
      </c>
      <c r="G806" s="1">
        <v>10</v>
      </c>
      <c r="H806" s="1">
        <v>37489</v>
      </c>
      <c r="I806" s="1">
        <v>0</v>
      </c>
      <c r="J806" s="1">
        <v>374890</v>
      </c>
      <c r="K806" s="1">
        <v>67622.710000000006</v>
      </c>
      <c r="L806" s="1" t="s">
        <v>17</v>
      </c>
      <c r="M806" s="1" t="str">
        <f>TEXT(Table1[[#This Row],[Order Date]],"mmm")</f>
        <v>Feb</v>
      </c>
      <c r="N806" s="1">
        <f>YEAR(Table1[[#This Row],[Order Date]])</f>
        <v>2024</v>
      </c>
    </row>
    <row r="807" spans="1:14" x14ac:dyDescent="0.35">
      <c r="A807" s="1" t="s">
        <v>1382</v>
      </c>
      <c r="B807" s="1" t="s">
        <v>1383</v>
      </c>
      <c r="C807" s="1" t="s">
        <v>67</v>
      </c>
      <c r="D807" s="1" t="s">
        <v>21</v>
      </c>
      <c r="E807" s="1" t="s">
        <v>22</v>
      </c>
      <c r="F807" s="1" t="s">
        <v>21</v>
      </c>
      <c r="G807" s="1">
        <v>8</v>
      </c>
      <c r="H807" s="1">
        <v>35135</v>
      </c>
      <c r="I807" s="1">
        <v>0.1</v>
      </c>
      <c r="J807" s="1">
        <v>252972</v>
      </c>
      <c r="K807" s="1">
        <v>64933.36</v>
      </c>
      <c r="L807" s="1" t="s">
        <v>70</v>
      </c>
      <c r="M807" s="1" t="str">
        <f>TEXT(Table1[[#This Row],[Order Date]],"mmm")</f>
        <v>Apr</v>
      </c>
      <c r="N807" s="1">
        <f>YEAR(Table1[[#This Row],[Order Date]])</f>
        <v>2024</v>
      </c>
    </row>
    <row r="808" spans="1:14" x14ac:dyDescent="0.35">
      <c r="A808" s="1" t="s">
        <v>1384</v>
      </c>
      <c r="B808" s="1" t="s">
        <v>839</v>
      </c>
      <c r="C808" s="1" t="s">
        <v>370</v>
      </c>
      <c r="D808" s="1" t="s">
        <v>64</v>
      </c>
      <c r="E808" s="1" t="s">
        <v>33</v>
      </c>
      <c r="F808" s="1" t="s">
        <v>64</v>
      </c>
      <c r="G808" s="1">
        <v>5</v>
      </c>
      <c r="H808" s="1">
        <v>38757</v>
      </c>
      <c r="I808" s="1">
        <v>0.15</v>
      </c>
      <c r="J808" s="1">
        <v>164717.25</v>
      </c>
      <c r="K808" s="1">
        <v>31349.07</v>
      </c>
      <c r="L808" s="1" t="s">
        <v>70</v>
      </c>
      <c r="M808" s="1" t="str">
        <f>TEXT(Table1[[#This Row],[Order Date]],"mmm")</f>
        <v>Aug</v>
      </c>
      <c r="N808" s="1">
        <f>YEAR(Table1[[#This Row],[Order Date]])</f>
        <v>2024</v>
      </c>
    </row>
    <row r="809" spans="1:14" x14ac:dyDescent="0.35">
      <c r="A809" s="1" t="s">
        <v>1385</v>
      </c>
      <c r="B809" s="1" t="s">
        <v>897</v>
      </c>
      <c r="C809" s="1" t="s">
        <v>98</v>
      </c>
      <c r="D809" s="1" t="s">
        <v>15</v>
      </c>
      <c r="E809" s="1" t="s">
        <v>16</v>
      </c>
      <c r="F809" s="1" t="s">
        <v>15</v>
      </c>
      <c r="G809" s="1">
        <v>10</v>
      </c>
      <c r="H809" s="1">
        <v>55787</v>
      </c>
      <c r="I809" s="1">
        <v>0.05</v>
      </c>
      <c r="J809" s="1">
        <v>529976.5</v>
      </c>
      <c r="K809" s="1">
        <v>122747</v>
      </c>
      <c r="L809" s="1" t="s">
        <v>17</v>
      </c>
      <c r="M809" s="1" t="str">
        <f>TEXT(Table1[[#This Row],[Order Date]],"mmm")</f>
        <v>Dec</v>
      </c>
      <c r="N809" s="1">
        <f>YEAR(Table1[[#This Row],[Order Date]])</f>
        <v>2023</v>
      </c>
    </row>
    <row r="810" spans="1:14" x14ac:dyDescent="0.35">
      <c r="A810" s="1" t="s">
        <v>1386</v>
      </c>
      <c r="B810" s="1" t="s">
        <v>937</v>
      </c>
      <c r="C810" s="1" t="s">
        <v>98</v>
      </c>
      <c r="D810" s="1" t="s">
        <v>56</v>
      </c>
      <c r="E810" s="1" t="s">
        <v>22</v>
      </c>
      <c r="F810" s="1" t="s">
        <v>56</v>
      </c>
      <c r="G810" s="1">
        <v>4</v>
      </c>
      <c r="H810" s="1">
        <v>42637</v>
      </c>
      <c r="I810" s="1">
        <v>0.15</v>
      </c>
      <c r="J810" s="1">
        <v>144965.79999999999</v>
      </c>
      <c r="K810" s="1">
        <v>22991.51</v>
      </c>
      <c r="L810" s="1" t="s">
        <v>45</v>
      </c>
      <c r="M810" s="1" t="str">
        <f>TEXT(Table1[[#This Row],[Order Date]],"mmm")</f>
        <v>Oct</v>
      </c>
      <c r="N810" s="1">
        <f>YEAR(Table1[[#This Row],[Order Date]])</f>
        <v>2023</v>
      </c>
    </row>
    <row r="811" spans="1:14" x14ac:dyDescent="0.35">
      <c r="A811" s="1" t="s">
        <v>1387</v>
      </c>
      <c r="B811" s="1" t="s">
        <v>959</v>
      </c>
      <c r="C811" s="1" t="s">
        <v>178</v>
      </c>
      <c r="D811" s="1" t="s">
        <v>179</v>
      </c>
      <c r="E811" s="1" t="s">
        <v>28</v>
      </c>
      <c r="F811" s="1" t="s">
        <v>179</v>
      </c>
      <c r="G811" s="1">
        <v>10</v>
      </c>
      <c r="H811" s="1">
        <v>45767</v>
      </c>
      <c r="I811" s="1">
        <v>0.05</v>
      </c>
      <c r="J811" s="1">
        <v>434786.5</v>
      </c>
      <c r="K811" s="1">
        <v>61466.55</v>
      </c>
      <c r="L811" s="1" t="s">
        <v>23</v>
      </c>
      <c r="M811" s="1" t="str">
        <f>TEXT(Table1[[#This Row],[Order Date]],"mmm")</f>
        <v>Oct</v>
      </c>
      <c r="N811" s="1">
        <f>YEAR(Table1[[#This Row],[Order Date]])</f>
        <v>2023</v>
      </c>
    </row>
    <row r="812" spans="1:14" x14ac:dyDescent="0.35">
      <c r="A812" s="1" t="s">
        <v>1388</v>
      </c>
      <c r="B812" s="1" t="s">
        <v>1389</v>
      </c>
      <c r="C812" s="1" t="s">
        <v>125</v>
      </c>
      <c r="D812" s="1" t="s">
        <v>56</v>
      </c>
      <c r="E812" s="1" t="s">
        <v>22</v>
      </c>
      <c r="F812" s="1" t="s">
        <v>56</v>
      </c>
      <c r="G812" s="1">
        <v>3</v>
      </c>
      <c r="H812" s="1">
        <v>15898</v>
      </c>
      <c r="I812" s="1">
        <v>0.05</v>
      </c>
      <c r="J812" s="1">
        <v>45309.3</v>
      </c>
      <c r="K812" s="1">
        <v>11431.91</v>
      </c>
      <c r="L812" s="1" t="s">
        <v>23</v>
      </c>
      <c r="M812" s="1" t="str">
        <f>TEXT(Table1[[#This Row],[Order Date]],"mmm")</f>
        <v>Apr</v>
      </c>
      <c r="N812" s="1">
        <f>YEAR(Table1[[#This Row],[Order Date]])</f>
        <v>2023</v>
      </c>
    </row>
    <row r="813" spans="1:14" x14ac:dyDescent="0.35">
      <c r="A813" s="1" t="s">
        <v>1390</v>
      </c>
      <c r="B813" s="1" t="s">
        <v>1391</v>
      </c>
      <c r="C813" s="1" t="s">
        <v>362</v>
      </c>
      <c r="D813" s="1" t="s">
        <v>44</v>
      </c>
      <c r="E813" s="1" t="s">
        <v>28</v>
      </c>
      <c r="F813" s="1" t="s">
        <v>44</v>
      </c>
      <c r="G813" s="1">
        <v>3</v>
      </c>
      <c r="H813" s="1">
        <v>38893</v>
      </c>
      <c r="I813" s="1">
        <v>0.1</v>
      </c>
      <c r="J813" s="1">
        <v>105011.1</v>
      </c>
      <c r="K813" s="1">
        <v>20702.05</v>
      </c>
      <c r="L813" s="1" t="s">
        <v>70</v>
      </c>
      <c r="M813" s="1" t="str">
        <f>TEXT(Table1[[#This Row],[Order Date]],"mmm")</f>
        <v>Sep</v>
      </c>
      <c r="N813" s="1">
        <f>YEAR(Table1[[#This Row],[Order Date]])</f>
        <v>2023</v>
      </c>
    </row>
    <row r="814" spans="1:14" x14ac:dyDescent="0.35">
      <c r="A814" s="1" t="s">
        <v>1392</v>
      </c>
      <c r="B814" s="1" t="s">
        <v>308</v>
      </c>
      <c r="C814" s="1" t="s">
        <v>20</v>
      </c>
      <c r="D814" s="1" t="s">
        <v>137</v>
      </c>
      <c r="E814" s="1" t="s">
        <v>22</v>
      </c>
      <c r="F814" s="1" t="s">
        <v>137</v>
      </c>
      <c r="G814" s="1">
        <v>5</v>
      </c>
      <c r="H814" s="1">
        <v>43367</v>
      </c>
      <c r="I814" s="1">
        <v>0.05</v>
      </c>
      <c r="J814" s="1">
        <v>205993.25</v>
      </c>
      <c r="K814" s="1">
        <v>36838.69</v>
      </c>
      <c r="L814" s="1" t="s">
        <v>70</v>
      </c>
      <c r="M814" s="1" t="str">
        <f>TEXT(Table1[[#This Row],[Order Date]],"mmm")</f>
        <v>Jul</v>
      </c>
      <c r="N814" s="1">
        <f>YEAR(Table1[[#This Row],[Order Date]])</f>
        <v>2024</v>
      </c>
    </row>
    <row r="815" spans="1:14" x14ac:dyDescent="0.35">
      <c r="A815" s="1" t="s">
        <v>1393</v>
      </c>
      <c r="B815" s="1" t="s">
        <v>603</v>
      </c>
      <c r="C815" s="1" t="s">
        <v>175</v>
      </c>
      <c r="D815" s="1" t="s">
        <v>60</v>
      </c>
      <c r="E815" s="1" t="s">
        <v>33</v>
      </c>
      <c r="F815" s="1" t="s">
        <v>60</v>
      </c>
      <c r="G815" s="1">
        <v>12</v>
      </c>
      <c r="H815" s="1">
        <v>46555</v>
      </c>
      <c r="I815" s="1">
        <v>0.2</v>
      </c>
      <c r="J815" s="1">
        <v>446928</v>
      </c>
      <c r="K815" s="1">
        <v>48336.13</v>
      </c>
      <c r="L815" s="1" t="s">
        <v>70</v>
      </c>
      <c r="M815" s="1" t="str">
        <f>TEXT(Table1[[#This Row],[Order Date]],"mmm")</f>
        <v>Dec</v>
      </c>
      <c r="N815" s="1">
        <f>YEAR(Table1[[#This Row],[Order Date]])</f>
        <v>2023</v>
      </c>
    </row>
    <row r="816" spans="1:14" x14ac:dyDescent="0.35">
      <c r="A816" s="1" t="s">
        <v>1394</v>
      </c>
      <c r="B816" s="1" t="s">
        <v>956</v>
      </c>
      <c r="C816" s="1" t="s">
        <v>191</v>
      </c>
      <c r="D816" s="1" t="s">
        <v>48</v>
      </c>
      <c r="E816" s="1" t="s">
        <v>16</v>
      </c>
      <c r="F816" s="1" t="s">
        <v>48</v>
      </c>
      <c r="G816" s="1">
        <v>11</v>
      </c>
      <c r="H816" s="1">
        <v>2488</v>
      </c>
      <c r="I816" s="1">
        <v>0.1</v>
      </c>
      <c r="J816" s="1">
        <v>24631.200000000001</v>
      </c>
      <c r="K816" s="1">
        <v>6099.37</v>
      </c>
      <c r="L816" s="1" t="s">
        <v>45</v>
      </c>
      <c r="M816" s="1" t="str">
        <f>TEXT(Table1[[#This Row],[Order Date]],"mmm")</f>
        <v>Aug</v>
      </c>
      <c r="N816" s="1">
        <f>YEAR(Table1[[#This Row],[Order Date]])</f>
        <v>2024</v>
      </c>
    </row>
    <row r="817" spans="1:14" x14ac:dyDescent="0.35">
      <c r="A817" s="1" t="s">
        <v>1395</v>
      </c>
      <c r="B817" s="1" t="s">
        <v>686</v>
      </c>
      <c r="C817" s="1" t="s">
        <v>36</v>
      </c>
      <c r="D817" s="1" t="s">
        <v>91</v>
      </c>
      <c r="E817" s="1" t="s">
        <v>16</v>
      </c>
      <c r="F817" s="1" t="s">
        <v>91</v>
      </c>
      <c r="G817" s="1">
        <v>1</v>
      </c>
      <c r="H817" s="1">
        <v>3517</v>
      </c>
      <c r="I817" s="1">
        <v>0.05</v>
      </c>
      <c r="J817" s="1">
        <v>3341.15</v>
      </c>
      <c r="K817" s="1">
        <v>901.41</v>
      </c>
      <c r="L817" s="1" t="s">
        <v>23</v>
      </c>
      <c r="M817" s="1" t="str">
        <f>TEXT(Table1[[#This Row],[Order Date]],"mmm")</f>
        <v>Jun</v>
      </c>
      <c r="N817" s="1">
        <f>YEAR(Table1[[#This Row],[Order Date]])</f>
        <v>2023</v>
      </c>
    </row>
    <row r="818" spans="1:14" x14ac:dyDescent="0.35">
      <c r="A818" s="1" t="s">
        <v>1396</v>
      </c>
      <c r="B818" s="1" t="s">
        <v>1318</v>
      </c>
      <c r="C818" s="1" t="s">
        <v>20</v>
      </c>
      <c r="D818" s="1" t="s">
        <v>44</v>
      </c>
      <c r="E818" s="1" t="s">
        <v>28</v>
      </c>
      <c r="F818" s="1" t="s">
        <v>44</v>
      </c>
      <c r="G818" s="1">
        <v>4</v>
      </c>
      <c r="H818" s="1">
        <v>25374</v>
      </c>
      <c r="I818" s="1">
        <v>0.15</v>
      </c>
      <c r="J818" s="1">
        <v>86271.6</v>
      </c>
      <c r="K818" s="1">
        <v>22215.54</v>
      </c>
      <c r="L818" s="1" t="s">
        <v>70</v>
      </c>
      <c r="M818" s="1" t="str">
        <f>TEXT(Table1[[#This Row],[Order Date]],"mmm")</f>
        <v>Feb</v>
      </c>
      <c r="N818" s="1">
        <f>YEAR(Table1[[#This Row],[Order Date]])</f>
        <v>2023</v>
      </c>
    </row>
    <row r="819" spans="1:14" x14ac:dyDescent="0.35">
      <c r="A819" s="1" t="s">
        <v>1397</v>
      </c>
      <c r="B819" s="1" t="s">
        <v>337</v>
      </c>
      <c r="C819" s="1" t="s">
        <v>88</v>
      </c>
      <c r="D819" s="1" t="s">
        <v>95</v>
      </c>
      <c r="E819" s="1" t="s">
        <v>33</v>
      </c>
      <c r="F819" s="1" t="s">
        <v>95</v>
      </c>
      <c r="G819" s="1">
        <v>12</v>
      </c>
      <c r="H819" s="1">
        <v>24478</v>
      </c>
      <c r="I819" s="1">
        <v>0.1</v>
      </c>
      <c r="J819" s="1">
        <v>264362.40000000002</v>
      </c>
      <c r="K819" s="1">
        <v>22533.13</v>
      </c>
      <c r="L819" s="1" t="s">
        <v>17</v>
      </c>
      <c r="M819" s="1" t="str">
        <f>TEXT(Table1[[#This Row],[Order Date]],"mmm")</f>
        <v>May</v>
      </c>
      <c r="N819" s="1">
        <f>YEAR(Table1[[#This Row],[Order Date]])</f>
        <v>2024</v>
      </c>
    </row>
    <row r="820" spans="1:14" x14ac:dyDescent="0.35">
      <c r="A820" s="1" t="s">
        <v>1398</v>
      </c>
      <c r="B820" s="1" t="s">
        <v>439</v>
      </c>
      <c r="C820" s="1" t="s">
        <v>227</v>
      </c>
      <c r="D820" s="1" t="s">
        <v>32</v>
      </c>
      <c r="E820" s="1" t="s">
        <v>33</v>
      </c>
      <c r="F820" s="1" t="s">
        <v>32</v>
      </c>
      <c r="G820" s="1">
        <v>13</v>
      </c>
      <c r="H820" s="1">
        <v>28045</v>
      </c>
      <c r="I820" s="1">
        <v>0.15</v>
      </c>
      <c r="J820" s="1">
        <v>309897.25</v>
      </c>
      <c r="K820" s="1">
        <v>88915.92</v>
      </c>
      <c r="L820" s="1" t="s">
        <v>23</v>
      </c>
      <c r="M820" s="1" t="str">
        <f>TEXT(Table1[[#This Row],[Order Date]],"mmm")</f>
        <v>Jan</v>
      </c>
      <c r="N820" s="1">
        <f>YEAR(Table1[[#This Row],[Order Date]])</f>
        <v>2023</v>
      </c>
    </row>
    <row r="821" spans="1:14" x14ac:dyDescent="0.35">
      <c r="A821" s="1" t="s">
        <v>1399</v>
      </c>
      <c r="B821" s="1" t="s">
        <v>265</v>
      </c>
      <c r="C821" s="1" t="s">
        <v>162</v>
      </c>
      <c r="D821" s="1" t="s">
        <v>41</v>
      </c>
      <c r="E821" s="1" t="s">
        <v>16</v>
      </c>
      <c r="F821" s="1" t="s">
        <v>41</v>
      </c>
      <c r="G821" s="1">
        <v>9</v>
      </c>
      <c r="H821" s="1">
        <v>19346</v>
      </c>
      <c r="I821" s="1">
        <v>0.2</v>
      </c>
      <c r="J821" s="1">
        <v>139291.20000000001</v>
      </c>
      <c r="K821" s="1">
        <v>40624.03</v>
      </c>
      <c r="L821" s="1" t="s">
        <v>45</v>
      </c>
      <c r="M821" s="1" t="str">
        <f>TEXT(Table1[[#This Row],[Order Date]],"mmm")</f>
        <v>Aug</v>
      </c>
      <c r="N821" s="1">
        <f>YEAR(Table1[[#This Row],[Order Date]])</f>
        <v>2023</v>
      </c>
    </row>
    <row r="822" spans="1:14" x14ac:dyDescent="0.35">
      <c r="A822" s="1" t="s">
        <v>1400</v>
      </c>
      <c r="B822" s="1" t="s">
        <v>1401</v>
      </c>
      <c r="C822" s="1" t="s">
        <v>136</v>
      </c>
      <c r="D822" s="1" t="s">
        <v>32</v>
      </c>
      <c r="E822" s="1" t="s">
        <v>33</v>
      </c>
      <c r="F822" s="1" t="s">
        <v>32</v>
      </c>
      <c r="G822" s="1">
        <v>5</v>
      </c>
      <c r="H822" s="1">
        <v>27189</v>
      </c>
      <c r="I822" s="1">
        <v>0.1</v>
      </c>
      <c r="J822" s="1">
        <v>122350.5</v>
      </c>
      <c r="K822" s="1">
        <v>35200.629999999997</v>
      </c>
      <c r="L822" s="1" t="s">
        <v>45</v>
      </c>
      <c r="M822" s="1" t="str">
        <f>TEXT(Table1[[#This Row],[Order Date]],"mmm")</f>
        <v>Nov</v>
      </c>
      <c r="N822" s="1">
        <f>YEAR(Table1[[#This Row],[Order Date]])</f>
        <v>2023</v>
      </c>
    </row>
    <row r="823" spans="1:14" x14ac:dyDescent="0.35">
      <c r="A823" s="1" t="s">
        <v>1402</v>
      </c>
      <c r="B823" s="1" t="s">
        <v>567</v>
      </c>
      <c r="C823" s="1" t="s">
        <v>94</v>
      </c>
      <c r="D823" s="1" t="s">
        <v>64</v>
      </c>
      <c r="E823" s="1" t="s">
        <v>33</v>
      </c>
      <c r="F823" s="1" t="s">
        <v>64</v>
      </c>
      <c r="G823" s="1">
        <v>5</v>
      </c>
      <c r="H823" s="1">
        <v>12443</v>
      </c>
      <c r="I823" s="1">
        <v>0.1</v>
      </c>
      <c r="J823" s="1">
        <v>55993.5</v>
      </c>
      <c r="K823" s="1">
        <v>7874.11</v>
      </c>
      <c r="L823" s="1" t="s">
        <v>45</v>
      </c>
      <c r="M823" s="1" t="str">
        <f>TEXT(Table1[[#This Row],[Order Date]],"mmm")</f>
        <v>May</v>
      </c>
      <c r="N823" s="1">
        <f>YEAR(Table1[[#This Row],[Order Date]])</f>
        <v>2023</v>
      </c>
    </row>
    <row r="824" spans="1:14" x14ac:dyDescent="0.35">
      <c r="A824" s="1" t="s">
        <v>1403</v>
      </c>
      <c r="B824" s="1" t="s">
        <v>337</v>
      </c>
      <c r="C824" s="1" t="s">
        <v>67</v>
      </c>
      <c r="D824" s="1" t="s">
        <v>74</v>
      </c>
      <c r="E824" s="1" t="s">
        <v>22</v>
      </c>
      <c r="F824" s="1" t="s">
        <v>74</v>
      </c>
      <c r="G824" s="1">
        <v>12</v>
      </c>
      <c r="H824" s="1">
        <v>53927</v>
      </c>
      <c r="I824" s="1">
        <v>0.15</v>
      </c>
      <c r="J824" s="1">
        <v>550055.4</v>
      </c>
      <c r="K824" s="1">
        <v>120906.73</v>
      </c>
      <c r="L824" s="1" t="s">
        <v>45</v>
      </c>
      <c r="M824" s="1" t="str">
        <f>TEXT(Table1[[#This Row],[Order Date]],"mmm")</f>
        <v>May</v>
      </c>
      <c r="N824" s="1">
        <f>YEAR(Table1[[#This Row],[Order Date]])</f>
        <v>2024</v>
      </c>
    </row>
    <row r="825" spans="1:14" x14ac:dyDescent="0.35">
      <c r="A825" s="1" t="s">
        <v>1404</v>
      </c>
      <c r="B825" s="1" t="s">
        <v>1205</v>
      </c>
      <c r="C825" s="1" t="s">
        <v>40</v>
      </c>
      <c r="D825" s="1" t="s">
        <v>91</v>
      </c>
      <c r="E825" s="1" t="s">
        <v>16</v>
      </c>
      <c r="F825" s="1" t="s">
        <v>91</v>
      </c>
      <c r="G825" s="1">
        <v>5</v>
      </c>
      <c r="H825" s="1">
        <v>22785</v>
      </c>
      <c r="I825" s="1">
        <v>0.2</v>
      </c>
      <c r="J825" s="1">
        <v>91140</v>
      </c>
      <c r="K825" s="1">
        <v>20075.09</v>
      </c>
      <c r="L825" s="1" t="s">
        <v>23</v>
      </c>
      <c r="M825" s="1" t="str">
        <f>TEXT(Table1[[#This Row],[Order Date]],"mmm")</f>
        <v>Dec</v>
      </c>
      <c r="N825" s="1">
        <f>YEAR(Table1[[#This Row],[Order Date]])</f>
        <v>2023</v>
      </c>
    </row>
    <row r="826" spans="1:14" x14ac:dyDescent="0.35">
      <c r="A826" s="1" t="s">
        <v>1405</v>
      </c>
      <c r="B826" s="1" t="s">
        <v>1068</v>
      </c>
      <c r="C826" s="1" t="s">
        <v>362</v>
      </c>
      <c r="D826" s="1" t="s">
        <v>44</v>
      </c>
      <c r="E826" s="1" t="s">
        <v>28</v>
      </c>
      <c r="F826" s="1" t="s">
        <v>44</v>
      </c>
      <c r="G826" s="1">
        <v>15</v>
      </c>
      <c r="H826" s="1">
        <v>11367</v>
      </c>
      <c r="I826" s="1">
        <v>0</v>
      </c>
      <c r="J826" s="1">
        <v>170505</v>
      </c>
      <c r="K826" s="1">
        <v>38078.26</v>
      </c>
      <c r="L826" s="1" t="s">
        <v>45</v>
      </c>
      <c r="M826" s="1" t="str">
        <f>TEXT(Table1[[#This Row],[Order Date]],"mmm")</f>
        <v>Apr</v>
      </c>
      <c r="N826" s="1">
        <f>YEAR(Table1[[#This Row],[Order Date]])</f>
        <v>2023</v>
      </c>
    </row>
    <row r="827" spans="1:14" x14ac:dyDescent="0.35">
      <c r="A827" s="1" t="s">
        <v>1406</v>
      </c>
      <c r="B827" s="1" t="s">
        <v>829</v>
      </c>
      <c r="C827" s="1" t="s">
        <v>94</v>
      </c>
      <c r="D827" s="1" t="s">
        <v>64</v>
      </c>
      <c r="E827" s="1" t="s">
        <v>33</v>
      </c>
      <c r="F827" s="1" t="s">
        <v>64</v>
      </c>
      <c r="G827" s="1">
        <v>6</v>
      </c>
      <c r="H827" s="1">
        <v>47411</v>
      </c>
      <c r="I827" s="1">
        <v>0.05</v>
      </c>
      <c r="J827" s="1">
        <v>270242.7</v>
      </c>
      <c r="K827" s="1">
        <v>22706.61</v>
      </c>
      <c r="L827" s="1" t="s">
        <v>70</v>
      </c>
      <c r="M827" s="1" t="str">
        <f>TEXT(Table1[[#This Row],[Order Date]],"mmm")</f>
        <v>Aug</v>
      </c>
      <c r="N827" s="1">
        <f>YEAR(Table1[[#This Row],[Order Date]])</f>
        <v>2024</v>
      </c>
    </row>
    <row r="828" spans="1:14" x14ac:dyDescent="0.35">
      <c r="A828" s="1" t="s">
        <v>1407</v>
      </c>
      <c r="B828" s="1" t="s">
        <v>139</v>
      </c>
      <c r="C828" s="1" t="s">
        <v>59</v>
      </c>
      <c r="D828" s="1" t="s">
        <v>179</v>
      </c>
      <c r="E828" s="1" t="s">
        <v>28</v>
      </c>
      <c r="F828" s="1" t="s">
        <v>179</v>
      </c>
      <c r="G828" s="1">
        <v>11</v>
      </c>
      <c r="H828" s="1">
        <v>4178</v>
      </c>
      <c r="I828" s="1">
        <v>0.05</v>
      </c>
      <c r="J828" s="1">
        <v>43660.1</v>
      </c>
      <c r="K828" s="1">
        <v>10588.24</v>
      </c>
      <c r="L828" s="1" t="s">
        <v>23</v>
      </c>
      <c r="M828" s="1" t="str">
        <f>TEXT(Table1[[#This Row],[Order Date]],"mmm")</f>
        <v>Dec</v>
      </c>
      <c r="N828" s="1">
        <f>YEAR(Table1[[#This Row],[Order Date]])</f>
        <v>2023</v>
      </c>
    </row>
    <row r="829" spans="1:14" x14ac:dyDescent="0.35">
      <c r="A829" s="1" t="s">
        <v>1408</v>
      </c>
      <c r="B829" s="1" t="s">
        <v>774</v>
      </c>
      <c r="C829" s="1" t="s">
        <v>170</v>
      </c>
      <c r="D829" s="1" t="s">
        <v>27</v>
      </c>
      <c r="E829" s="1" t="s">
        <v>28</v>
      </c>
      <c r="F829" s="1" t="s">
        <v>27</v>
      </c>
      <c r="G829" s="1">
        <v>5</v>
      </c>
      <c r="H829" s="1">
        <v>28492</v>
      </c>
      <c r="I829" s="1">
        <v>0.15</v>
      </c>
      <c r="J829" s="1">
        <v>121091</v>
      </c>
      <c r="K829" s="1">
        <v>12947.62</v>
      </c>
      <c r="L829" s="1" t="s">
        <v>45</v>
      </c>
      <c r="M829" s="1" t="str">
        <f>TEXT(Table1[[#This Row],[Order Date]],"mmm")</f>
        <v>Mar</v>
      </c>
      <c r="N829" s="1">
        <f>YEAR(Table1[[#This Row],[Order Date]])</f>
        <v>2024</v>
      </c>
    </row>
    <row r="830" spans="1:14" x14ac:dyDescent="0.35">
      <c r="A830" s="1" t="s">
        <v>1409</v>
      </c>
      <c r="B830" s="1" t="s">
        <v>742</v>
      </c>
      <c r="C830" s="1" t="s">
        <v>640</v>
      </c>
      <c r="D830" s="1" t="s">
        <v>60</v>
      </c>
      <c r="E830" s="1" t="s">
        <v>33</v>
      </c>
      <c r="F830" s="1" t="s">
        <v>60</v>
      </c>
      <c r="G830" s="1">
        <v>4</v>
      </c>
      <c r="H830" s="1">
        <v>18584</v>
      </c>
      <c r="I830" s="1">
        <v>0</v>
      </c>
      <c r="J830" s="1">
        <v>74336</v>
      </c>
      <c r="K830" s="1">
        <v>7190.56</v>
      </c>
      <c r="L830" s="1" t="s">
        <v>23</v>
      </c>
      <c r="M830" s="1" t="str">
        <f>TEXT(Table1[[#This Row],[Order Date]],"mmm")</f>
        <v>Aug</v>
      </c>
      <c r="N830" s="1">
        <f>YEAR(Table1[[#This Row],[Order Date]])</f>
        <v>2023</v>
      </c>
    </row>
    <row r="831" spans="1:14" x14ac:dyDescent="0.35">
      <c r="A831" s="1" t="s">
        <v>1410</v>
      </c>
      <c r="B831" s="1" t="s">
        <v>1411</v>
      </c>
      <c r="C831" s="1" t="s">
        <v>31</v>
      </c>
      <c r="D831" s="1" t="s">
        <v>85</v>
      </c>
      <c r="E831" s="1" t="s">
        <v>28</v>
      </c>
      <c r="F831" s="1" t="s">
        <v>85</v>
      </c>
      <c r="G831" s="1">
        <v>9</v>
      </c>
      <c r="H831" s="1">
        <v>56224</v>
      </c>
      <c r="I831" s="1">
        <v>0.05</v>
      </c>
      <c r="J831" s="1">
        <v>480715.2</v>
      </c>
      <c r="K831" s="1">
        <v>103913.41</v>
      </c>
      <c r="L831" s="1" t="s">
        <v>23</v>
      </c>
      <c r="M831" s="1" t="str">
        <f>TEXT(Table1[[#This Row],[Order Date]],"mmm")</f>
        <v>Oct</v>
      </c>
      <c r="N831" s="1">
        <f>YEAR(Table1[[#This Row],[Order Date]])</f>
        <v>2023</v>
      </c>
    </row>
    <row r="832" spans="1:14" x14ac:dyDescent="0.35">
      <c r="A832" s="1" t="s">
        <v>1412</v>
      </c>
      <c r="B832" s="1" t="s">
        <v>785</v>
      </c>
      <c r="C832" s="1" t="s">
        <v>14</v>
      </c>
      <c r="D832" s="1" t="s">
        <v>293</v>
      </c>
      <c r="E832" s="1" t="s">
        <v>33</v>
      </c>
      <c r="F832" s="1" t="s">
        <v>293</v>
      </c>
      <c r="G832" s="1">
        <v>6</v>
      </c>
      <c r="H832" s="1">
        <v>24152</v>
      </c>
      <c r="I832" s="1">
        <v>0.2</v>
      </c>
      <c r="J832" s="1">
        <v>115929.60000000001</v>
      </c>
      <c r="K832" s="1">
        <v>29665.39</v>
      </c>
      <c r="L832" s="1" t="s">
        <v>45</v>
      </c>
      <c r="M832" s="1" t="str">
        <f>TEXT(Table1[[#This Row],[Order Date]],"mmm")</f>
        <v>Apr</v>
      </c>
      <c r="N832" s="1">
        <f>YEAR(Table1[[#This Row],[Order Date]])</f>
        <v>2023</v>
      </c>
    </row>
    <row r="833" spans="1:14" x14ac:dyDescent="0.35">
      <c r="A833" s="1" t="s">
        <v>1413</v>
      </c>
      <c r="B833" s="1" t="s">
        <v>1414</v>
      </c>
      <c r="C833" s="1" t="s">
        <v>107</v>
      </c>
      <c r="D833" s="1" t="s">
        <v>32</v>
      </c>
      <c r="E833" s="1" t="s">
        <v>33</v>
      </c>
      <c r="F833" s="1" t="s">
        <v>32</v>
      </c>
      <c r="G833" s="1">
        <v>13</v>
      </c>
      <c r="H833" s="1">
        <v>43632</v>
      </c>
      <c r="I833" s="1">
        <v>0.05</v>
      </c>
      <c r="J833" s="1">
        <v>538855.19999999995</v>
      </c>
      <c r="K833" s="1">
        <v>70048.679999999993</v>
      </c>
      <c r="L833" s="1" t="s">
        <v>70</v>
      </c>
      <c r="M833" s="1" t="str">
        <f>TEXT(Table1[[#This Row],[Order Date]],"mmm")</f>
        <v>Aug</v>
      </c>
      <c r="N833" s="1">
        <f>YEAR(Table1[[#This Row],[Order Date]])</f>
        <v>2024</v>
      </c>
    </row>
    <row r="834" spans="1:14" x14ac:dyDescent="0.35">
      <c r="A834" s="1" t="s">
        <v>1415</v>
      </c>
      <c r="B834" s="1" t="s">
        <v>1416</v>
      </c>
      <c r="C834" s="1" t="s">
        <v>175</v>
      </c>
      <c r="D834" s="1" t="s">
        <v>114</v>
      </c>
      <c r="E834" s="1" t="s">
        <v>16</v>
      </c>
      <c r="F834" s="1" t="s">
        <v>114</v>
      </c>
      <c r="G834" s="1">
        <v>2</v>
      </c>
      <c r="H834" s="1">
        <v>24380</v>
      </c>
      <c r="I834" s="1">
        <v>0.2</v>
      </c>
      <c r="J834" s="1">
        <v>39008</v>
      </c>
      <c r="K834" s="1">
        <v>3552.22</v>
      </c>
      <c r="L834" s="1" t="s">
        <v>17</v>
      </c>
      <c r="M834" s="1" t="str">
        <f>TEXT(Table1[[#This Row],[Order Date]],"mmm")</f>
        <v>Jan</v>
      </c>
      <c r="N834" s="1">
        <f>YEAR(Table1[[#This Row],[Order Date]])</f>
        <v>2023</v>
      </c>
    </row>
    <row r="835" spans="1:14" x14ac:dyDescent="0.35">
      <c r="A835" s="1" t="s">
        <v>1417</v>
      </c>
      <c r="B835" s="1" t="s">
        <v>1418</v>
      </c>
      <c r="C835" s="1" t="s">
        <v>188</v>
      </c>
      <c r="D835" s="1" t="s">
        <v>85</v>
      </c>
      <c r="E835" s="1" t="s">
        <v>28</v>
      </c>
      <c r="F835" s="1" t="s">
        <v>85</v>
      </c>
      <c r="G835" s="1">
        <v>12</v>
      </c>
      <c r="H835" s="1">
        <v>10521</v>
      </c>
      <c r="I835" s="1">
        <v>0.15</v>
      </c>
      <c r="J835" s="1">
        <v>107314.2</v>
      </c>
      <c r="K835" s="1">
        <v>15461.94</v>
      </c>
      <c r="L835" s="1" t="s">
        <v>70</v>
      </c>
      <c r="M835" s="1" t="str">
        <f>TEXT(Table1[[#This Row],[Order Date]],"mmm")</f>
        <v>Nov</v>
      </c>
      <c r="N835" s="1">
        <f>YEAR(Table1[[#This Row],[Order Date]])</f>
        <v>2024</v>
      </c>
    </row>
    <row r="836" spans="1:14" x14ac:dyDescent="0.35">
      <c r="A836" s="1" t="s">
        <v>1419</v>
      </c>
      <c r="B836" s="1" t="s">
        <v>1420</v>
      </c>
      <c r="C836" s="1" t="s">
        <v>98</v>
      </c>
      <c r="D836" s="1" t="s">
        <v>108</v>
      </c>
      <c r="E836" s="1" t="s">
        <v>22</v>
      </c>
      <c r="F836" s="1" t="s">
        <v>108</v>
      </c>
      <c r="G836" s="1">
        <v>1</v>
      </c>
      <c r="H836" s="1">
        <v>54580</v>
      </c>
      <c r="I836" s="1">
        <v>0.15</v>
      </c>
      <c r="J836" s="1">
        <v>46393</v>
      </c>
      <c r="K836" s="1">
        <v>7156.26</v>
      </c>
      <c r="L836" s="1" t="s">
        <v>45</v>
      </c>
      <c r="M836" s="1" t="str">
        <f>TEXT(Table1[[#This Row],[Order Date]],"mmm")</f>
        <v>Apr</v>
      </c>
      <c r="N836" s="1">
        <f>YEAR(Table1[[#This Row],[Order Date]])</f>
        <v>2024</v>
      </c>
    </row>
    <row r="837" spans="1:14" x14ac:dyDescent="0.35">
      <c r="A837" s="1" t="s">
        <v>1421</v>
      </c>
      <c r="B837" s="1" t="s">
        <v>850</v>
      </c>
      <c r="C837" s="1" t="s">
        <v>136</v>
      </c>
      <c r="D837" s="1" t="s">
        <v>167</v>
      </c>
      <c r="E837" s="1" t="s">
        <v>16</v>
      </c>
      <c r="F837" s="1" t="s">
        <v>167</v>
      </c>
      <c r="G837" s="1">
        <v>13</v>
      </c>
      <c r="H837" s="1">
        <v>32372</v>
      </c>
      <c r="I837" s="1">
        <v>0.15</v>
      </c>
      <c r="J837" s="1">
        <v>357710.6</v>
      </c>
      <c r="K837" s="1">
        <v>58835.040000000001</v>
      </c>
      <c r="L837" s="1" t="s">
        <v>23</v>
      </c>
      <c r="M837" s="1" t="str">
        <f>TEXT(Table1[[#This Row],[Order Date]],"mmm")</f>
        <v>May</v>
      </c>
      <c r="N837" s="1">
        <f>YEAR(Table1[[#This Row],[Order Date]])</f>
        <v>2024</v>
      </c>
    </row>
    <row r="838" spans="1:14" x14ac:dyDescent="0.35">
      <c r="A838" s="1" t="s">
        <v>1422</v>
      </c>
      <c r="B838" s="1" t="s">
        <v>1423</v>
      </c>
      <c r="C838" s="1" t="s">
        <v>335</v>
      </c>
      <c r="D838" s="1" t="s">
        <v>133</v>
      </c>
      <c r="E838" s="1" t="s">
        <v>22</v>
      </c>
      <c r="F838" s="1" t="s">
        <v>133</v>
      </c>
      <c r="G838" s="1">
        <v>3</v>
      </c>
      <c r="H838" s="1">
        <v>58662</v>
      </c>
      <c r="I838" s="1">
        <v>0.15</v>
      </c>
      <c r="J838" s="1">
        <v>149588.1</v>
      </c>
      <c r="K838" s="1">
        <v>17442.21</v>
      </c>
      <c r="L838" s="1" t="s">
        <v>23</v>
      </c>
      <c r="M838" s="1" t="str">
        <f>TEXT(Table1[[#This Row],[Order Date]],"mmm")</f>
        <v>Nov</v>
      </c>
      <c r="N838" s="1">
        <f>YEAR(Table1[[#This Row],[Order Date]])</f>
        <v>2023</v>
      </c>
    </row>
    <row r="839" spans="1:14" x14ac:dyDescent="0.35">
      <c r="A839" s="1" t="s">
        <v>1424</v>
      </c>
      <c r="B839" s="1" t="s">
        <v>1361</v>
      </c>
      <c r="C839" s="1" t="s">
        <v>332</v>
      </c>
      <c r="D839" s="1" t="s">
        <v>323</v>
      </c>
      <c r="E839" s="1" t="s">
        <v>33</v>
      </c>
      <c r="F839" s="1" t="s">
        <v>323</v>
      </c>
      <c r="G839" s="1">
        <v>11</v>
      </c>
      <c r="H839" s="1">
        <v>21891</v>
      </c>
      <c r="I839" s="1">
        <v>0</v>
      </c>
      <c r="J839" s="1">
        <v>240801</v>
      </c>
      <c r="K839" s="1">
        <v>31360.2</v>
      </c>
      <c r="L839" s="1" t="s">
        <v>70</v>
      </c>
      <c r="M839" s="1" t="str">
        <f>TEXT(Table1[[#This Row],[Order Date]],"mmm")</f>
        <v>Apr</v>
      </c>
      <c r="N839" s="1">
        <f>YEAR(Table1[[#This Row],[Order Date]])</f>
        <v>2023</v>
      </c>
    </row>
    <row r="840" spans="1:14" x14ac:dyDescent="0.35">
      <c r="A840" s="1" t="s">
        <v>1425</v>
      </c>
      <c r="B840" s="1" t="s">
        <v>763</v>
      </c>
      <c r="C840" s="1" t="s">
        <v>162</v>
      </c>
      <c r="D840" s="1" t="s">
        <v>151</v>
      </c>
      <c r="E840" s="1" t="s">
        <v>22</v>
      </c>
      <c r="F840" s="1" t="s">
        <v>151</v>
      </c>
      <c r="G840" s="1">
        <v>8</v>
      </c>
      <c r="H840" s="1">
        <v>40544</v>
      </c>
      <c r="I840" s="1">
        <v>0.2</v>
      </c>
      <c r="J840" s="1">
        <v>259481.60000000001</v>
      </c>
      <c r="K840" s="1">
        <v>43675</v>
      </c>
      <c r="L840" s="1" t="s">
        <v>70</v>
      </c>
      <c r="M840" s="1" t="str">
        <f>TEXT(Table1[[#This Row],[Order Date]],"mmm")</f>
        <v>Oct</v>
      </c>
      <c r="N840" s="1">
        <f>YEAR(Table1[[#This Row],[Order Date]])</f>
        <v>2024</v>
      </c>
    </row>
    <row r="841" spans="1:14" x14ac:dyDescent="0.35">
      <c r="A841" s="1" t="s">
        <v>1426</v>
      </c>
      <c r="B841" s="1" t="s">
        <v>1427</v>
      </c>
      <c r="C841" s="1" t="s">
        <v>227</v>
      </c>
      <c r="D841" s="1" t="s">
        <v>74</v>
      </c>
      <c r="E841" s="1" t="s">
        <v>22</v>
      </c>
      <c r="F841" s="1" t="s">
        <v>74</v>
      </c>
      <c r="G841" s="1">
        <v>4</v>
      </c>
      <c r="H841" s="1">
        <v>37405</v>
      </c>
      <c r="I841" s="1">
        <v>0.15</v>
      </c>
      <c r="J841" s="1">
        <v>127177</v>
      </c>
      <c r="K841" s="1">
        <v>22037.02</v>
      </c>
      <c r="L841" s="1" t="s">
        <v>23</v>
      </c>
      <c r="M841" s="1" t="str">
        <f>TEXT(Table1[[#This Row],[Order Date]],"mmm")</f>
        <v>Oct</v>
      </c>
      <c r="N841" s="1">
        <f>YEAR(Table1[[#This Row],[Order Date]])</f>
        <v>2024</v>
      </c>
    </row>
    <row r="842" spans="1:14" x14ac:dyDescent="0.35">
      <c r="A842" s="1" t="s">
        <v>1428</v>
      </c>
      <c r="B842" s="1" t="s">
        <v>1295</v>
      </c>
      <c r="C842" s="1" t="s">
        <v>120</v>
      </c>
      <c r="D842" s="1" t="s">
        <v>108</v>
      </c>
      <c r="E842" s="1" t="s">
        <v>22</v>
      </c>
      <c r="F842" s="1" t="s">
        <v>108</v>
      </c>
      <c r="G842" s="1">
        <v>5</v>
      </c>
      <c r="H842" s="1">
        <v>31418</v>
      </c>
      <c r="I842" s="1">
        <v>0.2</v>
      </c>
      <c r="J842" s="1">
        <v>125672</v>
      </c>
      <c r="K842" s="1">
        <v>10612.05</v>
      </c>
      <c r="L842" s="1" t="s">
        <v>17</v>
      </c>
      <c r="M842" s="1" t="str">
        <f>TEXT(Table1[[#This Row],[Order Date]],"mmm")</f>
        <v>Oct</v>
      </c>
      <c r="N842" s="1">
        <f>YEAR(Table1[[#This Row],[Order Date]])</f>
        <v>2024</v>
      </c>
    </row>
    <row r="843" spans="1:14" x14ac:dyDescent="0.35">
      <c r="A843" s="1" t="s">
        <v>1429</v>
      </c>
      <c r="B843" s="1" t="s">
        <v>187</v>
      </c>
      <c r="C843" s="1" t="s">
        <v>31</v>
      </c>
      <c r="D843" s="1" t="s">
        <v>95</v>
      </c>
      <c r="E843" s="1" t="s">
        <v>33</v>
      </c>
      <c r="F843" s="1" t="s">
        <v>95</v>
      </c>
      <c r="G843" s="1">
        <v>8</v>
      </c>
      <c r="H843" s="1">
        <v>39386</v>
      </c>
      <c r="I843" s="1">
        <v>0.15</v>
      </c>
      <c r="J843" s="1">
        <v>267824.8</v>
      </c>
      <c r="K843" s="1">
        <v>32477.86</v>
      </c>
      <c r="L843" s="1" t="s">
        <v>45</v>
      </c>
      <c r="M843" s="1" t="str">
        <f>TEXT(Table1[[#This Row],[Order Date]],"mmm")</f>
        <v>Sep</v>
      </c>
      <c r="N843" s="1">
        <f>YEAR(Table1[[#This Row],[Order Date]])</f>
        <v>2024</v>
      </c>
    </row>
    <row r="844" spans="1:14" x14ac:dyDescent="0.35">
      <c r="A844" s="1" t="s">
        <v>1430</v>
      </c>
      <c r="B844" s="1" t="s">
        <v>1431</v>
      </c>
      <c r="C844" s="1" t="s">
        <v>63</v>
      </c>
      <c r="D844" s="1" t="s">
        <v>114</v>
      </c>
      <c r="E844" s="1" t="s">
        <v>16</v>
      </c>
      <c r="F844" s="1" t="s">
        <v>114</v>
      </c>
      <c r="G844" s="1">
        <v>10</v>
      </c>
      <c r="H844" s="1">
        <v>38935</v>
      </c>
      <c r="I844" s="1">
        <v>0.05</v>
      </c>
      <c r="J844" s="1">
        <v>369882.5</v>
      </c>
      <c r="K844" s="1">
        <v>65935.679999999993</v>
      </c>
      <c r="L844" s="1" t="s">
        <v>45</v>
      </c>
      <c r="M844" s="1" t="str">
        <f>TEXT(Table1[[#This Row],[Order Date]],"mmm")</f>
        <v>Feb</v>
      </c>
      <c r="N844" s="1">
        <f>YEAR(Table1[[#This Row],[Order Date]])</f>
        <v>2023</v>
      </c>
    </row>
    <row r="845" spans="1:14" x14ac:dyDescent="0.35">
      <c r="A845" s="1" t="s">
        <v>1432</v>
      </c>
      <c r="B845" s="1" t="s">
        <v>183</v>
      </c>
      <c r="C845" s="1" t="s">
        <v>55</v>
      </c>
      <c r="D845" s="1" t="s">
        <v>37</v>
      </c>
      <c r="E845" s="1" t="s">
        <v>16</v>
      </c>
      <c r="F845" s="1" t="s">
        <v>37</v>
      </c>
      <c r="G845" s="1">
        <v>9</v>
      </c>
      <c r="H845" s="1">
        <v>44616</v>
      </c>
      <c r="I845" s="1">
        <v>0.1</v>
      </c>
      <c r="J845" s="1">
        <v>361389.6</v>
      </c>
      <c r="K845" s="1">
        <v>46531.11</v>
      </c>
      <c r="L845" s="1" t="s">
        <v>23</v>
      </c>
      <c r="M845" s="1" t="str">
        <f>TEXT(Table1[[#This Row],[Order Date]],"mmm")</f>
        <v>Jul</v>
      </c>
      <c r="N845" s="1">
        <f>YEAR(Table1[[#This Row],[Order Date]])</f>
        <v>2024</v>
      </c>
    </row>
    <row r="846" spans="1:14" x14ac:dyDescent="0.35">
      <c r="A846" s="1" t="s">
        <v>1433</v>
      </c>
      <c r="B846" s="1" t="s">
        <v>223</v>
      </c>
      <c r="C846" s="1" t="s">
        <v>191</v>
      </c>
      <c r="D846" s="1" t="s">
        <v>27</v>
      </c>
      <c r="E846" s="1" t="s">
        <v>28</v>
      </c>
      <c r="F846" s="1" t="s">
        <v>27</v>
      </c>
      <c r="G846" s="1">
        <v>7</v>
      </c>
      <c r="H846" s="1">
        <v>23121</v>
      </c>
      <c r="I846" s="1">
        <v>0</v>
      </c>
      <c r="J846" s="1">
        <v>161847</v>
      </c>
      <c r="K846" s="1">
        <v>39212.76</v>
      </c>
      <c r="L846" s="1" t="s">
        <v>45</v>
      </c>
      <c r="M846" s="1" t="str">
        <f>TEXT(Table1[[#This Row],[Order Date]],"mmm")</f>
        <v>Jan</v>
      </c>
      <c r="N846" s="1">
        <f>YEAR(Table1[[#This Row],[Order Date]])</f>
        <v>2024</v>
      </c>
    </row>
    <row r="847" spans="1:14" x14ac:dyDescent="0.35">
      <c r="A847" s="1" t="s">
        <v>1434</v>
      </c>
      <c r="B847" s="1" t="s">
        <v>939</v>
      </c>
      <c r="C847" s="1" t="s">
        <v>117</v>
      </c>
      <c r="D847" s="1" t="s">
        <v>151</v>
      </c>
      <c r="E847" s="1" t="s">
        <v>22</v>
      </c>
      <c r="F847" s="1" t="s">
        <v>151</v>
      </c>
      <c r="G847" s="1">
        <v>6</v>
      </c>
      <c r="H847" s="1">
        <v>22021</v>
      </c>
      <c r="I847" s="1">
        <v>0.2</v>
      </c>
      <c r="J847" s="1">
        <v>105700.8</v>
      </c>
      <c r="K847" s="1">
        <v>13570.41</v>
      </c>
      <c r="L847" s="1" t="s">
        <v>23</v>
      </c>
      <c r="M847" s="1" t="str">
        <f>TEXT(Table1[[#This Row],[Order Date]],"mmm")</f>
        <v>Apr</v>
      </c>
      <c r="N847" s="1">
        <f>YEAR(Table1[[#This Row],[Order Date]])</f>
        <v>2024</v>
      </c>
    </row>
    <row r="848" spans="1:14" x14ac:dyDescent="0.35">
      <c r="A848" s="1" t="s">
        <v>1435</v>
      </c>
      <c r="B848" s="1" t="s">
        <v>1025</v>
      </c>
      <c r="C848" s="1" t="s">
        <v>507</v>
      </c>
      <c r="D848" s="1" t="s">
        <v>167</v>
      </c>
      <c r="E848" s="1" t="s">
        <v>16</v>
      </c>
      <c r="F848" s="1" t="s">
        <v>167</v>
      </c>
      <c r="G848" s="1">
        <v>4</v>
      </c>
      <c r="H848" s="1">
        <v>25453</v>
      </c>
      <c r="I848" s="1">
        <v>0.2</v>
      </c>
      <c r="J848" s="1">
        <v>81449.600000000006</v>
      </c>
      <c r="K848" s="1">
        <v>14404.16</v>
      </c>
      <c r="L848" s="1" t="s">
        <v>17</v>
      </c>
      <c r="M848" s="1" t="str">
        <f>TEXT(Table1[[#This Row],[Order Date]],"mmm")</f>
        <v>Mar</v>
      </c>
      <c r="N848" s="1">
        <f>YEAR(Table1[[#This Row],[Order Date]])</f>
        <v>2023</v>
      </c>
    </row>
    <row r="849" spans="1:14" x14ac:dyDescent="0.35">
      <c r="A849" s="1" t="s">
        <v>1436</v>
      </c>
      <c r="B849" s="1" t="s">
        <v>39</v>
      </c>
      <c r="C849" s="1" t="s">
        <v>140</v>
      </c>
      <c r="D849" s="1" t="s">
        <v>85</v>
      </c>
      <c r="E849" s="1" t="s">
        <v>28</v>
      </c>
      <c r="F849" s="1" t="s">
        <v>85</v>
      </c>
      <c r="G849" s="1">
        <v>15</v>
      </c>
      <c r="H849" s="1">
        <v>20001</v>
      </c>
      <c r="I849" s="1">
        <v>0.15</v>
      </c>
      <c r="J849" s="1">
        <v>255012.75</v>
      </c>
      <c r="K849" s="1">
        <v>22668.26</v>
      </c>
      <c r="L849" s="1" t="s">
        <v>70</v>
      </c>
      <c r="M849" s="1" t="str">
        <f>TEXT(Table1[[#This Row],[Order Date]],"mmm")</f>
        <v>Nov</v>
      </c>
      <c r="N849" s="1">
        <f>YEAR(Table1[[#This Row],[Order Date]])</f>
        <v>2023</v>
      </c>
    </row>
    <row r="850" spans="1:14" x14ac:dyDescent="0.35">
      <c r="A850" s="1" t="s">
        <v>1437</v>
      </c>
      <c r="B850" s="1" t="s">
        <v>1438</v>
      </c>
      <c r="C850" s="1" t="s">
        <v>63</v>
      </c>
      <c r="D850" s="1" t="s">
        <v>44</v>
      </c>
      <c r="E850" s="1" t="s">
        <v>28</v>
      </c>
      <c r="F850" s="1" t="s">
        <v>44</v>
      </c>
      <c r="G850" s="1">
        <v>7</v>
      </c>
      <c r="H850" s="1">
        <v>53477</v>
      </c>
      <c r="I850" s="1">
        <v>0.2</v>
      </c>
      <c r="J850" s="1">
        <v>299471.2</v>
      </c>
      <c r="K850" s="1">
        <v>68448.490000000005</v>
      </c>
      <c r="L850" s="1" t="s">
        <v>17</v>
      </c>
      <c r="M850" s="1" t="str">
        <f>TEXT(Table1[[#This Row],[Order Date]],"mmm")</f>
        <v>Nov</v>
      </c>
      <c r="N850" s="1">
        <f>YEAR(Table1[[#This Row],[Order Date]])</f>
        <v>2024</v>
      </c>
    </row>
    <row r="851" spans="1:14" x14ac:dyDescent="0.35">
      <c r="A851" s="1" t="s">
        <v>1439</v>
      </c>
      <c r="B851" s="1" t="s">
        <v>1440</v>
      </c>
      <c r="C851" s="1" t="s">
        <v>349</v>
      </c>
      <c r="D851" s="1" t="s">
        <v>224</v>
      </c>
      <c r="E851" s="1" t="s">
        <v>33</v>
      </c>
      <c r="F851" s="1" t="s">
        <v>224</v>
      </c>
      <c r="G851" s="1">
        <v>5</v>
      </c>
      <c r="H851" s="1">
        <v>22880</v>
      </c>
      <c r="I851" s="1">
        <v>0.1</v>
      </c>
      <c r="J851" s="1">
        <v>102960</v>
      </c>
      <c r="K851" s="1">
        <v>15027.44</v>
      </c>
      <c r="L851" s="1" t="s">
        <v>70</v>
      </c>
      <c r="M851" s="1" t="str">
        <f>TEXT(Table1[[#This Row],[Order Date]],"mmm")</f>
        <v>Mar</v>
      </c>
      <c r="N851" s="1">
        <f>YEAR(Table1[[#This Row],[Order Date]])</f>
        <v>2023</v>
      </c>
    </row>
    <row r="852" spans="1:14" x14ac:dyDescent="0.35">
      <c r="A852" s="1" t="s">
        <v>1441</v>
      </c>
      <c r="B852" s="1" t="s">
        <v>948</v>
      </c>
      <c r="C852" s="1" t="s">
        <v>200</v>
      </c>
      <c r="D852" s="1" t="s">
        <v>133</v>
      </c>
      <c r="E852" s="1" t="s">
        <v>22</v>
      </c>
      <c r="F852" s="1" t="s">
        <v>133</v>
      </c>
      <c r="G852" s="1">
        <v>10</v>
      </c>
      <c r="H852" s="1">
        <v>17490</v>
      </c>
      <c r="I852" s="1">
        <v>0.1</v>
      </c>
      <c r="J852" s="1">
        <v>157410</v>
      </c>
      <c r="K852" s="1">
        <v>44425.51</v>
      </c>
      <c r="L852" s="1" t="s">
        <v>17</v>
      </c>
      <c r="M852" s="1" t="str">
        <f>TEXT(Table1[[#This Row],[Order Date]],"mmm")</f>
        <v>Dec</v>
      </c>
      <c r="N852" s="1">
        <f>YEAR(Table1[[#This Row],[Order Date]])</f>
        <v>2023</v>
      </c>
    </row>
    <row r="853" spans="1:14" x14ac:dyDescent="0.35">
      <c r="A853" s="1" t="s">
        <v>1442</v>
      </c>
      <c r="B853" s="1" t="s">
        <v>1443</v>
      </c>
      <c r="C853" s="1" t="s">
        <v>191</v>
      </c>
      <c r="D853" s="1" t="s">
        <v>179</v>
      </c>
      <c r="E853" s="1" t="s">
        <v>28</v>
      </c>
      <c r="F853" s="1" t="s">
        <v>179</v>
      </c>
      <c r="G853" s="1">
        <v>12</v>
      </c>
      <c r="H853" s="1">
        <v>18515</v>
      </c>
      <c r="I853" s="1">
        <v>0.05</v>
      </c>
      <c r="J853" s="1">
        <v>211071</v>
      </c>
      <c r="K853" s="1">
        <v>50860.45</v>
      </c>
      <c r="L853" s="1" t="s">
        <v>17</v>
      </c>
      <c r="M853" s="1" t="str">
        <f>TEXT(Table1[[#This Row],[Order Date]],"mmm")</f>
        <v>Aug</v>
      </c>
      <c r="N853" s="1">
        <f>YEAR(Table1[[#This Row],[Order Date]])</f>
        <v>2023</v>
      </c>
    </row>
    <row r="854" spans="1:14" x14ac:dyDescent="0.35">
      <c r="A854" s="1" t="s">
        <v>1444</v>
      </c>
      <c r="B854" s="1" t="s">
        <v>1445</v>
      </c>
      <c r="C854" s="1" t="s">
        <v>140</v>
      </c>
      <c r="D854" s="1" t="s">
        <v>44</v>
      </c>
      <c r="E854" s="1" t="s">
        <v>28</v>
      </c>
      <c r="F854" s="1" t="s">
        <v>44</v>
      </c>
      <c r="G854" s="1">
        <v>3</v>
      </c>
      <c r="H854" s="1">
        <v>1846</v>
      </c>
      <c r="I854" s="1">
        <v>0.2</v>
      </c>
      <c r="J854" s="1">
        <v>4430.3999999999996</v>
      </c>
      <c r="K854" s="1">
        <v>1213.95</v>
      </c>
      <c r="L854" s="1" t="s">
        <v>17</v>
      </c>
      <c r="M854" s="1" t="str">
        <f>TEXT(Table1[[#This Row],[Order Date]],"mmm")</f>
        <v>Jun</v>
      </c>
      <c r="N854" s="1">
        <f>YEAR(Table1[[#This Row],[Order Date]])</f>
        <v>2023</v>
      </c>
    </row>
    <row r="855" spans="1:14" x14ac:dyDescent="0.35">
      <c r="A855" s="1" t="s">
        <v>1446</v>
      </c>
      <c r="B855" s="1" t="s">
        <v>565</v>
      </c>
      <c r="C855" s="1" t="s">
        <v>120</v>
      </c>
      <c r="D855" s="1" t="s">
        <v>32</v>
      </c>
      <c r="E855" s="1" t="s">
        <v>33</v>
      </c>
      <c r="F855" s="1" t="s">
        <v>32</v>
      </c>
      <c r="G855" s="1">
        <v>12</v>
      </c>
      <c r="H855" s="1">
        <v>19213</v>
      </c>
      <c r="I855" s="1">
        <v>0</v>
      </c>
      <c r="J855" s="1">
        <v>230556</v>
      </c>
      <c r="K855" s="1">
        <v>59502.11</v>
      </c>
      <c r="L855" s="1" t="s">
        <v>70</v>
      </c>
      <c r="M855" s="1" t="str">
        <f>TEXT(Table1[[#This Row],[Order Date]],"mmm")</f>
        <v>Nov</v>
      </c>
      <c r="N855" s="1">
        <f>YEAR(Table1[[#This Row],[Order Date]])</f>
        <v>2024</v>
      </c>
    </row>
    <row r="856" spans="1:14" x14ac:dyDescent="0.35">
      <c r="A856" s="1" t="s">
        <v>1447</v>
      </c>
      <c r="B856" s="1" t="s">
        <v>1124</v>
      </c>
      <c r="C856" s="1" t="s">
        <v>104</v>
      </c>
      <c r="D856" s="1" t="s">
        <v>179</v>
      </c>
      <c r="E856" s="1" t="s">
        <v>28</v>
      </c>
      <c r="F856" s="1" t="s">
        <v>179</v>
      </c>
      <c r="G856" s="1">
        <v>3</v>
      </c>
      <c r="H856" s="1">
        <v>13480</v>
      </c>
      <c r="I856" s="1">
        <v>0.05</v>
      </c>
      <c r="J856" s="1">
        <v>38418</v>
      </c>
      <c r="K856" s="1">
        <v>4795.5200000000004</v>
      </c>
      <c r="L856" s="1" t="s">
        <v>70</v>
      </c>
      <c r="M856" s="1" t="str">
        <f>TEXT(Table1[[#This Row],[Order Date]],"mmm")</f>
        <v>Feb</v>
      </c>
      <c r="N856" s="1">
        <f>YEAR(Table1[[#This Row],[Order Date]])</f>
        <v>2024</v>
      </c>
    </row>
    <row r="857" spans="1:14" x14ac:dyDescent="0.35">
      <c r="A857" s="1" t="s">
        <v>1448</v>
      </c>
      <c r="B857" s="1" t="s">
        <v>506</v>
      </c>
      <c r="C857" s="1" t="s">
        <v>146</v>
      </c>
      <c r="D857" s="1" t="s">
        <v>37</v>
      </c>
      <c r="E857" s="1" t="s">
        <v>16</v>
      </c>
      <c r="F857" s="1" t="s">
        <v>37</v>
      </c>
      <c r="G857" s="1">
        <v>5</v>
      </c>
      <c r="H857" s="1">
        <v>18968</v>
      </c>
      <c r="I857" s="1">
        <v>0.05</v>
      </c>
      <c r="J857" s="1">
        <v>90098</v>
      </c>
      <c r="K857" s="1">
        <v>25877.88</v>
      </c>
      <c r="L857" s="1" t="s">
        <v>70</v>
      </c>
      <c r="M857" s="1" t="str">
        <f>TEXT(Table1[[#This Row],[Order Date]],"mmm")</f>
        <v>Jul</v>
      </c>
      <c r="N857" s="1">
        <f>YEAR(Table1[[#This Row],[Order Date]])</f>
        <v>2024</v>
      </c>
    </row>
    <row r="858" spans="1:14" x14ac:dyDescent="0.35">
      <c r="A858" s="1" t="s">
        <v>1449</v>
      </c>
      <c r="B858" s="1" t="s">
        <v>197</v>
      </c>
      <c r="C858" s="1" t="s">
        <v>208</v>
      </c>
      <c r="D858" s="1" t="s">
        <v>91</v>
      </c>
      <c r="E858" s="1" t="s">
        <v>16</v>
      </c>
      <c r="F858" s="1" t="s">
        <v>91</v>
      </c>
      <c r="G858" s="1">
        <v>15</v>
      </c>
      <c r="H858" s="1">
        <v>27653</v>
      </c>
      <c r="I858" s="1">
        <v>0.2</v>
      </c>
      <c r="J858" s="1">
        <v>331836</v>
      </c>
      <c r="K858" s="1">
        <v>59718.3</v>
      </c>
      <c r="L858" s="1" t="s">
        <v>17</v>
      </c>
      <c r="M858" s="1" t="str">
        <f>TEXT(Table1[[#This Row],[Order Date]],"mmm")</f>
        <v>Feb</v>
      </c>
      <c r="N858" s="1">
        <f>YEAR(Table1[[#This Row],[Order Date]])</f>
        <v>2024</v>
      </c>
    </row>
    <row r="859" spans="1:14" x14ac:dyDescent="0.35">
      <c r="A859" s="1" t="s">
        <v>1450</v>
      </c>
      <c r="B859" s="1" t="s">
        <v>657</v>
      </c>
      <c r="C859" s="1" t="s">
        <v>349</v>
      </c>
      <c r="D859" s="1" t="s">
        <v>95</v>
      </c>
      <c r="E859" s="1" t="s">
        <v>33</v>
      </c>
      <c r="F859" s="1" t="s">
        <v>95</v>
      </c>
      <c r="G859" s="1">
        <v>8</v>
      </c>
      <c r="H859" s="1">
        <v>36422</v>
      </c>
      <c r="I859" s="1">
        <v>0.05</v>
      </c>
      <c r="J859" s="1">
        <v>276807.2</v>
      </c>
      <c r="K859" s="1">
        <v>67641.320000000007</v>
      </c>
      <c r="L859" s="1" t="s">
        <v>23</v>
      </c>
      <c r="M859" s="1" t="str">
        <f>TEXT(Table1[[#This Row],[Order Date]],"mmm")</f>
        <v>Jan</v>
      </c>
      <c r="N859" s="1">
        <f>YEAR(Table1[[#This Row],[Order Date]])</f>
        <v>2024</v>
      </c>
    </row>
    <row r="860" spans="1:14" x14ac:dyDescent="0.35">
      <c r="A860" s="1" t="s">
        <v>1451</v>
      </c>
      <c r="B860" s="1" t="s">
        <v>1452</v>
      </c>
      <c r="C860" s="1" t="s">
        <v>84</v>
      </c>
      <c r="D860" s="1" t="s">
        <v>60</v>
      </c>
      <c r="E860" s="1" t="s">
        <v>33</v>
      </c>
      <c r="F860" s="1" t="s">
        <v>60</v>
      </c>
      <c r="G860" s="1">
        <v>1</v>
      </c>
      <c r="H860" s="1">
        <v>30275</v>
      </c>
      <c r="I860" s="1">
        <v>0.2</v>
      </c>
      <c r="J860" s="1">
        <v>24220</v>
      </c>
      <c r="K860" s="1">
        <v>5629.13</v>
      </c>
      <c r="L860" s="1" t="s">
        <v>17</v>
      </c>
      <c r="M860" s="1" t="str">
        <f>TEXT(Table1[[#This Row],[Order Date]],"mmm")</f>
        <v>Apr</v>
      </c>
      <c r="N860" s="1">
        <f>YEAR(Table1[[#This Row],[Order Date]])</f>
        <v>2024</v>
      </c>
    </row>
    <row r="861" spans="1:14" x14ac:dyDescent="0.35">
      <c r="A861" s="1" t="s">
        <v>1453</v>
      </c>
      <c r="B861" s="1" t="s">
        <v>83</v>
      </c>
      <c r="C861" s="1" t="s">
        <v>63</v>
      </c>
      <c r="D861" s="1" t="s">
        <v>133</v>
      </c>
      <c r="E861" s="1" t="s">
        <v>22</v>
      </c>
      <c r="F861" s="1" t="s">
        <v>133</v>
      </c>
      <c r="G861" s="1">
        <v>8</v>
      </c>
      <c r="H861" s="1">
        <v>56981</v>
      </c>
      <c r="I861" s="1">
        <v>0.1</v>
      </c>
      <c r="J861" s="1">
        <v>410263.2</v>
      </c>
      <c r="K861" s="1">
        <v>82396.2</v>
      </c>
      <c r="L861" s="1" t="s">
        <v>45</v>
      </c>
      <c r="M861" s="1" t="str">
        <f>TEXT(Table1[[#This Row],[Order Date]],"mmm")</f>
        <v>Mar</v>
      </c>
      <c r="N861" s="1">
        <f>YEAR(Table1[[#This Row],[Order Date]])</f>
        <v>2024</v>
      </c>
    </row>
    <row r="862" spans="1:14" x14ac:dyDescent="0.35">
      <c r="A862" s="1" t="s">
        <v>1454</v>
      </c>
      <c r="B862" s="1" t="s">
        <v>763</v>
      </c>
      <c r="C862" s="1" t="s">
        <v>200</v>
      </c>
      <c r="D862" s="1" t="s">
        <v>114</v>
      </c>
      <c r="E862" s="1" t="s">
        <v>16</v>
      </c>
      <c r="F862" s="1" t="s">
        <v>114</v>
      </c>
      <c r="G862" s="1">
        <v>13</v>
      </c>
      <c r="H862" s="1">
        <v>41810</v>
      </c>
      <c r="I862" s="1">
        <v>0.15</v>
      </c>
      <c r="J862" s="1">
        <v>462000.5</v>
      </c>
      <c r="K862" s="1">
        <v>122678.28</v>
      </c>
      <c r="L862" s="1" t="s">
        <v>23</v>
      </c>
      <c r="M862" s="1" t="str">
        <f>TEXT(Table1[[#This Row],[Order Date]],"mmm")</f>
        <v>Oct</v>
      </c>
      <c r="N862" s="1">
        <f>YEAR(Table1[[#This Row],[Order Date]])</f>
        <v>2024</v>
      </c>
    </row>
    <row r="863" spans="1:14" x14ac:dyDescent="0.35">
      <c r="A863" s="1" t="s">
        <v>1455</v>
      </c>
      <c r="B863" s="1" t="s">
        <v>116</v>
      </c>
      <c r="C863" s="1" t="s">
        <v>178</v>
      </c>
      <c r="D863" s="1" t="s">
        <v>78</v>
      </c>
      <c r="E863" s="1" t="s">
        <v>28</v>
      </c>
      <c r="F863" s="1" t="s">
        <v>78</v>
      </c>
      <c r="G863" s="1">
        <v>9</v>
      </c>
      <c r="H863" s="1">
        <v>33220</v>
      </c>
      <c r="I863" s="1">
        <v>0.15</v>
      </c>
      <c r="J863" s="1">
        <v>254133</v>
      </c>
      <c r="K863" s="1">
        <v>56761.79</v>
      </c>
      <c r="L863" s="1" t="s">
        <v>70</v>
      </c>
      <c r="M863" s="1" t="str">
        <f>TEXT(Table1[[#This Row],[Order Date]],"mmm")</f>
        <v>Jan</v>
      </c>
      <c r="N863" s="1">
        <f>YEAR(Table1[[#This Row],[Order Date]])</f>
        <v>2023</v>
      </c>
    </row>
    <row r="864" spans="1:14" x14ac:dyDescent="0.35">
      <c r="A864" s="1" t="s">
        <v>1456</v>
      </c>
      <c r="B864" s="1" t="s">
        <v>944</v>
      </c>
      <c r="C864" s="1" t="s">
        <v>191</v>
      </c>
      <c r="D864" s="1" t="s">
        <v>74</v>
      </c>
      <c r="E864" s="1" t="s">
        <v>22</v>
      </c>
      <c r="F864" s="1" t="s">
        <v>74</v>
      </c>
      <c r="G864" s="1">
        <v>5</v>
      </c>
      <c r="H864" s="1">
        <v>25855</v>
      </c>
      <c r="I864" s="1">
        <v>0.1</v>
      </c>
      <c r="J864" s="1">
        <v>116347.5</v>
      </c>
      <c r="K864" s="1">
        <v>20302.650000000001</v>
      </c>
      <c r="L864" s="1" t="s">
        <v>17</v>
      </c>
      <c r="M864" s="1" t="str">
        <f>TEXT(Table1[[#This Row],[Order Date]],"mmm")</f>
        <v>Aug</v>
      </c>
      <c r="N864" s="1">
        <f>YEAR(Table1[[#This Row],[Order Date]])</f>
        <v>2024</v>
      </c>
    </row>
    <row r="865" spans="1:14" x14ac:dyDescent="0.35">
      <c r="A865" s="1" t="s">
        <v>1457</v>
      </c>
      <c r="B865" s="1" t="s">
        <v>916</v>
      </c>
      <c r="C865" s="1" t="s">
        <v>128</v>
      </c>
      <c r="D865" s="1" t="s">
        <v>114</v>
      </c>
      <c r="E865" s="1" t="s">
        <v>16</v>
      </c>
      <c r="F865" s="1" t="s">
        <v>114</v>
      </c>
      <c r="G865" s="1">
        <v>13</v>
      </c>
      <c r="H865" s="1">
        <v>24634</v>
      </c>
      <c r="I865" s="1">
        <v>0.15</v>
      </c>
      <c r="J865" s="1">
        <v>272205.7</v>
      </c>
      <c r="K865" s="1">
        <v>69009.509999999995</v>
      </c>
      <c r="L865" s="1" t="s">
        <v>70</v>
      </c>
      <c r="M865" s="1" t="str">
        <f>TEXT(Table1[[#This Row],[Order Date]],"mmm")</f>
        <v>Sep</v>
      </c>
      <c r="N865" s="1">
        <f>YEAR(Table1[[#This Row],[Order Date]])</f>
        <v>2023</v>
      </c>
    </row>
    <row r="866" spans="1:14" x14ac:dyDescent="0.35">
      <c r="A866" s="1" t="s">
        <v>1458</v>
      </c>
      <c r="B866" s="1" t="s">
        <v>19</v>
      </c>
      <c r="C866" s="1" t="s">
        <v>84</v>
      </c>
      <c r="D866" s="1" t="s">
        <v>27</v>
      </c>
      <c r="E866" s="1" t="s">
        <v>28</v>
      </c>
      <c r="F866" s="1" t="s">
        <v>27</v>
      </c>
      <c r="G866" s="1">
        <v>2</v>
      </c>
      <c r="H866" s="1">
        <v>7205</v>
      </c>
      <c r="I866" s="1">
        <v>0.1</v>
      </c>
      <c r="J866" s="1">
        <v>12969</v>
      </c>
      <c r="K866" s="1">
        <v>3628.12</v>
      </c>
      <c r="L866" s="1" t="s">
        <v>45</v>
      </c>
      <c r="M866" s="1" t="str">
        <f>TEXT(Table1[[#This Row],[Order Date]],"mmm")</f>
        <v>Jul</v>
      </c>
      <c r="N866" s="1">
        <f>YEAR(Table1[[#This Row],[Order Date]])</f>
        <v>2023</v>
      </c>
    </row>
    <row r="867" spans="1:14" x14ac:dyDescent="0.35">
      <c r="A867" s="1" t="s">
        <v>1459</v>
      </c>
      <c r="B867" s="1" t="s">
        <v>1460</v>
      </c>
      <c r="C867" s="1" t="s">
        <v>125</v>
      </c>
      <c r="D867" s="1" t="s">
        <v>293</v>
      </c>
      <c r="E867" s="1" t="s">
        <v>33</v>
      </c>
      <c r="F867" s="1" t="s">
        <v>293</v>
      </c>
      <c r="G867" s="1">
        <v>2</v>
      </c>
      <c r="H867" s="1">
        <v>58218</v>
      </c>
      <c r="I867" s="1">
        <v>0</v>
      </c>
      <c r="J867" s="1">
        <v>116436</v>
      </c>
      <c r="K867" s="1">
        <v>16012.9</v>
      </c>
      <c r="L867" s="1" t="s">
        <v>17</v>
      </c>
      <c r="M867" s="1" t="str">
        <f>TEXT(Table1[[#This Row],[Order Date]],"mmm")</f>
        <v>Feb</v>
      </c>
      <c r="N867" s="1">
        <f>YEAR(Table1[[#This Row],[Order Date]])</f>
        <v>2023</v>
      </c>
    </row>
    <row r="868" spans="1:14" x14ac:dyDescent="0.35">
      <c r="A868" s="1" t="s">
        <v>1461</v>
      </c>
      <c r="B868" s="1" t="s">
        <v>148</v>
      </c>
      <c r="C868" s="1" t="s">
        <v>14</v>
      </c>
      <c r="D868" s="1" t="s">
        <v>27</v>
      </c>
      <c r="E868" s="1" t="s">
        <v>28</v>
      </c>
      <c r="F868" s="1" t="s">
        <v>27</v>
      </c>
      <c r="G868" s="1">
        <v>5</v>
      </c>
      <c r="H868" s="1">
        <v>47796</v>
      </c>
      <c r="I868" s="1">
        <v>0.05</v>
      </c>
      <c r="J868" s="1">
        <v>227031</v>
      </c>
      <c r="K868" s="1">
        <v>34165.74</v>
      </c>
      <c r="L868" s="1" t="s">
        <v>45</v>
      </c>
      <c r="M868" s="1" t="str">
        <f>TEXT(Table1[[#This Row],[Order Date]],"mmm")</f>
        <v>Jan</v>
      </c>
      <c r="N868" s="1">
        <f>YEAR(Table1[[#This Row],[Order Date]])</f>
        <v>2024</v>
      </c>
    </row>
    <row r="869" spans="1:14" x14ac:dyDescent="0.35">
      <c r="A869" s="1" t="s">
        <v>1462</v>
      </c>
      <c r="B869" s="1" t="s">
        <v>1348</v>
      </c>
      <c r="C869" s="1" t="s">
        <v>158</v>
      </c>
      <c r="D869" s="1" t="s">
        <v>27</v>
      </c>
      <c r="E869" s="1" t="s">
        <v>28</v>
      </c>
      <c r="F869" s="1" t="s">
        <v>27</v>
      </c>
      <c r="G869" s="1">
        <v>7</v>
      </c>
      <c r="H869" s="1">
        <v>29782</v>
      </c>
      <c r="I869" s="1">
        <v>0.1</v>
      </c>
      <c r="J869" s="1">
        <v>187626.6</v>
      </c>
      <c r="K869" s="1">
        <v>36054.910000000003</v>
      </c>
      <c r="L869" s="1" t="s">
        <v>17</v>
      </c>
      <c r="M869" s="1" t="str">
        <f>TEXT(Table1[[#This Row],[Order Date]],"mmm")</f>
        <v>Dec</v>
      </c>
      <c r="N869" s="1">
        <f>YEAR(Table1[[#This Row],[Order Date]])</f>
        <v>2023</v>
      </c>
    </row>
    <row r="870" spans="1:14" x14ac:dyDescent="0.35">
      <c r="A870" s="1" t="s">
        <v>1463</v>
      </c>
      <c r="B870" s="1" t="s">
        <v>1464</v>
      </c>
      <c r="C870" s="1" t="s">
        <v>507</v>
      </c>
      <c r="D870" s="1" t="s">
        <v>137</v>
      </c>
      <c r="E870" s="1" t="s">
        <v>22</v>
      </c>
      <c r="F870" s="1" t="s">
        <v>137</v>
      </c>
      <c r="G870" s="1">
        <v>4</v>
      </c>
      <c r="H870" s="1">
        <v>44190</v>
      </c>
      <c r="I870" s="1">
        <v>0</v>
      </c>
      <c r="J870" s="1">
        <v>176760</v>
      </c>
      <c r="K870" s="1">
        <v>40163.21</v>
      </c>
      <c r="L870" s="1" t="s">
        <v>17</v>
      </c>
      <c r="M870" s="1" t="str">
        <f>TEXT(Table1[[#This Row],[Order Date]],"mmm")</f>
        <v>May</v>
      </c>
      <c r="N870" s="1">
        <f>YEAR(Table1[[#This Row],[Order Date]])</f>
        <v>2023</v>
      </c>
    </row>
    <row r="871" spans="1:14" x14ac:dyDescent="0.35">
      <c r="A871" s="1" t="s">
        <v>1465</v>
      </c>
      <c r="B871" s="1" t="s">
        <v>1090</v>
      </c>
      <c r="C871" s="1" t="s">
        <v>170</v>
      </c>
      <c r="D871" s="1" t="s">
        <v>41</v>
      </c>
      <c r="E871" s="1" t="s">
        <v>16</v>
      </c>
      <c r="F871" s="1" t="s">
        <v>41</v>
      </c>
      <c r="G871" s="1">
        <v>7</v>
      </c>
      <c r="H871" s="1">
        <v>3006</v>
      </c>
      <c r="I871" s="1">
        <v>0.15</v>
      </c>
      <c r="J871" s="1">
        <v>17885.7</v>
      </c>
      <c r="K871" s="1">
        <v>2919.22</v>
      </c>
      <c r="L871" s="1" t="s">
        <v>23</v>
      </c>
      <c r="M871" s="1" t="str">
        <f>TEXT(Table1[[#This Row],[Order Date]],"mmm")</f>
        <v>Feb</v>
      </c>
      <c r="N871" s="1">
        <f>YEAR(Table1[[#This Row],[Order Date]])</f>
        <v>2024</v>
      </c>
    </row>
    <row r="872" spans="1:14" x14ac:dyDescent="0.35">
      <c r="A872" s="1" t="s">
        <v>1466</v>
      </c>
      <c r="B872" s="1" t="s">
        <v>312</v>
      </c>
      <c r="C872" s="1" t="s">
        <v>77</v>
      </c>
      <c r="D872" s="1" t="s">
        <v>44</v>
      </c>
      <c r="E872" s="1" t="s">
        <v>28</v>
      </c>
      <c r="F872" s="1" t="s">
        <v>44</v>
      </c>
      <c r="G872" s="1">
        <v>2</v>
      </c>
      <c r="H872" s="1">
        <v>18260</v>
      </c>
      <c r="I872" s="1">
        <v>0.15</v>
      </c>
      <c r="J872" s="1">
        <v>31042</v>
      </c>
      <c r="K872" s="1">
        <v>8785.02</v>
      </c>
      <c r="L872" s="1" t="s">
        <v>45</v>
      </c>
      <c r="M872" s="1" t="str">
        <f>TEXT(Table1[[#This Row],[Order Date]],"mmm")</f>
        <v>May</v>
      </c>
      <c r="N872" s="1">
        <f>YEAR(Table1[[#This Row],[Order Date]])</f>
        <v>2024</v>
      </c>
    </row>
    <row r="873" spans="1:14" x14ac:dyDescent="0.35">
      <c r="A873" s="1" t="s">
        <v>1467</v>
      </c>
      <c r="B873" s="1" t="s">
        <v>1163</v>
      </c>
      <c r="C873" s="1" t="s">
        <v>14</v>
      </c>
      <c r="D873" s="1" t="s">
        <v>60</v>
      </c>
      <c r="E873" s="1" t="s">
        <v>33</v>
      </c>
      <c r="F873" s="1" t="s">
        <v>60</v>
      </c>
      <c r="G873" s="1">
        <v>1</v>
      </c>
      <c r="H873" s="1">
        <v>53217</v>
      </c>
      <c r="I873" s="1">
        <v>0</v>
      </c>
      <c r="J873" s="1">
        <v>53217</v>
      </c>
      <c r="K873" s="1">
        <v>5340.04</v>
      </c>
      <c r="L873" s="1" t="s">
        <v>23</v>
      </c>
      <c r="M873" s="1" t="str">
        <f>TEXT(Table1[[#This Row],[Order Date]],"mmm")</f>
        <v>Jun</v>
      </c>
      <c r="N873" s="1">
        <f>YEAR(Table1[[#This Row],[Order Date]])</f>
        <v>2023</v>
      </c>
    </row>
    <row r="874" spans="1:14" x14ac:dyDescent="0.35">
      <c r="A874" s="1" t="s">
        <v>1468</v>
      </c>
      <c r="B874" s="1" t="s">
        <v>1023</v>
      </c>
      <c r="C874" s="1" t="s">
        <v>349</v>
      </c>
      <c r="D874" s="1" t="s">
        <v>323</v>
      </c>
      <c r="E874" s="1" t="s">
        <v>33</v>
      </c>
      <c r="F874" s="1" t="s">
        <v>323</v>
      </c>
      <c r="G874" s="1">
        <v>5</v>
      </c>
      <c r="H874" s="1">
        <v>57957</v>
      </c>
      <c r="I874" s="1">
        <v>0.15</v>
      </c>
      <c r="J874" s="1">
        <v>246317.25</v>
      </c>
      <c r="K874" s="1">
        <v>57324.67</v>
      </c>
      <c r="L874" s="1" t="s">
        <v>45</v>
      </c>
      <c r="M874" s="1" t="str">
        <f>TEXT(Table1[[#This Row],[Order Date]],"mmm")</f>
        <v>May</v>
      </c>
      <c r="N874" s="1">
        <f>YEAR(Table1[[#This Row],[Order Date]])</f>
        <v>2023</v>
      </c>
    </row>
    <row r="875" spans="1:14" x14ac:dyDescent="0.35">
      <c r="A875" s="1" t="s">
        <v>1469</v>
      </c>
      <c r="B875" s="1" t="s">
        <v>1318</v>
      </c>
      <c r="C875" s="1" t="s">
        <v>67</v>
      </c>
      <c r="D875" s="1" t="s">
        <v>78</v>
      </c>
      <c r="E875" s="1" t="s">
        <v>28</v>
      </c>
      <c r="F875" s="1" t="s">
        <v>78</v>
      </c>
      <c r="G875" s="1">
        <v>8</v>
      </c>
      <c r="H875" s="1">
        <v>15554</v>
      </c>
      <c r="I875" s="1">
        <v>0.2</v>
      </c>
      <c r="J875" s="1">
        <v>99545.600000000006</v>
      </c>
      <c r="K875" s="1">
        <v>13928.24</v>
      </c>
      <c r="L875" s="1" t="s">
        <v>70</v>
      </c>
      <c r="M875" s="1" t="str">
        <f>TEXT(Table1[[#This Row],[Order Date]],"mmm")</f>
        <v>Feb</v>
      </c>
      <c r="N875" s="1">
        <f>YEAR(Table1[[#This Row],[Order Date]])</f>
        <v>2023</v>
      </c>
    </row>
    <row r="876" spans="1:14" x14ac:dyDescent="0.35">
      <c r="A876" s="1" t="s">
        <v>1470</v>
      </c>
      <c r="B876" s="1" t="s">
        <v>716</v>
      </c>
      <c r="C876" s="1" t="s">
        <v>170</v>
      </c>
      <c r="D876" s="1" t="s">
        <v>52</v>
      </c>
      <c r="E876" s="1" t="s">
        <v>28</v>
      </c>
      <c r="F876" s="1" t="s">
        <v>52</v>
      </c>
      <c r="G876" s="1">
        <v>5</v>
      </c>
      <c r="H876" s="1">
        <v>57735</v>
      </c>
      <c r="I876" s="1">
        <v>0.05</v>
      </c>
      <c r="J876" s="1">
        <v>274241.25</v>
      </c>
      <c r="K876" s="1">
        <v>50385.599999999999</v>
      </c>
      <c r="L876" s="1" t="s">
        <v>70</v>
      </c>
      <c r="M876" s="1" t="str">
        <f>TEXT(Table1[[#This Row],[Order Date]],"mmm")</f>
        <v>Apr</v>
      </c>
      <c r="N876" s="1">
        <f>YEAR(Table1[[#This Row],[Order Date]])</f>
        <v>2023</v>
      </c>
    </row>
    <row r="877" spans="1:14" x14ac:dyDescent="0.35">
      <c r="A877" s="1" t="s">
        <v>1471</v>
      </c>
      <c r="B877" s="1" t="s">
        <v>601</v>
      </c>
      <c r="C877" s="1" t="s">
        <v>84</v>
      </c>
      <c r="D877" s="1" t="s">
        <v>44</v>
      </c>
      <c r="E877" s="1" t="s">
        <v>28</v>
      </c>
      <c r="F877" s="1" t="s">
        <v>44</v>
      </c>
      <c r="G877" s="1">
        <v>10</v>
      </c>
      <c r="H877" s="1">
        <v>42574</v>
      </c>
      <c r="I877" s="1">
        <v>0.1</v>
      </c>
      <c r="J877" s="1">
        <v>383166</v>
      </c>
      <c r="K877" s="1">
        <v>80494.63</v>
      </c>
      <c r="L877" s="1" t="s">
        <v>17</v>
      </c>
      <c r="M877" s="1" t="str">
        <f>TEXT(Table1[[#This Row],[Order Date]],"mmm")</f>
        <v>Aug</v>
      </c>
      <c r="N877" s="1">
        <f>YEAR(Table1[[#This Row],[Order Date]])</f>
        <v>2024</v>
      </c>
    </row>
    <row r="878" spans="1:14" x14ac:dyDescent="0.35">
      <c r="A878" s="1" t="s">
        <v>1472</v>
      </c>
      <c r="B878" s="1" t="s">
        <v>1310</v>
      </c>
      <c r="C878" s="1" t="s">
        <v>175</v>
      </c>
      <c r="D878" s="1" t="s">
        <v>48</v>
      </c>
      <c r="E878" s="1" t="s">
        <v>16</v>
      </c>
      <c r="F878" s="1" t="s">
        <v>48</v>
      </c>
      <c r="G878" s="1">
        <v>14</v>
      </c>
      <c r="H878" s="1">
        <v>37204</v>
      </c>
      <c r="I878" s="1">
        <v>0.2</v>
      </c>
      <c r="J878" s="1">
        <v>416684.79999999999</v>
      </c>
      <c r="K878" s="1">
        <v>76354.66</v>
      </c>
      <c r="L878" s="1" t="s">
        <v>70</v>
      </c>
      <c r="M878" s="1" t="str">
        <f>TEXT(Table1[[#This Row],[Order Date]],"mmm")</f>
        <v>Jan</v>
      </c>
      <c r="N878" s="1">
        <f>YEAR(Table1[[#This Row],[Order Date]])</f>
        <v>2024</v>
      </c>
    </row>
    <row r="879" spans="1:14" x14ac:dyDescent="0.35">
      <c r="A879" s="1" t="s">
        <v>1473</v>
      </c>
      <c r="B879" s="1" t="s">
        <v>1188</v>
      </c>
      <c r="C879" s="1" t="s">
        <v>227</v>
      </c>
      <c r="D879" s="1" t="s">
        <v>293</v>
      </c>
      <c r="E879" s="1" t="s">
        <v>33</v>
      </c>
      <c r="F879" s="1" t="s">
        <v>293</v>
      </c>
      <c r="G879" s="1">
        <v>10</v>
      </c>
      <c r="H879" s="1">
        <v>14860</v>
      </c>
      <c r="I879" s="1">
        <v>0.1</v>
      </c>
      <c r="J879" s="1">
        <v>133740</v>
      </c>
      <c r="K879" s="1">
        <v>27459.19</v>
      </c>
      <c r="L879" s="1" t="s">
        <v>23</v>
      </c>
      <c r="M879" s="1" t="str">
        <f>TEXT(Table1[[#This Row],[Order Date]],"mmm")</f>
        <v>Oct</v>
      </c>
      <c r="N879" s="1">
        <f>YEAR(Table1[[#This Row],[Order Date]])</f>
        <v>2024</v>
      </c>
    </row>
    <row r="880" spans="1:14" x14ac:dyDescent="0.35">
      <c r="A880" s="1" t="s">
        <v>1474</v>
      </c>
      <c r="B880" s="1" t="s">
        <v>157</v>
      </c>
      <c r="C880" s="1" t="s">
        <v>55</v>
      </c>
      <c r="D880" s="1" t="s">
        <v>60</v>
      </c>
      <c r="E880" s="1" t="s">
        <v>33</v>
      </c>
      <c r="F880" s="1" t="s">
        <v>60</v>
      </c>
      <c r="G880" s="1">
        <v>7</v>
      </c>
      <c r="H880" s="1">
        <v>49925</v>
      </c>
      <c r="I880" s="1">
        <v>0</v>
      </c>
      <c r="J880" s="1">
        <v>349475</v>
      </c>
      <c r="K880" s="1">
        <v>56382.42</v>
      </c>
      <c r="L880" s="1" t="s">
        <v>70</v>
      </c>
      <c r="M880" s="1" t="str">
        <f>TEXT(Table1[[#This Row],[Order Date]],"mmm")</f>
        <v>Jan</v>
      </c>
      <c r="N880" s="1">
        <f>YEAR(Table1[[#This Row],[Order Date]])</f>
        <v>2024</v>
      </c>
    </row>
    <row r="881" spans="1:14" x14ac:dyDescent="0.35">
      <c r="A881" s="1" t="s">
        <v>1475</v>
      </c>
      <c r="B881" s="1" t="s">
        <v>280</v>
      </c>
      <c r="C881" s="1" t="s">
        <v>191</v>
      </c>
      <c r="D881" s="1" t="s">
        <v>114</v>
      </c>
      <c r="E881" s="1" t="s">
        <v>16</v>
      </c>
      <c r="F881" s="1" t="s">
        <v>114</v>
      </c>
      <c r="G881" s="1">
        <v>5</v>
      </c>
      <c r="H881" s="1">
        <v>38854</v>
      </c>
      <c r="I881" s="1">
        <v>0.15</v>
      </c>
      <c r="J881" s="1">
        <v>165129.5</v>
      </c>
      <c r="K881" s="1">
        <v>25709.15</v>
      </c>
      <c r="L881" s="1" t="s">
        <v>45</v>
      </c>
      <c r="M881" s="1" t="str">
        <f>TEXT(Table1[[#This Row],[Order Date]],"mmm")</f>
        <v>Oct</v>
      </c>
      <c r="N881" s="1">
        <f>YEAR(Table1[[#This Row],[Order Date]])</f>
        <v>2024</v>
      </c>
    </row>
    <row r="882" spans="1:14" x14ac:dyDescent="0.35">
      <c r="A882" s="1" t="s">
        <v>1476</v>
      </c>
      <c r="B882" s="1" t="s">
        <v>1348</v>
      </c>
      <c r="C882" s="1" t="s">
        <v>155</v>
      </c>
      <c r="D882" s="1" t="s">
        <v>133</v>
      </c>
      <c r="E882" s="1" t="s">
        <v>22</v>
      </c>
      <c r="F882" s="1" t="s">
        <v>133</v>
      </c>
      <c r="G882" s="1">
        <v>15</v>
      </c>
      <c r="H882" s="1">
        <v>56398</v>
      </c>
      <c r="I882" s="1">
        <v>0.1</v>
      </c>
      <c r="J882" s="1">
        <v>761373</v>
      </c>
      <c r="K882" s="1">
        <v>174810.57</v>
      </c>
      <c r="L882" s="1" t="s">
        <v>23</v>
      </c>
      <c r="M882" s="1" t="str">
        <f>TEXT(Table1[[#This Row],[Order Date]],"mmm")</f>
        <v>Dec</v>
      </c>
      <c r="N882" s="1">
        <f>YEAR(Table1[[#This Row],[Order Date]])</f>
        <v>2023</v>
      </c>
    </row>
    <row r="883" spans="1:14" x14ac:dyDescent="0.35">
      <c r="A883" s="1" t="s">
        <v>1477</v>
      </c>
      <c r="B883" s="1" t="s">
        <v>1478</v>
      </c>
      <c r="C883" s="1" t="s">
        <v>140</v>
      </c>
      <c r="D883" s="1" t="s">
        <v>151</v>
      </c>
      <c r="E883" s="1" t="s">
        <v>22</v>
      </c>
      <c r="F883" s="1" t="s">
        <v>151</v>
      </c>
      <c r="G883" s="1">
        <v>4</v>
      </c>
      <c r="H883" s="1">
        <v>29993</v>
      </c>
      <c r="I883" s="1">
        <v>0</v>
      </c>
      <c r="J883" s="1">
        <v>119972</v>
      </c>
      <c r="K883" s="1">
        <v>19820.650000000001</v>
      </c>
      <c r="L883" s="1" t="s">
        <v>17</v>
      </c>
      <c r="M883" s="1" t="str">
        <f>TEXT(Table1[[#This Row],[Order Date]],"mmm")</f>
        <v>Jan</v>
      </c>
      <c r="N883" s="1">
        <f>YEAR(Table1[[#This Row],[Order Date]])</f>
        <v>2024</v>
      </c>
    </row>
    <row r="884" spans="1:14" x14ac:dyDescent="0.35">
      <c r="A884" s="1" t="s">
        <v>1479</v>
      </c>
      <c r="B884" s="1" t="s">
        <v>185</v>
      </c>
      <c r="C884" s="1" t="s">
        <v>191</v>
      </c>
      <c r="D884" s="1" t="s">
        <v>56</v>
      </c>
      <c r="E884" s="1" t="s">
        <v>22</v>
      </c>
      <c r="F884" s="1" t="s">
        <v>56</v>
      </c>
      <c r="G884" s="1">
        <v>1</v>
      </c>
      <c r="H884" s="1">
        <v>45413</v>
      </c>
      <c r="I884" s="1">
        <v>0.05</v>
      </c>
      <c r="J884" s="1">
        <v>43142.35</v>
      </c>
      <c r="K884" s="1">
        <v>7445.84</v>
      </c>
      <c r="L884" s="1" t="s">
        <v>17</v>
      </c>
      <c r="M884" s="1" t="str">
        <f>TEXT(Table1[[#This Row],[Order Date]],"mmm")</f>
        <v>Jun</v>
      </c>
      <c r="N884" s="1">
        <f>YEAR(Table1[[#This Row],[Order Date]])</f>
        <v>2023</v>
      </c>
    </row>
    <row r="885" spans="1:14" x14ac:dyDescent="0.35">
      <c r="A885" s="1" t="s">
        <v>1480</v>
      </c>
      <c r="B885" s="1" t="s">
        <v>698</v>
      </c>
      <c r="C885" s="1" t="s">
        <v>227</v>
      </c>
      <c r="D885" s="1" t="s">
        <v>64</v>
      </c>
      <c r="E885" s="1" t="s">
        <v>33</v>
      </c>
      <c r="F885" s="1" t="s">
        <v>64</v>
      </c>
      <c r="G885" s="1">
        <v>14</v>
      </c>
      <c r="H885" s="1">
        <v>28839</v>
      </c>
      <c r="I885" s="1">
        <v>0.05</v>
      </c>
      <c r="J885" s="1">
        <v>383558.7</v>
      </c>
      <c r="K885" s="1">
        <v>111500.91</v>
      </c>
      <c r="L885" s="1" t="s">
        <v>17</v>
      </c>
      <c r="M885" s="1" t="str">
        <f>TEXT(Table1[[#This Row],[Order Date]],"mmm")</f>
        <v>Mar</v>
      </c>
      <c r="N885" s="1">
        <f>YEAR(Table1[[#This Row],[Order Date]])</f>
        <v>2023</v>
      </c>
    </row>
    <row r="886" spans="1:14" x14ac:dyDescent="0.35">
      <c r="A886" s="1" t="s">
        <v>1481</v>
      </c>
      <c r="B886" s="1" t="s">
        <v>449</v>
      </c>
      <c r="C886" s="1" t="s">
        <v>640</v>
      </c>
      <c r="D886" s="1" t="s">
        <v>108</v>
      </c>
      <c r="E886" s="1" t="s">
        <v>22</v>
      </c>
      <c r="F886" s="1" t="s">
        <v>108</v>
      </c>
      <c r="G886" s="1">
        <v>1</v>
      </c>
      <c r="H886" s="1">
        <v>59947</v>
      </c>
      <c r="I886" s="1">
        <v>0.2</v>
      </c>
      <c r="J886" s="1">
        <v>47957.599999999999</v>
      </c>
      <c r="K886" s="1">
        <v>14263.44</v>
      </c>
      <c r="L886" s="1" t="s">
        <v>23</v>
      </c>
      <c r="M886" s="1" t="str">
        <f>TEXT(Table1[[#This Row],[Order Date]],"mmm")</f>
        <v>Jan</v>
      </c>
      <c r="N886" s="1">
        <f>YEAR(Table1[[#This Row],[Order Date]])</f>
        <v>2024</v>
      </c>
    </row>
    <row r="887" spans="1:14" x14ac:dyDescent="0.35">
      <c r="A887" s="1" t="s">
        <v>1482</v>
      </c>
      <c r="B887" s="1" t="s">
        <v>1483</v>
      </c>
      <c r="C887" s="1" t="s">
        <v>170</v>
      </c>
      <c r="D887" s="1" t="s">
        <v>133</v>
      </c>
      <c r="E887" s="1" t="s">
        <v>22</v>
      </c>
      <c r="F887" s="1" t="s">
        <v>133</v>
      </c>
      <c r="G887" s="1">
        <v>2</v>
      </c>
      <c r="H887" s="1">
        <v>45660</v>
      </c>
      <c r="I887" s="1">
        <v>0.15</v>
      </c>
      <c r="J887" s="1">
        <v>77622</v>
      </c>
      <c r="K887" s="1">
        <v>19384.16</v>
      </c>
      <c r="L887" s="1" t="s">
        <v>45</v>
      </c>
      <c r="M887" s="1" t="str">
        <f>TEXT(Table1[[#This Row],[Order Date]],"mmm")</f>
        <v>Aug</v>
      </c>
      <c r="N887" s="1">
        <f>YEAR(Table1[[#This Row],[Order Date]])</f>
        <v>2023</v>
      </c>
    </row>
    <row r="888" spans="1:14" x14ac:dyDescent="0.35">
      <c r="A888" s="1" t="s">
        <v>1484</v>
      </c>
      <c r="B888" s="1" t="s">
        <v>343</v>
      </c>
      <c r="C888" s="1" t="s">
        <v>36</v>
      </c>
      <c r="D888" s="1" t="s">
        <v>141</v>
      </c>
      <c r="E888" s="1" t="s">
        <v>22</v>
      </c>
      <c r="F888" s="1" t="s">
        <v>141</v>
      </c>
      <c r="G888" s="1">
        <v>13</v>
      </c>
      <c r="H888" s="1">
        <v>17555</v>
      </c>
      <c r="I888" s="1">
        <v>0.05</v>
      </c>
      <c r="J888" s="1">
        <v>216804.25</v>
      </c>
      <c r="K888" s="1">
        <v>60447.61</v>
      </c>
      <c r="L888" s="1" t="s">
        <v>70</v>
      </c>
      <c r="M888" s="1" t="str">
        <f>TEXT(Table1[[#This Row],[Order Date]],"mmm")</f>
        <v>Feb</v>
      </c>
      <c r="N888" s="1">
        <f>YEAR(Table1[[#This Row],[Order Date]])</f>
        <v>2024</v>
      </c>
    </row>
    <row r="889" spans="1:14" x14ac:dyDescent="0.35">
      <c r="A889" s="1" t="s">
        <v>1485</v>
      </c>
      <c r="B889" s="1" t="s">
        <v>1227</v>
      </c>
      <c r="C889" s="1" t="s">
        <v>81</v>
      </c>
      <c r="D889" s="1" t="s">
        <v>224</v>
      </c>
      <c r="E889" s="1" t="s">
        <v>33</v>
      </c>
      <c r="F889" s="1" t="s">
        <v>224</v>
      </c>
      <c r="G889" s="1">
        <v>5</v>
      </c>
      <c r="H889" s="1">
        <v>48430</v>
      </c>
      <c r="I889" s="1">
        <v>0</v>
      </c>
      <c r="J889" s="1">
        <v>242150</v>
      </c>
      <c r="K889" s="1">
        <v>28054.06</v>
      </c>
      <c r="L889" s="1" t="s">
        <v>70</v>
      </c>
      <c r="M889" s="1" t="str">
        <f>TEXT(Table1[[#This Row],[Order Date]],"mmm")</f>
        <v>Apr</v>
      </c>
      <c r="N889" s="1">
        <f>YEAR(Table1[[#This Row],[Order Date]])</f>
        <v>2023</v>
      </c>
    </row>
    <row r="890" spans="1:14" x14ac:dyDescent="0.35">
      <c r="A890" s="1" t="s">
        <v>1486</v>
      </c>
      <c r="B890" s="1" t="s">
        <v>1487</v>
      </c>
      <c r="C890" s="1" t="s">
        <v>362</v>
      </c>
      <c r="D890" s="1" t="s">
        <v>27</v>
      </c>
      <c r="E890" s="1" t="s">
        <v>28</v>
      </c>
      <c r="F890" s="1" t="s">
        <v>27</v>
      </c>
      <c r="G890" s="1">
        <v>10</v>
      </c>
      <c r="H890" s="1">
        <v>13455</v>
      </c>
      <c r="I890" s="1">
        <v>0.1</v>
      </c>
      <c r="J890" s="1">
        <v>121095</v>
      </c>
      <c r="K890" s="1">
        <v>29585.97</v>
      </c>
      <c r="L890" s="1" t="s">
        <v>45</v>
      </c>
      <c r="M890" s="1" t="str">
        <f>TEXT(Table1[[#This Row],[Order Date]],"mmm")</f>
        <v>Oct</v>
      </c>
      <c r="N890" s="1">
        <f>YEAR(Table1[[#This Row],[Order Date]])</f>
        <v>2023</v>
      </c>
    </row>
    <row r="891" spans="1:14" x14ac:dyDescent="0.35">
      <c r="A891" s="1" t="s">
        <v>1488</v>
      </c>
      <c r="B891" s="1" t="s">
        <v>1489</v>
      </c>
      <c r="C891" s="1" t="s">
        <v>55</v>
      </c>
      <c r="D891" s="1" t="s">
        <v>37</v>
      </c>
      <c r="E891" s="1" t="s">
        <v>16</v>
      </c>
      <c r="F891" s="1" t="s">
        <v>37</v>
      </c>
      <c r="G891" s="1">
        <v>6</v>
      </c>
      <c r="H891" s="1">
        <v>18132</v>
      </c>
      <c r="I891" s="1">
        <v>0.05</v>
      </c>
      <c r="J891" s="1">
        <v>103352.4</v>
      </c>
      <c r="K891" s="1">
        <v>26397.71</v>
      </c>
      <c r="L891" s="1" t="s">
        <v>70</v>
      </c>
      <c r="M891" s="1" t="str">
        <f>TEXT(Table1[[#This Row],[Order Date]],"mmm")</f>
        <v>Mar</v>
      </c>
      <c r="N891" s="1">
        <f>YEAR(Table1[[#This Row],[Order Date]])</f>
        <v>2023</v>
      </c>
    </row>
    <row r="892" spans="1:14" x14ac:dyDescent="0.35">
      <c r="A892" s="1" t="s">
        <v>1490</v>
      </c>
      <c r="B892" s="1" t="s">
        <v>891</v>
      </c>
      <c r="C892" s="1" t="s">
        <v>111</v>
      </c>
      <c r="D892" s="1" t="s">
        <v>133</v>
      </c>
      <c r="E892" s="1" t="s">
        <v>22</v>
      </c>
      <c r="F892" s="1" t="s">
        <v>133</v>
      </c>
      <c r="G892" s="1">
        <v>15</v>
      </c>
      <c r="H892" s="1">
        <v>32568</v>
      </c>
      <c r="I892" s="1">
        <v>0.2</v>
      </c>
      <c r="J892" s="1">
        <v>390816</v>
      </c>
      <c r="K892" s="1">
        <v>106216.8</v>
      </c>
      <c r="L892" s="1" t="s">
        <v>70</v>
      </c>
      <c r="M892" s="1" t="str">
        <f>TEXT(Table1[[#This Row],[Order Date]],"mmm")</f>
        <v>Feb</v>
      </c>
      <c r="N892" s="1">
        <f>YEAR(Table1[[#This Row],[Order Date]])</f>
        <v>2024</v>
      </c>
    </row>
    <row r="893" spans="1:14" x14ac:dyDescent="0.35">
      <c r="A893" s="1" t="s">
        <v>1491</v>
      </c>
      <c r="B893" s="1" t="s">
        <v>1492</v>
      </c>
      <c r="C893" s="1" t="s">
        <v>67</v>
      </c>
      <c r="D893" s="1" t="s">
        <v>41</v>
      </c>
      <c r="E893" s="1" t="s">
        <v>16</v>
      </c>
      <c r="F893" s="1" t="s">
        <v>41</v>
      </c>
      <c r="G893" s="1">
        <v>1</v>
      </c>
      <c r="H893" s="1">
        <v>51845</v>
      </c>
      <c r="I893" s="1">
        <v>0</v>
      </c>
      <c r="J893" s="1">
        <v>51845</v>
      </c>
      <c r="K893" s="1">
        <v>12381.53</v>
      </c>
      <c r="L893" s="1" t="s">
        <v>23</v>
      </c>
      <c r="M893" s="1" t="str">
        <f>TEXT(Table1[[#This Row],[Order Date]],"mmm")</f>
        <v>Mar</v>
      </c>
      <c r="N893" s="1">
        <f>YEAR(Table1[[#This Row],[Order Date]])</f>
        <v>2024</v>
      </c>
    </row>
    <row r="894" spans="1:14" x14ac:dyDescent="0.35">
      <c r="A894" s="1" t="s">
        <v>1493</v>
      </c>
      <c r="B894" s="1" t="s">
        <v>1104</v>
      </c>
      <c r="C894" s="1" t="s">
        <v>175</v>
      </c>
      <c r="D894" s="1" t="s">
        <v>78</v>
      </c>
      <c r="E894" s="1" t="s">
        <v>28</v>
      </c>
      <c r="F894" s="1" t="s">
        <v>78</v>
      </c>
      <c r="G894" s="1">
        <v>14</v>
      </c>
      <c r="H894" s="1">
        <v>26118</v>
      </c>
      <c r="I894" s="1">
        <v>0</v>
      </c>
      <c r="J894" s="1">
        <v>365652</v>
      </c>
      <c r="K894" s="1">
        <v>41407.730000000003</v>
      </c>
      <c r="L894" s="1" t="s">
        <v>17</v>
      </c>
      <c r="M894" s="1" t="str">
        <f>TEXT(Table1[[#This Row],[Order Date]],"mmm")</f>
        <v>Oct</v>
      </c>
      <c r="N894" s="1">
        <f>YEAR(Table1[[#This Row],[Order Date]])</f>
        <v>2023</v>
      </c>
    </row>
    <row r="895" spans="1:14" x14ac:dyDescent="0.35">
      <c r="A895" s="1" t="s">
        <v>1494</v>
      </c>
      <c r="B895" s="1" t="s">
        <v>1201</v>
      </c>
      <c r="C895" s="1" t="s">
        <v>227</v>
      </c>
      <c r="D895" s="1" t="s">
        <v>64</v>
      </c>
      <c r="E895" s="1" t="s">
        <v>33</v>
      </c>
      <c r="F895" s="1" t="s">
        <v>64</v>
      </c>
      <c r="G895" s="1">
        <v>3</v>
      </c>
      <c r="H895" s="1">
        <v>44398</v>
      </c>
      <c r="I895" s="1">
        <v>0</v>
      </c>
      <c r="J895" s="1">
        <v>133194</v>
      </c>
      <c r="K895" s="1">
        <v>26981.77</v>
      </c>
      <c r="L895" s="1" t="s">
        <v>23</v>
      </c>
      <c r="M895" s="1" t="str">
        <f>TEXT(Table1[[#This Row],[Order Date]],"mmm")</f>
        <v>Nov</v>
      </c>
      <c r="N895" s="1">
        <f>YEAR(Table1[[#This Row],[Order Date]])</f>
        <v>2024</v>
      </c>
    </row>
    <row r="896" spans="1:14" x14ac:dyDescent="0.35">
      <c r="A896" s="1" t="s">
        <v>1495</v>
      </c>
      <c r="B896" s="1" t="s">
        <v>1496</v>
      </c>
      <c r="C896" s="1" t="s">
        <v>507</v>
      </c>
      <c r="D896" s="1" t="s">
        <v>137</v>
      </c>
      <c r="E896" s="1" t="s">
        <v>22</v>
      </c>
      <c r="F896" s="1" t="s">
        <v>137</v>
      </c>
      <c r="G896" s="1">
        <v>4</v>
      </c>
      <c r="H896" s="1">
        <v>48188</v>
      </c>
      <c r="I896" s="1">
        <v>0.15</v>
      </c>
      <c r="J896" s="1">
        <v>163839.20000000001</v>
      </c>
      <c r="K896" s="1">
        <v>47819.83</v>
      </c>
      <c r="L896" s="1" t="s">
        <v>23</v>
      </c>
      <c r="M896" s="1" t="str">
        <f>TEXT(Table1[[#This Row],[Order Date]],"mmm")</f>
        <v>Jan</v>
      </c>
      <c r="N896" s="1">
        <f>YEAR(Table1[[#This Row],[Order Date]])</f>
        <v>2024</v>
      </c>
    </row>
    <row r="897" spans="1:14" x14ac:dyDescent="0.35">
      <c r="A897" s="1" t="s">
        <v>1497</v>
      </c>
      <c r="B897" s="1" t="s">
        <v>379</v>
      </c>
      <c r="C897" s="1" t="s">
        <v>94</v>
      </c>
      <c r="D897" s="1" t="s">
        <v>85</v>
      </c>
      <c r="E897" s="1" t="s">
        <v>28</v>
      </c>
      <c r="F897" s="1" t="s">
        <v>85</v>
      </c>
      <c r="G897" s="1">
        <v>4</v>
      </c>
      <c r="H897" s="1">
        <v>8641</v>
      </c>
      <c r="I897" s="1">
        <v>0</v>
      </c>
      <c r="J897" s="1">
        <v>34564</v>
      </c>
      <c r="K897" s="1">
        <v>4612.59</v>
      </c>
      <c r="L897" s="1" t="s">
        <v>17</v>
      </c>
      <c r="M897" s="1" t="str">
        <f>TEXT(Table1[[#This Row],[Order Date]],"mmm")</f>
        <v>Feb</v>
      </c>
      <c r="N897" s="1">
        <f>YEAR(Table1[[#This Row],[Order Date]])</f>
        <v>2023</v>
      </c>
    </row>
    <row r="898" spans="1:14" x14ac:dyDescent="0.35">
      <c r="A898" s="1" t="s">
        <v>1498</v>
      </c>
      <c r="B898" s="1" t="s">
        <v>360</v>
      </c>
      <c r="C898" s="1" t="s">
        <v>128</v>
      </c>
      <c r="D898" s="1" t="s">
        <v>41</v>
      </c>
      <c r="E898" s="1" t="s">
        <v>16</v>
      </c>
      <c r="F898" s="1" t="s">
        <v>41</v>
      </c>
      <c r="G898" s="1">
        <v>8</v>
      </c>
      <c r="H898" s="1">
        <v>24312</v>
      </c>
      <c r="I898" s="1">
        <v>0.15</v>
      </c>
      <c r="J898" s="1">
        <v>165321.60000000001</v>
      </c>
      <c r="K898" s="1">
        <v>47504.31</v>
      </c>
      <c r="L898" s="1" t="s">
        <v>23</v>
      </c>
      <c r="M898" s="1" t="str">
        <f>TEXT(Table1[[#This Row],[Order Date]],"mmm")</f>
        <v>Jun</v>
      </c>
      <c r="N898" s="1">
        <f>YEAR(Table1[[#This Row],[Order Date]])</f>
        <v>2023</v>
      </c>
    </row>
    <row r="899" spans="1:14" x14ac:dyDescent="0.35">
      <c r="A899" s="1" t="s">
        <v>1499</v>
      </c>
      <c r="B899" s="1" t="s">
        <v>1500</v>
      </c>
      <c r="C899" s="1" t="s">
        <v>349</v>
      </c>
      <c r="D899" s="1" t="s">
        <v>108</v>
      </c>
      <c r="E899" s="1" t="s">
        <v>22</v>
      </c>
      <c r="F899" s="1" t="s">
        <v>108</v>
      </c>
      <c r="G899" s="1">
        <v>13</v>
      </c>
      <c r="H899" s="1">
        <v>25579</v>
      </c>
      <c r="I899" s="1">
        <v>0.05</v>
      </c>
      <c r="J899" s="1">
        <v>315900.65000000002</v>
      </c>
      <c r="K899" s="1">
        <v>83296.47</v>
      </c>
      <c r="L899" s="1" t="s">
        <v>23</v>
      </c>
      <c r="M899" s="1" t="str">
        <f>TEXT(Table1[[#This Row],[Order Date]],"mmm")</f>
        <v>Jun</v>
      </c>
      <c r="N899" s="1">
        <f>YEAR(Table1[[#This Row],[Order Date]])</f>
        <v>2023</v>
      </c>
    </row>
    <row r="900" spans="1:14" x14ac:dyDescent="0.35">
      <c r="A900" s="1" t="s">
        <v>1501</v>
      </c>
      <c r="B900" s="1" t="s">
        <v>1502</v>
      </c>
      <c r="C900" s="1" t="s">
        <v>200</v>
      </c>
      <c r="D900" s="1" t="s">
        <v>44</v>
      </c>
      <c r="E900" s="1" t="s">
        <v>28</v>
      </c>
      <c r="F900" s="1" t="s">
        <v>44</v>
      </c>
      <c r="G900" s="1">
        <v>15</v>
      </c>
      <c r="H900" s="1">
        <v>51048</v>
      </c>
      <c r="I900" s="1">
        <v>0.15</v>
      </c>
      <c r="J900" s="1">
        <v>650862</v>
      </c>
      <c r="K900" s="1">
        <v>127798.51</v>
      </c>
      <c r="L900" s="1" t="s">
        <v>23</v>
      </c>
      <c r="M900" s="1" t="str">
        <f>TEXT(Table1[[#This Row],[Order Date]],"mmm")</f>
        <v>Jul</v>
      </c>
      <c r="N900" s="1">
        <f>YEAR(Table1[[#This Row],[Order Date]])</f>
        <v>2023</v>
      </c>
    </row>
    <row r="901" spans="1:14" x14ac:dyDescent="0.35">
      <c r="A901" s="1" t="s">
        <v>1503</v>
      </c>
      <c r="B901" s="1" t="s">
        <v>694</v>
      </c>
      <c r="C901" s="1" t="s">
        <v>101</v>
      </c>
      <c r="D901" s="1" t="s">
        <v>293</v>
      </c>
      <c r="E901" s="1" t="s">
        <v>33</v>
      </c>
      <c r="F901" s="1" t="s">
        <v>293</v>
      </c>
      <c r="G901" s="1">
        <v>12</v>
      </c>
      <c r="H901" s="1">
        <v>45458</v>
      </c>
      <c r="I901" s="1">
        <v>0.1</v>
      </c>
      <c r="J901" s="1">
        <v>490946.4</v>
      </c>
      <c r="K901" s="1">
        <v>73385.759999999995</v>
      </c>
      <c r="L901" s="1" t="s">
        <v>23</v>
      </c>
      <c r="M901" s="1" t="str">
        <f>TEXT(Table1[[#This Row],[Order Date]],"mmm")</f>
        <v>Aug</v>
      </c>
      <c r="N901" s="1">
        <f>YEAR(Table1[[#This Row],[Order Date]])</f>
        <v>2023</v>
      </c>
    </row>
    <row r="902" spans="1:14" x14ac:dyDescent="0.35">
      <c r="A902" s="1" t="s">
        <v>1504</v>
      </c>
      <c r="B902" s="1" t="s">
        <v>308</v>
      </c>
      <c r="C902" s="1" t="s">
        <v>155</v>
      </c>
      <c r="D902" s="1" t="s">
        <v>32</v>
      </c>
      <c r="E902" s="1" t="s">
        <v>33</v>
      </c>
      <c r="F902" s="1" t="s">
        <v>32</v>
      </c>
      <c r="G902" s="1">
        <v>10</v>
      </c>
      <c r="H902" s="1">
        <v>35600</v>
      </c>
      <c r="I902" s="1">
        <v>0.2</v>
      </c>
      <c r="J902" s="1">
        <v>284800</v>
      </c>
      <c r="K902" s="1">
        <v>56475.519999999997</v>
      </c>
      <c r="L902" s="1" t="s">
        <v>70</v>
      </c>
      <c r="M902" s="1" t="str">
        <f>TEXT(Table1[[#This Row],[Order Date]],"mmm")</f>
        <v>Jul</v>
      </c>
      <c r="N902" s="1">
        <f>YEAR(Table1[[#This Row],[Order Date]])</f>
        <v>2024</v>
      </c>
    </row>
    <row r="903" spans="1:14" x14ac:dyDescent="0.35">
      <c r="A903" s="1" t="s">
        <v>1505</v>
      </c>
      <c r="B903" s="1" t="s">
        <v>547</v>
      </c>
      <c r="C903" s="1" t="s">
        <v>73</v>
      </c>
      <c r="D903" s="1" t="s">
        <v>27</v>
      </c>
      <c r="E903" s="1" t="s">
        <v>28</v>
      </c>
      <c r="F903" s="1" t="s">
        <v>27</v>
      </c>
      <c r="G903" s="1">
        <v>1</v>
      </c>
      <c r="H903" s="1">
        <v>17382</v>
      </c>
      <c r="I903" s="1">
        <v>0.15</v>
      </c>
      <c r="J903" s="1">
        <v>14774.7</v>
      </c>
      <c r="K903" s="1">
        <v>3390.48</v>
      </c>
      <c r="L903" s="1" t="s">
        <v>23</v>
      </c>
      <c r="M903" s="1" t="str">
        <f>TEXT(Table1[[#This Row],[Order Date]],"mmm")</f>
        <v>Nov</v>
      </c>
      <c r="N903" s="1">
        <f>YEAR(Table1[[#This Row],[Order Date]])</f>
        <v>2023</v>
      </c>
    </row>
    <row r="904" spans="1:14" x14ac:dyDescent="0.35">
      <c r="A904" s="1" t="s">
        <v>1506</v>
      </c>
      <c r="B904" s="1" t="s">
        <v>1507</v>
      </c>
      <c r="C904" s="1" t="s">
        <v>362</v>
      </c>
      <c r="D904" s="1" t="s">
        <v>44</v>
      </c>
      <c r="E904" s="1" t="s">
        <v>28</v>
      </c>
      <c r="F904" s="1" t="s">
        <v>44</v>
      </c>
      <c r="G904" s="1">
        <v>3</v>
      </c>
      <c r="H904" s="1">
        <v>35126</v>
      </c>
      <c r="I904" s="1">
        <v>0.05</v>
      </c>
      <c r="J904" s="1">
        <v>100109.1</v>
      </c>
      <c r="K904" s="1">
        <v>21863.63</v>
      </c>
      <c r="L904" s="1" t="s">
        <v>45</v>
      </c>
      <c r="M904" s="1" t="str">
        <f>TEXT(Table1[[#This Row],[Order Date]],"mmm")</f>
        <v>Nov</v>
      </c>
      <c r="N904" s="1">
        <f>YEAR(Table1[[#This Row],[Order Date]])</f>
        <v>2023</v>
      </c>
    </row>
    <row r="905" spans="1:14" x14ac:dyDescent="0.35">
      <c r="A905" s="1" t="s">
        <v>1508</v>
      </c>
      <c r="B905" s="1" t="s">
        <v>286</v>
      </c>
      <c r="C905" s="1" t="s">
        <v>31</v>
      </c>
      <c r="D905" s="1" t="s">
        <v>56</v>
      </c>
      <c r="E905" s="1" t="s">
        <v>22</v>
      </c>
      <c r="F905" s="1" t="s">
        <v>56</v>
      </c>
      <c r="G905" s="1">
        <v>9</v>
      </c>
      <c r="H905" s="1">
        <v>25442</v>
      </c>
      <c r="I905" s="1">
        <v>0.2</v>
      </c>
      <c r="J905" s="1">
        <v>183182.4</v>
      </c>
      <c r="K905" s="1">
        <v>21365.95</v>
      </c>
      <c r="L905" s="1" t="s">
        <v>70</v>
      </c>
      <c r="M905" s="1" t="str">
        <f>TEXT(Table1[[#This Row],[Order Date]],"mmm")</f>
        <v>Mar</v>
      </c>
      <c r="N905" s="1">
        <f>YEAR(Table1[[#This Row],[Order Date]])</f>
        <v>2024</v>
      </c>
    </row>
    <row r="906" spans="1:14" x14ac:dyDescent="0.35">
      <c r="A906" s="1" t="s">
        <v>1509</v>
      </c>
      <c r="B906" s="1" t="s">
        <v>1502</v>
      </c>
      <c r="C906" s="1" t="s">
        <v>335</v>
      </c>
      <c r="D906" s="1" t="s">
        <v>91</v>
      </c>
      <c r="E906" s="1" t="s">
        <v>16</v>
      </c>
      <c r="F906" s="1" t="s">
        <v>91</v>
      </c>
      <c r="G906" s="1">
        <v>8</v>
      </c>
      <c r="H906" s="1">
        <v>32435</v>
      </c>
      <c r="I906" s="1">
        <v>0</v>
      </c>
      <c r="J906" s="1">
        <v>259480</v>
      </c>
      <c r="K906" s="1">
        <v>72688.14</v>
      </c>
      <c r="L906" s="1" t="s">
        <v>23</v>
      </c>
      <c r="M906" s="1" t="str">
        <f>TEXT(Table1[[#This Row],[Order Date]],"mmm")</f>
        <v>Jul</v>
      </c>
      <c r="N906" s="1">
        <f>YEAR(Table1[[#This Row],[Order Date]])</f>
        <v>2023</v>
      </c>
    </row>
    <row r="907" spans="1:14" x14ac:dyDescent="0.35">
      <c r="A907" s="1" t="s">
        <v>1510</v>
      </c>
      <c r="B907" s="1" t="s">
        <v>429</v>
      </c>
      <c r="C907" s="1" t="s">
        <v>59</v>
      </c>
      <c r="D907" s="1" t="s">
        <v>41</v>
      </c>
      <c r="E907" s="1" t="s">
        <v>16</v>
      </c>
      <c r="F907" s="1" t="s">
        <v>41</v>
      </c>
      <c r="G907" s="1">
        <v>12</v>
      </c>
      <c r="H907" s="1">
        <v>23082</v>
      </c>
      <c r="I907" s="1">
        <v>0.1</v>
      </c>
      <c r="J907" s="1">
        <v>249285.6</v>
      </c>
      <c r="K907" s="1">
        <v>24634.39</v>
      </c>
      <c r="L907" s="1" t="s">
        <v>45</v>
      </c>
      <c r="M907" s="1" t="str">
        <f>TEXT(Table1[[#This Row],[Order Date]],"mmm")</f>
        <v>Apr</v>
      </c>
      <c r="N907" s="1">
        <f>YEAR(Table1[[#This Row],[Order Date]])</f>
        <v>2024</v>
      </c>
    </row>
    <row r="908" spans="1:14" x14ac:dyDescent="0.35">
      <c r="A908" s="1" t="s">
        <v>1511</v>
      </c>
      <c r="B908" s="1" t="s">
        <v>676</v>
      </c>
      <c r="C908" s="1" t="s">
        <v>158</v>
      </c>
      <c r="D908" s="1" t="s">
        <v>179</v>
      </c>
      <c r="E908" s="1" t="s">
        <v>28</v>
      </c>
      <c r="F908" s="1" t="s">
        <v>179</v>
      </c>
      <c r="G908" s="1">
        <v>13</v>
      </c>
      <c r="H908" s="1">
        <v>32091</v>
      </c>
      <c r="I908" s="1">
        <v>0.1</v>
      </c>
      <c r="J908" s="1">
        <v>375464.7</v>
      </c>
      <c r="K908" s="1">
        <v>45277.279999999999</v>
      </c>
      <c r="L908" s="1" t="s">
        <v>45</v>
      </c>
      <c r="M908" s="1" t="str">
        <f>TEXT(Table1[[#This Row],[Order Date]],"mmm")</f>
        <v>Oct</v>
      </c>
      <c r="N908" s="1">
        <f>YEAR(Table1[[#This Row],[Order Date]])</f>
        <v>2023</v>
      </c>
    </row>
    <row r="909" spans="1:14" x14ac:dyDescent="0.35">
      <c r="A909" s="1" t="s">
        <v>1512</v>
      </c>
      <c r="B909" s="1" t="s">
        <v>1513</v>
      </c>
      <c r="C909" s="1" t="s">
        <v>146</v>
      </c>
      <c r="D909" s="1" t="s">
        <v>224</v>
      </c>
      <c r="E909" s="1" t="s">
        <v>33</v>
      </c>
      <c r="F909" s="1" t="s">
        <v>224</v>
      </c>
      <c r="G909" s="1">
        <v>15</v>
      </c>
      <c r="H909" s="1">
        <v>14983</v>
      </c>
      <c r="I909" s="1">
        <v>0.15</v>
      </c>
      <c r="J909" s="1">
        <v>191033.25</v>
      </c>
      <c r="K909" s="1">
        <v>20273</v>
      </c>
      <c r="L909" s="1" t="s">
        <v>70</v>
      </c>
      <c r="M909" s="1" t="str">
        <f>TEXT(Table1[[#This Row],[Order Date]],"mmm")</f>
        <v>Jan</v>
      </c>
      <c r="N909" s="1">
        <f>YEAR(Table1[[#This Row],[Order Date]])</f>
        <v>2023</v>
      </c>
    </row>
    <row r="910" spans="1:14" x14ac:dyDescent="0.35">
      <c r="A910" s="1" t="s">
        <v>1514</v>
      </c>
      <c r="B910" s="1" t="s">
        <v>881</v>
      </c>
      <c r="C910" s="1" t="s">
        <v>51</v>
      </c>
      <c r="D910" s="1" t="s">
        <v>27</v>
      </c>
      <c r="E910" s="1" t="s">
        <v>28</v>
      </c>
      <c r="F910" s="1" t="s">
        <v>27</v>
      </c>
      <c r="G910" s="1">
        <v>8</v>
      </c>
      <c r="H910" s="1">
        <v>3780</v>
      </c>
      <c r="I910" s="1">
        <v>0.1</v>
      </c>
      <c r="J910" s="1">
        <v>27216</v>
      </c>
      <c r="K910" s="1">
        <v>5812.3</v>
      </c>
      <c r="L910" s="1" t="s">
        <v>70</v>
      </c>
      <c r="M910" s="1" t="str">
        <f>TEXT(Table1[[#This Row],[Order Date]],"mmm")</f>
        <v>Oct</v>
      </c>
      <c r="N910" s="1">
        <f>YEAR(Table1[[#This Row],[Order Date]])</f>
        <v>2024</v>
      </c>
    </row>
    <row r="911" spans="1:14" x14ac:dyDescent="0.35">
      <c r="A911" s="1" t="s">
        <v>1515</v>
      </c>
      <c r="B911" s="1" t="s">
        <v>504</v>
      </c>
      <c r="C911" s="1" t="s">
        <v>175</v>
      </c>
      <c r="D911" s="1" t="s">
        <v>224</v>
      </c>
      <c r="E911" s="1" t="s">
        <v>33</v>
      </c>
      <c r="F911" s="1" t="s">
        <v>224</v>
      </c>
      <c r="G911" s="1">
        <v>5</v>
      </c>
      <c r="H911" s="1">
        <v>58990</v>
      </c>
      <c r="I911" s="1">
        <v>0.2</v>
      </c>
      <c r="J911" s="1">
        <v>235960</v>
      </c>
      <c r="K911" s="1">
        <v>51715.07</v>
      </c>
      <c r="L911" s="1" t="s">
        <v>17</v>
      </c>
      <c r="M911" s="1" t="str">
        <f>TEXT(Table1[[#This Row],[Order Date]],"mmm")</f>
        <v>Aug</v>
      </c>
      <c r="N911" s="1">
        <f>YEAR(Table1[[#This Row],[Order Date]])</f>
        <v>2023</v>
      </c>
    </row>
    <row r="912" spans="1:14" x14ac:dyDescent="0.35">
      <c r="A912" s="1" t="s">
        <v>1516</v>
      </c>
      <c r="B912" s="1" t="s">
        <v>1517</v>
      </c>
      <c r="C912" s="1" t="s">
        <v>140</v>
      </c>
      <c r="D912" s="1" t="s">
        <v>78</v>
      </c>
      <c r="E912" s="1" t="s">
        <v>28</v>
      </c>
      <c r="F912" s="1" t="s">
        <v>78</v>
      </c>
      <c r="G912" s="1">
        <v>14</v>
      </c>
      <c r="H912" s="1">
        <v>5475</v>
      </c>
      <c r="I912" s="1">
        <v>0.05</v>
      </c>
      <c r="J912" s="1">
        <v>72817.5</v>
      </c>
      <c r="K912" s="1">
        <v>8172.58</v>
      </c>
      <c r="L912" s="1" t="s">
        <v>45</v>
      </c>
      <c r="M912" s="1" t="str">
        <f>TEXT(Table1[[#This Row],[Order Date]],"mmm")</f>
        <v>Mar</v>
      </c>
      <c r="N912" s="1">
        <f>YEAR(Table1[[#This Row],[Order Date]])</f>
        <v>2023</v>
      </c>
    </row>
    <row r="913" spans="1:14" x14ac:dyDescent="0.35">
      <c r="A913" s="1" t="s">
        <v>1518</v>
      </c>
      <c r="B913" s="1" t="s">
        <v>843</v>
      </c>
      <c r="C913" s="1" t="s">
        <v>155</v>
      </c>
      <c r="D913" s="1" t="s">
        <v>21</v>
      </c>
      <c r="E913" s="1" t="s">
        <v>22</v>
      </c>
      <c r="F913" s="1" t="s">
        <v>21</v>
      </c>
      <c r="G913" s="1">
        <v>8</v>
      </c>
      <c r="H913" s="1">
        <v>58498</v>
      </c>
      <c r="I913" s="1">
        <v>0</v>
      </c>
      <c r="J913" s="1">
        <v>467984</v>
      </c>
      <c r="K913" s="1">
        <v>117328.84</v>
      </c>
      <c r="L913" s="1" t="s">
        <v>45</v>
      </c>
      <c r="M913" s="1" t="str">
        <f>TEXT(Table1[[#This Row],[Order Date]],"mmm")</f>
        <v>Feb</v>
      </c>
      <c r="N913" s="1">
        <f>YEAR(Table1[[#This Row],[Order Date]])</f>
        <v>2023</v>
      </c>
    </row>
    <row r="914" spans="1:14" x14ac:dyDescent="0.35">
      <c r="A914" s="1" t="s">
        <v>1519</v>
      </c>
      <c r="B914" s="1" t="s">
        <v>763</v>
      </c>
      <c r="C914" s="1" t="s">
        <v>31</v>
      </c>
      <c r="D914" s="1" t="s">
        <v>21</v>
      </c>
      <c r="E914" s="1" t="s">
        <v>22</v>
      </c>
      <c r="F914" s="1" t="s">
        <v>21</v>
      </c>
      <c r="G914" s="1">
        <v>6</v>
      </c>
      <c r="H914" s="1">
        <v>55557</v>
      </c>
      <c r="I914" s="1">
        <v>0.05</v>
      </c>
      <c r="J914" s="1">
        <v>316674.90000000002</v>
      </c>
      <c r="K914" s="1">
        <v>73136.25</v>
      </c>
      <c r="L914" s="1" t="s">
        <v>23</v>
      </c>
      <c r="M914" s="1" t="str">
        <f>TEXT(Table1[[#This Row],[Order Date]],"mmm")</f>
        <v>Oct</v>
      </c>
      <c r="N914" s="1">
        <f>YEAR(Table1[[#This Row],[Order Date]])</f>
        <v>2024</v>
      </c>
    </row>
    <row r="915" spans="1:14" x14ac:dyDescent="0.35">
      <c r="A915" s="1" t="s">
        <v>1520</v>
      </c>
      <c r="B915" s="1" t="s">
        <v>381</v>
      </c>
      <c r="C915" s="1" t="s">
        <v>125</v>
      </c>
      <c r="D915" s="1" t="s">
        <v>78</v>
      </c>
      <c r="E915" s="1" t="s">
        <v>28</v>
      </c>
      <c r="F915" s="1" t="s">
        <v>78</v>
      </c>
      <c r="G915" s="1">
        <v>15</v>
      </c>
      <c r="H915" s="1">
        <v>23556</v>
      </c>
      <c r="I915" s="1">
        <v>0.15</v>
      </c>
      <c r="J915" s="1">
        <v>300339</v>
      </c>
      <c r="K915" s="1">
        <v>41755</v>
      </c>
      <c r="L915" s="1" t="s">
        <v>17</v>
      </c>
      <c r="M915" s="1" t="str">
        <f>TEXT(Table1[[#This Row],[Order Date]],"mmm")</f>
        <v>Dec</v>
      </c>
      <c r="N915" s="1">
        <f>YEAR(Table1[[#This Row],[Order Date]])</f>
        <v>2023</v>
      </c>
    </row>
    <row r="916" spans="1:14" x14ac:dyDescent="0.35">
      <c r="A916" s="1" t="s">
        <v>1521</v>
      </c>
      <c r="B916" s="1" t="s">
        <v>499</v>
      </c>
      <c r="C916" s="1" t="s">
        <v>349</v>
      </c>
      <c r="D916" s="1" t="s">
        <v>52</v>
      </c>
      <c r="E916" s="1" t="s">
        <v>28</v>
      </c>
      <c r="F916" s="1" t="s">
        <v>52</v>
      </c>
      <c r="G916" s="1">
        <v>14</v>
      </c>
      <c r="H916" s="1">
        <v>8593</v>
      </c>
      <c r="I916" s="1">
        <v>0</v>
      </c>
      <c r="J916" s="1">
        <v>120302</v>
      </c>
      <c r="K916" s="1">
        <v>30912.2</v>
      </c>
      <c r="L916" s="1" t="s">
        <v>23</v>
      </c>
      <c r="M916" s="1" t="str">
        <f>TEXT(Table1[[#This Row],[Order Date]],"mmm")</f>
        <v>May</v>
      </c>
      <c r="N916" s="1">
        <f>YEAR(Table1[[#This Row],[Order Date]])</f>
        <v>2024</v>
      </c>
    </row>
    <row r="917" spans="1:14" x14ac:dyDescent="0.35">
      <c r="A917" s="1" t="s">
        <v>1522</v>
      </c>
      <c r="B917" s="1" t="s">
        <v>1523</v>
      </c>
      <c r="C917" s="1" t="s">
        <v>67</v>
      </c>
      <c r="D917" s="1" t="s">
        <v>179</v>
      </c>
      <c r="E917" s="1" t="s">
        <v>28</v>
      </c>
      <c r="F917" s="1" t="s">
        <v>179</v>
      </c>
      <c r="G917" s="1">
        <v>6</v>
      </c>
      <c r="H917" s="1">
        <v>40549</v>
      </c>
      <c r="I917" s="1">
        <v>0.1</v>
      </c>
      <c r="J917" s="1">
        <v>218964.6</v>
      </c>
      <c r="K917" s="1">
        <v>52196.14</v>
      </c>
      <c r="L917" s="1" t="s">
        <v>17</v>
      </c>
      <c r="M917" s="1" t="str">
        <f>TEXT(Table1[[#This Row],[Order Date]],"mmm")</f>
        <v>Jun</v>
      </c>
      <c r="N917" s="1">
        <f>YEAR(Table1[[#This Row],[Order Date]])</f>
        <v>2023</v>
      </c>
    </row>
    <row r="918" spans="1:14" x14ac:dyDescent="0.35">
      <c r="A918" s="1" t="s">
        <v>1524</v>
      </c>
      <c r="B918" s="1" t="s">
        <v>244</v>
      </c>
      <c r="C918" s="1" t="s">
        <v>128</v>
      </c>
      <c r="D918" s="1" t="s">
        <v>179</v>
      </c>
      <c r="E918" s="1" t="s">
        <v>28</v>
      </c>
      <c r="F918" s="1" t="s">
        <v>179</v>
      </c>
      <c r="G918" s="1">
        <v>15</v>
      </c>
      <c r="H918" s="1">
        <v>26502</v>
      </c>
      <c r="I918" s="1">
        <v>0.1</v>
      </c>
      <c r="J918" s="1">
        <v>357777</v>
      </c>
      <c r="K918" s="1">
        <v>88145.46</v>
      </c>
      <c r="L918" s="1" t="s">
        <v>70</v>
      </c>
      <c r="M918" s="1" t="str">
        <f>TEXT(Table1[[#This Row],[Order Date]],"mmm")</f>
        <v>Dec</v>
      </c>
      <c r="N918" s="1">
        <f>YEAR(Table1[[#This Row],[Order Date]])</f>
        <v>2023</v>
      </c>
    </row>
    <row r="919" spans="1:14" x14ac:dyDescent="0.35">
      <c r="A919" s="1" t="s">
        <v>1525</v>
      </c>
      <c r="B919" s="1" t="s">
        <v>327</v>
      </c>
      <c r="C919" s="1" t="s">
        <v>200</v>
      </c>
      <c r="D919" s="1" t="s">
        <v>133</v>
      </c>
      <c r="E919" s="1" t="s">
        <v>22</v>
      </c>
      <c r="F919" s="1" t="s">
        <v>133</v>
      </c>
      <c r="G919" s="1">
        <v>9</v>
      </c>
      <c r="H919" s="1">
        <v>34383</v>
      </c>
      <c r="I919" s="1">
        <v>0.2</v>
      </c>
      <c r="J919" s="1">
        <v>247557.6</v>
      </c>
      <c r="K919" s="1">
        <v>58490.54</v>
      </c>
      <c r="L919" s="1" t="s">
        <v>23</v>
      </c>
      <c r="M919" s="1" t="str">
        <f>TEXT(Table1[[#This Row],[Order Date]],"mmm")</f>
        <v>Nov</v>
      </c>
      <c r="N919" s="1">
        <f>YEAR(Table1[[#This Row],[Order Date]])</f>
        <v>2024</v>
      </c>
    </row>
    <row r="920" spans="1:14" x14ac:dyDescent="0.35">
      <c r="A920" s="1" t="s">
        <v>1526</v>
      </c>
      <c r="B920" s="1" t="s">
        <v>357</v>
      </c>
      <c r="C920" s="1" t="s">
        <v>140</v>
      </c>
      <c r="D920" s="1" t="s">
        <v>141</v>
      </c>
      <c r="E920" s="1" t="s">
        <v>22</v>
      </c>
      <c r="F920" s="1" t="s">
        <v>141</v>
      </c>
      <c r="G920" s="1">
        <v>7</v>
      </c>
      <c r="H920" s="1">
        <v>15498</v>
      </c>
      <c r="I920" s="1">
        <v>0.2</v>
      </c>
      <c r="J920" s="1">
        <v>86788.800000000003</v>
      </c>
      <c r="K920" s="1">
        <v>13324.16</v>
      </c>
      <c r="L920" s="1" t="s">
        <v>70</v>
      </c>
      <c r="M920" s="1" t="str">
        <f>TEXT(Table1[[#This Row],[Order Date]],"mmm")</f>
        <v>Apr</v>
      </c>
      <c r="N920" s="1">
        <f>YEAR(Table1[[#This Row],[Order Date]])</f>
        <v>2023</v>
      </c>
    </row>
    <row r="921" spans="1:14" x14ac:dyDescent="0.35">
      <c r="A921" s="1" t="s">
        <v>1527</v>
      </c>
      <c r="B921" s="1" t="s">
        <v>265</v>
      </c>
      <c r="C921" s="1" t="s">
        <v>191</v>
      </c>
      <c r="D921" s="1" t="s">
        <v>60</v>
      </c>
      <c r="E921" s="1" t="s">
        <v>33</v>
      </c>
      <c r="F921" s="1" t="s">
        <v>60</v>
      </c>
      <c r="G921" s="1">
        <v>11</v>
      </c>
      <c r="H921" s="1">
        <v>16641</v>
      </c>
      <c r="I921" s="1">
        <v>0.15</v>
      </c>
      <c r="J921" s="1">
        <v>155593.35</v>
      </c>
      <c r="K921" s="1">
        <v>42728.08</v>
      </c>
      <c r="L921" s="1" t="s">
        <v>45</v>
      </c>
      <c r="M921" s="1" t="str">
        <f>TEXT(Table1[[#This Row],[Order Date]],"mmm")</f>
        <v>Aug</v>
      </c>
      <c r="N921" s="1">
        <f>YEAR(Table1[[#This Row],[Order Date]])</f>
        <v>2023</v>
      </c>
    </row>
    <row r="922" spans="1:14" x14ac:dyDescent="0.35">
      <c r="A922" s="1" t="s">
        <v>1528</v>
      </c>
      <c r="B922" s="1" t="s">
        <v>210</v>
      </c>
      <c r="C922" s="1" t="s">
        <v>255</v>
      </c>
      <c r="D922" s="1" t="s">
        <v>60</v>
      </c>
      <c r="E922" s="1" t="s">
        <v>33</v>
      </c>
      <c r="F922" s="1" t="s">
        <v>60</v>
      </c>
      <c r="G922" s="1">
        <v>8</v>
      </c>
      <c r="H922" s="1">
        <v>39533</v>
      </c>
      <c r="I922" s="1">
        <v>0.1</v>
      </c>
      <c r="J922" s="1">
        <v>284637.59999999998</v>
      </c>
      <c r="K922" s="1">
        <v>40956.33</v>
      </c>
      <c r="L922" s="1" t="s">
        <v>45</v>
      </c>
      <c r="M922" s="1" t="str">
        <f>TEXT(Table1[[#This Row],[Order Date]],"mmm")</f>
        <v>Jun</v>
      </c>
      <c r="N922" s="1">
        <f>YEAR(Table1[[#This Row],[Order Date]])</f>
        <v>2023</v>
      </c>
    </row>
    <row r="923" spans="1:14" x14ac:dyDescent="0.35">
      <c r="A923" s="1" t="s">
        <v>1529</v>
      </c>
      <c r="B923" s="1" t="s">
        <v>797</v>
      </c>
      <c r="C923" s="1" t="s">
        <v>101</v>
      </c>
      <c r="D923" s="1" t="s">
        <v>37</v>
      </c>
      <c r="E923" s="1" t="s">
        <v>16</v>
      </c>
      <c r="F923" s="1" t="s">
        <v>37</v>
      </c>
      <c r="G923" s="1">
        <v>10</v>
      </c>
      <c r="H923" s="1">
        <v>32287</v>
      </c>
      <c r="I923" s="1">
        <v>0.05</v>
      </c>
      <c r="J923" s="1">
        <v>306726.5</v>
      </c>
      <c r="K923" s="1">
        <v>63081.09</v>
      </c>
      <c r="L923" s="1" t="s">
        <v>70</v>
      </c>
      <c r="M923" s="1" t="str">
        <f>TEXT(Table1[[#This Row],[Order Date]],"mmm")</f>
        <v>Nov</v>
      </c>
      <c r="N923" s="1">
        <f>YEAR(Table1[[#This Row],[Order Date]])</f>
        <v>2023</v>
      </c>
    </row>
    <row r="924" spans="1:14" x14ac:dyDescent="0.35">
      <c r="A924" s="1" t="s">
        <v>1530</v>
      </c>
      <c r="B924" s="1" t="s">
        <v>1531</v>
      </c>
      <c r="C924" s="1" t="s">
        <v>175</v>
      </c>
      <c r="D924" s="1" t="s">
        <v>60</v>
      </c>
      <c r="E924" s="1" t="s">
        <v>33</v>
      </c>
      <c r="F924" s="1" t="s">
        <v>60</v>
      </c>
      <c r="G924" s="1">
        <v>5</v>
      </c>
      <c r="H924" s="1">
        <v>35183</v>
      </c>
      <c r="I924" s="1">
        <v>0.05</v>
      </c>
      <c r="J924" s="1">
        <v>167119.25</v>
      </c>
      <c r="K924" s="1">
        <v>37788.43</v>
      </c>
      <c r="L924" s="1" t="s">
        <v>70</v>
      </c>
      <c r="M924" s="1" t="str">
        <f>TEXT(Table1[[#This Row],[Order Date]],"mmm")</f>
        <v>Aug</v>
      </c>
      <c r="N924" s="1">
        <f>YEAR(Table1[[#This Row],[Order Date]])</f>
        <v>2023</v>
      </c>
    </row>
    <row r="925" spans="1:14" x14ac:dyDescent="0.35">
      <c r="A925" s="1" t="s">
        <v>1532</v>
      </c>
      <c r="B925" s="1" t="s">
        <v>1209</v>
      </c>
      <c r="C925" s="1" t="s">
        <v>14</v>
      </c>
      <c r="D925" s="1" t="s">
        <v>91</v>
      </c>
      <c r="E925" s="1" t="s">
        <v>16</v>
      </c>
      <c r="F925" s="1" t="s">
        <v>91</v>
      </c>
      <c r="G925" s="1">
        <v>13</v>
      </c>
      <c r="H925" s="1">
        <v>13990</v>
      </c>
      <c r="I925" s="1">
        <v>0.2</v>
      </c>
      <c r="J925" s="1">
        <v>145496</v>
      </c>
      <c r="K925" s="1">
        <v>40809.269999999997</v>
      </c>
      <c r="L925" s="1" t="s">
        <v>45</v>
      </c>
      <c r="M925" s="1" t="str">
        <f>TEXT(Table1[[#This Row],[Order Date]],"mmm")</f>
        <v>Jan</v>
      </c>
      <c r="N925" s="1">
        <f>YEAR(Table1[[#This Row],[Order Date]])</f>
        <v>2023</v>
      </c>
    </row>
    <row r="926" spans="1:14" x14ac:dyDescent="0.35">
      <c r="A926" s="1" t="s">
        <v>1533</v>
      </c>
      <c r="B926" s="1" t="s">
        <v>288</v>
      </c>
      <c r="C926" s="1" t="s">
        <v>81</v>
      </c>
      <c r="D926" s="1" t="s">
        <v>85</v>
      </c>
      <c r="E926" s="1" t="s">
        <v>28</v>
      </c>
      <c r="F926" s="1" t="s">
        <v>85</v>
      </c>
      <c r="G926" s="1">
        <v>9</v>
      </c>
      <c r="H926" s="1">
        <v>31203</v>
      </c>
      <c r="I926" s="1">
        <v>0.05</v>
      </c>
      <c r="J926" s="1">
        <v>266785.65000000002</v>
      </c>
      <c r="K926" s="1">
        <v>39109.35</v>
      </c>
      <c r="L926" s="1" t="s">
        <v>17</v>
      </c>
      <c r="M926" s="1" t="str">
        <f>TEXT(Table1[[#This Row],[Order Date]],"mmm")</f>
        <v>Jun</v>
      </c>
      <c r="N926" s="1">
        <f>YEAR(Table1[[#This Row],[Order Date]])</f>
        <v>2024</v>
      </c>
    </row>
    <row r="927" spans="1:14" x14ac:dyDescent="0.35">
      <c r="A927" s="1" t="s">
        <v>1534</v>
      </c>
      <c r="B927" s="1" t="s">
        <v>737</v>
      </c>
      <c r="C927" s="1" t="s">
        <v>208</v>
      </c>
      <c r="D927" s="1" t="s">
        <v>179</v>
      </c>
      <c r="E927" s="1" t="s">
        <v>28</v>
      </c>
      <c r="F927" s="1" t="s">
        <v>179</v>
      </c>
      <c r="G927" s="1">
        <v>1</v>
      </c>
      <c r="H927" s="1">
        <v>51306</v>
      </c>
      <c r="I927" s="1">
        <v>0.1</v>
      </c>
      <c r="J927" s="1">
        <v>46175.4</v>
      </c>
      <c r="K927" s="1">
        <v>10710.34</v>
      </c>
      <c r="L927" s="1" t="s">
        <v>70</v>
      </c>
      <c r="M927" s="1" t="str">
        <f>TEXT(Table1[[#This Row],[Order Date]],"mmm")</f>
        <v>Aug</v>
      </c>
      <c r="N927" s="1">
        <f>YEAR(Table1[[#This Row],[Order Date]])</f>
        <v>2023</v>
      </c>
    </row>
    <row r="928" spans="1:14" x14ac:dyDescent="0.35">
      <c r="A928" s="1" t="s">
        <v>1535</v>
      </c>
      <c r="B928" s="1" t="s">
        <v>1019</v>
      </c>
      <c r="C928" s="1" t="s">
        <v>128</v>
      </c>
      <c r="D928" s="1" t="s">
        <v>95</v>
      </c>
      <c r="E928" s="1" t="s">
        <v>33</v>
      </c>
      <c r="F928" s="1" t="s">
        <v>95</v>
      </c>
      <c r="G928" s="1">
        <v>3</v>
      </c>
      <c r="H928" s="1">
        <v>6575</v>
      </c>
      <c r="I928" s="1">
        <v>0.1</v>
      </c>
      <c r="J928" s="1">
        <v>17752.5</v>
      </c>
      <c r="K928" s="1">
        <v>2826.75</v>
      </c>
      <c r="L928" s="1" t="s">
        <v>45</v>
      </c>
      <c r="M928" s="1" t="str">
        <f>TEXT(Table1[[#This Row],[Order Date]],"mmm")</f>
        <v>Jun</v>
      </c>
      <c r="N928" s="1">
        <f>YEAR(Table1[[#This Row],[Order Date]])</f>
        <v>2024</v>
      </c>
    </row>
    <row r="929" spans="1:14" x14ac:dyDescent="0.35">
      <c r="A929" s="1" t="s">
        <v>1536</v>
      </c>
      <c r="B929" s="1" t="s">
        <v>1537</v>
      </c>
      <c r="C929" s="1" t="s">
        <v>20</v>
      </c>
      <c r="D929" s="1" t="s">
        <v>44</v>
      </c>
      <c r="E929" s="1" t="s">
        <v>28</v>
      </c>
      <c r="F929" s="1" t="s">
        <v>44</v>
      </c>
      <c r="G929" s="1">
        <v>14</v>
      </c>
      <c r="H929" s="1">
        <v>34835</v>
      </c>
      <c r="I929" s="1">
        <v>0.05</v>
      </c>
      <c r="J929" s="1">
        <v>463305.5</v>
      </c>
      <c r="K929" s="1">
        <v>70718.37</v>
      </c>
      <c r="L929" s="1" t="s">
        <v>70</v>
      </c>
      <c r="M929" s="1" t="str">
        <f>TEXT(Table1[[#This Row],[Order Date]],"mmm")</f>
        <v>Jan</v>
      </c>
      <c r="N929" s="1">
        <f>YEAR(Table1[[#This Row],[Order Date]])</f>
        <v>2023</v>
      </c>
    </row>
    <row r="930" spans="1:14" x14ac:dyDescent="0.35">
      <c r="A930" s="1" t="s">
        <v>1538</v>
      </c>
      <c r="B930" s="1" t="s">
        <v>599</v>
      </c>
      <c r="C930" s="1" t="s">
        <v>36</v>
      </c>
      <c r="D930" s="1" t="s">
        <v>85</v>
      </c>
      <c r="E930" s="1" t="s">
        <v>28</v>
      </c>
      <c r="F930" s="1" t="s">
        <v>85</v>
      </c>
      <c r="G930" s="1">
        <v>3</v>
      </c>
      <c r="H930" s="1">
        <v>58382</v>
      </c>
      <c r="I930" s="1">
        <v>0.05</v>
      </c>
      <c r="J930" s="1">
        <v>166388.70000000001</v>
      </c>
      <c r="K930" s="1">
        <v>21690.15</v>
      </c>
      <c r="L930" s="1" t="s">
        <v>45</v>
      </c>
      <c r="M930" s="1" t="str">
        <f>TEXT(Table1[[#This Row],[Order Date]],"mmm")</f>
        <v>May</v>
      </c>
      <c r="N930" s="1">
        <f>YEAR(Table1[[#This Row],[Order Date]])</f>
        <v>2023</v>
      </c>
    </row>
    <row r="931" spans="1:14" x14ac:dyDescent="0.35">
      <c r="A931" s="1" t="s">
        <v>1539</v>
      </c>
      <c r="B931" s="1" t="s">
        <v>199</v>
      </c>
      <c r="C931" s="1" t="s">
        <v>73</v>
      </c>
      <c r="D931" s="1" t="s">
        <v>151</v>
      </c>
      <c r="E931" s="1" t="s">
        <v>22</v>
      </c>
      <c r="F931" s="1" t="s">
        <v>151</v>
      </c>
      <c r="G931" s="1">
        <v>3</v>
      </c>
      <c r="H931" s="1">
        <v>12874</v>
      </c>
      <c r="I931" s="1">
        <v>0</v>
      </c>
      <c r="J931" s="1">
        <v>38622</v>
      </c>
      <c r="K931" s="1">
        <v>3121.15</v>
      </c>
      <c r="L931" s="1" t="s">
        <v>70</v>
      </c>
      <c r="M931" s="1" t="str">
        <f>TEXT(Table1[[#This Row],[Order Date]],"mmm")</f>
        <v>Nov</v>
      </c>
      <c r="N931" s="1">
        <f>YEAR(Table1[[#This Row],[Order Date]])</f>
        <v>2023</v>
      </c>
    </row>
    <row r="932" spans="1:14" x14ac:dyDescent="0.35">
      <c r="A932" s="1" t="s">
        <v>1540</v>
      </c>
      <c r="B932" s="1" t="s">
        <v>853</v>
      </c>
      <c r="C932" s="1" t="s">
        <v>117</v>
      </c>
      <c r="D932" s="1" t="s">
        <v>78</v>
      </c>
      <c r="E932" s="1" t="s">
        <v>28</v>
      </c>
      <c r="F932" s="1" t="s">
        <v>78</v>
      </c>
      <c r="G932" s="1">
        <v>13</v>
      </c>
      <c r="H932" s="1">
        <v>16317</v>
      </c>
      <c r="I932" s="1">
        <v>0.1</v>
      </c>
      <c r="J932" s="1">
        <v>190908.9</v>
      </c>
      <c r="K932" s="1">
        <v>46541.69</v>
      </c>
      <c r="L932" s="1" t="s">
        <v>23</v>
      </c>
      <c r="M932" s="1" t="str">
        <f>TEXT(Table1[[#This Row],[Order Date]],"mmm")</f>
        <v>Jun</v>
      </c>
      <c r="N932" s="1">
        <f>YEAR(Table1[[#This Row],[Order Date]])</f>
        <v>2024</v>
      </c>
    </row>
    <row r="933" spans="1:14" x14ac:dyDescent="0.35">
      <c r="A933" s="1" t="s">
        <v>1541</v>
      </c>
      <c r="B933" s="1" t="s">
        <v>889</v>
      </c>
      <c r="C933" s="1" t="s">
        <v>146</v>
      </c>
      <c r="D933" s="1" t="s">
        <v>133</v>
      </c>
      <c r="E933" s="1" t="s">
        <v>22</v>
      </c>
      <c r="F933" s="1" t="s">
        <v>133</v>
      </c>
      <c r="G933" s="1">
        <v>7</v>
      </c>
      <c r="H933" s="1">
        <v>39458</v>
      </c>
      <c r="I933" s="1">
        <v>0.15</v>
      </c>
      <c r="J933" s="1">
        <v>234775.1</v>
      </c>
      <c r="K933" s="1">
        <v>33154.660000000003</v>
      </c>
      <c r="L933" s="1" t="s">
        <v>70</v>
      </c>
      <c r="M933" s="1" t="str">
        <f>TEXT(Table1[[#This Row],[Order Date]],"mmm")</f>
        <v>Jul</v>
      </c>
      <c r="N933" s="1">
        <f>YEAR(Table1[[#This Row],[Order Date]])</f>
        <v>2023</v>
      </c>
    </row>
    <row r="934" spans="1:14" x14ac:dyDescent="0.35">
      <c r="A934" s="1" t="s">
        <v>1542</v>
      </c>
      <c r="B934" s="1" t="s">
        <v>1113</v>
      </c>
      <c r="C934" s="1" t="s">
        <v>120</v>
      </c>
      <c r="D934" s="1" t="s">
        <v>133</v>
      </c>
      <c r="E934" s="1" t="s">
        <v>22</v>
      </c>
      <c r="F934" s="1" t="s">
        <v>133</v>
      </c>
      <c r="G934" s="1">
        <v>12</v>
      </c>
      <c r="H934" s="1">
        <v>38130</v>
      </c>
      <c r="I934" s="1">
        <v>0.2</v>
      </c>
      <c r="J934" s="1">
        <v>366048</v>
      </c>
      <c r="K934" s="1">
        <v>65908.72</v>
      </c>
      <c r="L934" s="1" t="s">
        <v>70</v>
      </c>
      <c r="M934" s="1" t="str">
        <f>TEXT(Table1[[#This Row],[Order Date]],"mmm")</f>
        <v>Feb</v>
      </c>
      <c r="N934" s="1">
        <f>YEAR(Table1[[#This Row],[Order Date]])</f>
        <v>2023</v>
      </c>
    </row>
    <row r="935" spans="1:14" x14ac:dyDescent="0.35">
      <c r="A935" s="1" t="s">
        <v>1543</v>
      </c>
      <c r="B935" s="1" t="s">
        <v>1085</v>
      </c>
      <c r="C935" s="1" t="s">
        <v>67</v>
      </c>
      <c r="D935" s="1" t="s">
        <v>293</v>
      </c>
      <c r="E935" s="1" t="s">
        <v>33</v>
      </c>
      <c r="F935" s="1" t="s">
        <v>293</v>
      </c>
      <c r="G935" s="1">
        <v>4</v>
      </c>
      <c r="H935" s="1">
        <v>39933</v>
      </c>
      <c r="I935" s="1">
        <v>0.15</v>
      </c>
      <c r="J935" s="1">
        <v>135772.20000000001</v>
      </c>
      <c r="K935" s="1">
        <v>12035.1</v>
      </c>
      <c r="L935" s="1" t="s">
        <v>45</v>
      </c>
      <c r="M935" s="1" t="str">
        <f>TEXT(Table1[[#This Row],[Order Date]],"mmm")</f>
        <v>Aug</v>
      </c>
      <c r="N935" s="1">
        <f>YEAR(Table1[[#This Row],[Order Date]])</f>
        <v>2023</v>
      </c>
    </row>
    <row r="936" spans="1:14" x14ac:dyDescent="0.35">
      <c r="A936" s="1" t="s">
        <v>1544</v>
      </c>
      <c r="B936" s="1" t="s">
        <v>1545</v>
      </c>
      <c r="C936" s="1" t="s">
        <v>155</v>
      </c>
      <c r="D936" s="1" t="s">
        <v>52</v>
      </c>
      <c r="E936" s="1" t="s">
        <v>28</v>
      </c>
      <c r="F936" s="1" t="s">
        <v>52</v>
      </c>
      <c r="G936" s="1">
        <v>13</v>
      </c>
      <c r="H936" s="1">
        <v>23670</v>
      </c>
      <c r="I936" s="1">
        <v>0</v>
      </c>
      <c r="J936" s="1">
        <v>307710</v>
      </c>
      <c r="K936" s="1">
        <v>35867.449999999997</v>
      </c>
      <c r="L936" s="1" t="s">
        <v>17</v>
      </c>
      <c r="M936" s="1" t="str">
        <f>TEXT(Table1[[#This Row],[Order Date]],"mmm")</f>
        <v>May</v>
      </c>
      <c r="N936" s="1">
        <f>YEAR(Table1[[#This Row],[Order Date]])</f>
        <v>2023</v>
      </c>
    </row>
    <row r="937" spans="1:14" x14ac:dyDescent="0.35">
      <c r="A937" s="1" t="s">
        <v>1546</v>
      </c>
      <c r="B937" s="1" t="s">
        <v>1547</v>
      </c>
      <c r="C937" s="1" t="s">
        <v>136</v>
      </c>
      <c r="D937" s="1" t="s">
        <v>141</v>
      </c>
      <c r="E937" s="1" t="s">
        <v>22</v>
      </c>
      <c r="F937" s="1" t="s">
        <v>141</v>
      </c>
      <c r="G937" s="1">
        <v>6</v>
      </c>
      <c r="H937" s="1">
        <v>8975</v>
      </c>
      <c r="I937" s="1">
        <v>0.05</v>
      </c>
      <c r="J937" s="1">
        <v>51157.5</v>
      </c>
      <c r="K937" s="1">
        <v>4613.3599999999997</v>
      </c>
      <c r="L937" s="1" t="s">
        <v>70</v>
      </c>
      <c r="M937" s="1" t="str">
        <f>TEXT(Table1[[#This Row],[Order Date]],"mmm")</f>
        <v>Nov</v>
      </c>
      <c r="N937" s="1">
        <f>YEAR(Table1[[#This Row],[Order Date]])</f>
        <v>2024</v>
      </c>
    </row>
    <row r="938" spans="1:14" x14ac:dyDescent="0.35">
      <c r="A938" s="1" t="s">
        <v>1548</v>
      </c>
      <c r="B938" s="1" t="s">
        <v>1489</v>
      </c>
      <c r="C938" s="1" t="s">
        <v>162</v>
      </c>
      <c r="D938" s="1" t="s">
        <v>44</v>
      </c>
      <c r="E938" s="1" t="s">
        <v>28</v>
      </c>
      <c r="F938" s="1" t="s">
        <v>44</v>
      </c>
      <c r="G938" s="1">
        <v>14</v>
      </c>
      <c r="H938" s="1">
        <v>38576</v>
      </c>
      <c r="I938" s="1">
        <v>0.1</v>
      </c>
      <c r="J938" s="1">
        <v>486057.6</v>
      </c>
      <c r="K938" s="1">
        <v>88024.95</v>
      </c>
      <c r="L938" s="1" t="s">
        <v>23</v>
      </c>
      <c r="M938" s="1" t="str">
        <f>TEXT(Table1[[#This Row],[Order Date]],"mmm")</f>
        <v>Mar</v>
      </c>
      <c r="N938" s="1">
        <f>YEAR(Table1[[#This Row],[Order Date]])</f>
        <v>2023</v>
      </c>
    </row>
    <row r="939" spans="1:14" x14ac:dyDescent="0.35">
      <c r="A939" s="1" t="s">
        <v>1549</v>
      </c>
      <c r="B939" s="1" t="s">
        <v>1225</v>
      </c>
      <c r="C939" s="1" t="s">
        <v>255</v>
      </c>
      <c r="D939" s="1" t="s">
        <v>167</v>
      </c>
      <c r="E939" s="1" t="s">
        <v>16</v>
      </c>
      <c r="F939" s="1" t="s">
        <v>167</v>
      </c>
      <c r="G939" s="1">
        <v>15</v>
      </c>
      <c r="H939" s="1">
        <v>16858</v>
      </c>
      <c r="I939" s="1">
        <v>0.1</v>
      </c>
      <c r="J939" s="1">
        <v>227583</v>
      </c>
      <c r="K939" s="1">
        <v>63502.81</v>
      </c>
      <c r="L939" s="1" t="s">
        <v>17</v>
      </c>
      <c r="M939" s="1" t="str">
        <f>TEXT(Table1[[#This Row],[Order Date]],"mmm")</f>
        <v>May</v>
      </c>
      <c r="N939" s="1">
        <f>YEAR(Table1[[#This Row],[Order Date]])</f>
        <v>2023</v>
      </c>
    </row>
    <row r="940" spans="1:14" x14ac:dyDescent="0.35">
      <c r="A940" s="1" t="s">
        <v>1550</v>
      </c>
      <c r="B940" s="1" t="s">
        <v>634</v>
      </c>
      <c r="C940" s="1" t="s">
        <v>349</v>
      </c>
      <c r="D940" s="1" t="s">
        <v>91</v>
      </c>
      <c r="E940" s="1" t="s">
        <v>16</v>
      </c>
      <c r="F940" s="1" t="s">
        <v>91</v>
      </c>
      <c r="G940" s="1">
        <v>5</v>
      </c>
      <c r="H940" s="1">
        <v>10991</v>
      </c>
      <c r="I940" s="1">
        <v>0</v>
      </c>
      <c r="J940" s="1">
        <v>54955</v>
      </c>
      <c r="K940" s="1">
        <v>4632.3599999999997</v>
      </c>
      <c r="L940" s="1" t="s">
        <v>70</v>
      </c>
      <c r="M940" s="1" t="str">
        <f>TEXT(Table1[[#This Row],[Order Date]],"mmm")</f>
        <v>Nov</v>
      </c>
      <c r="N940" s="1">
        <f>YEAR(Table1[[#This Row],[Order Date]])</f>
        <v>2024</v>
      </c>
    </row>
    <row r="941" spans="1:14" x14ac:dyDescent="0.35">
      <c r="A941" s="1" t="s">
        <v>1551</v>
      </c>
      <c r="B941" s="1" t="s">
        <v>374</v>
      </c>
      <c r="C941" s="1" t="s">
        <v>227</v>
      </c>
      <c r="D941" s="1" t="s">
        <v>85</v>
      </c>
      <c r="E941" s="1" t="s">
        <v>28</v>
      </c>
      <c r="F941" s="1" t="s">
        <v>85</v>
      </c>
      <c r="G941" s="1">
        <v>1</v>
      </c>
      <c r="H941" s="1">
        <v>8433</v>
      </c>
      <c r="I941" s="1">
        <v>0.2</v>
      </c>
      <c r="J941" s="1">
        <v>6746.4</v>
      </c>
      <c r="K941" s="1">
        <v>1572.9</v>
      </c>
      <c r="L941" s="1" t="s">
        <v>70</v>
      </c>
      <c r="M941" s="1" t="str">
        <f>TEXT(Table1[[#This Row],[Order Date]],"mmm")</f>
        <v>Oct</v>
      </c>
      <c r="N941" s="1">
        <f>YEAR(Table1[[#This Row],[Order Date]])</f>
        <v>2023</v>
      </c>
    </row>
    <row r="942" spans="1:14" x14ac:dyDescent="0.35">
      <c r="A942" s="1" t="s">
        <v>1552</v>
      </c>
      <c r="B942" s="1" t="s">
        <v>1265</v>
      </c>
      <c r="C942" s="1" t="s">
        <v>349</v>
      </c>
      <c r="D942" s="1" t="s">
        <v>114</v>
      </c>
      <c r="E942" s="1" t="s">
        <v>16</v>
      </c>
      <c r="F942" s="1" t="s">
        <v>114</v>
      </c>
      <c r="G942" s="1">
        <v>11</v>
      </c>
      <c r="H942" s="1">
        <v>54700</v>
      </c>
      <c r="I942" s="1">
        <v>0.15</v>
      </c>
      <c r="J942" s="1">
        <v>511445</v>
      </c>
      <c r="K942" s="1">
        <v>132772.6</v>
      </c>
      <c r="L942" s="1" t="s">
        <v>70</v>
      </c>
      <c r="M942" s="1" t="str">
        <f>TEXT(Table1[[#This Row],[Order Date]],"mmm")</f>
        <v>Mar</v>
      </c>
      <c r="N942" s="1">
        <f>YEAR(Table1[[#This Row],[Order Date]])</f>
        <v>2023</v>
      </c>
    </row>
    <row r="943" spans="1:14" x14ac:dyDescent="0.35">
      <c r="A943" s="1" t="s">
        <v>1553</v>
      </c>
      <c r="B943" s="1" t="s">
        <v>684</v>
      </c>
      <c r="C943" s="1" t="s">
        <v>107</v>
      </c>
      <c r="D943" s="1" t="s">
        <v>52</v>
      </c>
      <c r="E943" s="1" t="s">
        <v>28</v>
      </c>
      <c r="F943" s="1" t="s">
        <v>52</v>
      </c>
      <c r="G943" s="1">
        <v>2</v>
      </c>
      <c r="H943" s="1">
        <v>39700</v>
      </c>
      <c r="I943" s="1">
        <v>0.2</v>
      </c>
      <c r="J943" s="1">
        <v>63520</v>
      </c>
      <c r="K943" s="1">
        <v>13453.31</v>
      </c>
      <c r="L943" s="1" t="s">
        <v>23</v>
      </c>
      <c r="M943" s="1" t="str">
        <f>TEXT(Table1[[#This Row],[Order Date]],"mmm")</f>
        <v>May</v>
      </c>
      <c r="N943" s="1">
        <f>YEAR(Table1[[#This Row],[Order Date]])</f>
        <v>2024</v>
      </c>
    </row>
    <row r="944" spans="1:14" x14ac:dyDescent="0.35">
      <c r="A944" s="1" t="s">
        <v>1554</v>
      </c>
      <c r="B944" s="1" t="s">
        <v>853</v>
      </c>
      <c r="C944" s="1" t="s">
        <v>140</v>
      </c>
      <c r="D944" s="1" t="s">
        <v>137</v>
      </c>
      <c r="E944" s="1" t="s">
        <v>22</v>
      </c>
      <c r="F944" s="1" t="s">
        <v>137</v>
      </c>
      <c r="G944" s="1">
        <v>8</v>
      </c>
      <c r="H944" s="1">
        <v>45178</v>
      </c>
      <c r="I944" s="1">
        <v>0.2</v>
      </c>
      <c r="J944" s="1">
        <v>289139.20000000001</v>
      </c>
      <c r="K944" s="1">
        <v>75939.210000000006</v>
      </c>
      <c r="L944" s="1" t="s">
        <v>70</v>
      </c>
      <c r="M944" s="1" t="str">
        <f>TEXT(Table1[[#This Row],[Order Date]],"mmm")</f>
        <v>Jun</v>
      </c>
      <c r="N944" s="1">
        <f>YEAR(Table1[[#This Row],[Order Date]])</f>
        <v>2024</v>
      </c>
    </row>
    <row r="945" spans="1:14" x14ac:dyDescent="0.35">
      <c r="A945" s="1" t="s">
        <v>1555</v>
      </c>
      <c r="B945" s="1" t="s">
        <v>1556</v>
      </c>
      <c r="C945" s="1" t="s">
        <v>55</v>
      </c>
      <c r="D945" s="1" t="s">
        <v>179</v>
      </c>
      <c r="E945" s="1" t="s">
        <v>28</v>
      </c>
      <c r="F945" s="1" t="s">
        <v>179</v>
      </c>
      <c r="G945" s="1">
        <v>15</v>
      </c>
      <c r="H945" s="1">
        <v>9479</v>
      </c>
      <c r="I945" s="1">
        <v>0.1</v>
      </c>
      <c r="J945" s="1">
        <v>127966.5</v>
      </c>
      <c r="K945" s="1">
        <v>13989.99</v>
      </c>
      <c r="L945" s="1" t="s">
        <v>70</v>
      </c>
      <c r="M945" s="1" t="str">
        <f>TEXT(Table1[[#This Row],[Order Date]],"mmm")</f>
        <v>May</v>
      </c>
      <c r="N945" s="1">
        <f>YEAR(Table1[[#This Row],[Order Date]])</f>
        <v>2023</v>
      </c>
    </row>
    <row r="946" spans="1:14" x14ac:dyDescent="0.35">
      <c r="A946" s="1" t="s">
        <v>1557</v>
      </c>
      <c r="B946" s="1" t="s">
        <v>1205</v>
      </c>
      <c r="C946" s="1" t="s">
        <v>188</v>
      </c>
      <c r="D946" s="1" t="s">
        <v>151</v>
      </c>
      <c r="E946" s="1" t="s">
        <v>22</v>
      </c>
      <c r="F946" s="1" t="s">
        <v>151</v>
      </c>
      <c r="G946" s="1">
        <v>15</v>
      </c>
      <c r="H946" s="1">
        <v>17075</v>
      </c>
      <c r="I946" s="1">
        <v>0.1</v>
      </c>
      <c r="J946" s="1">
        <v>230512.5</v>
      </c>
      <c r="K946" s="1">
        <v>44088.61</v>
      </c>
      <c r="L946" s="1" t="s">
        <v>70</v>
      </c>
      <c r="M946" s="1" t="str">
        <f>TEXT(Table1[[#This Row],[Order Date]],"mmm")</f>
        <v>Dec</v>
      </c>
      <c r="N946" s="1">
        <f>YEAR(Table1[[#This Row],[Order Date]])</f>
        <v>2023</v>
      </c>
    </row>
    <row r="947" spans="1:14" x14ac:dyDescent="0.35">
      <c r="A947" s="1" t="s">
        <v>1558</v>
      </c>
      <c r="B947" s="1" t="s">
        <v>1559</v>
      </c>
      <c r="C947" s="1" t="s">
        <v>640</v>
      </c>
      <c r="D947" s="1" t="s">
        <v>78</v>
      </c>
      <c r="E947" s="1" t="s">
        <v>28</v>
      </c>
      <c r="F947" s="1" t="s">
        <v>78</v>
      </c>
      <c r="G947" s="1">
        <v>3</v>
      </c>
      <c r="H947" s="1">
        <v>10283</v>
      </c>
      <c r="I947" s="1">
        <v>0.05</v>
      </c>
      <c r="J947" s="1">
        <v>29306.55</v>
      </c>
      <c r="K947" s="1">
        <v>3623.45</v>
      </c>
      <c r="L947" s="1" t="s">
        <v>70</v>
      </c>
      <c r="M947" s="1" t="str">
        <f>TEXT(Table1[[#This Row],[Order Date]],"mmm")</f>
        <v>Jan</v>
      </c>
      <c r="N947" s="1">
        <f>YEAR(Table1[[#This Row],[Order Date]])</f>
        <v>2023</v>
      </c>
    </row>
    <row r="948" spans="1:14" x14ac:dyDescent="0.35">
      <c r="A948" s="1" t="s">
        <v>1560</v>
      </c>
      <c r="B948" s="1" t="s">
        <v>1201</v>
      </c>
      <c r="C948" s="1" t="s">
        <v>73</v>
      </c>
      <c r="D948" s="1" t="s">
        <v>74</v>
      </c>
      <c r="E948" s="1" t="s">
        <v>22</v>
      </c>
      <c r="F948" s="1" t="s">
        <v>74</v>
      </c>
      <c r="G948" s="1">
        <v>10</v>
      </c>
      <c r="H948" s="1">
        <v>21141</v>
      </c>
      <c r="I948" s="1">
        <v>0.05</v>
      </c>
      <c r="J948" s="1">
        <v>200839.5</v>
      </c>
      <c r="K948" s="1">
        <v>32982.93</v>
      </c>
      <c r="L948" s="1" t="s">
        <v>70</v>
      </c>
      <c r="M948" s="1" t="str">
        <f>TEXT(Table1[[#This Row],[Order Date]],"mmm")</f>
        <v>Nov</v>
      </c>
      <c r="N948" s="1">
        <f>YEAR(Table1[[#This Row],[Order Date]])</f>
        <v>2024</v>
      </c>
    </row>
    <row r="949" spans="1:14" x14ac:dyDescent="0.35">
      <c r="A949" s="1" t="s">
        <v>1561</v>
      </c>
      <c r="B949" s="1" t="s">
        <v>1146</v>
      </c>
      <c r="C949" s="1" t="s">
        <v>332</v>
      </c>
      <c r="D949" s="1" t="s">
        <v>95</v>
      </c>
      <c r="E949" s="1" t="s">
        <v>33</v>
      </c>
      <c r="F949" s="1" t="s">
        <v>95</v>
      </c>
      <c r="G949" s="1">
        <v>9</v>
      </c>
      <c r="H949" s="1">
        <v>45291</v>
      </c>
      <c r="I949" s="1">
        <v>0</v>
      </c>
      <c r="J949" s="1">
        <v>407619</v>
      </c>
      <c r="K949" s="1">
        <v>116593.98</v>
      </c>
      <c r="L949" s="1" t="s">
        <v>45</v>
      </c>
      <c r="M949" s="1" t="str">
        <f>TEXT(Table1[[#This Row],[Order Date]],"mmm")</f>
        <v>Apr</v>
      </c>
      <c r="N949" s="1">
        <f>YEAR(Table1[[#This Row],[Order Date]])</f>
        <v>2024</v>
      </c>
    </row>
    <row r="950" spans="1:14" x14ac:dyDescent="0.35">
      <c r="A950" s="1" t="s">
        <v>1562</v>
      </c>
      <c r="B950" s="1" t="s">
        <v>1563</v>
      </c>
      <c r="C950" s="1" t="s">
        <v>77</v>
      </c>
      <c r="D950" s="1" t="s">
        <v>133</v>
      </c>
      <c r="E950" s="1" t="s">
        <v>22</v>
      </c>
      <c r="F950" s="1" t="s">
        <v>133</v>
      </c>
      <c r="G950" s="1">
        <v>6</v>
      </c>
      <c r="H950" s="1">
        <v>27503</v>
      </c>
      <c r="I950" s="1">
        <v>0</v>
      </c>
      <c r="J950" s="1">
        <v>165018</v>
      </c>
      <c r="K950" s="1">
        <v>14825.33</v>
      </c>
      <c r="L950" s="1" t="s">
        <v>70</v>
      </c>
      <c r="M950" s="1" t="str">
        <f>TEXT(Table1[[#This Row],[Order Date]],"mmm")</f>
        <v>Mar</v>
      </c>
      <c r="N950" s="1">
        <f>YEAR(Table1[[#This Row],[Order Date]])</f>
        <v>2024</v>
      </c>
    </row>
    <row r="951" spans="1:14" x14ac:dyDescent="0.35">
      <c r="A951" s="1" t="s">
        <v>1564</v>
      </c>
      <c r="B951" s="1" t="s">
        <v>1168</v>
      </c>
      <c r="C951" s="1" t="s">
        <v>67</v>
      </c>
      <c r="D951" s="1" t="s">
        <v>78</v>
      </c>
      <c r="E951" s="1" t="s">
        <v>28</v>
      </c>
      <c r="F951" s="1" t="s">
        <v>78</v>
      </c>
      <c r="G951" s="1">
        <v>7</v>
      </c>
      <c r="H951" s="1">
        <v>58596</v>
      </c>
      <c r="I951" s="1">
        <v>0.05</v>
      </c>
      <c r="J951" s="1">
        <v>389663.4</v>
      </c>
      <c r="K951" s="1">
        <v>64418.52</v>
      </c>
      <c r="L951" s="1" t="s">
        <v>17</v>
      </c>
      <c r="M951" s="1" t="str">
        <f>TEXT(Table1[[#This Row],[Order Date]],"mmm")</f>
        <v>Sep</v>
      </c>
      <c r="N951" s="1">
        <f>YEAR(Table1[[#This Row],[Order Date]])</f>
        <v>2024</v>
      </c>
    </row>
    <row r="952" spans="1:14" x14ac:dyDescent="0.35">
      <c r="A952" s="1" t="s">
        <v>1565</v>
      </c>
      <c r="B952" s="1" t="s">
        <v>547</v>
      </c>
      <c r="C952" s="1" t="s">
        <v>146</v>
      </c>
      <c r="D952" s="1" t="s">
        <v>141</v>
      </c>
      <c r="E952" s="1" t="s">
        <v>22</v>
      </c>
      <c r="F952" s="1" t="s">
        <v>141</v>
      </c>
      <c r="G952" s="1">
        <v>9</v>
      </c>
      <c r="H952" s="1">
        <v>47684</v>
      </c>
      <c r="I952" s="1">
        <v>0</v>
      </c>
      <c r="J952" s="1">
        <v>429156</v>
      </c>
      <c r="K952" s="1">
        <v>48453.46</v>
      </c>
      <c r="L952" s="1" t="s">
        <v>70</v>
      </c>
      <c r="M952" s="1" t="str">
        <f>TEXT(Table1[[#This Row],[Order Date]],"mmm")</f>
        <v>Nov</v>
      </c>
      <c r="N952" s="1">
        <f>YEAR(Table1[[#This Row],[Order Date]])</f>
        <v>2023</v>
      </c>
    </row>
    <row r="953" spans="1:14" x14ac:dyDescent="0.35">
      <c r="A953" s="1" t="s">
        <v>1566</v>
      </c>
      <c r="B953" s="1" t="s">
        <v>257</v>
      </c>
      <c r="C953" s="1" t="s">
        <v>120</v>
      </c>
      <c r="D953" s="1" t="s">
        <v>323</v>
      </c>
      <c r="E953" s="1" t="s">
        <v>33</v>
      </c>
      <c r="F953" s="1" t="s">
        <v>323</v>
      </c>
      <c r="G953" s="1">
        <v>7</v>
      </c>
      <c r="H953" s="1">
        <v>55488</v>
      </c>
      <c r="I953" s="1">
        <v>0.15</v>
      </c>
      <c r="J953" s="1">
        <v>330153.59999999998</v>
      </c>
      <c r="K953" s="1">
        <v>91775.75</v>
      </c>
      <c r="L953" s="1" t="s">
        <v>45</v>
      </c>
      <c r="M953" s="1" t="str">
        <f>TEXT(Table1[[#This Row],[Order Date]],"mmm")</f>
        <v>Aug</v>
      </c>
      <c r="N953" s="1">
        <f>YEAR(Table1[[#This Row],[Order Date]])</f>
        <v>2024</v>
      </c>
    </row>
    <row r="954" spans="1:14" x14ac:dyDescent="0.35">
      <c r="A954" s="1" t="s">
        <v>1567</v>
      </c>
      <c r="B954" s="1" t="s">
        <v>1568</v>
      </c>
      <c r="C954" s="1" t="s">
        <v>640</v>
      </c>
      <c r="D954" s="1" t="s">
        <v>64</v>
      </c>
      <c r="E954" s="1" t="s">
        <v>33</v>
      </c>
      <c r="F954" s="1" t="s">
        <v>64</v>
      </c>
      <c r="G954" s="1">
        <v>13</v>
      </c>
      <c r="H954" s="1">
        <v>32942</v>
      </c>
      <c r="I954" s="1">
        <v>0.05</v>
      </c>
      <c r="J954" s="1">
        <v>406833.7</v>
      </c>
      <c r="K954" s="1">
        <v>83477.53</v>
      </c>
      <c r="L954" s="1" t="s">
        <v>23</v>
      </c>
      <c r="M954" s="1" t="str">
        <f>TEXT(Table1[[#This Row],[Order Date]],"mmm")</f>
        <v>Feb</v>
      </c>
      <c r="N954" s="1">
        <f>YEAR(Table1[[#This Row],[Order Date]])</f>
        <v>2024</v>
      </c>
    </row>
    <row r="955" spans="1:14" x14ac:dyDescent="0.35">
      <c r="A955" s="1" t="s">
        <v>1569</v>
      </c>
      <c r="B955" s="1" t="s">
        <v>1570</v>
      </c>
      <c r="C955" s="1" t="s">
        <v>40</v>
      </c>
      <c r="D955" s="1" t="s">
        <v>91</v>
      </c>
      <c r="E955" s="1" t="s">
        <v>16</v>
      </c>
      <c r="F955" s="1" t="s">
        <v>91</v>
      </c>
      <c r="G955" s="1">
        <v>10</v>
      </c>
      <c r="H955" s="1">
        <v>29573</v>
      </c>
      <c r="I955" s="1">
        <v>0.15</v>
      </c>
      <c r="J955" s="1">
        <v>251370.5</v>
      </c>
      <c r="K955" s="1">
        <v>24754.11</v>
      </c>
      <c r="L955" s="1" t="s">
        <v>70</v>
      </c>
      <c r="M955" s="1" t="str">
        <f>TEXT(Table1[[#This Row],[Order Date]],"mmm")</f>
        <v>Apr</v>
      </c>
      <c r="N955" s="1">
        <f>YEAR(Table1[[#This Row],[Order Date]])</f>
        <v>2024</v>
      </c>
    </row>
    <row r="956" spans="1:14" x14ac:dyDescent="0.35">
      <c r="A956" s="1" t="s">
        <v>1571</v>
      </c>
      <c r="B956" s="1" t="s">
        <v>478</v>
      </c>
      <c r="C956" s="1" t="s">
        <v>36</v>
      </c>
      <c r="D956" s="1" t="s">
        <v>27</v>
      </c>
      <c r="E956" s="1" t="s">
        <v>28</v>
      </c>
      <c r="F956" s="1" t="s">
        <v>27</v>
      </c>
      <c r="G956" s="1">
        <v>9</v>
      </c>
      <c r="H956" s="1">
        <v>51099</v>
      </c>
      <c r="I956" s="1">
        <v>0</v>
      </c>
      <c r="J956" s="1">
        <v>459891</v>
      </c>
      <c r="K956" s="1">
        <v>117992.3</v>
      </c>
      <c r="L956" s="1" t="s">
        <v>70</v>
      </c>
      <c r="M956" s="1" t="str">
        <f>TEXT(Table1[[#This Row],[Order Date]],"mmm")</f>
        <v>May</v>
      </c>
      <c r="N956" s="1">
        <f>YEAR(Table1[[#This Row],[Order Date]])</f>
        <v>2024</v>
      </c>
    </row>
    <row r="957" spans="1:14" x14ac:dyDescent="0.35">
      <c r="A957" s="1" t="s">
        <v>1572</v>
      </c>
      <c r="B957" s="1" t="s">
        <v>1573</v>
      </c>
      <c r="C957" s="1" t="s">
        <v>117</v>
      </c>
      <c r="D957" s="1" t="s">
        <v>32</v>
      </c>
      <c r="E957" s="1" t="s">
        <v>33</v>
      </c>
      <c r="F957" s="1" t="s">
        <v>32</v>
      </c>
      <c r="G957" s="1">
        <v>11</v>
      </c>
      <c r="H957" s="1">
        <v>38549</v>
      </c>
      <c r="I957" s="1">
        <v>0.15</v>
      </c>
      <c r="J957" s="1">
        <v>360433.15</v>
      </c>
      <c r="K957" s="1">
        <v>106617.97</v>
      </c>
      <c r="L957" s="1" t="s">
        <v>17</v>
      </c>
      <c r="M957" s="1" t="str">
        <f>TEXT(Table1[[#This Row],[Order Date]],"mmm")</f>
        <v>Aug</v>
      </c>
      <c r="N957" s="1">
        <f>YEAR(Table1[[#This Row],[Order Date]])</f>
        <v>2024</v>
      </c>
    </row>
    <row r="958" spans="1:14" x14ac:dyDescent="0.35">
      <c r="A958" s="1" t="s">
        <v>1574</v>
      </c>
      <c r="B958" s="1" t="s">
        <v>150</v>
      </c>
      <c r="C958" s="1" t="s">
        <v>332</v>
      </c>
      <c r="D958" s="1" t="s">
        <v>74</v>
      </c>
      <c r="E958" s="1" t="s">
        <v>22</v>
      </c>
      <c r="F958" s="1" t="s">
        <v>74</v>
      </c>
      <c r="G958" s="1">
        <v>5</v>
      </c>
      <c r="H958" s="1">
        <v>3530</v>
      </c>
      <c r="I958" s="1">
        <v>0.15</v>
      </c>
      <c r="J958" s="1">
        <v>15002.5</v>
      </c>
      <c r="K958" s="1">
        <v>1383.39</v>
      </c>
      <c r="L958" s="1" t="s">
        <v>17</v>
      </c>
      <c r="M958" s="1" t="str">
        <f>TEXT(Table1[[#This Row],[Order Date]],"mmm")</f>
        <v>Aug</v>
      </c>
      <c r="N958" s="1">
        <f>YEAR(Table1[[#This Row],[Order Date]])</f>
        <v>2023</v>
      </c>
    </row>
    <row r="959" spans="1:14" x14ac:dyDescent="0.35">
      <c r="A959" s="1" t="s">
        <v>1575</v>
      </c>
      <c r="B959" s="1" t="s">
        <v>1282</v>
      </c>
      <c r="C959" s="1" t="s">
        <v>227</v>
      </c>
      <c r="D959" s="1" t="s">
        <v>151</v>
      </c>
      <c r="E959" s="1" t="s">
        <v>22</v>
      </c>
      <c r="F959" s="1" t="s">
        <v>151</v>
      </c>
      <c r="G959" s="1">
        <v>4</v>
      </c>
      <c r="H959" s="1">
        <v>39715</v>
      </c>
      <c r="I959" s="1">
        <v>0.2</v>
      </c>
      <c r="J959" s="1">
        <v>127088</v>
      </c>
      <c r="K959" s="1">
        <v>13551.38</v>
      </c>
      <c r="L959" s="1" t="s">
        <v>70</v>
      </c>
      <c r="M959" s="1" t="str">
        <f>TEXT(Table1[[#This Row],[Order Date]],"mmm")</f>
        <v>Sep</v>
      </c>
      <c r="N959" s="1">
        <f>YEAR(Table1[[#This Row],[Order Date]])</f>
        <v>2023</v>
      </c>
    </row>
    <row r="960" spans="1:14" x14ac:dyDescent="0.35">
      <c r="A960" s="1" t="s">
        <v>1576</v>
      </c>
      <c r="B960" s="1" t="s">
        <v>932</v>
      </c>
      <c r="C960" s="1" t="s">
        <v>362</v>
      </c>
      <c r="D960" s="1" t="s">
        <v>95</v>
      </c>
      <c r="E960" s="1" t="s">
        <v>33</v>
      </c>
      <c r="F960" s="1" t="s">
        <v>95</v>
      </c>
      <c r="G960" s="1">
        <v>12</v>
      </c>
      <c r="H960" s="1">
        <v>43982</v>
      </c>
      <c r="I960" s="1">
        <v>0.1</v>
      </c>
      <c r="J960" s="1">
        <v>475005.6</v>
      </c>
      <c r="K960" s="1">
        <v>133681.78</v>
      </c>
      <c r="L960" s="1" t="s">
        <v>23</v>
      </c>
      <c r="M960" s="1" t="str">
        <f>TEXT(Table1[[#This Row],[Order Date]],"mmm")</f>
        <v>Jun</v>
      </c>
      <c r="N960" s="1">
        <f>YEAR(Table1[[#This Row],[Order Date]])</f>
        <v>2023</v>
      </c>
    </row>
    <row r="961" spans="1:14" x14ac:dyDescent="0.35">
      <c r="A961" s="1" t="s">
        <v>1577</v>
      </c>
      <c r="B961" s="1" t="s">
        <v>1013</v>
      </c>
      <c r="C961" s="1" t="s">
        <v>227</v>
      </c>
      <c r="D961" s="1" t="s">
        <v>323</v>
      </c>
      <c r="E961" s="1" t="s">
        <v>33</v>
      </c>
      <c r="F961" s="1" t="s">
        <v>323</v>
      </c>
      <c r="G961" s="1">
        <v>5</v>
      </c>
      <c r="H961" s="1">
        <v>59770</v>
      </c>
      <c r="I961" s="1">
        <v>0.1</v>
      </c>
      <c r="J961" s="1">
        <v>268965</v>
      </c>
      <c r="K961" s="1">
        <v>25427.7</v>
      </c>
      <c r="L961" s="1" t="s">
        <v>23</v>
      </c>
      <c r="M961" s="1" t="str">
        <f>TEXT(Table1[[#This Row],[Order Date]],"mmm")</f>
        <v>Sep</v>
      </c>
      <c r="N961" s="1">
        <f>YEAR(Table1[[#This Row],[Order Date]])</f>
        <v>2023</v>
      </c>
    </row>
    <row r="962" spans="1:14" x14ac:dyDescent="0.35">
      <c r="A962" s="1" t="s">
        <v>1578</v>
      </c>
      <c r="B962" s="1" t="s">
        <v>587</v>
      </c>
      <c r="C962" s="1" t="s">
        <v>335</v>
      </c>
      <c r="D962" s="1" t="s">
        <v>32</v>
      </c>
      <c r="E962" s="1" t="s">
        <v>33</v>
      </c>
      <c r="F962" s="1" t="s">
        <v>32</v>
      </c>
      <c r="G962" s="1">
        <v>10</v>
      </c>
      <c r="H962" s="1">
        <v>37574</v>
      </c>
      <c r="I962" s="1">
        <v>0.2</v>
      </c>
      <c r="J962" s="1">
        <v>300592</v>
      </c>
      <c r="K962" s="1">
        <v>88186.31</v>
      </c>
      <c r="L962" s="1" t="s">
        <v>17</v>
      </c>
      <c r="M962" s="1" t="str">
        <f>TEXT(Table1[[#This Row],[Order Date]],"mmm")</f>
        <v>Oct</v>
      </c>
      <c r="N962" s="1">
        <f>YEAR(Table1[[#This Row],[Order Date]])</f>
        <v>2024</v>
      </c>
    </row>
    <row r="963" spans="1:14" x14ac:dyDescent="0.35">
      <c r="A963" s="1" t="s">
        <v>1579</v>
      </c>
      <c r="B963" s="1" t="s">
        <v>893</v>
      </c>
      <c r="C963" s="1" t="s">
        <v>84</v>
      </c>
      <c r="D963" s="1" t="s">
        <v>114</v>
      </c>
      <c r="E963" s="1" t="s">
        <v>16</v>
      </c>
      <c r="F963" s="1" t="s">
        <v>114</v>
      </c>
      <c r="G963" s="1">
        <v>10</v>
      </c>
      <c r="H963" s="1">
        <v>21900</v>
      </c>
      <c r="I963" s="1">
        <v>0.1</v>
      </c>
      <c r="J963" s="1">
        <v>197100</v>
      </c>
      <c r="K963" s="1">
        <v>42959.99</v>
      </c>
      <c r="L963" s="1" t="s">
        <v>23</v>
      </c>
      <c r="M963" s="1" t="str">
        <f>TEXT(Table1[[#This Row],[Order Date]],"mmm")</f>
        <v>Oct</v>
      </c>
      <c r="N963" s="1">
        <f>YEAR(Table1[[#This Row],[Order Date]])</f>
        <v>2023</v>
      </c>
    </row>
    <row r="964" spans="1:14" x14ac:dyDescent="0.35">
      <c r="A964" s="1" t="s">
        <v>1580</v>
      </c>
      <c r="B964" s="1" t="s">
        <v>1048</v>
      </c>
      <c r="C964" s="1" t="s">
        <v>73</v>
      </c>
      <c r="D964" s="1" t="s">
        <v>41</v>
      </c>
      <c r="E964" s="1" t="s">
        <v>16</v>
      </c>
      <c r="F964" s="1" t="s">
        <v>41</v>
      </c>
      <c r="G964" s="1">
        <v>2</v>
      </c>
      <c r="H964" s="1">
        <v>34812</v>
      </c>
      <c r="I964" s="1">
        <v>0.2</v>
      </c>
      <c r="J964" s="1">
        <v>55699.199999999997</v>
      </c>
      <c r="K964" s="1">
        <v>7867.33</v>
      </c>
      <c r="L964" s="1" t="s">
        <v>23</v>
      </c>
      <c r="M964" s="1" t="str">
        <f>TEXT(Table1[[#This Row],[Order Date]],"mmm")</f>
        <v>May</v>
      </c>
      <c r="N964" s="1">
        <f>YEAR(Table1[[#This Row],[Order Date]])</f>
        <v>2024</v>
      </c>
    </row>
    <row r="965" spans="1:14" x14ac:dyDescent="0.35">
      <c r="A965" s="1" t="s">
        <v>1581</v>
      </c>
      <c r="B965" s="1" t="s">
        <v>520</v>
      </c>
      <c r="C965" s="1" t="s">
        <v>507</v>
      </c>
      <c r="D965" s="1" t="s">
        <v>27</v>
      </c>
      <c r="E965" s="1" t="s">
        <v>28</v>
      </c>
      <c r="F965" s="1" t="s">
        <v>27</v>
      </c>
      <c r="G965" s="1">
        <v>14</v>
      </c>
      <c r="H965" s="1">
        <v>3010</v>
      </c>
      <c r="I965" s="1">
        <v>0.15</v>
      </c>
      <c r="J965" s="1">
        <v>35819</v>
      </c>
      <c r="K965" s="1">
        <v>4156.12</v>
      </c>
      <c r="L965" s="1" t="s">
        <v>23</v>
      </c>
      <c r="M965" s="1" t="str">
        <f>TEXT(Table1[[#This Row],[Order Date]],"mmm")</f>
        <v>Mar</v>
      </c>
      <c r="N965" s="1">
        <f>YEAR(Table1[[#This Row],[Order Date]])</f>
        <v>2023</v>
      </c>
    </row>
    <row r="966" spans="1:14" x14ac:dyDescent="0.35">
      <c r="A966" s="1" t="s">
        <v>1582</v>
      </c>
      <c r="B966" s="1" t="s">
        <v>396</v>
      </c>
      <c r="C966" s="1" t="s">
        <v>26</v>
      </c>
      <c r="D966" s="1" t="s">
        <v>52</v>
      </c>
      <c r="E966" s="1" t="s">
        <v>28</v>
      </c>
      <c r="F966" s="1" t="s">
        <v>52</v>
      </c>
      <c r="G966" s="1">
        <v>3</v>
      </c>
      <c r="H966" s="1">
        <v>54161</v>
      </c>
      <c r="I966" s="1">
        <v>0.1</v>
      </c>
      <c r="J966" s="1">
        <v>146234.70000000001</v>
      </c>
      <c r="K966" s="1">
        <v>26000.84</v>
      </c>
      <c r="L966" s="1" t="s">
        <v>45</v>
      </c>
      <c r="M966" s="1" t="str">
        <f>TEXT(Table1[[#This Row],[Order Date]],"mmm")</f>
        <v>Jul</v>
      </c>
      <c r="N966" s="1">
        <f>YEAR(Table1[[#This Row],[Order Date]])</f>
        <v>2023</v>
      </c>
    </row>
    <row r="967" spans="1:14" x14ac:dyDescent="0.35">
      <c r="A967" s="1" t="s">
        <v>1583</v>
      </c>
      <c r="B967" s="1" t="s">
        <v>1196</v>
      </c>
      <c r="C967" s="1" t="s">
        <v>51</v>
      </c>
      <c r="D967" s="1" t="s">
        <v>60</v>
      </c>
      <c r="E967" s="1" t="s">
        <v>33</v>
      </c>
      <c r="F967" s="1" t="s">
        <v>60</v>
      </c>
      <c r="G967" s="1">
        <v>13</v>
      </c>
      <c r="H967" s="1">
        <v>14164</v>
      </c>
      <c r="I967" s="1">
        <v>0.15</v>
      </c>
      <c r="J967" s="1">
        <v>156512.20000000001</v>
      </c>
      <c r="K967" s="1">
        <v>35207.269999999997</v>
      </c>
      <c r="L967" s="1" t="s">
        <v>70</v>
      </c>
      <c r="M967" s="1" t="str">
        <f>TEXT(Table1[[#This Row],[Order Date]],"mmm")</f>
        <v>May</v>
      </c>
      <c r="N967" s="1">
        <f>YEAR(Table1[[#This Row],[Order Date]])</f>
        <v>2023</v>
      </c>
    </row>
    <row r="968" spans="1:14" x14ac:dyDescent="0.35">
      <c r="A968" s="1" t="s">
        <v>1584</v>
      </c>
      <c r="B968" s="1" t="s">
        <v>1585</v>
      </c>
      <c r="C968" s="1" t="s">
        <v>59</v>
      </c>
      <c r="D968" s="1" t="s">
        <v>293</v>
      </c>
      <c r="E968" s="1" t="s">
        <v>33</v>
      </c>
      <c r="F968" s="1" t="s">
        <v>293</v>
      </c>
      <c r="G968" s="1">
        <v>4</v>
      </c>
      <c r="H968" s="1">
        <v>55171</v>
      </c>
      <c r="I968" s="1">
        <v>0</v>
      </c>
      <c r="J968" s="1">
        <v>220684</v>
      </c>
      <c r="K968" s="1">
        <v>38894.769999999997</v>
      </c>
      <c r="L968" s="1" t="s">
        <v>45</v>
      </c>
      <c r="M968" s="1" t="str">
        <f>TEXT(Table1[[#This Row],[Order Date]],"mmm")</f>
        <v>Dec</v>
      </c>
      <c r="N968" s="1">
        <f>YEAR(Table1[[#This Row],[Order Date]])</f>
        <v>2023</v>
      </c>
    </row>
    <row r="969" spans="1:14" x14ac:dyDescent="0.35">
      <c r="A969" s="1" t="s">
        <v>1586</v>
      </c>
      <c r="B969" s="1" t="s">
        <v>415</v>
      </c>
      <c r="C969" s="1" t="s">
        <v>26</v>
      </c>
      <c r="D969" s="1" t="s">
        <v>41</v>
      </c>
      <c r="E969" s="1" t="s">
        <v>16</v>
      </c>
      <c r="F969" s="1" t="s">
        <v>41</v>
      </c>
      <c r="G969" s="1">
        <v>2</v>
      </c>
      <c r="H969" s="1">
        <v>56369</v>
      </c>
      <c r="I969" s="1">
        <v>0.2</v>
      </c>
      <c r="J969" s="1">
        <v>90190.399999999994</v>
      </c>
      <c r="K969" s="1">
        <v>7932.85</v>
      </c>
      <c r="L969" s="1" t="s">
        <v>23</v>
      </c>
      <c r="M969" s="1" t="str">
        <f>TEXT(Table1[[#This Row],[Order Date]],"mmm")</f>
        <v>Jan</v>
      </c>
      <c r="N969" s="1">
        <f>YEAR(Table1[[#This Row],[Order Date]])</f>
        <v>2024</v>
      </c>
    </row>
    <row r="970" spans="1:14" x14ac:dyDescent="0.35">
      <c r="A970" s="1" t="s">
        <v>1587</v>
      </c>
      <c r="B970" s="1" t="s">
        <v>815</v>
      </c>
      <c r="C970" s="1" t="s">
        <v>14</v>
      </c>
      <c r="D970" s="1" t="s">
        <v>141</v>
      </c>
      <c r="E970" s="1" t="s">
        <v>22</v>
      </c>
      <c r="F970" s="1" t="s">
        <v>141</v>
      </c>
      <c r="G970" s="1">
        <v>5</v>
      </c>
      <c r="H970" s="1">
        <v>7650</v>
      </c>
      <c r="I970" s="1">
        <v>0.1</v>
      </c>
      <c r="J970" s="1">
        <v>34425</v>
      </c>
      <c r="K970" s="1">
        <v>5470.55</v>
      </c>
      <c r="L970" s="1" t="s">
        <v>23</v>
      </c>
      <c r="M970" s="1" t="str">
        <f>TEXT(Table1[[#This Row],[Order Date]],"mmm")</f>
        <v>Mar</v>
      </c>
      <c r="N970" s="1">
        <f>YEAR(Table1[[#This Row],[Order Date]])</f>
        <v>2023</v>
      </c>
    </row>
    <row r="971" spans="1:14" x14ac:dyDescent="0.35">
      <c r="A971" s="1" t="s">
        <v>1588</v>
      </c>
      <c r="B971" s="1" t="s">
        <v>1366</v>
      </c>
      <c r="C971" s="1" t="s">
        <v>31</v>
      </c>
      <c r="D971" s="1" t="s">
        <v>27</v>
      </c>
      <c r="E971" s="1" t="s">
        <v>28</v>
      </c>
      <c r="F971" s="1" t="s">
        <v>27</v>
      </c>
      <c r="G971" s="1">
        <v>6</v>
      </c>
      <c r="H971" s="1">
        <v>47676</v>
      </c>
      <c r="I971" s="1">
        <v>0.15</v>
      </c>
      <c r="J971" s="1">
        <v>243147.6</v>
      </c>
      <c r="K971" s="1">
        <v>54205.07</v>
      </c>
      <c r="L971" s="1" t="s">
        <v>23</v>
      </c>
      <c r="M971" s="1" t="str">
        <f>TEXT(Table1[[#This Row],[Order Date]],"mmm")</f>
        <v>Jan</v>
      </c>
      <c r="N971" s="1">
        <f>YEAR(Table1[[#This Row],[Order Date]])</f>
        <v>2023</v>
      </c>
    </row>
    <row r="972" spans="1:14" x14ac:dyDescent="0.35">
      <c r="A972" s="1" t="s">
        <v>1589</v>
      </c>
      <c r="B972" s="1" t="s">
        <v>1240</v>
      </c>
      <c r="C972" s="1" t="s">
        <v>260</v>
      </c>
      <c r="D972" s="1" t="s">
        <v>78</v>
      </c>
      <c r="E972" s="1" t="s">
        <v>28</v>
      </c>
      <c r="F972" s="1" t="s">
        <v>78</v>
      </c>
      <c r="G972" s="1">
        <v>15</v>
      </c>
      <c r="H972" s="1">
        <v>21294</v>
      </c>
      <c r="I972" s="1">
        <v>0.2</v>
      </c>
      <c r="J972" s="1">
        <v>255528</v>
      </c>
      <c r="K972" s="1">
        <v>60995.59</v>
      </c>
      <c r="L972" s="1" t="s">
        <v>45</v>
      </c>
      <c r="M972" s="1" t="str">
        <f>TEXT(Table1[[#This Row],[Order Date]],"mmm")</f>
        <v>Jan</v>
      </c>
      <c r="N972" s="1">
        <f>YEAR(Table1[[#This Row],[Order Date]])</f>
        <v>2024</v>
      </c>
    </row>
    <row r="973" spans="1:14" x14ac:dyDescent="0.35">
      <c r="A973" s="1" t="s">
        <v>1590</v>
      </c>
      <c r="B973" s="1" t="s">
        <v>901</v>
      </c>
      <c r="C973" s="1" t="s">
        <v>188</v>
      </c>
      <c r="D973" s="1" t="s">
        <v>108</v>
      </c>
      <c r="E973" s="1" t="s">
        <v>22</v>
      </c>
      <c r="F973" s="1" t="s">
        <v>108</v>
      </c>
      <c r="G973" s="1">
        <v>7</v>
      </c>
      <c r="H973" s="1">
        <v>16535</v>
      </c>
      <c r="I973" s="1">
        <v>0.1</v>
      </c>
      <c r="J973" s="1">
        <v>104170.5</v>
      </c>
      <c r="K973" s="1">
        <v>20034.29</v>
      </c>
      <c r="L973" s="1" t="s">
        <v>45</v>
      </c>
      <c r="M973" s="1" t="str">
        <f>TEXT(Table1[[#This Row],[Order Date]],"mmm")</f>
        <v>May</v>
      </c>
      <c r="N973" s="1">
        <f>YEAR(Table1[[#This Row],[Order Date]])</f>
        <v>2023</v>
      </c>
    </row>
    <row r="974" spans="1:14" x14ac:dyDescent="0.35">
      <c r="A974" s="1" t="s">
        <v>1591</v>
      </c>
      <c r="B974" s="1" t="s">
        <v>483</v>
      </c>
      <c r="C974" s="1" t="s">
        <v>111</v>
      </c>
      <c r="D974" s="1" t="s">
        <v>108</v>
      </c>
      <c r="E974" s="1" t="s">
        <v>22</v>
      </c>
      <c r="F974" s="1" t="s">
        <v>108</v>
      </c>
      <c r="G974" s="1">
        <v>11</v>
      </c>
      <c r="H974" s="1">
        <v>22368</v>
      </c>
      <c r="I974" s="1">
        <v>0.2</v>
      </c>
      <c r="J974" s="1">
        <v>196838.39999999999</v>
      </c>
      <c r="K974" s="1">
        <v>19782.13</v>
      </c>
      <c r="L974" s="1" t="s">
        <v>23</v>
      </c>
      <c r="M974" s="1" t="str">
        <f>TEXT(Table1[[#This Row],[Order Date]],"mmm")</f>
        <v>Apr</v>
      </c>
      <c r="N974" s="1">
        <f>YEAR(Table1[[#This Row],[Order Date]])</f>
        <v>2023</v>
      </c>
    </row>
    <row r="975" spans="1:14" x14ac:dyDescent="0.35">
      <c r="A975" s="1" t="s">
        <v>1592</v>
      </c>
      <c r="B975" s="1" t="s">
        <v>1411</v>
      </c>
      <c r="C975" s="1" t="s">
        <v>155</v>
      </c>
      <c r="D975" s="1" t="s">
        <v>293</v>
      </c>
      <c r="E975" s="1" t="s">
        <v>33</v>
      </c>
      <c r="F975" s="1" t="s">
        <v>293</v>
      </c>
      <c r="G975" s="1">
        <v>12</v>
      </c>
      <c r="H975" s="1">
        <v>32738</v>
      </c>
      <c r="I975" s="1">
        <v>0</v>
      </c>
      <c r="J975" s="1">
        <v>392856</v>
      </c>
      <c r="K975" s="1">
        <v>67726.740000000005</v>
      </c>
      <c r="L975" s="1" t="s">
        <v>17</v>
      </c>
      <c r="M975" s="1" t="str">
        <f>TEXT(Table1[[#This Row],[Order Date]],"mmm")</f>
        <v>Oct</v>
      </c>
      <c r="N975" s="1">
        <f>YEAR(Table1[[#This Row],[Order Date]])</f>
        <v>2023</v>
      </c>
    </row>
    <row r="976" spans="1:14" x14ac:dyDescent="0.35">
      <c r="A976" s="1" t="s">
        <v>1593</v>
      </c>
      <c r="B976" s="1" t="s">
        <v>497</v>
      </c>
      <c r="C976" s="1" t="s">
        <v>128</v>
      </c>
      <c r="D976" s="1" t="s">
        <v>52</v>
      </c>
      <c r="E976" s="1" t="s">
        <v>28</v>
      </c>
      <c r="F976" s="1" t="s">
        <v>52</v>
      </c>
      <c r="G976" s="1">
        <v>6</v>
      </c>
      <c r="H976" s="1">
        <v>17018</v>
      </c>
      <c r="I976" s="1">
        <v>0.15</v>
      </c>
      <c r="J976" s="1">
        <v>86791.8</v>
      </c>
      <c r="K976" s="1">
        <v>23685.68</v>
      </c>
      <c r="L976" s="1" t="s">
        <v>17</v>
      </c>
      <c r="M976" s="1" t="str">
        <f>TEXT(Table1[[#This Row],[Order Date]],"mmm")</f>
        <v>Jul</v>
      </c>
      <c r="N976" s="1">
        <f>YEAR(Table1[[#This Row],[Order Date]])</f>
        <v>2024</v>
      </c>
    </row>
    <row r="977" spans="1:14" x14ac:dyDescent="0.35">
      <c r="A977" s="1" t="s">
        <v>1594</v>
      </c>
      <c r="B977" s="1" t="s">
        <v>1595</v>
      </c>
      <c r="C977" s="1" t="s">
        <v>162</v>
      </c>
      <c r="D977" s="1" t="s">
        <v>48</v>
      </c>
      <c r="E977" s="1" t="s">
        <v>16</v>
      </c>
      <c r="F977" s="1" t="s">
        <v>48</v>
      </c>
      <c r="G977" s="1">
        <v>5</v>
      </c>
      <c r="H977" s="1">
        <v>55140</v>
      </c>
      <c r="I977" s="1">
        <v>0</v>
      </c>
      <c r="J977" s="1">
        <v>275700</v>
      </c>
      <c r="K977" s="1">
        <v>28591.32</v>
      </c>
      <c r="L977" s="1" t="s">
        <v>23</v>
      </c>
      <c r="M977" s="1" t="str">
        <f>TEXT(Table1[[#This Row],[Order Date]],"mmm")</f>
        <v>Jul</v>
      </c>
      <c r="N977" s="1">
        <f>YEAR(Table1[[#This Row],[Order Date]])</f>
        <v>2024</v>
      </c>
    </row>
    <row r="978" spans="1:14" x14ac:dyDescent="0.35">
      <c r="A978" s="1" t="s">
        <v>1596</v>
      </c>
      <c r="B978" s="1" t="s">
        <v>1573</v>
      </c>
      <c r="C978" s="1" t="s">
        <v>14</v>
      </c>
      <c r="D978" s="1" t="s">
        <v>52</v>
      </c>
      <c r="E978" s="1" t="s">
        <v>28</v>
      </c>
      <c r="F978" s="1" t="s">
        <v>52</v>
      </c>
      <c r="G978" s="1">
        <v>4</v>
      </c>
      <c r="H978" s="1">
        <v>21855</v>
      </c>
      <c r="I978" s="1">
        <v>0.1</v>
      </c>
      <c r="J978" s="1">
        <v>78678</v>
      </c>
      <c r="K978" s="1">
        <v>18080.52</v>
      </c>
      <c r="L978" s="1" t="s">
        <v>17</v>
      </c>
      <c r="M978" s="1" t="str">
        <f>TEXT(Table1[[#This Row],[Order Date]],"mmm")</f>
        <v>Aug</v>
      </c>
      <c r="N978" s="1">
        <f>YEAR(Table1[[#This Row],[Order Date]])</f>
        <v>2024</v>
      </c>
    </row>
    <row r="979" spans="1:14" x14ac:dyDescent="0.35">
      <c r="A979" s="1" t="s">
        <v>1597</v>
      </c>
      <c r="B979" s="1" t="s">
        <v>1598</v>
      </c>
      <c r="C979" s="1" t="s">
        <v>188</v>
      </c>
      <c r="D979" s="1" t="s">
        <v>323</v>
      </c>
      <c r="E979" s="1" t="s">
        <v>33</v>
      </c>
      <c r="F979" s="1" t="s">
        <v>323</v>
      </c>
      <c r="G979" s="1">
        <v>2</v>
      </c>
      <c r="H979" s="1">
        <v>23375</v>
      </c>
      <c r="I979" s="1">
        <v>0</v>
      </c>
      <c r="J979" s="1">
        <v>46750</v>
      </c>
      <c r="K979" s="1">
        <v>7696.54</v>
      </c>
      <c r="L979" s="1" t="s">
        <v>45</v>
      </c>
      <c r="M979" s="1" t="str">
        <f>TEXT(Table1[[#This Row],[Order Date]],"mmm")</f>
        <v>Sep</v>
      </c>
      <c r="N979" s="1">
        <f>YEAR(Table1[[#This Row],[Order Date]])</f>
        <v>2023</v>
      </c>
    </row>
    <row r="980" spans="1:14" x14ac:dyDescent="0.35">
      <c r="A980" s="1" t="s">
        <v>1599</v>
      </c>
      <c r="B980" s="1" t="s">
        <v>143</v>
      </c>
      <c r="C980" s="1" t="s">
        <v>158</v>
      </c>
      <c r="D980" s="1" t="s">
        <v>91</v>
      </c>
      <c r="E980" s="1" t="s">
        <v>16</v>
      </c>
      <c r="F980" s="1" t="s">
        <v>91</v>
      </c>
      <c r="G980" s="1">
        <v>11</v>
      </c>
      <c r="H980" s="1">
        <v>15323</v>
      </c>
      <c r="I980" s="1">
        <v>0</v>
      </c>
      <c r="J980" s="1">
        <v>168553</v>
      </c>
      <c r="K980" s="1">
        <v>36156.800000000003</v>
      </c>
      <c r="L980" s="1" t="s">
        <v>23</v>
      </c>
      <c r="M980" s="1" t="str">
        <f>TEXT(Table1[[#This Row],[Order Date]],"mmm")</f>
        <v>Jul</v>
      </c>
      <c r="N980" s="1">
        <f>YEAR(Table1[[#This Row],[Order Date]])</f>
        <v>2023</v>
      </c>
    </row>
    <row r="981" spans="1:14" x14ac:dyDescent="0.35">
      <c r="A981" s="1" t="s">
        <v>1600</v>
      </c>
      <c r="B981" s="1" t="s">
        <v>234</v>
      </c>
      <c r="C981" s="1" t="s">
        <v>332</v>
      </c>
      <c r="D981" s="1" t="s">
        <v>167</v>
      </c>
      <c r="E981" s="1" t="s">
        <v>16</v>
      </c>
      <c r="F981" s="1" t="s">
        <v>167</v>
      </c>
      <c r="G981" s="1">
        <v>15</v>
      </c>
      <c r="H981" s="1">
        <v>23852</v>
      </c>
      <c r="I981" s="1">
        <v>0.05</v>
      </c>
      <c r="J981" s="1">
        <v>339891</v>
      </c>
      <c r="K981" s="1">
        <v>29299.16</v>
      </c>
      <c r="L981" s="1" t="s">
        <v>23</v>
      </c>
      <c r="M981" s="1" t="str">
        <f>TEXT(Table1[[#This Row],[Order Date]],"mmm")</f>
        <v>May</v>
      </c>
      <c r="N981" s="1">
        <f>YEAR(Table1[[#This Row],[Order Date]])</f>
        <v>2024</v>
      </c>
    </row>
    <row r="982" spans="1:14" x14ac:dyDescent="0.35">
      <c r="A982" s="1" t="s">
        <v>1601</v>
      </c>
      <c r="B982" s="1" t="s">
        <v>278</v>
      </c>
      <c r="C982" s="1" t="s">
        <v>155</v>
      </c>
      <c r="D982" s="1" t="s">
        <v>78</v>
      </c>
      <c r="E982" s="1" t="s">
        <v>28</v>
      </c>
      <c r="F982" s="1" t="s">
        <v>78</v>
      </c>
      <c r="G982" s="1">
        <v>2</v>
      </c>
      <c r="H982" s="1">
        <v>45773</v>
      </c>
      <c r="I982" s="1">
        <v>0.2</v>
      </c>
      <c r="J982" s="1">
        <v>73236.800000000003</v>
      </c>
      <c r="K982" s="1">
        <v>7323.3</v>
      </c>
      <c r="L982" s="1" t="s">
        <v>17</v>
      </c>
      <c r="M982" s="1" t="str">
        <f>TEXT(Table1[[#This Row],[Order Date]],"mmm")</f>
        <v>May</v>
      </c>
      <c r="N982" s="1">
        <f>YEAR(Table1[[#This Row],[Order Date]])</f>
        <v>2024</v>
      </c>
    </row>
    <row r="983" spans="1:14" x14ac:dyDescent="0.35">
      <c r="A983" s="1" t="s">
        <v>1602</v>
      </c>
      <c r="B983" s="1" t="s">
        <v>886</v>
      </c>
      <c r="C983" s="1" t="s">
        <v>104</v>
      </c>
      <c r="D983" s="1" t="s">
        <v>137</v>
      </c>
      <c r="E983" s="1" t="s">
        <v>22</v>
      </c>
      <c r="F983" s="1" t="s">
        <v>137</v>
      </c>
      <c r="G983" s="1">
        <v>5</v>
      </c>
      <c r="H983" s="1">
        <v>2507</v>
      </c>
      <c r="I983" s="1">
        <v>0.2</v>
      </c>
      <c r="J983" s="1">
        <v>10028</v>
      </c>
      <c r="K983" s="1">
        <v>2800.86</v>
      </c>
      <c r="L983" s="1" t="s">
        <v>17</v>
      </c>
      <c r="M983" s="1" t="str">
        <f>TEXT(Table1[[#This Row],[Order Date]],"mmm")</f>
        <v>Apr</v>
      </c>
      <c r="N983" s="1">
        <f>YEAR(Table1[[#This Row],[Order Date]])</f>
        <v>2023</v>
      </c>
    </row>
    <row r="984" spans="1:14" x14ac:dyDescent="0.35">
      <c r="A984" s="1" t="s">
        <v>1603</v>
      </c>
      <c r="B984" s="1" t="s">
        <v>1604</v>
      </c>
      <c r="C984" s="1" t="s">
        <v>175</v>
      </c>
      <c r="D984" s="1" t="s">
        <v>293</v>
      </c>
      <c r="E984" s="1" t="s">
        <v>33</v>
      </c>
      <c r="F984" s="1" t="s">
        <v>293</v>
      </c>
      <c r="G984" s="1">
        <v>1</v>
      </c>
      <c r="H984" s="1">
        <v>6280</v>
      </c>
      <c r="I984" s="1">
        <v>0.15</v>
      </c>
      <c r="J984" s="1">
        <v>5338</v>
      </c>
      <c r="K984" s="1">
        <v>1070.56</v>
      </c>
      <c r="L984" s="1" t="s">
        <v>23</v>
      </c>
      <c r="M984" s="1" t="str">
        <f>TEXT(Table1[[#This Row],[Order Date]],"mmm")</f>
        <v>May</v>
      </c>
      <c r="N984" s="1">
        <f>YEAR(Table1[[#This Row],[Order Date]])</f>
        <v>2024</v>
      </c>
    </row>
    <row r="985" spans="1:14" x14ac:dyDescent="0.35">
      <c r="A985" s="1" t="s">
        <v>1605</v>
      </c>
      <c r="B985" s="1" t="s">
        <v>69</v>
      </c>
      <c r="C985" s="1" t="s">
        <v>140</v>
      </c>
      <c r="D985" s="1" t="s">
        <v>114</v>
      </c>
      <c r="E985" s="1" t="s">
        <v>16</v>
      </c>
      <c r="F985" s="1" t="s">
        <v>114</v>
      </c>
      <c r="G985" s="1">
        <v>5</v>
      </c>
      <c r="H985" s="1">
        <v>21540</v>
      </c>
      <c r="I985" s="1">
        <v>0.15</v>
      </c>
      <c r="J985" s="1">
        <v>91545</v>
      </c>
      <c r="K985" s="1">
        <v>21747.24</v>
      </c>
      <c r="L985" s="1" t="s">
        <v>45</v>
      </c>
      <c r="M985" s="1" t="str">
        <f>TEXT(Table1[[#This Row],[Order Date]],"mmm")</f>
        <v>Mar</v>
      </c>
      <c r="N985" s="1">
        <f>YEAR(Table1[[#This Row],[Order Date]])</f>
        <v>2023</v>
      </c>
    </row>
    <row r="986" spans="1:14" x14ac:dyDescent="0.35">
      <c r="A986" s="1" t="s">
        <v>1606</v>
      </c>
      <c r="B986" s="1" t="s">
        <v>145</v>
      </c>
      <c r="C986" s="1" t="s">
        <v>349</v>
      </c>
      <c r="D986" s="1" t="s">
        <v>52</v>
      </c>
      <c r="E986" s="1" t="s">
        <v>28</v>
      </c>
      <c r="F986" s="1" t="s">
        <v>52</v>
      </c>
      <c r="G986" s="1">
        <v>10</v>
      </c>
      <c r="H986" s="1">
        <v>1757</v>
      </c>
      <c r="I986" s="1">
        <v>0</v>
      </c>
      <c r="J986" s="1">
        <v>17570</v>
      </c>
      <c r="K986" s="1">
        <v>4328.51</v>
      </c>
      <c r="L986" s="1" t="s">
        <v>23</v>
      </c>
      <c r="M986" s="1" t="str">
        <f>TEXT(Table1[[#This Row],[Order Date]],"mmm")</f>
        <v>Sep</v>
      </c>
      <c r="N986" s="1">
        <f>YEAR(Table1[[#This Row],[Order Date]])</f>
        <v>2024</v>
      </c>
    </row>
    <row r="987" spans="1:14" x14ac:dyDescent="0.35">
      <c r="A987" s="1" t="s">
        <v>1607</v>
      </c>
      <c r="B987" s="1" t="s">
        <v>355</v>
      </c>
      <c r="C987" s="1" t="s">
        <v>136</v>
      </c>
      <c r="D987" s="1" t="s">
        <v>224</v>
      </c>
      <c r="E987" s="1" t="s">
        <v>33</v>
      </c>
      <c r="F987" s="1" t="s">
        <v>224</v>
      </c>
      <c r="G987" s="1">
        <v>4</v>
      </c>
      <c r="H987" s="1">
        <v>40559</v>
      </c>
      <c r="I987" s="1">
        <v>0.05</v>
      </c>
      <c r="J987" s="1">
        <v>154124.20000000001</v>
      </c>
      <c r="K987" s="1">
        <v>28345.07</v>
      </c>
      <c r="L987" s="1" t="s">
        <v>17</v>
      </c>
      <c r="M987" s="1" t="str">
        <f>TEXT(Table1[[#This Row],[Order Date]],"mmm")</f>
        <v>Dec</v>
      </c>
      <c r="N987" s="1">
        <f>YEAR(Table1[[#This Row],[Order Date]])</f>
        <v>2023</v>
      </c>
    </row>
    <row r="988" spans="1:14" x14ac:dyDescent="0.35">
      <c r="A988" s="1" t="s">
        <v>1608</v>
      </c>
      <c r="B988" s="1" t="s">
        <v>1218</v>
      </c>
      <c r="C988" s="1" t="s">
        <v>162</v>
      </c>
      <c r="D988" s="1" t="s">
        <v>78</v>
      </c>
      <c r="E988" s="1" t="s">
        <v>28</v>
      </c>
      <c r="F988" s="1" t="s">
        <v>78</v>
      </c>
      <c r="G988" s="1">
        <v>15</v>
      </c>
      <c r="H988" s="1">
        <v>21100</v>
      </c>
      <c r="I988" s="1">
        <v>0.05</v>
      </c>
      <c r="J988" s="1">
        <v>300675</v>
      </c>
      <c r="K988" s="1">
        <v>63840.42</v>
      </c>
      <c r="L988" s="1" t="s">
        <v>45</v>
      </c>
      <c r="M988" s="1" t="str">
        <f>TEXT(Table1[[#This Row],[Order Date]],"mmm")</f>
        <v>May</v>
      </c>
      <c r="N988" s="1">
        <f>YEAR(Table1[[#This Row],[Order Date]])</f>
        <v>2024</v>
      </c>
    </row>
    <row r="989" spans="1:14" x14ac:dyDescent="0.35">
      <c r="A989" s="1" t="s">
        <v>1609</v>
      </c>
      <c r="B989" s="1" t="s">
        <v>1568</v>
      </c>
      <c r="C989" s="1" t="s">
        <v>84</v>
      </c>
      <c r="D989" s="1" t="s">
        <v>133</v>
      </c>
      <c r="E989" s="1" t="s">
        <v>22</v>
      </c>
      <c r="F989" s="1" t="s">
        <v>133</v>
      </c>
      <c r="G989" s="1">
        <v>14</v>
      </c>
      <c r="H989" s="1">
        <v>50916</v>
      </c>
      <c r="I989" s="1">
        <v>0.2</v>
      </c>
      <c r="J989" s="1">
        <v>570259.19999999995</v>
      </c>
      <c r="K989" s="1">
        <v>163612.82999999999</v>
      </c>
      <c r="L989" s="1" t="s">
        <v>17</v>
      </c>
      <c r="M989" s="1" t="str">
        <f>TEXT(Table1[[#This Row],[Order Date]],"mmm")</f>
        <v>Feb</v>
      </c>
      <c r="N989" s="1">
        <f>YEAR(Table1[[#This Row],[Order Date]])</f>
        <v>2024</v>
      </c>
    </row>
    <row r="990" spans="1:14" x14ac:dyDescent="0.35">
      <c r="A990" s="1" t="s">
        <v>1610</v>
      </c>
      <c r="B990" s="1" t="s">
        <v>1611</v>
      </c>
      <c r="C990" s="1" t="s">
        <v>260</v>
      </c>
      <c r="D990" s="1" t="s">
        <v>91</v>
      </c>
      <c r="E990" s="1" t="s">
        <v>16</v>
      </c>
      <c r="F990" s="1" t="s">
        <v>91</v>
      </c>
      <c r="G990" s="1">
        <v>13</v>
      </c>
      <c r="H990" s="1">
        <v>48406</v>
      </c>
      <c r="I990" s="1">
        <v>0.05</v>
      </c>
      <c r="J990" s="1">
        <v>597814.1</v>
      </c>
      <c r="K990" s="1">
        <v>89608.77</v>
      </c>
      <c r="L990" s="1" t="s">
        <v>70</v>
      </c>
      <c r="M990" s="1" t="str">
        <f>TEXT(Table1[[#This Row],[Order Date]],"mmm")</f>
        <v>Jan</v>
      </c>
      <c r="N990" s="1">
        <f>YEAR(Table1[[#This Row],[Order Date]])</f>
        <v>2023</v>
      </c>
    </row>
    <row r="991" spans="1:14" x14ac:dyDescent="0.35">
      <c r="A991" s="1" t="s">
        <v>1612</v>
      </c>
      <c r="B991" s="1" t="s">
        <v>459</v>
      </c>
      <c r="C991" s="1" t="s">
        <v>140</v>
      </c>
      <c r="D991" s="1" t="s">
        <v>74</v>
      </c>
      <c r="E991" s="1" t="s">
        <v>22</v>
      </c>
      <c r="F991" s="1" t="s">
        <v>74</v>
      </c>
      <c r="G991" s="1">
        <v>4</v>
      </c>
      <c r="H991" s="1">
        <v>46119</v>
      </c>
      <c r="I991" s="1">
        <v>0.15</v>
      </c>
      <c r="J991" s="1">
        <v>156804.6</v>
      </c>
      <c r="K991" s="1">
        <v>45161.2</v>
      </c>
      <c r="L991" s="1" t="s">
        <v>23</v>
      </c>
      <c r="M991" s="1" t="str">
        <f>TEXT(Table1[[#This Row],[Order Date]],"mmm")</f>
        <v>Feb</v>
      </c>
      <c r="N991" s="1">
        <f>YEAR(Table1[[#This Row],[Order Date]])</f>
        <v>2023</v>
      </c>
    </row>
    <row r="992" spans="1:14" x14ac:dyDescent="0.35">
      <c r="A992" s="1" t="s">
        <v>1613</v>
      </c>
      <c r="B992" s="1" t="s">
        <v>1083</v>
      </c>
      <c r="C992" s="1" t="s">
        <v>208</v>
      </c>
      <c r="D992" s="1" t="s">
        <v>85</v>
      </c>
      <c r="E992" s="1" t="s">
        <v>28</v>
      </c>
      <c r="F992" s="1" t="s">
        <v>85</v>
      </c>
      <c r="G992" s="1">
        <v>5</v>
      </c>
      <c r="H992" s="1">
        <v>38539</v>
      </c>
      <c r="I992" s="1">
        <v>0.15</v>
      </c>
      <c r="J992" s="1">
        <v>163790.75</v>
      </c>
      <c r="K992" s="1">
        <v>14066.4</v>
      </c>
      <c r="L992" s="1" t="s">
        <v>23</v>
      </c>
      <c r="M992" s="1" t="str">
        <f>TEXT(Table1[[#This Row],[Order Date]],"mmm")</f>
        <v>Jul</v>
      </c>
      <c r="N992" s="1">
        <f>YEAR(Table1[[#This Row],[Order Date]])</f>
        <v>2023</v>
      </c>
    </row>
    <row r="993" spans="1:14" x14ac:dyDescent="0.35">
      <c r="A993" s="1" t="s">
        <v>1614</v>
      </c>
      <c r="B993" s="1" t="s">
        <v>1290</v>
      </c>
      <c r="C993" s="1" t="s">
        <v>362</v>
      </c>
      <c r="D993" s="1" t="s">
        <v>15</v>
      </c>
      <c r="E993" s="1" t="s">
        <v>16</v>
      </c>
      <c r="F993" s="1" t="s">
        <v>15</v>
      </c>
      <c r="G993" s="1">
        <v>3</v>
      </c>
      <c r="H993" s="1">
        <v>45601</v>
      </c>
      <c r="I993" s="1">
        <v>0.15</v>
      </c>
      <c r="J993" s="1">
        <v>116282.55</v>
      </c>
      <c r="K993" s="1">
        <v>18398.490000000002</v>
      </c>
      <c r="L993" s="1" t="s">
        <v>45</v>
      </c>
      <c r="M993" s="1" t="str">
        <f>TEXT(Table1[[#This Row],[Order Date]],"mmm")</f>
        <v>Mar</v>
      </c>
      <c r="N993" s="1">
        <f>YEAR(Table1[[#This Row],[Order Date]])</f>
        <v>2023</v>
      </c>
    </row>
    <row r="994" spans="1:14" x14ac:dyDescent="0.35">
      <c r="A994" s="1" t="s">
        <v>1615</v>
      </c>
      <c r="B994" s="1" t="s">
        <v>1616</v>
      </c>
      <c r="C994" s="1" t="s">
        <v>332</v>
      </c>
      <c r="D994" s="1" t="s">
        <v>32</v>
      </c>
      <c r="E994" s="1" t="s">
        <v>33</v>
      </c>
      <c r="F994" s="1" t="s">
        <v>32</v>
      </c>
      <c r="G994" s="1">
        <v>10</v>
      </c>
      <c r="H994" s="1">
        <v>44169</v>
      </c>
      <c r="I994" s="1">
        <v>0.1</v>
      </c>
      <c r="J994" s="1">
        <v>397521</v>
      </c>
      <c r="K994" s="1">
        <v>77929.66</v>
      </c>
      <c r="L994" s="1" t="s">
        <v>17</v>
      </c>
      <c r="M994" s="1" t="str">
        <f>TEXT(Table1[[#This Row],[Order Date]],"mmm")</f>
        <v>Aug</v>
      </c>
      <c r="N994" s="1">
        <f>YEAR(Table1[[#This Row],[Order Date]])</f>
        <v>2023</v>
      </c>
    </row>
    <row r="995" spans="1:14" x14ac:dyDescent="0.35">
      <c r="A995" s="1" t="s">
        <v>1617</v>
      </c>
      <c r="B995" s="1" t="s">
        <v>1618</v>
      </c>
      <c r="C995" s="1" t="s">
        <v>507</v>
      </c>
      <c r="D995" s="1" t="s">
        <v>108</v>
      </c>
      <c r="E995" s="1" t="s">
        <v>22</v>
      </c>
      <c r="F995" s="1" t="s">
        <v>108</v>
      </c>
      <c r="G995" s="1">
        <v>3</v>
      </c>
      <c r="H995" s="1">
        <v>21174</v>
      </c>
      <c r="I995" s="1">
        <v>0.2</v>
      </c>
      <c r="J995" s="1">
        <v>50817.599999999999</v>
      </c>
      <c r="K995" s="1">
        <v>8950.2099999999991</v>
      </c>
      <c r="L995" s="1" t="s">
        <v>45</v>
      </c>
      <c r="M995" s="1" t="str">
        <f>TEXT(Table1[[#This Row],[Order Date]],"mmm")</f>
        <v>Mar</v>
      </c>
      <c r="N995" s="1">
        <f>YEAR(Table1[[#This Row],[Order Date]])</f>
        <v>2024</v>
      </c>
    </row>
    <row r="996" spans="1:14" x14ac:dyDescent="0.35">
      <c r="A996" s="1" t="s">
        <v>1619</v>
      </c>
      <c r="B996" s="1" t="s">
        <v>1416</v>
      </c>
      <c r="C996" s="1" t="s">
        <v>77</v>
      </c>
      <c r="D996" s="1" t="s">
        <v>114</v>
      </c>
      <c r="E996" s="1" t="s">
        <v>16</v>
      </c>
      <c r="F996" s="1" t="s">
        <v>114</v>
      </c>
      <c r="G996" s="1">
        <v>11</v>
      </c>
      <c r="H996" s="1">
        <v>20942</v>
      </c>
      <c r="I996" s="1">
        <v>0.05</v>
      </c>
      <c r="J996" s="1">
        <v>218843.9</v>
      </c>
      <c r="K996" s="1">
        <v>24727.73</v>
      </c>
      <c r="L996" s="1" t="s">
        <v>45</v>
      </c>
      <c r="M996" s="1" t="str">
        <f>TEXT(Table1[[#This Row],[Order Date]],"mmm")</f>
        <v>Jan</v>
      </c>
      <c r="N996" s="1">
        <f>YEAR(Table1[[#This Row],[Order Date]])</f>
        <v>2023</v>
      </c>
    </row>
    <row r="997" spans="1:14" x14ac:dyDescent="0.35">
      <c r="A997" s="1" t="s">
        <v>1620</v>
      </c>
      <c r="B997" s="1" t="s">
        <v>538</v>
      </c>
      <c r="C997" s="1" t="s">
        <v>200</v>
      </c>
      <c r="D997" s="1" t="s">
        <v>41</v>
      </c>
      <c r="E997" s="1" t="s">
        <v>16</v>
      </c>
      <c r="F997" s="1" t="s">
        <v>41</v>
      </c>
      <c r="G997" s="1">
        <v>5</v>
      </c>
      <c r="H997" s="1">
        <v>46782</v>
      </c>
      <c r="I997" s="1">
        <v>0.2</v>
      </c>
      <c r="J997" s="1">
        <v>187128</v>
      </c>
      <c r="K997" s="1">
        <v>36057.96</v>
      </c>
      <c r="L997" s="1" t="s">
        <v>23</v>
      </c>
      <c r="M997" s="1" t="str">
        <f>TEXT(Table1[[#This Row],[Order Date]],"mmm")</f>
        <v>Jan</v>
      </c>
      <c r="N997" s="1">
        <f>YEAR(Table1[[#This Row],[Order Date]])</f>
        <v>2024</v>
      </c>
    </row>
    <row r="998" spans="1:14" x14ac:dyDescent="0.35">
      <c r="A998" s="1" t="s">
        <v>1621</v>
      </c>
      <c r="B998" s="1" t="s">
        <v>976</v>
      </c>
      <c r="C998" s="1" t="s">
        <v>255</v>
      </c>
      <c r="D998" s="1" t="s">
        <v>137</v>
      </c>
      <c r="E998" s="1" t="s">
        <v>22</v>
      </c>
      <c r="F998" s="1" t="s">
        <v>137</v>
      </c>
      <c r="G998" s="1">
        <v>9</v>
      </c>
      <c r="H998" s="1">
        <v>50865</v>
      </c>
      <c r="I998" s="1">
        <v>0.05</v>
      </c>
      <c r="J998" s="1">
        <v>434895.75</v>
      </c>
      <c r="K998" s="1">
        <v>114445.92</v>
      </c>
      <c r="L998" s="1" t="s">
        <v>70</v>
      </c>
      <c r="M998" s="1" t="str">
        <f>TEXT(Table1[[#This Row],[Order Date]],"mmm")</f>
        <v>Oct</v>
      </c>
      <c r="N998" s="1">
        <f>YEAR(Table1[[#This Row],[Order Date]])</f>
        <v>2024</v>
      </c>
    </row>
    <row r="999" spans="1:14" x14ac:dyDescent="0.35">
      <c r="A999" s="1" t="s">
        <v>1622</v>
      </c>
      <c r="B999" s="1" t="s">
        <v>684</v>
      </c>
      <c r="C999" s="1" t="s">
        <v>362</v>
      </c>
      <c r="D999" s="1" t="s">
        <v>114</v>
      </c>
      <c r="E999" s="1" t="s">
        <v>16</v>
      </c>
      <c r="F999" s="1" t="s">
        <v>114</v>
      </c>
      <c r="G999" s="1">
        <v>8</v>
      </c>
      <c r="H999" s="1">
        <v>29183</v>
      </c>
      <c r="I999" s="1">
        <v>0.15</v>
      </c>
      <c r="J999" s="1">
        <v>198444.4</v>
      </c>
      <c r="K999" s="1">
        <v>42816.33</v>
      </c>
      <c r="L999" s="1" t="s">
        <v>17</v>
      </c>
      <c r="M999" s="1" t="str">
        <f>TEXT(Table1[[#This Row],[Order Date]],"mmm")</f>
        <v>May</v>
      </c>
      <c r="N999" s="1">
        <f>YEAR(Table1[[#This Row],[Order Date]])</f>
        <v>2024</v>
      </c>
    </row>
    <row r="1000" spans="1:14" x14ac:dyDescent="0.35">
      <c r="A1000" s="1" t="s">
        <v>1623</v>
      </c>
      <c r="B1000" s="1" t="s">
        <v>1624</v>
      </c>
      <c r="C1000" s="1" t="s">
        <v>125</v>
      </c>
      <c r="D1000" s="1" t="s">
        <v>151</v>
      </c>
      <c r="E1000" s="1" t="s">
        <v>22</v>
      </c>
      <c r="F1000" s="1" t="s">
        <v>151</v>
      </c>
      <c r="G1000" s="1">
        <v>10</v>
      </c>
      <c r="H1000" s="1">
        <v>42208</v>
      </c>
      <c r="I1000" s="1">
        <v>0.05</v>
      </c>
      <c r="J1000" s="1">
        <v>400976</v>
      </c>
      <c r="K1000" s="1">
        <v>84657.93</v>
      </c>
      <c r="L1000" s="1" t="s">
        <v>70</v>
      </c>
      <c r="M1000" s="1" t="str">
        <f>TEXT(Table1[[#This Row],[Order Date]],"mmm")</f>
        <v>Apr</v>
      </c>
      <c r="N1000" s="1">
        <f>YEAR(Table1[[#This Row],[Order Date]])</f>
        <v>2023</v>
      </c>
    </row>
    <row r="1001" spans="1:14" x14ac:dyDescent="0.35">
      <c r="A1001" s="1" t="s">
        <v>1625</v>
      </c>
      <c r="B1001" s="1" t="s">
        <v>406</v>
      </c>
      <c r="C1001" s="1" t="s">
        <v>175</v>
      </c>
      <c r="D1001" s="1" t="s">
        <v>56</v>
      </c>
      <c r="E1001" s="1" t="s">
        <v>22</v>
      </c>
      <c r="F1001" s="1" t="s">
        <v>56</v>
      </c>
      <c r="G1001" s="1">
        <v>10</v>
      </c>
      <c r="H1001" s="1">
        <v>9017</v>
      </c>
      <c r="I1001" s="1">
        <v>0</v>
      </c>
      <c r="J1001" s="1">
        <v>90170</v>
      </c>
      <c r="K1001" s="1">
        <v>15951.05</v>
      </c>
      <c r="L1001" s="1" t="s">
        <v>70</v>
      </c>
      <c r="M1001" s="1" t="str">
        <f>TEXT(Table1[[#This Row],[Order Date]],"mmm")</f>
        <v>Mar</v>
      </c>
      <c r="N1001" s="1">
        <f>YEAR(Table1[[#This Row],[Order Date]])</f>
        <v>2023</v>
      </c>
    </row>
    <row r="1002" spans="1:14" x14ac:dyDescent="0.35">
      <c r="A1002" s="1" t="s">
        <v>1626</v>
      </c>
      <c r="B1002" s="1" t="s">
        <v>231</v>
      </c>
      <c r="C1002" s="1" t="s">
        <v>155</v>
      </c>
      <c r="D1002" s="1" t="s">
        <v>133</v>
      </c>
      <c r="E1002" s="1" t="s">
        <v>22</v>
      </c>
      <c r="F1002" s="1" t="s">
        <v>133</v>
      </c>
      <c r="G1002" s="1">
        <v>5</v>
      </c>
      <c r="H1002" s="1">
        <v>31615</v>
      </c>
      <c r="I1002" s="1">
        <v>0.1</v>
      </c>
      <c r="J1002" s="1">
        <v>142267.5</v>
      </c>
      <c r="K1002" s="1">
        <v>12323.6</v>
      </c>
      <c r="L1002" s="1" t="s">
        <v>45</v>
      </c>
      <c r="M1002" s="1" t="str">
        <f>TEXT(Table1[[#This Row],[Order Date]],"mmm")</f>
        <v>Sep</v>
      </c>
      <c r="N1002" s="1">
        <f>YEAR(Table1[[#This Row],[Order Date]])</f>
        <v>2024</v>
      </c>
    </row>
    <row r="1003" spans="1:14" x14ac:dyDescent="0.35">
      <c r="A1003" s="1" t="s">
        <v>1627</v>
      </c>
      <c r="B1003" s="1" t="s">
        <v>524</v>
      </c>
      <c r="C1003" s="1" t="s">
        <v>88</v>
      </c>
      <c r="D1003" s="1" t="s">
        <v>32</v>
      </c>
      <c r="E1003" s="1" t="s">
        <v>33</v>
      </c>
      <c r="F1003" s="1" t="s">
        <v>32</v>
      </c>
      <c r="G1003" s="1">
        <v>4</v>
      </c>
      <c r="H1003" s="1">
        <v>7156</v>
      </c>
      <c r="I1003" s="1">
        <v>0.2</v>
      </c>
      <c r="J1003" s="1">
        <v>22899.200000000001</v>
      </c>
      <c r="K1003" s="1">
        <v>5445.98</v>
      </c>
      <c r="L1003" s="1" t="s">
        <v>70</v>
      </c>
      <c r="M1003" s="1" t="str">
        <f>TEXT(Table1[[#This Row],[Order Date]],"mmm")</f>
        <v>Nov</v>
      </c>
      <c r="N1003" s="1">
        <f>YEAR(Table1[[#This Row],[Order Date]])</f>
        <v>2024</v>
      </c>
    </row>
    <row r="1004" spans="1:14" x14ac:dyDescent="0.35">
      <c r="A1004" s="1" t="s">
        <v>1628</v>
      </c>
      <c r="B1004" s="1" t="s">
        <v>1629</v>
      </c>
      <c r="C1004" s="1" t="s">
        <v>104</v>
      </c>
      <c r="D1004" s="1" t="s">
        <v>78</v>
      </c>
      <c r="E1004" s="1" t="s">
        <v>28</v>
      </c>
      <c r="F1004" s="1" t="s">
        <v>78</v>
      </c>
      <c r="G1004" s="1">
        <v>8</v>
      </c>
      <c r="H1004" s="1">
        <v>49998</v>
      </c>
      <c r="I1004" s="1">
        <v>0.2</v>
      </c>
      <c r="J1004" s="1">
        <v>319987.20000000001</v>
      </c>
      <c r="K1004" s="1">
        <v>49311.3</v>
      </c>
      <c r="L1004" s="1" t="s">
        <v>70</v>
      </c>
      <c r="M1004" s="1" t="str">
        <f>TEXT(Table1[[#This Row],[Order Date]],"mmm")</f>
        <v>Jan</v>
      </c>
      <c r="N1004" s="1">
        <f>YEAR(Table1[[#This Row],[Order Date]])</f>
        <v>2023</v>
      </c>
    </row>
    <row r="1005" spans="1:14" x14ac:dyDescent="0.35">
      <c r="A1005" s="1" t="s">
        <v>1630</v>
      </c>
      <c r="B1005" s="1" t="s">
        <v>1631</v>
      </c>
      <c r="C1005" s="1" t="s">
        <v>107</v>
      </c>
      <c r="D1005" s="1" t="s">
        <v>151</v>
      </c>
      <c r="E1005" s="1" t="s">
        <v>22</v>
      </c>
      <c r="F1005" s="1" t="s">
        <v>151</v>
      </c>
      <c r="G1005" s="1">
        <v>13</v>
      </c>
      <c r="H1005" s="1">
        <v>5623</v>
      </c>
      <c r="I1005" s="1">
        <v>0</v>
      </c>
      <c r="J1005" s="1">
        <v>73099</v>
      </c>
      <c r="K1005" s="1">
        <v>19872.61</v>
      </c>
      <c r="L1005" s="1" t="s">
        <v>45</v>
      </c>
      <c r="M1005" s="1" t="str">
        <f>TEXT(Table1[[#This Row],[Order Date]],"mmm")</f>
        <v>Apr</v>
      </c>
      <c r="N1005" s="1">
        <f>YEAR(Table1[[#This Row],[Order Date]])</f>
        <v>2023</v>
      </c>
    </row>
    <row r="1006" spans="1:14" x14ac:dyDescent="0.35">
      <c r="A1006" s="1" t="s">
        <v>1632</v>
      </c>
      <c r="B1006" s="1" t="s">
        <v>750</v>
      </c>
      <c r="C1006" s="1" t="s">
        <v>362</v>
      </c>
      <c r="D1006" s="1" t="s">
        <v>15</v>
      </c>
      <c r="E1006" s="1" t="s">
        <v>16</v>
      </c>
      <c r="F1006" s="1" t="s">
        <v>15</v>
      </c>
      <c r="G1006" s="1">
        <v>11</v>
      </c>
      <c r="H1006" s="1">
        <v>56652</v>
      </c>
      <c r="I1006" s="1">
        <v>0.2</v>
      </c>
      <c r="J1006" s="1">
        <v>498537.6</v>
      </c>
      <c r="K1006" s="1">
        <v>71149.5</v>
      </c>
      <c r="L1006" s="1" t="s">
        <v>45</v>
      </c>
      <c r="M1006" s="1" t="str">
        <f>TEXT(Table1[[#This Row],[Order Date]],"mmm")</f>
        <v>Nov</v>
      </c>
      <c r="N1006" s="1">
        <f>YEAR(Table1[[#This Row],[Order Date]])</f>
        <v>2023</v>
      </c>
    </row>
    <row r="1007" spans="1:14" x14ac:dyDescent="0.35">
      <c r="A1007" s="1" t="s">
        <v>1633</v>
      </c>
      <c r="B1007" s="1" t="s">
        <v>1440</v>
      </c>
      <c r="C1007" s="1" t="s">
        <v>191</v>
      </c>
      <c r="D1007" s="1" t="s">
        <v>224</v>
      </c>
      <c r="E1007" s="1" t="s">
        <v>33</v>
      </c>
      <c r="F1007" s="1" t="s">
        <v>224</v>
      </c>
      <c r="G1007" s="1">
        <v>13</v>
      </c>
      <c r="H1007" s="1">
        <v>23521</v>
      </c>
      <c r="I1007" s="1">
        <v>0.2</v>
      </c>
      <c r="J1007" s="1">
        <v>244618.4</v>
      </c>
      <c r="K1007" s="1">
        <v>38025.01</v>
      </c>
      <c r="L1007" s="1" t="s">
        <v>23</v>
      </c>
      <c r="M1007" s="1" t="str">
        <f>TEXT(Table1[[#This Row],[Order Date]],"mmm")</f>
        <v>Mar</v>
      </c>
      <c r="N1007" s="1">
        <f>YEAR(Table1[[#This Row],[Order Date]])</f>
        <v>2023</v>
      </c>
    </row>
    <row r="1008" spans="1:14" x14ac:dyDescent="0.35">
      <c r="A1008" s="1" t="s">
        <v>1634</v>
      </c>
      <c r="B1008" s="1" t="s">
        <v>466</v>
      </c>
      <c r="C1008" s="1" t="s">
        <v>98</v>
      </c>
      <c r="D1008" s="1" t="s">
        <v>141</v>
      </c>
      <c r="E1008" s="1" t="s">
        <v>22</v>
      </c>
      <c r="F1008" s="1" t="s">
        <v>141</v>
      </c>
      <c r="G1008" s="1">
        <v>14</v>
      </c>
      <c r="H1008" s="1">
        <v>1235</v>
      </c>
      <c r="I1008" s="1">
        <v>0.2</v>
      </c>
      <c r="J1008" s="1">
        <v>13832</v>
      </c>
      <c r="K1008" s="1">
        <v>1414.17</v>
      </c>
      <c r="L1008" s="1" t="s">
        <v>17</v>
      </c>
      <c r="M1008" s="1" t="str">
        <f>TEXT(Table1[[#This Row],[Order Date]],"mmm")</f>
        <v>Feb</v>
      </c>
      <c r="N1008" s="1">
        <f>YEAR(Table1[[#This Row],[Order Date]])</f>
        <v>2024</v>
      </c>
    </row>
    <row r="1009" spans="1:14" x14ac:dyDescent="0.35">
      <c r="A1009" s="1" t="s">
        <v>1635</v>
      </c>
      <c r="B1009" s="1" t="s">
        <v>1418</v>
      </c>
      <c r="C1009" s="1" t="s">
        <v>81</v>
      </c>
      <c r="D1009" s="1" t="s">
        <v>108</v>
      </c>
      <c r="E1009" s="1" t="s">
        <v>22</v>
      </c>
      <c r="F1009" s="1" t="s">
        <v>108</v>
      </c>
      <c r="G1009" s="1">
        <v>9</v>
      </c>
      <c r="H1009" s="1">
        <v>38704</v>
      </c>
      <c r="I1009" s="1">
        <v>0.2</v>
      </c>
      <c r="J1009" s="1">
        <v>278668.79999999999</v>
      </c>
      <c r="K1009" s="1">
        <v>52254.25</v>
      </c>
      <c r="L1009" s="1" t="s">
        <v>23</v>
      </c>
      <c r="M1009" s="1" t="str">
        <f>TEXT(Table1[[#This Row],[Order Date]],"mmm")</f>
        <v>Nov</v>
      </c>
      <c r="N1009" s="1">
        <f>YEAR(Table1[[#This Row],[Order Date]])</f>
        <v>2024</v>
      </c>
    </row>
    <row r="1010" spans="1:14" x14ac:dyDescent="0.35">
      <c r="A1010" s="1" t="s">
        <v>1636</v>
      </c>
      <c r="B1010" s="1" t="s">
        <v>827</v>
      </c>
      <c r="C1010" s="1" t="s">
        <v>158</v>
      </c>
      <c r="D1010" s="1" t="s">
        <v>64</v>
      </c>
      <c r="E1010" s="1" t="s">
        <v>33</v>
      </c>
      <c r="F1010" s="1" t="s">
        <v>64</v>
      </c>
      <c r="G1010" s="1">
        <v>1</v>
      </c>
      <c r="H1010" s="1">
        <v>32329</v>
      </c>
      <c r="I1010" s="1">
        <v>0</v>
      </c>
      <c r="J1010" s="1">
        <v>32329</v>
      </c>
      <c r="K1010" s="1">
        <v>6865.91</v>
      </c>
      <c r="L1010" s="1" t="s">
        <v>17</v>
      </c>
      <c r="M1010" s="1" t="str">
        <f>TEXT(Table1[[#This Row],[Order Date]],"mmm")</f>
        <v>Jan</v>
      </c>
      <c r="N1010" s="1">
        <f>YEAR(Table1[[#This Row],[Order Date]])</f>
        <v>2023</v>
      </c>
    </row>
    <row r="1011" spans="1:14" x14ac:dyDescent="0.35">
      <c r="A1011" s="1" t="s">
        <v>1637</v>
      </c>
      <c r="B1011" s="1" t="s">
        <v>1638</v>
      </c>
      <c r="C1011" s="1" t="s">
        <v>111</v>
      </c>
      <c r="D1011" s="1" t="s">
        <v>224</v>
      </c>
      <c r="E1011" s="1" t="s">
        <v>33</v>
      </c>
      <c r="F1011" s="1" t="s">
        <v>224</v>
      </c>
      <c r="G1011" s="1">
        <v>4</v>
      </c>
      <c r="H1011" s="1">
        <v>23120</v>
      </c>
      <c r="I1011" s="1">
        <v>0</v>
      </c>
      <c r="J1011" s="1">
        <v>92480</v>
      </c>
      <c r="K1011" s="1">
        <v>22023.96</v>
      </c>
      <c r="L1011" s="1" t="s">
        <v>23</v>
      </c>
      <c r="M1011" s="1" t="str">
        <f>TEXT(Table1[[#This Row],[Order Date]],"mmm")</f>
        <v>Feb</v>
      </c>
      <c r="N1011" s="1">
        <f>YEAR(Table1[[#This Row],[Order Date]])</f>
        <v>2023</v>
      </c>
    </row>
    <row r="1012" spans="1:14" x14ac:dyDescent="0.35">
      <c r="A1012" s="1" t="s">
        <v>1639</v>
      </c>
      <c r="B1012" s="1" t="s">
        <v>538</v>
      </c>
      <c r="C1012" s="1" t="s">
        <v>200</v>
      </c>
      <c r="D1012" s="1" t="s">
        <v>95</v>
      </c>
      <c r="E1012" s="1" t="s">
        <v>33</v>
      </c>
      <c r="F1012" s="1" t="s">
        <v>95</v>
      </c>
      <c r="G1012" s="1">
        <v>7</v>
      </c>
      <c r="H1012" s="1">
        <v>38165</v>
      </c>
      <c r="I1012" s="1">
        <v>0.2</v>
      </c>
      <c r="J1012" s="1">
        <v>213724</v>
      </c>
      <c r="K1012" s="1">
        <v>23894.51</v>
      </c>
      <c r="L1012" s="1" t="s">
        <v>17</v>
      </c>
      <c r="M1012" s="1" t="str">
        <f>TEXT(Table1[[#This Row],[Order Date]],"mmm")</f>
        <v>Jan</v>
      </c>
      <c r="N1012" s="1">
        <f>YEAR(Table1[[#This Row],[Order Date]])</f>
        <v>2024</v>
      </c>
    </row>
    <row r="1013" spans="1:14" x14ac:dyDescent="0.35">
      <c r="A1013" s="1" t="s">
        <v>1640</v>
      </c>
      <c r="B1013" s="1" t="s">
        <v>1180</v>
      </c>
      <c r="C1013" s="1" t="s">
        <v>332</v>
      </c>
      <c r="D1013" s="1" t="s">
        <v>27</v>
      </c>
      <c r="E1013" s="1" t="s">
        <v>28</v>
      </c>
      <c r="F1013" s="1" t="s">
        <v>27</v>
      </c>
      <c r="G1013" s="1">
        <v>11</v>
      </c>
      <c r="H1013" s="1">
        <v>14006</v>
      </c>
      <c r="I1013" s="1">
        <v>0.15</v>
      </c>
      <c r="J1013" s="1">
        <v>130956.1</v>
      </c>
      <c r="K1013" s="1">
        <v>23569.25</v>
      </c>
      <c r="L1013" s="1" t="s">
        <v>45</v>
      </c>
      <c r="M1013" s="1" t="str">
        <f>TEXT(Table1[[#This Row],[Order Date]],"mmm")</f>
        <v>Oct</v>
      </c>
      <c r="N1013" s="1">
        <f>YEAR(Table1[[#This Row],[Order Date]])</f>
        <v>2023</v>
      </c>
    </row>
    <row r="1014" spans="1:14" x14ac:dyDescent="0.35">
      <c r="A1014" s="1" t="s">
        <v>1641</v>
      </c>
      <c r="B1014" s="1" t="s">
        <v>719</v>
      </c>
      <c r="C1014" s="1" t="s">
        <v>117</v>
      </c>
      <c r="D1014" s="1" t="s">
        <v>60</v>
      </c>
      <c r="E1014" s="1" t="s">
        <v>33</v>
      </c>
      <c r="F1014" s="1" t="s">
        <v>60</v>
      </c>
      <c r="G1014" s="1">
        <v>13</v>
      </c>
      <c r="H1014" s="1">
        <v>16273</v>
      </c>
      <c r="I1014" s="1">
        <v>0.1</v>
      </c>
      <c r="J1014" s="1">
        <v>190394.1</v>
      </c>
      <c r="K1014" s="1">
        <v>30079.4</v>
      </c>
      <c r="L1014" s="1" t="s">
        <v>45</v>
      </c>
      <c r="M1014" s="1" t="str">
        <f>TEXT(Table1[[#This Row],[Order Date]],"mmm")</f>
        <v>Feb</v>
      </c>
      <c r="N1014" s="1">
        <f>YEAR(Table1[[#This Row],[Order Date]])</f>
        <v>2023</v>
      </c>
    </row>
    <row r="1015" spans="1:14" x14ac:dyDescent="0.35">
      <c r="A1015" s="1" t="s">
        <v>1642</v>
      </c>
      <c r="B1015" s="1" t="s">
        <v>419</v>
      </c>
      <c r="C1015" s="1" t="s">
        <v>162</v>
      </c>
      <c r="D1015" s="1" t="s">
        <v>95</v>
      </c>
      <c r="E1015" s="1" t="s">
        <v>33</v>
      </c>
      <c r="F1015" s="1" t="s">
        <v>95</v>
      </c>
      <c r="G1015" s="1">
        <v>10</v>
      </c>
      <c r="H1015" s="1">
        <v>46694</v>
      </c>
      <c r="I1015" s="1">
        <v>0.15</v>
      </c>
      <c r="J1015" s="1">
        <v>396899</v>
      </c>
      <c r="K1015" s="1">
        <v>96873.11</v>
      </c>
      <c r="L1015" s="1" t="s">
        <v>45</v>
      </c>
      <c r="M1015" s="1" t="str">
        <f>TEXT(Table1[[#This Row],[Order Date]],"mmm")</f>
        <v>Feb</v>
      </c>
      <c r="N1015" s="1">
        <f>YEAR(Table1[[#This Row],[Order Date]])</f>
        <v>2024</v>
      </c>
    </row>
    <row r="1016" spans="1:14" x14ac:dyDescent="0.35">
      <c r="A1016" s="1" t="s">
        <v>1643</v>
      </c>
      <c r="B1016" s="1" t="s">
        <v>119</v>
      </c>
      <c r="C1016" s="1" t="s">
        <v>140</v>
      </c>
      <c r="D1016" s="1" t="s">
        <v>91</v>
      </c>
      <c r="E1016" s="1" t="s">
        <v>16</v>
      </c>
      <c r="F1016" s="1" t="s">
        <v>91</v>
      </c>
      <c r="G1016" s="1">
        <v>8</v>
      </c>
      <c r="H1016" s="1">
        <v>16869</v>
      </c>
      <c r="I1016" s="1">
        <v>0.1</v>
      </c>
      <c r="J1016" s="1">
        <v>121456.8</v>
      </c>
      <c r="K1016" s="1">
        <v>24013.98</v>
      </c>
      <c r="L1016" s="1" t="s">
        <v>70</v>
      </c>
      <c r="M1016" s="1" t="str">
        <f>TEXT(Table1[[#This Row],[Order Date]],"mmm")</f>
        <v>Apr</v>
      </c>
      <c r="N1016" s="1">
        <f>YEAR(Table1[[#This Row],[Order Date]])</f>
        <v>2024</v>
      </c>
    </row>
    <row r="1017" spans="1:14" x14ac:dyDescent="0.35">
      <c r="A1017" s="1" t="s">
        <v>1644</v>
      </c>
      <c r="B1017" s="1" t="s">
        <v>1645</v>
      </c>
      <c r="C1017" s="1" t="s">
        <v>208</v>
      </c>
      <c r="D1017" s="1" t="s">
        <v>167</v>
      </c>
      <c r="E1017" s="1" t="s">
        <v>16</v>
      </c>
      <c r="F1017" s="1" t="s">
        <v>167</v>
      </c>
      <c r="G1017" s="1">
        <v>2</v>
      </c>
      <c r="H1017" s="1">
        <v>20981</v>
      </c>
      <c r="I1017" s="1">
        <v>0</v>
      </c>
      <c r="J1017" s="1">
        <v>41962</v>
      </c>
      <c r="K1017" s="1">
        <v>10184.73</v>
      </c>
      <c r="L1017" s="1" t="s">
        <v>23</v>
      </c>
      <c r="M1017" s="1" t="str">
        <f>TEXT(Table1[[#This Row],[Order Date]],"mmm")</f>
        <v>Nov</v>
      </c>
      <c r="N1017" s="1">
        <f>YEAR(Table1[[#This Row],[Order Date]])</f>
        <v>2023</v>
      </c>
    </row>
    <row r="1018" spans="1:14" x14ac:dyDescent="0.35">
      <c r="A1018" s="1" t="s">
        <v>1646</v>
      </c>
      <c r="B1018" s="1" t="s">
        <v>506</v>
      </c>
      <c r="C1018" s="1" t="s">
        <v>155</v>
      </c>
      <c r="D1018" s="1" t="s">
        <v>108</v>
      </c>
      <c r="E1018" s="1" t="s">
        <v>22</v>
      </c>
      <c r="F1018" s="1" t="s">
        <v>108</v>
      </c>
      <c r="G1018" s="1">
        <v>1</v>
      </c>
      <c r="H1018" s="1">
        <v>831</v>
      </c>
      <c r="I1018" s="1">
        <v>0.1</v>
      </c>
      <c r="J1018" s="1">
        <v>747.9</v>
      </c>
      <c r="K1018" s="1">
        <v>99.73</v>
      </c>
      <c r="L1018" s="1" t="s">
        <v>45</v>
      </c>
      <c r="M1018" s="1" t="str">
        <f>TEXT(Table1[[#This Row],[Order Date]],"mmm")</f>
        <v>Jul</v>
      </c>
      <c r="N1018" s="1">
        <f>YEAR(Table1[[#This Row],[Order Date]])</f>
        <v>2024</v>
      </c>
    </row>
    <row r="1019" spans="1:14" x14ac:dyDescent="0.35">
      <c r="A1019" s="1" t="s">
        <v>1647</v>
      </c>
      <c r="B1019" s="1" t="s">
        <v>1517</v>
      </c>
      <c r="C1019" s="1" t="s">
        <v>140</v>
      </c>
      <c r="D1019" s="1" t="s">
        <v>64</v>
      </c>
      <c r="E1019" s="1" t="s">
        <v>33</v>
      </c>
      <c r="F1019" s="1" t="s">
        <v>64</v>
      </c>
      <c r="G1019" s="1">
        <v>1</v>
      </c>
      <c r="H1019" s="1">
        <v>54679</v>
      </c>
      <c r="I1019" s="1">
        <v>0</v>
      </c>
      <c r="J1019" s="1">
        <v>54679</v>
      </c>
      <c r="K1019" s="1">
        <v>7743.59</v>
      </c>
      <c r="L1019" s="1" t="s">
        <v>70</v>
      </c>
      <c r="M1019" s="1" t="str">
        <f>TEXT(Table1[[#This Row],[Order Date]],"mmm")</f>
        <v>Mar</v>
      </c>
      <c r="N1019" s="1">
        <f>YEAR(Table1[[#This Row],[Order Date]])</f>
        <v>2023</v>
      </c>
    </row>
    <row r="1020" spans="1:14" x14ac:dyDescent="0.35">
      <c r="A1020" s="1" t="s">
        <v>1648</v>
      </c>
      <c r="B1020" s="1" t="s">
        <v>522</v>
      </c>
      <c r="C1020" s="1" t="s">
        <v>260</v>
      </c>
      <c r="D1020" s="1" t="s">
        <v>224</v>
      </c>
      <c r="E1020" s="1" t="s">
        <v>33</v>
      </c>
      <c r="F1020" s="1" t="s">
        <v>224</v>
      </c>
      <c r="G1020" s="1">
        <v>4</v>
      </c>
      <c r="H1020" s="1">
        <v>51227</v>
      </c>
      <c r="I1020" s="1">
        <v>0.15</v>
      </c>
      <c r="J1020" s="1">
        <v>174171.8</v>
      </c>
      <c r="K1020" s="1">
        <v>38079.050000000003</v>
      </c>
      <c r="L1020" s="1" t="s">
        <v>45</v>
      </c>
      <c r="M1020" s="1" t="str">
        <f>TEXT(Table1[[#This Row],[Order Date]],"mmm")</f>
        <v>Jan</v>
      </c>
      <c r="N1020" s="1">
        <f>YEAR(Table1[[#This Row],[Order Date]])</f>
        <v>2023</v>
      </c>
    </row>
    <row r="1021" spans="1:14" x14ac:dyDescent="0.35">
      <c r="A1021" s="1" t="s">
        <v>1649</v>
      </c>
      <c r="B1021" s="1" t="s">
        <v>1168</v>
      </c>
      <c r="C1021" s="1" t="s">
        <v>14</v>
      </c>
      <c r="D1021" s="1" t="s">
        <v>32</v>
      </c>
      <c r="E1021" s="1" t="s">
        <v>33</v>
      </c>
      <c r="F1021" s="1" t="s">
        <v>32</v>
      </c>
      <c r="G1021" s="1">
        <v>8</v>
      </c>
      <c r="H1021" s="1">
        <v>10205</v>
      </c>
      <c r="I1021" s="1">
        <v>0.1</v>
      </c>
      <c r="J1021" s="1">
        <v>73476</v>
      </c>
      <c r="K1021" s="1">
        <v>8018.47</v>
      </c>
      <c r="L1021" s="1" t="s">
        <v>23</v>
      </c>
      <c r="M1021" s="1" t="str">
        <f>TEXT(Table1[[#This Row],[Order Date]],"mmm")</f>
        <v>Sep</v>
      </c>
      <c r="N1021" s="1">
        <f>YEAR(Table1[[#This Row],[Order Date]])</f>
        <v>2024</v>
      </c>
    </row>
    <row r="1022" spans="1:14" x14ac:dyDescent="0.35">
      <c r="A1022" s="1" t="s">
        <v>1650</v>
      </c>
      <c r="B1022" s="1" t="s">
        <v>948</v>
      </c>
      <c r="C1022" s="1" t="s">
        <v>101</v>
      </c>
      <c r="D1022" s="1" t="s">
        <v>60</v>
      </c>
      <c r="E1022" s="1" t="s">
        <v>33</v>
      </c>
      <c r="F1022" s="1" t="s">
        <v>60</v>
      </c>
      <c r="G1022" s="1">
        <v>6</v>
      </c>
      <c r="H1022" s="1">
        <v>47652</v>
      </c>
      <c r="I1022" s="1">
        <v>0</v>
      </c>
      <c r="J1022" s="1">
        <v>285912</v>
      </c>
      <c r="K1022" s="1">
        <v>68413.14</v>
      </c>
      <c r="L1022" s="1" t="s">
        <v>17</v>
      </c>
      <c r="M1022" s="1" t="str">
        <f>TEXT(Table1[[#This Row],[Order Date]],"mmm")</f>
        <v>Dec</v>
      </c>
      <c r="N1022" s="1">
        <f>YEAR(Table1[[#This Row],[Order Date]])</f>
        <v>2023</v>
      </c>
    </row>
    <row r="1023" spans="1:14" x14ac:dyDescent="0.35">
      <c r="A1023" s="1" t="s">
        <v>1651</v>
      </c>
      <c r="B1023" s="1" t="s">
        <v>1652</v>
      </c>
      <c r="C1023" s="1" t="s">
        <v>170</v>
      </c>
      <c r="D1023" s="1" t="s">
        <v>323</v>
      </c>
      <c r="E1023" s="1" t="s">
        <v>33</v>
      </c>
      <c r="F1023" s="1" t="s">
        <v>323</v>
      </c>
      <c r="G1023" s="1">
        <v>3</v>
      </c>
      <c r="H1023" s="1">
        <v>4566</v>
      </c>
      <c r="I1023" s="1">
        <v>0.1</v>
      </c>
      <c r="J1023" s="1">
        <v>12328.2</v>
      </c>
      <c r="K1023" s="1">
        <v>2614.77</v>
      </c>
      <c r="L1023" s="1" t="s">
        <v>23</v>
      </c>
      <c r="M1023" s="1" t="str">
        <f>TEXT(Table1[[#This Row],[Order Date]],"mmm")</f>
        <v>Sep</v>
      </c>
      <c r="N1023" s="1">
        <f>YEAR(Table1[[#This Row],[Order Date]])</f>
        <v>2024</v>
      </c>
    </row>
    <row r="1024" spans="1:14" x14ac:dyDescent="0.35">
      <c r="A1024" s="1" t="s">
        <v>1653</v>
      </c>
      <c r="B1024" s="1" t="s">
        <v>856</v>
      </c>
      <c r="C1024" s="1" t="s">
        <v>136</v>
      </c>
      <c r="D1024" s="1" t="s">
        <v>52</v>
      </c>
      <c r="E1024" s="1" t="s">
        <v>28</v>
      </c>
      <c r="F1024" s="1" t="s">
        <v>52</v>
      </c>
      <c r="G1024" s="1">
        <v>11</v>
      </c>
      <c r="H1024" s="1">
        <v>45299</v>
      </c>
      <c r="I1024" s="1">
        <v>0.1</v>
      </c>
      <c r="J1024" s="1">
        <v>448460.1</v>
      </c>
      <c r="K1024" s="1">
        <v>59025.03</v>
      </c>
      <c r="L1024" s="1" t="s">
        <v>23</v>
      </c>
      <c r="M1024" s="1" t="str">
        <f>TEXT(Table1[[#This Row],[Order Date]],"mmm")</f>
        <v>Oct</v>
      </c>
      <c r="N1024" s="1">
        <f>YEAR(Table1[[#This Row],[Order Date]])</f>
        <v>2024</v>
      </c>
    </row>
    <row r="1025" spans="1:14" x14ac:dyDescent="0.35">
      <c r="A1025" s="1" t="s">
        <v>1654</v>
      </c>
      <c r="B1025" s="1" t="s">
        <v>1092</v>
      </c>
      <c r="C1025" s="1" t="s">
        <v>51</v>
      </c>
      <c r="D1025" s="1" t="s">
        <v>15</v>
      </c>
      <c r="E1025" s="1" t="s">
        <v>16</v>
      </c>
      <c r="F1025" s="1" t="s">
        <v>15</v>
      </c>
      <c r="G1025" s="1">
        <v>3</v>
      </c>
      <c r="H1025" s="1">
        <v>881</v>
      </c>
      <c r="I1025" s="1">
        <v>0</v>
      </c>
      <c r="J1025" s="1">
        <v>2643</v>
      </c>
      <c r="K1025" s="1">
        <v>358.39</v>
      </c>
      <c r="L1025" s="1" t="s">
        <v>23</v>
      </c>
      <c r="M1025" s="1" t="str">
        <f>TEXT(Table1[[#This Row],[Order Date]],"mmm")</f>
        <v>Feb</v>
      </c>
      <c r="N1025" s="1">
        <f>YEAR(Table1[[#This Row],[Order Date]])</f>
        <v>2024</v>
      </c>
    </row>
    <row r="1026" spans="1:14" x14ac:dyDescent="0.35">
      <c r="A1026" s="1" t="s">
        <v>1655</v>
      </c>
      <c r="B1026" s="1" t="s">
        <v>1652</v>
      </c>
      <c r="C1026" s="1" t="s">
        <v>158</v>
      </c>
      <c r="D1026" s="1" t="s">
        <v>108</v>
      </c>
      <c r="E1026" s="1" t="s">
        <v>22</v>
      </c>
      <c r="F1026" s="1" t="s">
        <v>108</v>
      </c>
      <c r="G1026" s="1">
        <v>11</v>
      </c>
      <c r="H1026" s="1">
        <v>24037</v>
      </c>
      <c r="I1026" s="1">
        <v>0.1</v>
      </c>
      <c r="J1026" s="1">
        <v>237966.3</v>
      </c>
      <c r="K1026" s="1">
        <v>67741.240000000005</v>
      </c>
      <c r="L1026" s="1" t="s">
        <v>17</v>
      </c>
      <c r="M1026" s="1" t="str">
        <f>TEXT(Table1[[#This Row],[Order Date]],"mmm")</f>
        <v>Sep</v>
      </c>
      <c r="N1026" s="1">
        <f>YEAR(Table1[[#This Row],[Order Date]])</f>
        <v>2024</v>
      </c>
    </row>
    <row r="1027" spans="1:14" x14ac:dyDescent="0.35">
      <c r="A1027" s="1" t="s">
        <v>1656</v>
      </c>
      <c r="B1027" s="1" t="s">
        <v>1414</v>
      </c>
      <c r="C1027" s="1" t="s">
        <v>120</v>
      </c>
      <c r="D1027" s="1" t="s">
        <v>91</v>
      </c>
      <c r="E1027" s="1" t="s">
        <v>16</v>
      </c>
      <c r="F1027" s="1" t="s">
        <v>91</v>
      </c>
      <c r="G1027" s="1">
        <v>9</v>
      </c>
      <c r="H1027" s="1">
        <v>33789</v>
      </c>
      <c r="I1027" s="1">
        <v>0.05</v>
      </c>
      <c r="J1027" s="1">
        <v>288895.95</v>
      </c>
      <c r="K1027" s="1">
        <v>35908.78</v>
      </c>
      <c r="L1027" s="1" t="s">
        <v>17</v>
      </c>
      <c r="M1027" s="1" t="str">
        <f>TEXT(Table1[[#This Row],[Order Date]],"mmm")</f>
        <v>Aug</v>
      </c>
      <c r="N1027" s="1">
        <f>YEAR(Table1[[#This Row],[Order Date]])</f>
        <v>2024</v>
      </c>
    </row>
    <row r="1028" spans="1:14" x14ac:dyDescent="0.35">
      <c r="A1028" s="1" t="s">
        <v>1657</v>
      </c>
      <c r="B1028" s="1" t="s">
        <v>1658</v>
      </c>
      <c r="C1028" s="1" t="s">
        <v>73</v>
      </c>
      <c r="D1028" s="1" t="s">
        <v>41</v>
      </c>
      <c r="E1028" s="1" t="s">
        <v>16</v>
      </c>
      <c r="F1028" s="1" t="s">
        <v>41</v>
      </c>
      <c r="G1028" s="1">
        <v>11</v>
      </c>
      <c r="H1028" s="1">
        <v>30594</v>
      </c>
      <c r="I1028" s="1">
        <v>0.15</v>
      </c>
      <c r="J1028" s="1">
        <v>286053.90000000002</v>
      </c>
      <c r="K1028" s="1">
        <v>51333.78</v>
      </c>
      <c r="L1028" s="1" t="s">
        <v>70</v>
      </c>
      <c r="M1028" s="1" t="str">
        <f>TEXT(Table1[[#This Row],[Order Date]],"mmm")</f>
        <v>Sep</v>
      </c>
      <c r="N1028" s="1">
        <f>YEAR(Table1[[#This Row],[Order Date]])</f>
        <v>2024</v>
      </c>
    </row>
    <row r="1029" spans="1:14" x14ac:dyDescent="0.35">
      <c r="A1029" s="1" t="s">
        <v>1659</v>
      </c>
      <c r="B1029" s="1" t="s">
        <v>1660</v>
      </c>
      <c r="C1029" s="1" t="s">
        <v>158</v>
      </c>
      <c r="D1029" s="1" t="s">
        <v>78</v>
      </c>
      <c r="E1029" s="1" t="s">
        <v>28</v>
      </c>
      <c r="F1029" s="1" t="s">
        <v>78</v>
      </c>
      <c r="G1029" s="1">
        <v>15</v>
      </c>
      <c r="H1029" s="1">
        <v>52030</v>
      </c>
      <c r="I1029" s="1">
        <v>0</v>
      </c>
      <c r="J1029" s="1">
        <v>780450</v>
      </c>
      <c r="K1029" s="1">
        <v>150470.53</v>
      </c>
      <c r="L1029" s="1" t="s">
        <v>17</v>
      </c>
      <c r="M1029" s="1" t="str">
        <f>TEXT(Table1[[#This Row],[Order Date]],"mmm")</f>
        <v>Jun</v>
      </c>
      <c r="N1029" s="1">
        <f>YEAR(Table1[[#This Row],[Order Date]])</f>
        <v>2023</v>
      </c>
    </row>
    <row r="1030" spans="1:14" x14ac:dyDescent="0.35">
      <c r="A1030" s="1" t="s">
        <v>1661</v>
      </c>
      <c r="B1030" s="1" t="s">
        <v>1662</v>
      </c>
      <c r="C1030" s="1" t="s">
        <v>98</v>
      </c>
      <c r="D1030" s="1" t="s">
        <v>224</v>
      </c>
      <c r="E1030" s="1" t="s">
        <v>33</v>
      </c>
      <c r="F1030" s="1" t="s">
        <v>224</v>
      </c>
      <c r="G1030" s="1">
        <v>10</v>
      </c>
      <c r="H1030" s="1">
        <v>28681</v>
      </c>
      <c r="I1030" s="1">
        <v>0.2</v>
      </c>
      <c r="J1030" s="1">
        <v>229448</v>
      </c>
      <c r="K1030" s="1">
        <v>25995.360000000001</v>
      </c>
      <c r="L1030" s="1" t="s">
        <v>17</v>
      </c>
      <c r="M1030" s="1" t="str">
        <f>TEXT(Table1[[#This Row],[Order Date]],"mmm")</f>
        <v>Aug</v>
      </c>
      <c r="N1030" s="1">
        <f>YEAR(Table1[[#This Row],[Order Date]])</f>
        <v>2024</v>
      </c>
    </row>
    <row r="1031" spans="1:14" x14ac:dyDescent="0.35">
      <c r="A1031" s="1" t="s">
        <v>1663</v>
      </c>
      <c r="B1031" s="1" t="s">
        <v>1664</v>
      </c>
      <c r="C1031" s="1" t="s">
        <v>332</v>
      </c>
      <c r="D1031" s="1" t="s">
        <v>224</v>
      </c>
      <c r="E1031" s="1" t="s">
        <v>33</v>
      </c>
      <c r="F1031" s="1" t="s">
        <v>224</v>
      </c>
      <c r="G1031" s="1">
        <v>2</v>
      </c>
      <c r="H1031" s="1">
        <v>44677</v>
      </c>
      <c r="I1031" s="1">
        <v>0.05</v>
      </c>
      <c r="J1031" s="1">
        <v>84886.3</v>
      </c>
      <c r="K1031" s="1">
        <v>8620.61</v>
      </c>
      <c r="L1031" s="1" t="s">
        <v>17</v>
      </c>
      <c r="M1031" s="1" t="str">
        <f>TEXT(Table1[[#This Row],[Order Date]],"mmm")</f>
        <v>Mar</v>
      </c>
      <c r="N1031" s="1">
        <f>YEAR(Table1[[#This Row],[Order Date]])</f>
        <v>2024</v>
      </c>
    </row>
    <row r="1032" spans="1:14" x14ac:dyDescent="0.35">
      <c r="A1032" s="1" t="s">
        <v>1665</v>
      </c>
      <c r="B1032" s="1" t="s">
        <v>145</v>
      </c>
      <c r="C1032" s="1" t="s">
        <v>162</v>
      </c>
      <c r="D1032" s="1" t="s">
        <v>167</v>
      </c>
      <c r="E1032" s="1" t="s">
        <v>16</v>
      </c>
      <c r="F1032" s="1" t="s">
        <v>167</v>
      </c>
      <c r="G1032" s="1">
        <v>7</v>
      </c>
      <c r="H1032" s="1">
        <v>37765</v>
      </c>
      <c r="I1032" s="1">
        <v>0</v>
      </c>
      <c r="J1032" s="1">
        <v>264355</v>
      </c>
      <c r="K1032" s="1">
        <v>36695.82</v>
      </c>
      <c r="L1032" s="1" t="s">
        <v>45</v>
      </c>
      <c r="M1032" s="1" t="str">
        <f>TEXT(Table1[[#This Row],[Order Date]],"mmm")</f>
        <v>Sep</v>
      </c>
      <c r="N1032" s="1">
        <f>YEAR(Table1[[#This Row],[Order Date]])</f>
        <v>2024</v>
      </c>
    </row>
    <row r="1033" spans="1:14" x14ac:dyDescent="0.35">
      <c r="A1033" s="1" t="s">
        <v>1666</v>
      </c>
      <c r="B1033" s="1" t="s">
        <v>587</v>
      </c>
      <c r="C1033" s="1" t="s">
        <v>101</v>
      </c>
      <c r="D1033" s="1" t="s">
        <v>37</v>
      </c>
      <c r="E1033" s="1" t="s">
        <v>16</v>
      </c>
      <c r="F1033" s="1" t="s">
        <v>37</v>
      </c>
      <c r="G1033" s="1">
        <v>10</v>
      </c>
      <c r="H1033" s="1">
        <v>53579</v>
      </c>
      <c r="I1033" s="1">
        <v>0.1</v>
      </c>
      <c r="J1033" s="1">
        <v>482211</v>
      </c>
      <c r="K1033" s="1">
        <v>95366.55</v>
      </c>
      <c r="L1033" s="1" t="s">
        <v>17</v>
      </c>
      <c r="M1033" s="1" t="str">
        <f>TEXT(Table1[[#This Row],[Order Date]],"mmm")</f>
        <v>Oct</v>
      </c>
      <c r="N1033" s="1">
        <f>YEAR(Table1[[#This Row],[Order Date]])</f>
        <v>2024</v>
      </c>
    </row>
    <row r="1034" spans="1:14" x14ac:dyDescent="0.35">
      <c r="A1034" s="1" t="s">
        <v>1667</v>
      </c>
      <c r="B1034" s="1" t="s">
        <v>1416</v>
      </c>
      <c r="C1034" s="1" t="s">
        <v>162</v>
      </c>
      <c r="D1034" s="1" t="s">
        <v>137</v>
      </c>
      <c r="E1034" s="1" t="s">
        <v>22</v>
      </c>
      <c r="F1034" s="1" t="s">
        <v>137</v>
      </c>
      <c r="G1034" s="1">
        <v>7</v>
      </c>
      <c r="H1034" s="1">
        <v>34627</v>
      </c>
      <c r="I1034" s="1">
        <v>0.2</v>
      </c>
      <c r="J1034" s="1">
        <v>193911.2</v>
      </c>
      <c r="K1034" s="1">
        <v>53422.57</v>
      </c>
      <c r="L1034" s="1" t="s">
        <v>45</v>
      </c>
      <c r="M1034" s="1" t="str">
        <f>TEXT(Table1[[#This Row],[Order Date]],"mmm")</f>
        <v>Jan</v>
      </c>
      <c r="N1034" s="1">
        <f>YEAR(Table1[[#This Row],[Order Date]])</f>
        <v>2023</v>
      </c>
    </row>
    <row r="1035" spans="1:14" x14ac:dyDescent="0.35">
      <c r="A1035" s="1" t="s">
        <v>1668</v>
      </c>
      <c r="B1035" s="1" t="s">
        <v>1669</v>
      </c>
      <c r="C1035" s="1" t="s">
        <v>136</v>
      </c>
      <c r="D1035" s="1" t="s">
        <v>114</v>
      </c>
      <c r="E1035" s="1" t="s">
        <v>16</v>
      </c>
      <c r="F1035" s="1" t="s">
        <v>114</v>
      </c>
      <c r="G1035" s="1">
        <v>4</v>
      </c>
      <c r="H1035" s="1">
        <v>20251</v>
      </c>
      <c r="I1035" s="1">
        <v>0.15</v>
      </c>
      <c r="J1035" s="1">
        <v>68853.399999999994</v>
      </c>
      <c r="K1035" s="1">
        <v>7177.5</v>
      </c>
      <c r="L1035" s="1" t="s">
        <v>45</v>
      </c>
      <c r="M1035" s="1" t="str">
        <f>TEXT(Table1[[#This Row],[Order Date]],"mmm")</f>
        <v>Sep</v>
      </c>
      <c r="N1035" s="1">
        <f>YEAR(Table1[[#This Row],[Order Date]])</f>
        <v>2023</v>
      </c>
    </row>
    <row r="1036" spans="1:14" x14ac:dyDescent="0.35">
      <c r="A1036" s="1" t="s">
        <v>1670</v>
      </c>
      <c r="B1036" s="1" t="s">
        <v>217</v>
      </c>
      <c r="C1036" s="1" t="s">
        <v>227</v>
      </c>
      <c r="D1036" s="1" t="s">
        <v>21</v>
      </c>
      <c r="E1036" s="1" t="s">
        <v>22</v>
      </c>
      <c r="F1036" s="1" t="s">
        <v>21</v>
      </c>
      <c r="G1036" s="1">
        <v>8</v>
      </c>
      <c r="H1036" s="1">
        <v>50804</v>
      </c>
      <c r="I1036" s="1">
        <v>0.1</v>
      </c>
      <c r="J1036" s="1">
        <v>365788.8</v>
      </c>
      <c r="K1036" s="1">
        <v>29397.48</v>
      </c>
      <c r="L1036" s="1" t="s">
        <v>23</v>
      </c>
      <c r="M1036" s="1" t="str">
        <f>TEXT(Table1[[#This Row],[Order Date]],"mmm")</f>
        <v>Sep</v>
      </c>
      <c r="N1036" s="1">
        <f>YEAR(Table1[[#This Row],[Order Date]])</f>
        <v>2023</v>
      </c>
    </row>
    <row r="1037" spans="1:14" x14ac:dyDescent="0.35">
      <c r="A1037" s="1" t="s">
        <v>1671</v>
      </c>
      <c r="B1037" s="1" t="s">
        <v>991</v>
      </c>
      <c r="C1037" s="1" t="s">
        <v>84</v>
      </c>
      <c r="D1037" s="1" t="s">
        <v>44</v>
      </c>
      <c r="E1037" s="1" t="s">
        <v>28</v>
      </c>
      <c r="F1037" s="1" t="s">
        <v>44</v>
      </c>
      <c r="G1037" s="1">
        <v>11</v>
      </c>
      <c r="H1037" s="1">
        <v>33741</v>
      </c>
      <c r="I1037" s="1">
        <v>0.1</v>
      </c>
      <c r="J1037" s="1">
        <v>334035.90000000002</v>
      </c>
      <c r="K1037" s="1">
        <v>29256.35</v>
      </c>
      <c r="L1037" s="1" t="s">
        <v>70</v>
      </c>
      <c r="M1037" s="1" t="str">
        <f>TEXT(Table1[[#This Row],[Order Date]],"mmm")</f>
        <v>Feb</v>
      </c>
      <c r="N1037" s="1">
        <f>YEAR(Table1[[#This Row],[Order Date]])</f>
        <v>2024</v>
      </c>
    </row>
    <row r="1038" spans="1:14" x14ac:dyDescent="0.35">
      <c r="A1038" s="1" t="s">
        <v>1672</v>
      </c>
      <c r="B1038" s="1" t="s">
        <v>1673</v>
      </c>
      <c r="C1038" s="1" t="s">
        <v>73</v>
      </c>
      <c r="D1038" s="1" t="s">
        <v>27</v>
      </c>
      <c r="E1038" s="1" t="s">
        <v>28</v>
      </c>
      <c r="F1038" s="1" t="s">
        <v>27</v>
      </c>
      <c r="G1038" s="1">
        <v>7</v>
      </c>
      <c r="H1038" s="1">
        <v>54288</v>
      </c>
      <c r="I1038" s="1">
        <v>0.15</v>
      </c>
      <c r="J1038" s="1">
        <v>323013.59999999998</v>
      </c>
      <c r="K1038" s="1">
        <v>77995.649999999994</v>
      </c>
      <c r="L1038" s="1" t="s">
        <v>45</v>
      </c>
      <c r="M1038" s="1" t="str">
        <f>TEXT(Table1[[#This Row],[Order Date]],"mmm")</f>
        <v>Jan</v>
      </c>
      <c r="N1038" s="1">
        <f>YEAR(Table1[[#This Row],[Order Date]])</f>
        <v>2024</v>
      </c>
    </row>
    <row r="1039" spans="1:14" x14ac:dyDescent="0.35">
      <c r="A1039" s="1" t="s">
        <v>1674</v>
      </c>
      <c r="B1039" s="1" t="s">
        <v>1675</v>
      </c>
      <c r="C1039" s="1" t="s">
        <v>77</v>
      </c>
      <c r="D1039" s="1" t="s">
        <v>15</v>
      </c>
      <c r="E1039" s="1" t="s">
        <v>16</v>
      </c>
      <c r="F1039" s="1" t="s">
        <v>15</v>
      </c>
      <c r="G1039" s="1">
        <v>11</v>
      </c>
      <c r="H1039" s="1">
        <v>29929</v>
      </c>
      <c r="I1039" s="1">
        <v>0.05</v>
      </c>
      <c r="J1039" s="1">
        <v>312758.05</v>
      </c>
      <c r="K1039" s="1">
        <v>51869.65</v>
      </c>
      <c r="L1039" s="1" t="s">
        <v>17</v>
      </c>
      <c r="M1039" s="1" t="str">
        <f>TEXT(Table1[[#This Row],[Order Date]],"mmm")</f>
        <v>Aug</v>
      </c>
      <c r="N1039" s="1">
        <f>YEAR(Table1[[#This Row],[Order Date]])</f>
        <v>2023</v>
      </c>
    </row>
    <row r="1040" spans="1:14" x14ac:dyDescent="0.35">
      <c r="A1040" s="1" t="s">
        <v>1676</v>
      </c>
      <c r="B1040" s="1" t="s">
        <v>1254</v>
      </c>
      <c r="C1040" s="1" t="s">
        <v>88</v>
      </c>
      <c r="D1040" s="1" t="s">
        <v>48</v>
      </c>
      <c r="E1040" s="1" t="s">
        <v>16</v>
      </c>
      <c r="F1040" s="1" t="s">
        <v>48</v>
      </c>
      <c r="G1040" s="1">
        <v>11</v>
      </c>
      <c r="H1040" s="1">
        <v>52577</v>
      </c>
      <c r="I1040" s="1">
        <v>0.2</v>
      </c>
      <c r="J1040" s="1">
        <v>462677.6</v>
      </c>
      <c r="K1040" s="1">
        <v>37250.339999999997</v>
      </c>
      <c r="L1040" s="1" t="s">
        <v>70</v>
      </c>
      <c r="M1040" s="1" t="str">
        <f>TEXT(Table1[[#This Row],[Order Date]],"mmm")</f>
        <v>Jul</v>
      </c>
      <c r="N1040" s="1">
        <f>YEAR(Table1[[#This Row],[Order Date]])</f>
        <v>2023</v>
      </c>
    </row>
    <row r="1041" spans="1:14" x14ac:dyDescent="0.35">
      <c r="A1041" s="1" t="s">
        <v>1677</v>
      </c>
      <c r="B1041" s="1" t="s">
        <v>1326</v>
      </c>
      <c r="C1041" s="1" t="s">
        <v>146</v>
      </c>
      <c r="D1041" s="1" t="s">
        <v>60</v>
      </c>
      <c r="E1041" s="1" t="s">
        <v>33</v>
      </c>
      <c r="F1041" s="1" t="s">
        <v>60</v>
      </c>
      <c r="G1041" s="1">
        <v>8</v>
      </c>
      <c r="H1041" s="1">
        <v>49064</v>
      </c>
      <c r="I1041" s="1">
        <v>0.15</v>
      </c>
      <c r="J1041" s="1">
        <v>333635.20000000001</v>
      </c>
      <c r="K1041" s="1">
        <v>84519.32</v>
      </c>
      <c r="L1041" s="1" t="s">
        <v>45</v>
      </c>
      <c r="M1041" s="1" t="str">
        <f>TEXT(Table1[[#This Row],[Order Date]],"mmm")</f>
        <v>Dec</v>
      </c>
      <c r="N1041" s="1">
        <f>YEAR(Table1[[#This Row],[Order Date]])</f>
        <v>2023</v>
      </c>
    </row>
    <row r="1042" spans="1:14" x14ac:dyDescent="0.35">
      <c r="A1042" s="1" t="s">
        <v>1678</v>
      </c>
      <c r="B1042" s="1" t="s">
        <v>1097</v>
      </c>
      <c r="C1042" s="1" t="s">
        <v>370</v>
      </c>
      <c r="D1042" s="1" t="s">
        <v>167</v>
      </c>
      <c r="E1042" s="1" t="s">
        <v>16</v>
      </c>
      <c r="F1042" s="1" t="s">
        <v>167</v>
      </c>
      <c r="G1042" s="1">
        <v>15</v>
      </c>
      <c r="H1042" s="1">
        <v>44211</v>
      </c>
      <c r="I1042" s="1">
        <v>0.15</v>
      </c>
      <c r="J1042" s="1">
        <v>563690.25</v>
      </c>
      <c r="K1042" s="1">
        <v>117650.39</v>
      </c>
      <c r="L1042" s="1" t="s">
        <v>17</v>
      </c>
      <c r="M1042" s="1" t="str">
        <f>TEXT(Table1[[#This Row],[Order Date]],"mmm")</f>
        <v>Sep</v>
      </c>
      <c r="N1042" s="1">
        <f>YEAR(Table1[[#This Row],[Order Date]])</f>
        <v>2024</v>
      </c>
    </row>
    <row r="1043" spans="1:14" x14ac:dyDescent="0.35">
      <c r="A1043" s="1" t="s">
        <v>1679</v>
      </c>
      <c r="B1043" s="1" t="s">
        <v>624</v>
      </c>
      <c r="C1043" s="1" t="s">
        <v>120</v>
      </c>
      <c r="D1043" s="1" t="s">
        <v>323</v>
      </c>
      <c r="E1043" s="1" t="s">
        <v>33</v>
      </c>
      <c r="F1043" s="1" t="s">
        <v>323</v>
      </c>
      <c r="G1043" s="1">
        <v>7</v>
      </c>
      <c r="H1043" s="1">
        <v>19096</v>
      </c>
      <c r="I1043" s="1">
        <v>0.2</v>
      </c>
      <c r="J1043" s="1">
        <v>106937.60000000001</v>
      </c>
      <c r="K1043" s="1">
        <v>25020.17</v>
      </c>
      <c r="L1043" s="1" t="s">
        <v>23</v>
      </c>
      <c r="M1043" s="1" t="str">
        <f>TEXT(Table1[[#This Row],[Order Date]],"mmm")</f>
        <v>May</v>
      </c>
      <c r="N1043" s="1">
        <f>YEAR(Table1[[#This Row],[Order Date]])</f>
        <v>2023</v>
      </c>
    </row>
    <row r="1044" spans="1:14" x14ac:dyDescent="0.35">
      <c r="A1044" s="1" t="s">
        <v>1680</v>
      </c>
      <c r="B1044" s="1" t="s">
        <v>1681</v>
      </c>
      <c r="C1044" s="1" t="s">
        <v>101</v>
      </c>
      <c r="D1044" s="1" t="s">
        <v>41</v>
      </c>
      <c r="E1044" s="1" t="s">
        <v>16</v>
      </c>
      <c r="F1044" s="1" t="s">
        <v>41</v>
      </c>
      <c r="G1044" s="1">
        <v>2</v>
      </c>
      <c r="H1044" s="1">
        <v>4251</v>
      </c>
      <c r="I1044" s="1">
        <v>0.15</v>
      </c>
      <c r="J1044" s="1">
        <v>7226.7</v>
      </c>
      <c r="K1044" s="1">
        <v>635.74</v>
      </c>
      <c r="L1044" s="1" t="s">
        <v>70</v>
      </c>
      <c r="M1044" s="1" t="str">
        <f>TEXT(Table1[[#This Row],[Order Date]],"mmm")</f>
        <v>May</v>
      </c>
      <c r="N1044" s="1">
        <f>YEAR(Table1[[#This Row],[Order Date]])</f>
        <v>2023</v>
      </c>
    </row>
    <row r="1045" spans="1:14" x14ac:dyDescent="0.35">
      <c r="A1045" s="1" t="s">
        <v>1682</v>
      </c>
      <c r="B1045" s="1" t="s">
        <v>610</v>
      </c>
      <c r="C1045" s="1" t="s">
        <v>188</v>
      </c>
      <c r="D1045" s="1" t="s">
        <v>48</v>
      </c>
      <c r="E1045" s="1" t="s">
        <v>16</v>
      </c>
      <c r="F1045" s="1" t="s">
        <v>48</v>
      </c>
      <c r="G1045" s="1">
        <v>3</v>
      </c>
      <c r="H1045" s="1">
        <v>7591</v>
      </c>
      <c r="I1045" s="1">
        <v>0.15</v>
      </c>
      <c r="J1045" s="1">
        <v>19357.05</v>
      </c>
      <c r="K1045" s="1">
        <v>1940.88</v>
      </c>
      <c r="L1045" s="1" t="s">
        <v>70</v>
      </c>
      <c r="M1045" s="1" t="str">
        <f>TEXT(Table1[[#This Row],[Order Date]],"mmm")</f>
        <v>Dec</v>
      </c>
      <c r="N1045" s="1">
        <f>YEAR(Table1[[#This Row],[Order Date]])</f>
        <v>2023</v>
      </c>
    </row>
    <row r="1046" spans="1:14" x14ac:dyDescent="0.35">
      <c r="A1046" s="1" t="s">
        <v>1683</v>
      </c>
      <c r="B1046" s="1" t="s">
        <v>763</v>
      </c>
      <c r="C1046" s="1" t="s">
        <v>136</v>
      </c>
      <c r="D1046" s="1" t="s">
        <v>179</v>
      </c>
      <c r="E1046" s="1" t="s">
        <v>28</v>
      </c>
      <c r="F1046" s="1" t="s">
        <v>179</v>
      </c>
      <c r="G1046" s="1">
        <v>2</v>
      </c>
      <c r="H1046" s="1">
        <v>25566</v>
      </c>
      <c r="I1046" s="1">
        <v>0.1</v>
      </c>
      <c r="J1046" s="1">
        <v>46018.8</v>
      </c>
      <c r="K1046" s="1">
        <v>6484.8</v>
      </c>
      <c r="L1046" s="1" t="s">
        <v>45</v>
      </c>
      <c r="M1046" s="1" t="str">
        <f>TEXT(Table1[[#This Row],[Order Date]],"mmm")</f>
        <v>Oct</v>
      </c>
      <c r="N1046" s="1">
        <f>YEAR(Table1[[#This Row],[Order Date]])</f>
        <v>2024</v>
      </c>
    </row>
    <row r="1047" spans="1:14" x14ac:dyDescent="0.35">
      <c r="A1047" s="1" t="s">
        <v>1684</v>
      </c>
      <c r="B1047" s="1" t="s">
        <v>1155</v>
      </c>
      <c r="C1047" s="1" t="s">
        <v>101</v>
      </c>
      <c r="D1047" s="1" t="s">
        <v>85</v>
      </c>
      <c r="E1047" s="1" t="s">
        <v>28</v>
      </c>
      <c r="F1047" s="1" t="s">
        <v>85</v>
      </c>
      <c r="G1047" s="1">
        <v>11</v>
      </c>
      <c r="H1047" s="1">
        <v>32564</v>
      </c>
      <c r="I1047" s="1">
        <v>0.15</v>
      </c>
      <c r="J1047" s="1">
        <v>304473.40000000002</v>
      </c>
      <c r="K1047" s="1">
        <v>29866.04</v>
      </c>
      <c r="L1047" s="1" t="s">
        <v>70</v>
      </c>
      <c r="M1047" s="1" t="str">
        <f>TEXT(Table1[[#This Row],[Order Date]],"mmm")</f>
        <v>May</v>
      </c>
      <c r="N1047" s="1">
        <f>YEAR(Table1[[#This Row],[Order Date]])</f>
        <v>2024</v>
      </c>
    </row>
    <row r="1048" spans="1:14" x14ac:dyDescent="0.35">
      <c r="A1048" s="1" t="s">
        <v>1685</v>
      </c>
      <c r="B1048" s="1" t="s">
        <v>80</v>
      </c>
      <c r="C1048" s="1" t="s">
        <v>349</v>
      </c>
      <c r="D1048" s="1" t="s">
        <v>108</v>
      </c>
      <c r="E1048" s="1" t="s">
        <v>22</v>
      </c>
      <c r="F1048" s="1" t="s">
        <v>108</v>
      </c>
      <c r="G1048" s="1">
        <v>10</v>
      </c>
      <c r="H1048" s="1">
        <v>26284</v>
      </c>
      <c r="I1048" s="1">
        <v>0</v>
      </c>
      <c r="J1048" s="1">
        <v>262840</v>
      </c>
      <c r="K1048" s="1">
        <v>53842.21</v>
      </c>
      <c r="L1048" s="1" t="s">
        <v>45</v>
      </c>
      <c r="M1048" s="1" t="str">
        <f>TEXT(Table1[[#This Row],[Order Date]],"mmm")</f>
        <v>Jan</v>
      </c>
      <c r="N1048" s="1">
        <f>YEAR(Table1[[#This Row],[Order Date]])</f>
        <v>2023</v>
      </c>
    </row>
    <row r="1049" spans="1:14" x14ac:dyDescent="0.35">
      <c r="A1049" s="1" t="s">
        <v>1686</v>
      </c>
      <c r="B1049" s="1" t="s">
        <v>1361</v>
      </c>
      <c r="C1049" s="1" t="s">
        <v>158</v>
      </c>
      <c r="D1049" s="1" t="s">
        <v>323</v>
      </c>
      <c r="E1049" s="1" t="s">
        <v>33</v>
      </c>
      <c r="F1049" s="1" t="s">
        <v>323</v>
      </c>
      <c r="G1049" s="1">
        <v>1</v>
      </c>
      <c r="H1049" s="1">
        <v>5031</v>
      </c>
      <c r="I1049" s="1">
        <v>0.1</v>
      </c>
      <c r="J1049" s="1">
        <v>4527.8999999999996</v>
      </c>
      <c r="K1049" s="1">
        <v>623.55999999999995</v>
      </c>
      <c r="L1049" s="1" t="s">
        <v>45</v>
      </c>
      <c r="M1049" s="1" t="str">
        <f>TEXT(Table1[[#This Row],[Order Date]],"mmm")</f>
        <v>Apr</v>
      </c>
      <c r="N1049" s="1">
        <f>YEAR(Table1[[#This Row],[Order Date]])</f>
        <v>2023</v>
      </c>
    </row>
    <row r="1050" spans="1:14" x14ac:dyDescent="0.35">
      <c r="A1050" s="1" t="s">
        <v>1687</v>
      </c>
      <c r="B1050" s="1" t="s">
        <v>1688</v>
      </c>
      <c r="C1050" s="1" t="s">
        <v>20</v>
      </c>
      <c r="D1050" s="1" t="s">
        <v>41</v>
      </c>
      <c r="E1050" s="1" t="s">
        <v>16</v>
      </c>
      <c r="F1050" s="1" t="s">
        <v>41</v>
      </c>
      <c r="G1050" s="1">
        <v>3</v>
      </c>
      <c r="H1050" s="1">
        <v>17054</v>
      </c>
      <c r="I1050" s="1">
        <v>0.05</v>
      </c>
      <c r="J1050" s="1">
        <v>48603.9</v>
      </c>
      <c r="K1050" s="1">
        <v>7934.71</v>
      </c>
      <c r="L1050" s="1" t="s">
        <v>17</v>
      </c>
      <c r="M1050" s="1" t="str">
        <f>TEXT(Table1[[#This Row],[Order Date]],"mmm")</f>
        <v>Jul</v>
      </c>
      <c r="N1050" s="1">
        <f>YEAR(Table1[[#This Row],[Order Date]])</f>
        <v>2024</v>
      </c>
    </row>
    <row r="1051" spans="1:14" x14ac:dyDescent="0.35">
      <c r="A1051" s="1" t="s">
        <v>1689</v>
      </c>
      <c r="B1051" s="1" t="s">
        <v>301</v>
      </c>
      <c r="C1051" s="1" t="s">
        <v>203</v>
      </c>
      <c r="D1051" s="1" t="s">
        <v>78</v>
      </c>
      <c r="E1051" s="1" t="s">
        <v>28</v>
      </c>
      <c r="F1051" s="1" t="s">
        <v>78</v>
      </c>
      <c r="G1051" s="1">
        <v>2</v>
      </c>
      <c r="H1051" s="1">
        <v>4299</v>
      </c>
      <c r="I1051" s="1">
        <v>0.15</v>
      </c>
      <c r="J1051" s="1">
        <v>7308.3</v>
      </c>
      <c r="K1051" s="1">
        <v>1387.16</v>
      </c>
      <c r="L1051" s="1" t="s">
        <v>17</v>
      </c>
      <c r="M1051" s="1" t="str">
        <f>TEXT(Table1[[#This Row],[Order Date]],"mmm")</f>
        <v>Jul</v>
      </c>
      <c r="N1051" s="1">
        <f>YEAR(Table1[[#This Row],[Order Date]])</f>
        <v>2023</v>
      </c>
    </row>
    <row r="1052" spans="1:14" x14ac:dyDescent="0.35">
      <c r="A1052" s="1" t="s">
        <v>1690</v>
      </c>
      <c r="B1052" s="1" t="s">
        <v>601</v>
      </c>
      <c r="C1052" s="1" t="s">
        <v>120</v>
      </c>
      <c r="D1052" s="1" t="s">
        <v>52</v>
      </c>
      <c r="E1052" s="1" t="s">
        <v>28</v>
      </c>
      <c r="F1052" s="1" t="s">
        <v>52</v>
      </c>
      <c r="G1052" s="1">
        <v>12</v>
      </c>
      <c r="H1052" s="1">
        <v>56164</v>
      </c>
      <c r="I1052" s="1">
        <v>0.1</v>
      </c>
      <c r="J1052" s="1">
        <v>606571.19999999995</v>
      </c>
      <c r="K1052" s="1">
        <v>95040.58</v>
      </c>
      <c r="L1052" s="1" t="s">
        <v>70</v>
      </c>
      <c r="M1052" s="1" t="str">
        <f>TEXT(Table1[[#This Row],[Order Date]],"mmm")</f>
        <v>Aug</v>
      </c>
      <c r="N1052" s="1">
        <f>YEAR(Table1[[#This Row],[Order Date]])</f>
        <v>2024</v>
      </c>
    </row>
    <row r="1053" spans="1:14" x14ac:dyDescent="0.35">
      <c r="A1053" s="1" t="s">
        <v>1691</v>
      </c>
      <c r="B1053" s="1" t="s">
        <v>712</v>
      </c>
      <c r="C1053" s="1" t="s">
        <v>640</v>
      </c>
      <c r="D1053" s="1" t="s">
        <v>15</v>
      </c>
      <c r="E1053" s="1" t="s">
        <v>16</v>
      </c>
      <c r="F1053" s="1" t="s">
        <v>15</v>
      </c>
      <c r="G1053" s="1">
        <v>14</v>
      </c>
      <c r="H1053" s="1">
        <v>52270</v>
      </c>
      <c r="I1053" s="1">
        <v>0.15</v>
      </c>
      <c r="J1053" s="1">
        <v>622013</v>
      </c>
      <c r="K1053" s="1">
        <v>166334.97</v>
      </c>
      <c r="L1053" s="1" t="s">
        <v>17</v>
      </c>
      <c r="M1053" s="1" t="str">
        <f>TEXT(Table1[[#This Row],[Order Date]],"mmm")</f>
        <v>Sep</v>
      </c>
      <c r="N1053" s="1">
        <f>YEAR(Table1[[#This Row],[Order Date]])</f>
        <v>2023</v>
      </c>
    </row>
    <row r="1054" spans="1:14" x14ac:dyDescent="0.35">
      <c r="A1054" s="1" t="s">
        <v>1692</v>
      </c>
      <c r="B1054" s="1" t="s">
        <v>1209</v>
      </c>
      <c r="C1054" s="1" t="s">
        <v>158</v>
      </c>
      <c r="D1054" s="1" t="s">
        <v>95</v>
      </c>
      <c r="E1054" s="1" t="s">
        <v>33</v>
      </c>
      <c r="F1054" s="1" t="s">
        <v>95</v>
      </c>
      <c r="G1054" s="1">
        <v>3</v>
      </c>
      <c r="H1054" s="1">
        <v>43711</v>
      </c>
      <c r="I1054" s="1">
        <v>0.05</v>
      </c>
      <c r="J1054" s="1">
        <v>124576.35</v>
      </c>
      <c r="K1054" s="1">
        <v>23025.99</v>
      </c>
      <c r="L1054" s="1" t="s">
        <v>70</v>
      </c>
      <c r="M1054" s="1" t="str">
        <f>TEXT(Table1[[#This Row],[Order Date]],"mmm")</f>
        <v>Jan</v>
      </c>
      <c r="N1054" s="1">
        <f>YEAR(Table1[[#This Row],[Order Date]])</f>
        <v>2023</v>
      </c>
    </row>
    <row r="1055" spans="1:14" x14ac:dyDescent="0.35">
      <c r="A1055" s="1" t="s">
        <v>1693</v>
      </c>
      <c r="B1055" s="1" t="s">
        <v>1638</v>
      </c>
      <c r="C1055" s="1" t="s">
        <v>81</v>
      </c>
      <c r="D1055" s="1" t="s">
        <v>27</v>
      </c>
      <c r="E1055" s="1" t="s">
        <v>28</v>
      </c>
      <c r="F1055" s="1" t="s">
        <v>27</v>
      </c>
      <c r="G1055" s="1">
        <v>14</v>
      </c>
      <c r="H1055" s="1">
        <v>12228</v>
      </c>
      <c r="I1055" s="1">
        <v>0.05</v>
      </c>
      <c r="J1055" s="1">
        <v>162632.4</v>
      </c>
      <c r="K1055" s="1">
        <v>24119.84</v>
      </c>
      <c r="L1055" s="1" t="s">
        <v>45</v>
      </c>
      <c r="M1055" s="1" t="str">
        <f>TEXT(Table1[[#This Row],[Order Date]],"mmm")</f>
        <v>Feb</v>
      </c>
      <c r="N1055" s="1">
        <f>YEAR(Table1[[#This Row],[Order Date]])</f>
        <v>2023</v>
      </c>
    </row>
    <row r="1056" spans="1:14" x14ac:dyDescent="0.35">
      <c r="A1056" s="1" t="s">
        <v>1694</v>
      </c>
      <c r="B1056" s="1" t="s">
        <v>1045</v>
      </c>
      <c r="C1056" s="1" t="s">
        <v>36</v>
      </c>
      <c r="D1056" s="1" t="s">
        <v>293</v>
      </c>
      <c r="E1056" s="1" t="s">
        <v>33</v>
      </c>
      <c r="F1056" s="1" t="s">
        <v>293</v>
      </c>
      <c r="G1056" s="1">
        <v>9</v>
      </c>
      <c r="H1056" s="1">
        <v>22964</v>
      </c>
      <c r="I1056" s="1">
        <v>0.2</v>
      </c>
      <c r="J1056" s="1">
        <v>165340.79999999999</v>
      </c>
      <c r="K1056" s="1">
        <v>31801.41</v>
      </c>
      <c r="L1056" s="1" t="s">
        <v>23</v>
      </c>
      <c r="M1056" s="1" t="str">
        <f>TEXT(Table1[[#This Row],[Order Date]],"mmm")</f>
        <v>Feb</v>
      </c>
      <c r="N1056" s="1">
        <f>YEAR(Table1[[#This Row],[Order Date]])</f>
        <v>2023</v>
      </c>
    </row>
    <row r="1057" spans="1:14" x14ac:dyDescent="0.35">
      <c r="A1057" s="1" t="s">
        <v>1695</v>
      </c>
      <c r="B1057" s="1" t="s">
        <v>1013</v>
      </c>
      <c r="C1057" s="1" t="s">
        <v>98</v>
      </c>
      <c r="D1057" s="1" t="s">
        <v>137</v>
      </c>
      <c r="E1057" s="1" t="s">
        <v>22</v>
      </c>
      <c r="F1057" s="1" t="s">
        <v>137</v>
      </c>
      <c r="G1057" s="1">
        <v>7</v>
      </c>
      <c r="H1057" s="1">
        <v>8262</v>
      </c>
      <c r="I1057" s="1">
        <v>0.2</v>
      </c>
      <c r="J1057" s="1">
        <v>46267.199999999997</v>
      </c>
      <c r="K1057" s="1">
        <v>9366.58</v>
      </c>
      <c r="L1057" s="1" t="s">
        <v>23</v>
      </c>
      <c r="M1057" s="1" t="str">
        <f>TEXT(Table1[[#This Row],[Order Date]],"mmm")</f>
        <v>Sep</v>
      </c>
      <c r="N1057" s="1">
        <f>YEAR(Table1[[#This Row],[Order Date]])</f>
        <v>2023</v>
      </c>
    </row>
    <row r="1058" spans="1:14" x14ac:dyDescent="0.35">
      <c r="A1058" s="1" t="s">
        <v>1696</v>
      </c>
      <c r="B1058" s="1" t="s">
        <v>495</v>
      </c>
      <c r="C1058" s="1" t="s">
        <v>94</v>
      </c>
      <c r="D1058" s="1" t="s">
        <v>95</v>
      </c>
      <c r="E1058" s="1" t="s">
        <v>33</v>
      </c>
      <c r="F1058" s="1" t="s">
        <v>95</v>
      </c>
      <c r="G1058" s="1">
        <v>11</v>
      </c>
      <c r="H1058" s="1">
        <v>12816</v>
      </c>
      <c r="I1058" s="1">
        <v>0.05</v>
      </c>
      <c r="J1058" s="1">
        <v>133927.20000000001</v>
      </c>
      <c r="K1058" s="1">
        <v>32413.599999999999</v>
      </c>
      <c r="L1058" s="1" t="s">
        <v>23</v>
      </c>
      <c r="M1058" s="1" t="str">
        <f>TEXT(Table1[[#This Row],[Order Date]],"mmm")</f>
        <v>Jun</v>
      </c>
      <c r="N1058" s="1">
        <f>YEAR(Table1[[#This Row],[Order Date]])</f>
        <v>2024</v>
      </c>
    </row>
    <row r="1059" spans="1:14" x14ac:dyDescent="0.35">
      <c r="A1059" s="1" t="s">
        <v>1697</v>
      </c>
      <c r="B1059" s="1" t="s">
        <v>1128</v>
      </c>
      <c r="C1059" s="1" t="s">
        <v>175</v>
      </c>
      <c r="D1059" s="1" t="s">
        <v>74</v>
      </c>
      <c r="E1059" s="1" t="s">
        <v>22</v>
      </c>
      <c r="F1059" s="1" t="s">
        <v>74</v>
      </c>
      <c r="G1059" s="1">
        <v>4</v>
      </c>
      <c r="H1059" s="1">
        <v>5131</v>
      </c>
      <c r="I1059" s="1">
        <v>0.1</v>
      </c>
      <c r="J1059" s="1">
        <v>18471.599999999999</v>
      </c>
      <c r="K1059" s="1">
        <v>4325.79</v>
      </c>
      <c r="L1059" s="1" t="s">
        <v>17</v>
      </c>
      <c r="M1059" s="1" t="str">
        <f>TEXT(Table1[[#This Row],[Order Date]],"mmm")</f>
        <v>Sep</v>
      </c>
      <c r="N1059" s="1">
        <f>YEAR(Table1[[#This Row],[Order Date]])</f>
        <v>2024</v>
      </c>
    </row>
    <row r="1060" spans="1:14" x14ac:dyDescent="0.35">
      <c r="A1060" s="1" t="s">
        <v>1698</v>
      </c>
      <c r="B1060" s="1" t="s">
        <v>265</v>
      </c>
      <c r="C1060" s="1" t="s">
        <v>117</v>
      </c>
      <c r="D1060" s="1" t="s">
        <v>15</v>
      </c>
      <c r="E1060" s="1" t="s">
        <v>16</v>
      </c>
      <c r="F1060" s="1" t="s">
        <v>15</v>
      </c>
      <c r="G1060" s="1">
        <v>4</v>
      </c>
      <c r="H1060" s="1">
        <v>16174</v>
      </c>
      <c r="I1060" s="1">
        <v>0.15</v>
      </c>
      <c r="J1060" s="1">
        <v>54991.6</v>
      </c>
      <c r="K1060" s="1">
        <v>5130.1000000000004</v>
      </c>
      <c r="L1060" s="1" t="s">
        <v>23</v>
      </c>
      <c r="M1060" s="1" t="str">
        <f>TEXT(Table1[[#This Row],[Order Date]],"mmm")</f>
        <v>Aug</v>
      </c>
      <c r="N1060" s="1">
        <f>YEAR(Table1[[#This Row],[Order Date]])</f>
        <v>2023</v>
      </c>
    </row>
    <row r="1061" spans="1:14" x14ac:dyDescent="0.35">
      <c r="A1061" s="1" t="s">
        <v>1699</v>
      </c>
      <c r="B1061" s="1" t="s">
        <v>284</v>
      </c>
      <c r="C1061" s="1" t="s">
        <v>73</v>
      </c>
      <c r="D1061" s="1" t="s">
        <v>323</v>
      </c>
      <c r="E1061" s="1" t="s">
        <v>33</v>
      </c>
      <c r="F1061" s="1" t="s">
        <v>323</v>
      </c>
      <c r="G1061" s="1">
        <v>8</v>
      </c>
      <c r="H1061" s="1">
        <v>7175</v>
      </c>
      <c r="I1061" s="1">
        <v>0.05</v>
      </c>
      <c r="J1061" s="1">
        <v>54530</v>
      </c>
      <c r="K1061" s="1">
        <v>14929.66</v>
      </c>
      <c r="L1061" s="1" t="s">
        <v>45</v>
      </c>
      <c r="M1061" s="1" t="str">
        <f>TEXT(Table1[[#This Row],[Order Date]],"mmm")</f>
        <v>Nov</v>
      </c>
      <c r="N1061" s="1">
        <f>YEAR(Table1[[#This Row],[Order Date]])</f>
        <v>2023</v>
      </c>
    </row>
    <row r="1062" spans="1:14" x14ac:dyDescent="0.35">
      <c r="A1062" s="1" t="s">
        <v>1700</v>
      </c>
      <c r="B1062" s="1" t="s">
        <v>615</v>
      </c>
      <c r="C1062" s="1" t="s">
        <v>120</v>
      </c>
      <c r="D1062" s="1" t="s">
        <v>52</v>
      </c>
      <c r="E1062" s="1" t="s">
        <v>28</v>
      </c>
      <c r="F1062" s="1" t="s">
        <v>52</v>
      </c>
      <c r="G1062" s="1">
        <v>14</v>
      </c>
      <c r="H1062" s="1">
        <v>30715</v>
      </c>
      <c r="I1062" s="1">
        <v>0.2</v>
      </c>
      <c r="J1062" s="1">
        <v>344008</v>
      </c>
      <c r="K1062" s="1">
        <v>62990.42</v>
      </c>
      <c r="L1062" s="1" t="s">
        <v>23</v>
      </c>
      <c r="M1062" s="1" t="str">
        <f>TEXT(Table1[[#This Row],[Order Date]],"mmm")</f>
        <v>Jun</v>
      </c>
      <c r="N1062" s="1">
        <f>YEAR(Table1[[#This Row],[Order Date]])</f>
        <v>2024</v>
      </c>
    </row>
    <row r="1063" spans="1:14" x14ac:dyDescent="0.35">
      <c r="A1063" s="1" t="s">
        <v>1701</v>
      </c>
      <c r="B1063" s="1" t="s">
        <v>1356</v>
      </c>
      <c r="C1063" s="1" t="s">
        <v>140</v>
      </c>
      <c r="D1063" s="1" t="s">
        <v>15</v>
      </c>
      <c r="E1063" s="1" t="s">
        <v>16</v>
      </c>
      <c r="F1063" s="1" t="s">
        <v>15</v>
      </c>
      <c r="G1063" s="1">
        <v>12</v>
      </c>
      <c r="H1063" s="1">
        <v>43369</v>
      </c>
      <c r="I1063" s="1">
        <v>0.2</v>
      </c>
      <c r="J1063" s="1">
        <v>416342.4</v>
      </c>
      <c r="K1063" s="1">
        <v>114833.60000000001</v>
      </c>
      <c r="L1063" s="1" t="s">
        <v>17</v>
      </c>
      <c r="M1063" s="1" t="str">
        <f>TEXT(Table1[[#This Row],[Order Date]],"mmm")</f>
        <v>Jun</v>
      </c>
      <c r="N1063" s="1">
        <f>YEAR(Table1[[#This Row],[Order Date]])</f>
        <v>2023</v>
      </c>
    </row>
    <row r="1064" spans="1:14" x14ac:dyDescent="0.35">
      <c r="A1064" s="1" t="s">
        <v>1702</v>
      </c>
      <c r="B1064" s="1" t="s">
        <v>1267</v>
      </c>
      <c r="C1064" s="1" t="s">
        <v>146</v>
      </c>
      <c r="D1064" s="1" t="s">
        <v>141</v>
      </c>
      <c r="E1064" s="1" t="s">
        <v>22</v>
      </c>
      <c r="F1064" s="1" t="s">
        <v>141</v>
      </c>
      <c r="G1064" s="1">
        <v>7</v>
      </c>
      <c r="H1064" s="1">
        <v>31400</v>
      </c>
      <c r="I1064" s="1">
        <v>0.15</v>
      </c>
      <c r="J1064" s="1">
        <v>186830</v>
      </c>
      <c r="K1064" s="1">
        <v>42658.58</v>
      </c>
      <c r="L1064" s="1" t="s">
        <v>70</v>
      </c>
      <c r="M1064" s="1" t="str">
        <f>TEXT(Table1[[#This Row],[Order Date]],"mmm")</f>
        <v>Jan</v>
      </c>
      <c r="N1064" s="1">
        <f>YEAR(Table1[[#This Row],[Order Date]])</f>
        <v>2023</v>
      </c>
    </row>
    <row r="1065" spans="1:14" x14ac:dyDescent="0.35">
      <c r="A1065" s="1" t="s">
        <v>1703</v>
      </c>
      <c r="B1065" s="1" t="s">
        <v>800</v>
      </c>
      <c r="C1065" s="1" t="s">
        <v>104</v>
      </c>
      <c r="D1065" s="1" t="s">
        <v>27</v>
      </c>
      <c r="E1065" s="1" t="s">
        <v>28</v>
      </c>
      <c r="F1065" s="1" t="s">
        <v>27</v>
      </c>
      <c r="G1065" s="1">
        <v>6</v>
      </c>
      <c r="H1065" s="1">
        <v>29964</v>
      </c>
      <c r="I1065" s="1">
        <v>0.05</v>
      </c>
      <c r="J1065" s="1">
        <v>170794.8</v>
      </c>
      <c r="K1065" s="1">
        <v>41501.17</v>
      </c>
      <c r="L1065" s="1" t="s">
        <v>17</v>
      </c>
      <c r="M1065" s="1" t="str">
        <f>TEXT(Table1[[#This Row],[Order Date]],"mmm")</f>
        <v>Oct</v>
      </c>
      <c r="N1065" s="1">
        <f>YEAR(Table1[[#This Row],[Order Date]])</f>
        <v>2023</v>
      </c>
    </row>
    <row r="1066" spans="1:14" x14ac:dyDescent="0.35">
      <c r="A1066" s="1" t="s">
        <v>1704</v>
      </c>
      <c r="B1066" s="1" t="s">
        <v>1705</v>
      </c>
      <c r="C1066" s="1" t="s">
        <v>31</v>
      </c>
      <c r="D1066" s="1" t="s">
        <v>224</v>
      </c>
      <c r="E1066" s="1" t="s">
        <v>33</v>
      </c>
      <c r="F1066" s="1" t="s">
        <v>224</v>
      </c>
      <c r="G1066" s="1">
        <v>3</v>
      </c>
      <c r="H1066" s="1">
        <v>33587</v>
      </c>
      <c r="I1066" s="1">
        <v>0.05</v>
      </c>
      <c r="J1066" s="1">
        <v>95722.95</v>
      </c>
      <c r="K1066" s="1">
        <v>9860.75</v>
      </c>
      <c r="L1066" s="1" t="s">
        <v>70</v>
      </c>
      <c r="M1066" s="1" t="str">
        <f>TEXT(Table1[[#This Row],[Order Date]],"mmm")</f>
        <v>Oct</v>
      </c>
      <c r="N1066" s="1">
        <f>YEAR(Table1[[#This Row],[Order Date]])</f>
        <v>2024</v>
      </c>
    </row>
    <row r="1067" spans="1:14" x14ac:dyDescent="0.35">
      <c r="A1067" s="1" t="s">
        <v>1706</v>
      </c>
      <c r="B1067" s="1" t="s">
        <v>1080</v>
      </c>
      <c r="C1067" s="1" t="s">
        <v>84</v>
      </c>
      <c r="D1067" s="1" t="s">
        <v>21</v>
      </c>
      <c r="E1067" s="1" t="s">
        <v>22</v>
      </c>
      <c r="F1067" s="1" t="s">
        <v>21</v>
      </c>
      <c r="G1067" s="1">
        <v>14</v>
      </c>
      <c r="H1067" s="1">
        <v>30059</v>
      </c>
      <c r="I1067" s="1">
        <v>0.15</v>
      </c>
      <c r="J1067" s="1">
        <v>357702.1</v>
      </c>
      <c r="K1067" s="1">
        <v>100290.98</v>
      </c>
      <c r="L1067" s="1" t="s">
        <v>45</v>
      </c>
      <c r="M1067" s="1" t="str">
        <f>TEXT(Table1[[#This Row],[Order Date]],"mmm")</f>
        <v>Apr</v>
      </c>
      <c r="N1067" s="1">
        <f>YEAR(Table1[[#This Row],[Order Date]])</f>
        <v>2024</v>
      </c>
    </row>
    <row r="1068" spans="1:14" x14ac:dyDescent="0.35">
      <c r="A1068" s="1" t="s">
        <v>1707</v>
      </c>
      <c r="B1068" s="1" t="s">
        <v>681</v>
      </c>
      <c r="C1068" s="1" t="s">
        <v>335</v>
      </c>
      <c r="D1068" s="1" t="s">
        <v>293</v>
      </c>
      <c r="E1068" s="1" t="s">
        <v>33</v>
      </c>
      <c r="F1068" s="1" t="s">
        <v>293</v>
      </c>
      <c r="G1068" s="1">
        <v>15</v>
      </c>
      <c r="H1068" s="1">
        <v>16885</v>
      </c>
      <c r="I1068" s="1">
        <v>0</v>
      </c>
      <c r="J1068" s="1">
        <v>253275</v>
      </c>
      <c r="K1068" s="1">
        <v>36193.25</v>
      </c>
      <c r="L1068" s="1" t="s">
        <v>17</v>
      </c>
      <c r="M1068" s="1" t="str">
        <f>TEXT(Table1[[#This Row],[Order Date]],"mmm")</f>
        <v>Apr</v>
      </c>
      <c r="N1068" s="1">
        <f>YEAR(Table1[[#This Row],[Order Date]])</f>
        <v>2024</v>
      </c>
    </row>
    <row r="1069" spans="1:14" x14ac:dyDescent="0.35">
      <c r="A1069" s="1" t="s">
        <v>1708</v>
      </c>
      <c r="B1069" s="1" t="s">
        <v>499</v>
      </c>
      <c r="C1069" s="1" t="s">
        <v>101</v>
      </c>
      <c r="D1069" s="1" t="s">
        <v>224</v>
      </c>
      <c r="E1069" s="1" t="s">
        <v>33</v>
      </c>
      <c r="F1069" s="1" t="s">
        <v>224</v>
      </c>
      <c r="G1069" s="1">
        <v>8</v>
      </c>
      <c r="H1069" s="1">
        <v>15354</v>
      </c>
      <c r="I1069" s="1">
        <v>0.1</v>
      </c>
      <c r="J1069" s="1">
        <v>110548.8</v>
      </c>
      <c r="K1069" s="1">
        <v>14980.81</v>
      </c>
      <c r="L1069" s="1" t="s">
        <v>17</v>
      </c>
      <c r="M1069" s="1" t="str">
        <f>TEXT(Table1[[#This Row],[Order Date]],"mmm")</f>
        <v>May</v>
      </c>
      <c r="N1069" s="1">
        <f>YEAR(Table1[[#This Row],[Order Date]])</f>
        <v>2024</v>
      </c>
    </row>
    <row r="1070" spans="1:14" x14ac:dyDescent="0.35">
      <c r="A1070" s="1" t="s">
        <v>1709</v>
      </c>
      <c r="B1070" s="1" t="s">
        <v>1502</v>
      </c>
      <c r="C1070" s="1" t="s">
        <v>26</v>
      </c>
      <c r="D1070" s="1" t="s">
        <v>108</v>
      </c>
      <c r="E1070" s="1" t="s">
        <v>22</v>
      </c>
      <c r="F1070" s="1" t="s">
        <v>108</v>
      </c>
      <c r="G1070" s="1">
        <v>12</v>
      </c>
      <c r="H1070" s="1">
        <v>10690</v>
      </c>
      <c r="I1070" s="1">
        <v>0.2</v>
      </c>
      <c r="J1070" s="1">
        <v>102624</v>
      </c>
      <c r="K1070" s="1">
        <v>14054.05</v>
      </c>
      <c r="L1070" s="1" t="s">
        <v>45</v>
      </c>
      <c r="M1070" s="1" t="str">
        <f>TEXT(Table1[[#This Row],[Order Date]],"mmm")</f>
        <v>Jul</v>
      </c>
      <c r="N1070" s="1">
        <f>YEAR(Table1[[#This Row],[Order Date]])</f>
        <v>2023</v>
      </c>
    </row>
    <row r="1071" spans="1:14" x14ac:dyDescent="0.35">
      <c r="A1071" s="1" t="s">
        <v>1710</v>
      </c>
      <c r="B1071" s="1" t="s">
        <v>1624</v>
      </c>
      <c r="C1071" s="1" t="s">
        <v>335</v>
      </c>
      <c r="D1071" s="1" t="s">
        <v>74</v>
      </c>
      <c r="E1071" s="1" t="s">
        <v>22</v>
      </c>
      <c r="F1071" s="1" t="s">
        <v>74</v>
      </c>
      <c r="G1071" s="1">
        <v>3</v>
      </c>
      <c r="H1071" s="1">
        <v>10770</v>
      </c>
      <c r="I1071" s="1">
        <v>0.05</v>
      </c>
      <c r="J1071" s="1">
        <v>30694.5</v>
      </c>
      <c r="K1071" s="1">
        <v>2882.02</v>
      </c>
      <c r="L1071" s="1" t="s">
        <v>17</v>
      </c>
      <c r="M1071" s="1" t="str">
        <f>TEXT(Table1[[#This Row],[Order Date]],"mmm")</f>
        <v>Apr</v>
      </c>
      <c r="N1071" s="1">
        <f>YEAR(Table1[[#This Row],[Order Date]])</f>
        <v>2023</v>
      </c>
    </row>
    <row r="1072" spans="1:14" x14ac:dyDescent="0.35">
      <c r="A1072" s="1" t="s">
        <v>1711</v>
      </c>
      <c r="B1072" s="1" t="s">
        <v>1712</v>
      </c>
      <c r="C1072" s="1" t="s">
        <v>260</v>
      </c>
      <c r="D1072" s="1" t="s">
        <v>52</v>
      </c>
      <c r="E1072" s="1" t="s">
        <v>28</v>
      </c>
      <c r="F1072" s="1" t="s">
        <v>52</v>
      </c>
      <c r="G1072" s="1">
        <v>6</v>
      </c>
      <c r="H1072" s="1">
        <v>25658</v>
      </c>
      <c r="I1072" s="1">
        <v>0</v>
      </c>
      <c r="J1072" s="1">
        <v>153948</v>
      </c>
      <c r="K1072" s="1">
        <v>17770.8</v>
      </c>
      <c r="L1072" s="1" t="s">
        <v>70</v>
      </c>
      <c r="M1072" s="1" t="str">
        <f>TEXT(Table1[[#This Row],[Order Date]],"mmm")</f>
        <v>Jan</v>
      </c>
      <c r="N1072" s="1">
        <f>YEAR(Table1[[#This Row],[Order Date]])</f>
        <v>2024</v>
      </c>
    </row>
    <row r="1073" spans="1:14" x14ac:dyDescent="0.35">
      <c r="A1073" s="1" t="s">
        <v>1713</v>
      </c>
      <c r="B1073" s="1" t="s">
        <v>601</v>
      </c>
      <c r="C1073" s="1" t="s">
        <v>155</v>
      </c>
      <c r="D1073" s="1" t="s">
        <v>224</v>
      </c>
      <c r="E1073" s="1" t="s">
        <v>33</v>
      </c>
      <c r="F1073" s="1" t="s">
        <v>224</v>
      </c>
      <c r="G1073" s="1">
        <v>9</v>
      </c>
      <c r="H1073" s="1">
        <v>10488</v>
      </c>
      <c r="I1073" s="1">
        <v>0.1</v>
      </c>
      <c r="J1073" s="1">
        <v>84952.8</v>
      </c>
      <c r="K1073" s="1">
        <v>6970.74</v>
      </c>
      <c r="L1073" s="1" t="s">
        <v>45</v>
      </c>
      <c r="M1073" s="1" t="str">
        <f>TEXT(Table1[[#This Row],[Order Date]],"mmm")</f>
        <v>Aug</v>
      </c>
      <c r="N1073" s="1">
        <f>YEAR(Table1[[#This Row],[Order Date]])</f>
        <v>2024</v>
      </c>
    </row>
    <row r="1074" spans="1:14" x14ac:dyDescent="0.35">
      <c r="A1074" s="1" t="s">
        <v>1714</v>
      </c>
      <c r="B1074" s="1" t="s">
        <v>879</v>
      </c>
      <c r="C1074" s="1" t="s">
        <v>170</v>
      </c>
      <c r="D1074" s="1" t="s">
        <v>95</v>
      </c>
      <c r="E1074" s="1" t="s">
        <v>33</v>
      </c>
      <c r="F1074" s="1" t="s">
        <v>95</v>
      </c>
      <c r="G1074" s="1">
        <v>9</v>
      </c>
      <c r="H1074" s="1">
        <v>57326</v>
      </c>
      <c r="I1074" s="1">
        <v>0.15</v>
      </c>
      <c r="J1074" s="1">
        <v>438543.9</v>
      </c>
      <c r="K1074" s="1">
        <v>49882.62</v>
      </c>
      <c r="L1074" s="1" t="s">
        <v>23</v>
      </c>
      <c r="M1074" s="1" t="str">
        <f>TEXT(Table1[[#This Row],[Order Date]],"mmm")</f>
        <v>Jul</v>
      </c>
      <c r="N1074" s="1">
        <f>YEAR(Table1[[#This Row],[Order Date]])</f>
        <v>2023</v>
      </c>
    </row>
    <row r="1075" spans="1:14" x14ac:dyDescent="0.35">
      <c r="A1075" s="1" t="s">
        <v>1715</v>
      </c>
      <c r="B1075" s="1" t="s">
        <v>1716</v>
      </c>
      <c r="C1075" s="1" t="s">
        <v>84</v>
      </c>
      <c r="D1075" s="1" t="s">
        <v>64</v>
      </c>
      <c r="E1075" s="1" t="s">
        <v>33</v>
      </c>
      <c r="F1075" s="1" t="s">
        <v>64</v>
      </c>
      <c r="G1075" s="1">
        <v>6</v>
      </c>
      <c r="H1075" s="1">
        <v>16631</v>
      </c>
      <c r="I1075" s="1">
        <v>0</v>
      </c>
      <c r="J1075" s="1">
        <v>99786</v>
      </c>
      <c r="K1075" s="1">
        <v>15080.26</v>
      </c>
      <c r="L1075" s="1" t="s">
        <v>45</v>
      </c>
      <c r="M1075" s="1" t="str">
        <f>TEXT(Table1[[#This Row],[Order Date]],"mmm")</f>
        <v>Jul</v>
      </c>
      <c r="N1075" s="1">
        <f>YEAR(Table1[[#This Row],[Order Date]])</f>
        <v>2024</v>
      </c>
    </row>
    <row r="1076" spans="1:14" x14ac:dyDescent="0.35">
      <c r="A1076" s="1" t="s">
        <v>1717</v>
      </c>
      <c r="B1076" s="1" t="s">
        <v>1718</v>
      </c>
      <c r="C1076" s="1" t="s">
        <v>200</v>
      </c>
      <c r="D1076" s="1" t="s">
        <v>48</v>
      </c>
      <c r="E1076" s="1" t="s">
        <v>16</v>
      </c>
      <c r="F1076" s="1" t="s">
        <v>48</v>
      </c>
      <c r="G1076" s="1">
        <v>3</v>
      </c>
      <c r="H1076" s="1">
        <v>52321</v>
      </c>
      <c r="I1076" s="1">
        <v>0.15</v>
      </c>
      <c r="J1076" s="1">
        <v>133418.54999999999</v>
      </c>
      <c r="K1076" s="1">
        <v>17055.02</v>
      </c>
      <c r="L1076" s="1" t="s">
        <v>23</v>
      </c>
      <c r="M1076" s="1" t="str">
        <f>TEXT(Table1[[#This Row],[Order Date]],"mmm")</f>
        <v>Nov</v>
      </c>
      <c r="N1076" s="1">
        <f>YEAR(Table1[[#This Row],[Order Date]])</f>
        <v>2024</v>
      </c>
    </row>
    <row r="1077" spans="1:14" x14ac:dyDescent="0.35">
      <c r="A1077" s="1" t="s">
        <v>1719</v>
      </c>
      <c r="B1077" s="1" t="s">
        <v>1720</v>
      </c>
      <c r="C1077" s="1" t="s">
        <v>84</v>
      </c>
      <c r="D1077" s="1" t="s">
        <v>323</v>
      </c>
      <c r="E1077" s="1" t="s">
        <v>33</v>
      </c>
      <c r="F1077" s="1" t="s">
        <v>323</v>
      </c>
      <c r="G1077" s="1">
        <v>4</v>
      </c>
      <c r="H1077" s="1">
        <v>1207</v>
      </c>
      <c r="I1077" s="1">
        <v>0.05</v>
      </c>
      <c r="J1077" s="1">
        <v>4586.6000000000004</v>
      </c>
      <c r="K1077" s="1">
        <v>664.13</v>
      </c>
      <c r="L1077" s="1" t="s">
        <v>70</v>
      </c>
      <c r="M1077" s="1" t="str">
        <f>TEXT(Table1[[#This Row],[Order Date]],"mmm")</f>
        <v>Jan</v>
      </c>
      <c r="N1077" s="1">
        <f>YEAR(Table1[[#This Row],[Order Date]])</f>
        <v>2023</v>
      </c>
    </row>
    <row r="1078" spans="1:14" x14ac:dyDescent="0.35">
      <c r="A1078" s="1" t="s">
        <v>1721</v>
      </c>
      <c r="B1078" s="1" t="s">
        <v>1502</v>
      </c>
      <c r="C1078" s="1" t="s">
        <v>349</v>
      </c>
      <c r="D1078" s="1" t="s">
        <v>21</v>
      </c>
      <c r="E1078" s="1" t="s">
        <v>22</v>
      </c>
      <c r="F1078" s="1" t="s">
        <v>21</v>
      </c>
      <c r="G1078" s="1">
        <v>8</v>
      </c>
      <c r="H1078" s="1">
        <v>15696</v>
      </c>
      <c r="I1078" s="1">
        <v>0.1</v>
      </c>
      <c r="J1078" s="1">
        <v>113011.2</v>
      </c>
      <c r="K1078" s="1">
        <v>14399.15</v>
      </c>
      <c r="L1078" s="1" t="s">
        <v>70</v>
      </c>
      <c r="M1078" s="1" t="str">
        <f>TEXT(Table1[[#This Row],[Order Date]],"mmm")</f>
        <v>Jul</v>
      </c>
      <c r="N1078" s="1">
        <f>YEAR(Table1[[#This Row],[Order Date]])</f>
        <v>2023</v>
      </c>
    </row>
    <row r="1079" spans="1:14" x14ac:dyDescent="0.35">
      <c r="A1079" s="1" t="s">
        <v>1722</v>
      </c>
      <c r="B1079" s="1" t="s">
        <v>1254</v>
      </c>
      <c r="C1079" s="1" t="s">
        <v>175</v>
      </c>
      <c r="D1079" s="1" t="s">
        <v>95</v>
      </c>
      <c r="E1079" s="1" t="s">
        <v>33</v>
      </c>
      <c r="F1079" s="1" t="s">
        <v>95</v>
      </c>
      <c r="G1079" s="1">
        <v>9</v>
      </c>
      <c r="H1079" s="1">
        <v>56474</v>
      </c>
      <c r="I1079" s="1">
        <v>0</v>
      </c>
      <c r="J1079" s="1">
        <v>508266</v>
      </c>
      <c r="K1079" s="1">
        <v>103188.02</v>
      </c>
      <c r="L1079" s="1" t="s">
        <v>45</v>
      </c>
      <c r="M1079" s="1" t="str">
        <f>TEXT(Table1[[#This Row],[Order Date]],"mmm")</f>
        <v>Jul</v>
      </c>
      <c r="N1079" s="1">
        <f>YEAR(Table1[[#This Row],[Order Date]])</f>
        <v>2023</v>
      </c>
    </row>
    <row r="1080" spans="1:14" x14ac:dyDescent="0.35">
      <c r="A1080" s="1" t="s">
        <v>1723</v>
      </c>
      <c r="B1080" s="1" t="s">
        <v>1007</v>
      </c>
      <c r="C1080" s="1" t="s">
        <v>26</v>
      </c>
      <c r="D1080" s="1" t="s">
        <v>44</v>
      </c>
      <c r="E1080" s="1" t="s">
        <v>28</v>
      </c>
      <c r="F1080" s="1" t="s">
        <v>44</v>
      </c>
      <c r="G1080" s="1">
        <v>6</v>
      </c>
      <c r="H1080" s="1">
        <v>34141</v>
      </c>
      <c r="I1080" s="1">
        <v>0.1</v>
      </c>
      <c r="J1080" s="1">
        <v>184361.4</v>
      </c>
      <c r="K1080" s="1">
        <v>53232.71</v>
      </c>
      <c r="L1080" s="1" t="s">
        <v>45</v>
      </c>
      <c r="M1080" s="1" t="str">
        <f>TEXT(Table1[[#This Row],[Order Date]],"mmm")</f>
        <v>Apr</v>
      </c>
      <c r="N1080" s="1">
        <f>YEAR(Table1[[#This Row],[Order Date]])</f>
        <v>2023</v>
      </c>
    </row>
    <row r="1081" spans="1:14" x14ac:dyDescent="0.35">
      <c r="A1081" s="1" t="s">
        <v>1724</v>
      </c>
      <c r="B1081" s="1" t="s">
        <v>871</v>
      </c>
      <c r="C1081" s="1" t="s">
        <v>136</v>
      </c>
      <c r="D1081" s="1" t="s">
        <v>95</v>
      </c>
      <c r="E1081" s="1" t="s">
        <v>33</v>
      </c>
      <c r="F1081" s="1" t="s">
        <v>95</v>
      </c>
      <c r="G1081" s="1">
        <v>13</v>
      </c>
      <c r="H1081" s="1">
        <v>15175</v>
      </c>
      <c r="I1081" s="1">
        <v>0.05</v>
      </c>
      <c r="J1081" s="1">
        <v>187411.25</v>
      </c>
      <c r="K1081" s="1">
        <v>19545.05</v>
      </c>
      <c r="L1081" s="1" t="s">
        <v>70</v>
      </c>
      <c r="M1081" s="1" t="str">
        <f>TEXT(Table1[[#This Row],[Order Date]],"mmm")</f>
        <v>Mar</v>
      </c>
      <c r="N1081" s="1">
        <f>YEAR(Table1[[#This Row],[Order Date]])</f>
        <v>2024</v>
      </c>
    </row>
    <row r="1082" spans="1:14" x14ac:dyDescent="0.35">
      <c r="A1082" s="1" t="s">
        <v>1725</v>
      </c>
      <c r="B1082" s="1" t="s">
        <v>1570</v>
      </c>
      <c r="C1082" s="1" t="s">
        <v>31</v>
      </c>
      <c r="D1082" s="1" t="s">
        <v>91</v>
      </c>
      <c r="E1082" s="1" t="s">
        <v>16</v>
      </c>
      <c r="F1082" s="1" t="s">
        <v>91</v>
      </c>
      <c r="G1082" s="1">
        <v>12</v>
      </c>
      <c r="H1082" s="1">
        <v>15036</v>
      </c>
      <c r="I1082" s="1">
        <v>0.2</v>
      </c>
      <c r="J1082" s="1">
        <v>144345.60000000001</v>
      </c>
      <c r="K1082" s="1">
        <v>13337.71</v>
      </c>
      <c r="L1082" s="1" t="s">
        <v>70</v>
      </c>
      <c r="M1082" s="1" t="str">
        <f>TEXT(Table1[[#This Row],[Order Date]],"mmm")</f>
        <v>Apr</v>
      </c>
      <c r="N1082" s="1">
        <f>YEAR(Table1[[#This Row],[Order Date]])</f>
        <v>2024</v>
      </c>
    </row>
    <row r="1083" spans="1:14" x14ac:dyDescent="0.35">
      <c r="A1083" s="1" t="s">
        <v>1726</v>
      </c>
      <c r="B1083" s="1" t="s">
        <v>1019</v>
      </c>
      <c r="C1083" s="1" t="s">
        <v>203</v>
      </c>
      <c r="D1083" s="1" t="s">
        <v>179</v>
      </c>
      <c r="E1083" s="1" t="s">
        <v>28</v>
      </c>
      <c r="F1083" s="1" t="s">
        <v>179</v>
      </c>
      <c r="G1083" s="1">
        <v>5</v>
      </c>
      <c r="H1083" s="1">
        <v>46333</v>
      </c>
      <c r="I1083" s="1">
        <v>0</v>
      </c>
      <c r="J1083" s="1">
        <v>231665</v>
      </c>
      <c r="K1083" s="1">
        <v>32921.56</v>
      </c>
      <c r="L1083" s="1" t="s">
        <v>70</v>
      </c>
      <c r="M1083" s="1" t="str">
        <f>TEXT(Table1[[#This Row],[Order Date]],"mmm")</f>
        <v>Jun</v>
      </c>
      <c r="N1083" s="1">
        <f>YEAR(Table1[[#This Row],[Order Date]])</f>
        <v>2024</v>
      </c>
    </row>
    <row r="1084" spans="1:14" x14ac:dyDescent="0.35">
      <c r="A1084" s="1" t="s">
        <v>1727</v>
      </c>
      <c r="B1084" s="1" t="s">
        <v>355</v>
      </c>
      <c r="C1084" s="1" t="s">
        <v>81</v>
      </c>
      <c r="D1084" s="1" t="s">
        <v>293</v>
      </c>
      <c r="E1084" s="1" t="s">
        <v>33</v>
      </c>
      <c r="F1084" s="1" t="s">
        <v>293</v>
      </c>
      <c r="G1084" s="1">
        <v>11</v>
      </c>
      <c r="H1084" s="1">
        <v>21924</v>
      </c>
      <c r="I1084" s="1">
        <v>0.1</v>
      </c>
      <c r="J1084" s="1">
        <v>217047.6</v>
      </c>
      <c r="K1084" s="1">
        <v>44109.04</v>
      </c>
      <c r="L1084" s="1" t="s">
        <v>17</v>
      </c>
      <c r="M1084" s="1" t="str">
        <f>TEXT(Table1[[#This Row],[Order Date]],"mmm")</f>
        <v>Dec</v>
      </c>
      <c r="N1084" s="1">
        <f>YEAR(Table1[[#This Row],[Order Date]])</f>
        <v>2023</v>
      </c>
    </row>
    <row r="1085" spans="1:14" x14ac:dyDescent="0.35">
      <c r="A1085" s="1" t="s">
        <v>1728</v>
      </c>
      <c r="B1085" s="1" t="s">
        <v>1729</v>
      </c>
      <c r="C1085" s="1" t="s">
        <v>200</v>
      </c>
      <c r="D1085" s="1" t="s">
        <v>78</v>
      </c>
      <c r="E1085" s="1" t="s">
        <v>28</v>
      </c>
      <c r="F1085" s="1" t="s">
        <v>78</v>
      </c>
      <c r="G1085" s="1">
        <v>11</v>
      </c>
      <c r="H1085" s="1">
        <v>4990</v>
      </c>
      <c r="I1085" s="1">
        <v>0</v>
      </c>
      <c r="J1085" s="1">
        <v>54890</v>
      </c>
      <c r="K1085" s="1">
        <v>7555.17</v>
      </c>
      <c r="L1085" s="1" t="s">
        <v>45</v>
      </c>
      <c r="M1085" s="1" t="str">
        <f>TEXT(Table1[[#This Row],[Order Date]],"mmm")</f>
        <v>Jul</v>
      </c>
      <c r="N1085" s="1">
        <f>YEAR(Table1[[#This Row],[Order Date]])</f>
        <v>2024</v>
      </c>
    </row>
    <row r="1086" spans="1:14" x14ac:dyDescent="0.35">
      <c r="A1086" s="1" t="s">
        <v>1730</v>
      </c>
      <c r="B1086" s="1" t="s">
        <v>946</v>
      </c>
      <c r="C1086" s="1" t="s">
        <v>200</v>
      </c>
      <c r="D1086" s="1" t="s">
        <v>52</v>
      </c>
      <c r="E1086" s="1" t="s">
        <v>28</v>
      </c>
      <c r="F1086" s="1" t="s">
        <v>52</v>
      </c>
      <c r="G1086" s="1">
        <v>10</v>
      </c>
      <c r="H1086" s="1">
        <v>53312</v>
      </c>
      <c r="I1086" s="1">
        <v>0.15</v>
      </c>
      <c r="J1086" s="1">
        <v>453152</v>
      </c>
      <c r="K1086" s="1">
        <v>76308.81</v>
      </c>
      <c r="L1086" s="1" t="s">
        <v>23</v>
      </c>
      <c r="M1086" s="1" t="str">
        <f>TEXT(Table1[[#This Row],[Order Date]],"mmm")</f>
        <v>Jun</v>
      </c>
      <c r="N1086" s="1">
        <f>YEAR(Table1[[#This Row],[Order Date]])</f>
        <v>2024</v>
      </c>
    </row>
    <row r="1087" spans="1:14" x14ac:dyDescent="0.35">
      <c r="A1087" s="1" t="s">
        <v>1731</v>
      </c>
      <c r="B1087" s="1" t="s">
        <v>1732</v>
      </c>
      <c r="C1087" s="1" t="s">
        <v>111</v>
      </c>
      <c r="D1087" s="1" t="s">
        <v>91</v>
      </c>
      <c r="E1087" s="1" t="s">
        <v>16</v>
      </c>
      <c r="F1087" s="1" t="s">
        <v>91</v>
      </c>
      <c r="G1087" s="1">
        <v>7</v>
      </c>
      <c r="H1087" s="1">
        <v>39880</v>
      </c>
      <c r="I1087" s="1">
        <v>0.05</v>
      </c>
      <c r="J1087" s="1">
        <v>265202</v>
      </c>
      <c r="K1087" s="1">
        <v>77782.55</v>
      </c>
      <c r="L1087" s="1" t="s">
        <v>23</v>
      </c>
      <c r="M1087" s="1" t="str">
        <f>TEXT(Table1[[#This Row],[Order Date]],"mmm")</f>
        <v>Mar</v>
      </c>
      <c r="N1087" s="1">
        <f>YEAR(Table1[[#This Row],[Order Date]])</f>
        <v>2023</v>
      </c>
    </row>
    <row r="1088" spans="1:14" x14ac:dyDescent="0.35">
      <c r="A1088" s="1" t="s">
        <v>1733</v>
      </c>
      <c r="B1088" s="1" t="s">
        <v>406</v>
      </c>
      <c r="C1088" s="1" t="s">
        <v>362</v>
      </c>
      <c r="D1088" s="1" t="s">
        <v>78</v>
      </c>
      <c r="E1088" s="1" t="s">
        <v>28</v>
      </c>
      <c r="F1088" s="1" t="s">
        <v>78</v>
      </c>
      <c r="G1088" s="1">
        <v>5</v>
      </c>
      <c r="H1088" s="1">
        <v>41454</v>
      </c>
      <c r="I1088" s="1">
        <v>0.05</v>
      </c>
      <c r="J1088" s="1">
        <v>196906.5</v>
      </c>
      <c r="K1088" s="1">
        <v>29047.25</v>
      </c>
      <c r="L1088" s="1" t="s">
        <v>23</v>
      </c>
      <c r="M1088" s="1" t="str">
        <f>TEXT(Table1[[#This Row],[Order Date]],"mmm")</f>
        <v>Mar</v>
      </c>
      <c r="N1088" s="1">
        <f>YEAR(Table1[[#This Row],[Order Date]])</f>
        <v>2023</v>
      </c>
    </row>
    <row r="1089" spans="1:14" x14ac:dyDescent="0.35">
      <c r="A1089" s="1" t="s">
        <v>1734</v>
      </c>
      <c r="B1089" s="1" t="s">
        <v>1735</v>
      </c>
      <c r="C1089" s="1" t="s">
        <v>14</v>
      </c>
      <c r="D1089" s="1" t="s">
        <v>323</v>
      </c>
      <c r="E1089" s="1" t="s">
        <v>33</v>
      </c>
      <c r="F1089" s="1" t="s">
        <v>323</v>
      </c>
      <c r="G1089" s="1">
        <v>9</v>
      </c>
      <c r="H1089" s="1">
        <v>50524</v>
      </c>
      <c r="I1089" s="1">
        <v>0</v>
      </c>
      <c r="J1089" s="1">
        <v>454716</v>
      </c>
      <c r="K1089" s="1">
        <v>83325.77</v>
      </c>
      <c r="L1089" s="1" t="s">
        <v>45</v>
      </c>
      <c r="M1089" s="1" t="str">
        <f>TEXT(Table1[[#This Row],[Order Date]],"mmm")</f>
        <v>Sep</v>
      </c>
      <c r="N1089" s="1">
        <f>YEAR(Table1[[#This Row],[Order Date]])</f>
        <v>2023</v>
      </c>
    </row>
    <row r="1090" spans="1:14" x14ac:dyDescent="0.35">
      <c r="A1090" s="1" t="s">
        <v>1736</v>
      </c>
      <c r="B1090" s="1" t="s">
        <v>897</v>
      </c>
      <c r="C1090" s="1" t="s">
        <v>26</v>
      </c>
      <c r="D1090" s="1" t="s">
        <v>85</v>
      </c>
      <c r="E1090" s="1" t="s">
        <v>28</v>
      </c>
      <c r="F1090" s="1" t="s">
        <v>85</v>
      </c>
      <c r="G1090" s="1">
        <v>1</v>
      </c>
      <c r="H1090" s="1">
        <v>51852</v>
      </c>
      <c r="I1090" s="1">
        <v>0.2</v>
      </c>
      <c r="J1090" s="1">
        <v>41481.599999999999</v>
      </c>
      <c r="K1090" s="1">
        <v>4707.53</v>
      </c>
      <c r="L1090" s="1" t="s">
        <v>17</v>
      </c>
      <c r="M1090" s="1" t="str">
        <f>TEXT(Table1[[#This Row],[Order Date]],"mmm")</f>
        <v>Dec</v>
      </c>
      <c r="N1090" s="1">
        <f>YEAR(Table1[[#This Row],[Order Date]])</f>
        <v>2023</v>
      </c>
    </row>
    <row r="1091" spans="1:14" x14ac:dyDescent="0.35">
      <c r="A1091" s="1" t="s">
        <v>1737</v>
      </c>
      <c r="B1091" s="1" t="s">
        <v>334</v>
      </c>
      <c r="C1091" s="1" t="s">
        <v>59</v>
      </c>
      <c r="D1091" s="1" t="s">
        <v>27</v>
      </c>
      <c r="E1091" s="1" t="s">
        <v>28</v>
      </c>
      <c r="F1091" s="1" t="s">
        <v>27</v>
      </c>
      <c r="G1091" s="1">
        <v>9</v>
      </c>
      <c r="H1091" s="1">
        <v>7670</v>
      </c>
      <c r="I1091" s="1">
        <v>0.1</v>
      </c>
      <c r="J1091" s="1">
        <v>62127</v>
      </c>
      <c r="K1091" s="1">
        <v>6859.23</v>
      </c>
      <c r="L1091" s="1" t="s">
        <v>45</v>
      </c>
      <c r="M1091" s="1" t="str">
        <f>TEXT(Table1[[#This Row],[Order Date]],"mmm")</f>
        <v>Sep</v>
      </c>
      <c r="N1091" s="1">
        <f>YEAR(Table1[[#This Row],[Order Date]])</f>
        <v>2023</v>
      </c>
    </row>
    <row r="1092" spans="1:14" x14ac:dyDescent="0.35">
      <c r="A1092" s="1" t="s">
        <v>1738</v>
      </c>
      <c r="B1092" s="1" t="s">
        <v>1124</v>
      </c>
      <c r="C1092" s="1" t="s">
        <v>136</v>
      </c>
      <c r="D1092" s="1" t="s">
        <v>85</v>
      </c>
      <c r="E1092" s="1" t="s">
        <v>28</v>
      </c>
      <c r="F1092" s="1" t="s">
        <v>85</v>
      </c>
      <c r="G1092" s="1">
        <v>6</v>
      </c>
      <c r="H1092" s="1">
        <v>23947</v>
      </c>
      <c r="I1092" s="1">
        <v>0.05</v>
      </c>
      <c r="J1092" s="1">
        <v>136497.9</v>
      </c>
      <c r="K1092" s="1">
        <v>19898.25</v>
      </c>
      <c r="L1092" s="1" t="s">
        <v>70</v>
      </c>
      <c r="M1092" s="1" t="str">
        <f>TEXT(Table1[[#This Row],[Order Date]],"mmm")</f>
        <v>Feb</v>
      </c>
      <c r="N1092" s="1">
        <f>YEAR(Table1[[#This Row],[Order Date]])</f>
        <v>2024</v>
      </c>
    </row>
    <row r="1093" spans="1:14" x14ac:dyDescent="0.35">
      <c r="A1093" s="1" t="s">
        <v>1739</v>
      </c>
      <c r="B1093" s="1" t="s">
        <v>554</v>
      </c>
      <c r="C1093" s="1" t="s">
        <v>362</v>
      </c>
      <c r="D1093" s="1" t="s">
        <v>179</v>
      </c>
      <c r="E1093" s="1" t="s">
        <v>28</v>
      </c>
      <c r="F1093" s="1" t="s">
        <v>179</v>
      </c>
      <c r="G1093" s="1">
        <v>8</v>
      </c>
      <c r="H1093" s="1">
        <v>9042</v>
      </c>
      <c r="I1093" s="1">
        <v>0.2</v>
      </c>
      <c r="J1093" s="1">
        <v>57868.800000000003</v>
      </c>
      <c r="K1093" s="1">
        <v>5625.13</v>
      </c>
      <c r="L1093" s="1" t="s">
        <v>23</v>
      </c>
      <c r="M1093" s="1" t="str">
        <f>TEXT(Table1[[#This Row],[Order Date]],"mmm")</f>
        <v>Nov</v>
      </c>
      <c r="N1093" s="1">
        <f>YEAR(Table1[[#This Row],[Order Date]])</f>
        <v>2023</v>
      </c>
    </row>
    <row r="1094" spans="1:14" x14ac:dyDescent="0.35">
      <c r="A1094" s="1" t="s">
        <v>1740</v>
      </c>
      <c r="B1094" s="1" t="s">
        <v>1741</v>
      </c>
      <c r="C1094" s="1" t="s">
        <v>170</v>
      </c>
      <c r="D1094" s="1" t="s">
        <v>91</v>
      </c>
      <c r="E1094" s="1" t="s">
        <v>16</v>
      </c>
      <c r="F1094" s="1" t="s">
        <v>91</v>
      </c>
      <c r="G1094" s="1">
        <v>3</v>
      </c>
      <c r="H1094" s="1">
        <v>44429</v>
      </c>
      <c r="I1094" s="1">
        <v>0.05</v>
      </c>
      <c r="J1094" s="1">
        <v>126622.65</v>
      </c>
      <c r="K1094" s="1">
        <v>19477.27</v>
      </c>
      <c r="L1094" s="1" t="s">
        <v>45</v>
      </c>
      <c r="M1094" s="1" t="str">
        <f>TEXT(Table1[[#This Row],[Order Date]],"mmm")</f>
        <v>Apr</v>
      </c>
      <c r="N1094" s="1">
        <f>YEAR(Table1[[#This Row],[Order Date]])</f>
        <v>2024</v>
      </c>
    </row>
    <row r="1095" spans="1:14" x14ac:dyDescent="0.35">
      <c r="A1095" s="1" t="s">
        <v>1742</v>
      </c>
      <c r="B1095" s="1" t="s">
        <v>1716</v>
      </c>
      <c r="C1095" s="1" t="s">
        <v>26</v>
      </c>
      <c r="D1095" s="1" t="s">
        <v>91</v>
      </c>
      <c r="E1095" s="1" t="s">
        <v>16</v>
      </c>
      <c r="F1095" s="1" t="s">
        <v>91</v>
      </c>
      <c r="G1095" s="1">
        <v>4</v>
      </c>
      <c r="H1095" s="1">
        <v>16483</v>
      </c>
      <c r="I1095" s="1">
        <v>0</v>
      </c>
      <c r="J1095" s="1">
        <v>65932</v>
      </c>
      <c r="K1095" s="1">
        <v>10336.34</v>
      </c>
      <c r="L1095" s="1" t="s">
        <v>70</v>
      </c>
      <c r="M1095" s="1" t="str">
        <f>TEXT(Table1[[#This Row],[Order Date]],"mmm")</f>
        <v>Jul</v>
      </c>
      <c r="N1095" s="1">
        <f>YEAR(Table1[[#This Row],[Order Date]])</f>
        <v>2024</v>
      </c>
    </row>
    <row r="1096" spans="1:14" x14ac:dyDescent="0.35">
      <c r="A1096" s="1" t="s">
        <v>1743</v>
      </c>
      <c r="B1096" s="1" t="s">
        <v>939</v>
      </c>
      <c r="C1096" s="1" t="s">
        <v>362</v>
      </c>
      <c r="D1096" s="1" t="s">
        <v>133</v>
      </c>
      <c r="E1096" s="1" t="s">
        <v>22</v>
      </c>
      <c r="F1096" s="1" t="s">
        <v>133</v>
      </c>
      <c r="G1096" s="1">
        <v>13</v>
      </c>
      <c r="H1096" s="1">
        <v>23976</v>
      </c>
      <c r="I1096" s="1">
        <v>0.1</v>
      </c>
      <c r="J1096" s="1">
        <v>280519.2</v>
      </c>
      <c r="K1096" s="1">
        <v>23025.59</v>
      </c>
      <c r="L1096" s="1" t="s">
        <v>23</v>
      </c>
      <c r="M1096" s="1" t="str">
        <f>TEXT(Table1[[#This Row],[Order Date]],"mmm")</f>
        <v>Apr</v>
      </c>
      <c r="N1096" s="1">
        <f>YEAR(Table1[[#This Row],[Order Date]])</f>
        <v>2024</v>
      </c>
    </row>
    <row r="1097" spans="1:14" x14ac:dyDescent="0.35">
      <c r="A1097" s="1" t="s">
        <v>1744</v>
      </c>
      <c r="B1097" s="1" t="s">
        <v>1732</v>
      </c>
      <c r="C1097" s="1" t="s">
        <v>136</v>
      </c>
      <c r="D1097" s="1" t="s">
        <v>95</v>
      </c>
      <c r="E1097" s="1" t="s">
        <v>33</v>
      </c>
      <c r="F1097" s="1" t="s">
        <v>95</v>
      </c>
      <c r="G1097" s="1">
        <v>2</v>
      </c>
      <c r="H1097" s="1">
        <v>2599</v>
      </c>
      <c r="I1097" s="1">
        <v>0.15</v>
      </c>
      <c r="J1097" s="1">
        <v>4418.3</v>
      </c>
      <c r="K1097" s="1">
        <v>968.2</v>
      </c>
      <c r="L1097" s="1" t="s">
        <v>23</v>
      </c>
      <c r="M1097" s="1" t="str">
        <f>TEXT(Table1[[#This Row],[Order Date]],"mmm")</f>
        <v>Mar</v>
      </c>
      <c r="N1097" s="1">
        <f>YEAR(Table1[[#This Row],[Order Date]])</f>
        <v>2023</v>
      </c>
    </row>
    <row r="1098" spans="1:14" x14ac:dyDescent="0.35">
      <c r="A1098" s="1" t="s">
        <v>1745</v>
      </c>
      <c r="B1098" s="1" t="s">
        <v>166</v>
      </c>
      <c r="C1098" s="1" t="s">
        <v>362</v>
      </c>
      <c r="D1098" s="1" t="s">
        <v>32</v>
      </c>
      <c r="E1098" s="1" t="s">
        <v>33</v>
      </c>
      <c r="F1098" s="1" t="s">
        <v>32</v>
      </c>
      <c r="G1098" s="1">
        <v>14</v>
      </c>
      <c r="H1098" s="1">
        <v>10744</v>
      </c>
      <c r="I1098" s="1">
        <v>0.15</v>
      </c>
      <c r="J1098" s="1">
        <v>127853.6</v>
      </c>
      <c r="K1098" s="1">
        <v>18917.22</v>
      </c>
      <c r="L1098" s="1" t="s">
        <v>45</v>
      </c>
      <c r="M1098" s="1" t="str">
        <f>TEXT(Table1[[#This Row],[Order Date]],"mmm")</f>
        <v>Jan</v>
      </c>
      <c r="N1098" s="1">
        <f>YEAR(Table1[[#This Row],[Order Date]])</f>
        <v>2024</v>
      </c>
    </row>
    <row r="1099" spans="1:14" x14ac:dyDescent="0.35">
      <c r="A1099" s="1" t="s">
        <v>1746</v>
      </c>
      <c r="B1099" s="1" t="s">
        <v>1747</v>
      </c>
      <c r="C1099" s="1" t="s">
        <v>640</v>
      </c>
      <c r="D1099" s="1" t="s">
        <v>74</v>
      </c>
      <c r="E1099" s="1" t="s">
        <v>22</v>
      </c>
      <c r="F1099" s="1" t="s">
        <v>74</v>
      </c>
      <c r="G1099" s="1">
        <v>15</v>
      </c>
      <c r="H1099" s="1">
        <v>10395</v>
      </c>
      <c r="I1099" s="1">
        <v>0</v>
      </c>
      <c r="J1099" s="1">
        <v>155925</v>
      </c>
      <c r="K1099" s="1">
        <v>40537.75</v>
      </c>
      <c r="L1099" s="1" t="s">
        <v>45</v>
      </c>
      <c r="M1099" s="1" t="str">
        <f>TEXT(Table1[[#This Row],[Order Date]],"mmm")</f>
        <v>Mar</v>
      </c>
      <c r="N1099" s="1">
        <f>YEAR(Table1[[#This Row],[Order Date]])</f>
        <v>2023</v>
      </c>
    </row>
    <row r="1100" spans="1:14" x14ac:dyDescent="0.35">
      <c r="A1100" s="1" t="s">
        <v>1748</v>
      </c>
      <c r="B1100" s="1" t="s">
        <v>1184</v>
      </c>
      <c r="C1100" s="1" t="s">
        <v>55</v>
      </c>
      <c r="D1100" s="1" t="s">
        <v>64</v>
      </c>
      <c r="E1100" s="1" t="s">
        <v>33</v>
      </c>
      <c r="F1100" s="1" t="s">
        <v>64</v>
      </c>
      <c r="G1100" s="1">
        <v>13</v>
      </c>
      <c r="H1100" s="1">
        <v>28128</v>
      </c>
      <c r="I1100" s="1">
        <v>0.15</v>
      </c>
      <c r="J1100" s="1">
        <v>310814.40000000002</v>
      </c>
      <c r="K1100" s="1">
        <v>51510.6</v>
      </c>
      <c r="L1100" s="1" t="s">
        <v>23</v>
      </c>
      <c r="M1100" s="1" t="str">
        <f>TEXT(Table1[[#This Row],[Order Date]],"mmm")</f>
        <v>Oct</v>
      </c>
      <c r="N1100" s="1">
        <f>YEAR(Table1[[#This Row],[Order Date]])</f>
        <v>2023</v>
      </c>
    </row>
    <row r="1101" spans="1:14" x14ac:dyDescent="0.35">
      <c r="A1101" s="1" t="s">
        <v>1749</v>
      </c>
      <c r="B1101" s="1" t="s">
        <v>1750</v>
      </c>
      <c r="C1101" s="1" t="s">
        <v>370</v>
      </c>
      <c r="D1101" s="1" t="s">
        <v>85</v>
      </c>
      <c r="E1101" s="1" t="s">
        <v>28</v>
      </c>
      <c r="F1101" s="1" t="s">
        <v>85</v>
      </c>
      <c r="G1101" s="1">
        <v>9</v>
      </c>
      <c r="H1101" s="1">
        <v>24508</v>
      </c>
      <c r="I1101" s="1">
        <v>0.15</v>
      </c>
      <c r="J1101" s="1">
        <v>187486.2</v>
      </c>
      <c r="K1101" s="1">
        <v>51945.08</v>
      </c>
      <c r="L1101" s="1" t="s">
        <v>23</v>
      </c>
      <c r="M1101" s="1" t="str">
        <f>TEXT(Table1[[#This Row],[Order Date]],"mmm")</f>
        <v>Jul</v>
      </c>
      <c r="N1101" s="1">
        <f>YEAR(Table1[[#This Row],[Order Date]])</f>
        <v>2024</v>
      </c>
    </row>
    <row r="1102" spans="1:14" x14ac:dyDescent="0.35">
      <c r="A1102" s="1" t="s">
        <v>1751</v>
      </c>
      <c r="B1102" s="1" t="s">
        <v>812</v>
      </c>
      <c r="C1102" s="1" t="s">
        <v>128</v>
      </c>
      <c r="D1102" s="1" t="s">
        <v>15</v>
      </c>
      <c r="E1102" s="1" t="s">
        <v>16</v>
      </c>
      <c r="F1102" s="1" t="s">
        <v>15</v>
      </c>
      <c r="G1102" s="1">
        <v>8</v>
      </c>
      <c r="H1102" s="1">
        <v>1175</v>
      </c>
      <c r="I1102" s="1">
        <v>0.1</v>
      </c>
      <c r="J1102" s="1">
        <v>8460</v>
      </c>
      <c r="K1102" s="1">
        <v>1594.84</v>
      </c>
      <c r="L1102" s="1" t="s">
        <v>23</v>
      </c>
      <c r="M1102" s="1" t="str">
        <f>TEXT(Table1[[#This Row],[Order Date]],"mmm")</f>
        <v>Dec</v>
      </c>
      <c r="N1102" s="1">
        <f>YEAR(Table1[[#This Row],[Order Date]])</f>
        <v>2023</v>
      </c>
    </row>
    <row r="1103" spans="1:14" x14ac:dyDescent="0.35">
      <c r="A1103" s="1" t="s">
        <v>1752</v>
      </c>
      <c r="B1103" s="1" t="s">
        <v>549</v>
      </c>
      <c r="C1103" s="1" t="s">
        <v>111</v>
      </c>
      <c r="D1103" s="1" t="s">
        <v>37</v>
      </c>
      <c r="E1103" s="1" t="s">
        <v>16</v>
      </c>
      <c r="F1103" s="1" t="s">
        <v>37</v>
      </c>
      <c r="G1103" s="1">
        <v>7</v>
      </c>
      <c r="H1103" s="1">
        <v>32826</v>
      </c>
      <c r="I1103" s="1">
        <v>0.15</v>
      </c>
      <c r="J1103" s="1">
        <v>195314.7</v>
      </c>
      <c r="K1103" s="1">
        <v>43516.93</v>
      </c>
      <c r="L1103" s="1" t="s">
        <v>17</v>
      </c>
      <c r="M1103" s="1" t="str">
        <f>TEXT(Table1[[#This Row],[Order Date]],"mmm")</f>
        <v>Jan</v>
      </c>
      <c r="N1103" s="1">
        <f>YEAR(Table1[[#This Row],[Order Date]])</f>
        <v>2024</v>
      </c>
    </row>
    <row r="1104" spans="1:14" x14ac:dyDescent="0.35">
      <c r="A1104" s="1" t="s">
        <v>1753</v>
      </c>
      <c r="B1104" s="1" t="s">
        <v>1354</v>
      </c>
      <c r="C1104" s="1" t="s">
        <v>67</v>
      </c>
      <c r="D1104" s="1" t="s">
        <v>133</v>
      </c>
      <c r="E1104" s="1" t="s">
        <v>22</v>
      </c>
      <c r="F1104" s="1" t="s">
        <v>133</v>
      </c>
      <c r="G1104" s="1">
        <v>4</v>
      </c>
      <c r="H1104" s="1">
        <v>26022</v>
      </c>
      <c r="I1104" s="1">
        <v>0.05</v>
      </c>
      <c r="J1104" s="1">
        <v>98883.6</v>
      </c>
      <c r="K1104" s="1">
        <v>16787.71</v>
      </c>
      <c r="L1104" s="1" t="s">
        <v>23</v>
      </c>
      <c r="M1104" s="1" t="str">
        <f>TEXT(Table1[[#This Row],[Order Date]],"mmm")</f>
        <v>Aug</v>
      </c>
      <c r="N1104" s="1">
        <f>YEAR(Table1[[#This Row],[Order Date]])</f>
        <v>2024</v>
      </c>
    </row>
    <row r="1105" spans="1:14" x14ac:dyDescent="0.35">
      <c r="A1105" s="1" t="s">
        <v>1754</v>
      </c>
      <c r="B1105" s="1" t="s">
        <v>1755</v>
      </c>
      <c r="C1105" s="1" t="s">
        <v>155</v>
      </c>
      <c r="D1105" s="1" t="s">
        <v>137</v>
      </c>
      <c r="E1105" s="1" t="s">
        <v>22</v>
      </c>
      <c r="F1105" s="1" t="s">
        <v>137</v>
      </c>
      <c r="G1105" s="1">
        <v>3</v>
      </c>
      <c r="H1105" s="1">
        <v>39416</v>
      </c>
      <c r="I1105" s="1">
        <v>0.2</v>
      </c>
      <c r="J1105" s="1">
        <v>94598.399999999994</v>
      </c>
      <c r="K1105" s="1">
        <v>9173.8700000000008</v>
      </c>
      <c r="L1105" s="1" t="s">
        <v>23</v>
      </c>
      <c r="M1105" s="1" t="str">
        <f>TEXT(Table1[[#This Row],[Order Date]],"mmm")</f>
        <v>May</v>
      </c>
      <c r="N1105" s="1">
        <f>YEAR(Table1[[#This Row],[Order Date]])</f>
        <v>2024</v>
      </c>
    </row>
    <row r="1106" spans="1:14" x14ac:dyDescent="0.35">
      <c r="A1106" s="1" t="s">
        <v>1756</v>
      </c>
      <c r="B1106" s="1" t="s">
        <v>408</v>
      </c>
      <c r="C1106" s="1" t="s">
        <v>140</v>
      </c>
      <c r="D1106" s="1" t="s">
        <v>95</v>
      </c>
      <c r="E1106" s="1" t="s">
        <v>33</v>
      </c>
      <c r="F1106" s="1" t="s">
        <v>95</v>
      </c>
      <c r="G1106" s="1">
        <v>6</v>
      </c>
      <c r="H1106" s="1">
        <v>57168</v>
      </c>
      <c r="I1106" s="1">
        <v>0.2</v>
      </c>
      <c r="J1106" s="1">
        <v>274406.40000000002</v>
      </c>
      <c r="K1106" s="1">
        <v>33300.11</v>
      </c>
      <c r="L1106" s="1" t="s">
        <v>23</v>
      </c>
      <c r="M1106" s="1" t="str">
        <f>TEXT(Table1[[#This Row],[Order Date]],"mmm")</f>
        <v>Jul</v>
      </c>
      <c r="N1106" s="1">
        <f>YEAR(Table1[[#This Row],[Order Date]])</f>
        <v>2023</v>
      </c>
    </row>
    <row r="1107" spans="1:14" x14ac:dyDescent="0.35">
      <c r="A1107" s="1" t="s">
        <v>1757</v>
      </c>
      <c r="B1107" s="1" t="s">
        <v>1163</v>
      </c>
      <c r="C1107" s="1" t="s">
        <v>208</v>
      </c>
      <c r="D1107" s="1" t="s">
        <v>27</v>
      </c>
      <c r="E1107" s="1" t="s">
        <v>28</v>
      </c>
      <c r="F1107" s="1" t="s">
        <v>27</v>
      </c>
      <c r="G1107" s="1">
        <v>11</v>
      </c>
      <c r="H1107" s="1">
        <v>44218</v>
      </c>
      <c r="I1107" s="1">
        <v>0.2</v>
      </c>
      <c r="J1107" s="1">
        <v>389118.4</v>
      </c>
      <c r="K1107" s="1">
        <v>89912.98</v>
      </c>
      <c r="L1107" s="1" t="s">
        <v>45</v>
      </c>
      <c r="M1107" s="1" t="str">
        <f>TEXT(Table1[[#This Row],[Order Date]],"mmm")</f>
        <v>Jun</v>
      </c>
      <c r="N1107" s="1">
        <f>YEAR(Table1[[#This Row],[Order Date]])</f>
        <v>2023</v>
      </c>
    </row>
    <row r="1108" spans="1:14" x14ac:dyDescent="0.35">
      <c r="A1108" s="1" t="s">
        <v>1758</v>
      </c>
      <c r="B1108" s="1" t="s">
        <v>472</v>
      </c>
      <c r="C1108" s="1" t="s">
        <v>111</v>
      </c>
      <c r="D1108" s="1" t="s">
        <v>78</v>
      </c>
      <c r="E1108" s="1" t="s">
        <v>28</v>
      </c>
      <c r="F1108" s="1" t="s">
        <v>78</v>
      </c>
      <c r="G1108" s="1">
        <v>12</v>
      </c>
      <c r="H1108" s="1">
        <v>33189</v>
      </c>
      <c r="I1108" s="1">
        <v>0</v>
      </c>
      <c r="J1108" s="1">
        <v>398268</v>
      </c>
      <c r="K1108" s="1">
        <v>75511.64</v>
      </c>
      <c r="L1108" s="1" t="s">
        <v>70</v>
      </c>
      <c r="M1108" s="1" t="str">
        <f>TEXT(Table1[[#This Row],[Order Date]],"mmm")</f>
        <v>Feb</v>
      </c>
      <c r="N1108" s="1">
        <f>YEAR(Table1[[#This Row],[Order Date]])</f>
        <v>2024</v>
      </c>
    </row>
    <row r="1109" spans="1:14" x14ac:dyDescent="0.35">
      <c r="A1109" s="1" t="s">
        <v>1759</v>
      </c>
      <c r="B1109" s="1" t="s">
        <v>1760</v>
      </c>
      <c r="C1109" s="1" t="s">
        <v>155</v>
      </c>
      <c r="D1109" s="1" t="s">
        <v>60</v>
      </c>
      <c r="E1109" s="1" t="s">
        <v>33</v>
      </c>
      <c r="F1109" s="1" t="s">
        <v>60</v>
      </c>
      <c r="G1109" s="1">
        <v>10</v>
      </c>
      <c r="H1109" s="1">
        <v>33857</v>
      </c>
      <c r="I1109" s="1">
        <v>0.15</v>
      </c>
      <c r="J1109" s="1">
        <v>287784.5</v>
      </c>
      <c r="K1109" s="1">
        <v>42205.53</v>
      </c>
      <c r="L1109" s="1" t="s">
        <v>23</v>
      </c>
      <c r="M1109" s="1" t="str">
        <f>TEXT(Table1[[#This Row],[Order Date]],"mmm")</f>
        <v>Aug</v>
      </c>
      <c r="N1109" s="1">
        <f>YEAR(Table1[[#This Row],[Order Date]])</f>
        <v>2024</v>
      </c>
    </row>
    <row r="1110" spans="1:14" x14ac:dyDescent="0.35">
      <c r="A1110" s="1" t="s">
        <v>1761</v>
      </c>
      <c r="B1110" s="1" t="s">
        <v>183</v>
      </c>
      <c r="C1110" s="1" t="s">
        <v>362</v>
      </c>
      <c r="D1110" s="1" t="s">
        <v>151</v>
      </c>
      <c r="E1110" s="1" t="s">
        <v>22</v>
      </c>
      <c r="F1110" s="1" t="s">
        <v>151</v>
      </c>
      <c r="G1110" s="1">
        <v>12</v>
      </c>
      <c r="H1110" s="1">
        <v>24794</v>
      </c>
      <c r="I1110" s="1">
        <v>0.05</v>
      </c>
      <c r="J1110" s="1">
        <v>282651.59999999998</v>
      </c>
      <c r="K1110" s="1">
        <v>26612.58</v>
      </c>
      <c r="L1110" s="1" t="s">
        <v>70</v>
      </c>
      <c r="M1110" s="1" t="str">
        <f>TEXT(Table1[[#This Row],[Order Date]],"mmm")</f>
        <v>Jul</v>
      </c>
      <c r="N1110" s="1">
        <f>YEAR(Table1[[#This Row],[Order Date]])</f>
        <v>2024</v>
      </c>
    </row>
    <row r="1111" spans="1:14" x14ac:dyDescent="0.35">
      <c r="A1111" s="1" t="s">
        <v>1762</v>
      </c>
      <c r="B1111" s="1" t="s">
        <v>567</v>
      </c>
      <c r="C1111" s="1" t="s">
        <v>203</v>
      </c>
      <c r="D1111" s="1" t="s">
        <v>44</v>
      </c>
      <c r="E1111" s="1" t="s">
        <v>28</v>
      </c>
      <c r="F1111" s="1" t="s">
        <v>44</v>
      </c>
      <c r="G1111" s="1">
        <v>1</v>
      </c>
      <c r="H1111" s="1">
        <v>52744</v>
      </c>
      <c r="I1111" s="1">
        <v>0.05</v>
      </c>
      <c r="J1111" s="1">
        <v>50106.8</v>
      </c>
      <c r="K1111" s="1">
        <v>9522.18</v>
      </c>
      <c r="L1111" s="1" t="s">
        <v>70</v>
      </c>
      <c r="M1111" s="1" t="str">
        <f>TEXT(Table1[[#This Row],[Order Date]],"mmm")</f>
        <v>May</v>
      </c>
      <c r="N1111" s="1">
        <f>YEAR(Table1[[#This Row],[Order Date]])</f>
        <v>2023</v>
      </c>
    </row>
    <row r="1112" spans="1:14" x14ac:dyDescent="0.35">
      <c r="A1112" s="1" t="s">
        <v>1763</v>
      </c>
      <c r="B1112" s="1" t="s">
        <v>875</v>
      </c>
      <c r="C1112" s="1" t="s">
        <v>51</v>
      </c>
      <c r="D1112" s="1" t="s">
        <v>114</v>
      </c>
      <c r="E1112" s="1" t="s">
        <v>16</v>
      </c>
      <c r="F1112" s="1" t="s">
        <v>114</v>
      </c>
      <c r="G1112" s="1">
        <v>12</v>
      </c>
      <c r="H1112" s="1">
        <v>51587</v>
      </c>
      <c r="I1112" s="1">
        <v>0.05</v>
      </c>
      <c r="J1112" s="1">
        <v>588091.80000000005</v>
      </c>
      <c r="K1112" s="1">
        <v>48906.96</v>
      </c>
      <c r="L1112" s="1" t="s">
        <v>17</v>
      </c>
      <c r="M1112" s="1" t="str">
        <f>TEXT(Table1[[#This Row],[Order Date]],"mmm")</f>
        <v>Mar</v>
      </c>
      <c r="N1112" s="1">
        <f>YEAR(Table1[[#This Row],[Order Date]])</f>
        <v>2024</v>
      </c>
    </row>
    <row r="1113" spans="1:14" x14ac:dyDescent="0.35">
      <c r="A1113" s="1" t="s">
        <v>1764</v>
      </c>
      <c r="B1113" s="1" t="s">
        <v>1765</v>
      </c>
      <c r="C1113" s="1" t="s">
        <v>26</v>
      </c>
      <c r="D1113" s="1" t="s">
        <v>41</v>
      </c>
      <c r="E1113" s="1" t="s">
        <v>16</v>
      </c>
      <c r="F1113" s="1" t="s">
        <v>41</v>
      </c>
      <c r="G1113" s="1">
        <v>8</v>
      </c>
      <c r="H1113" s="1">
        <v>41891</v>
      </c>
      <c r="I1113" s="1">
        <v>0.05</v>
      </c>
      <c r="J1113" s="1">
        <v>318371.59999999998</v>
      </c>
      <c r="K1113" s="1">
        <v>55155.01</v>
      </c>
      <c r="L1113" s="1" t="s">
        <v>17</v>
      </c>
      <c r="M1113" s="1" t="str">
        <f>TEXT(Table1[[#This Row],[Order Date]],"mmm")</f>
        <v>May</v>
      </c>
      <c r="N1113" s="1">
        <f>YEAR(Table1[[#This Row],[Order Date]])</f>
        <v>2023</v>
      </c>
    </row>
    <row r="1114" spans="1:14" x14ac:dyDescent="0.35">
      <c r="A1114" s="1" t="s">
        <v>1766</v>
      </c>
      <c r="B1114" s="1" t="s">
        <v>1523</v>
      </c>
      <c r="C1114" s="1" t="s">
        <v>31</v>
      </c>
      <c r="D1114" s="1" t="s">
        <v>95</v>
      </c>
      <c r="E1114" s="1" t="s">
        <v>33</v>
      </c>
      <c r="F1114" s="1" t="s">
        <v>95</v>
      </c>
      <c r="G1114" s="1">
        <v>1</v>
      </c>
      <c r="H1114" s="1">
        <v>52551</v>
      </c>
      <c r="I1114" s="1">
        <v>0.15</v>
      </c>
      <c r="J1114" s="1">
        <v>44668.35</v>
      </c>
      <c r="K1114" s="1">
        <v>5203.13</v>
      </c>
      <c r="L1114" s="1" t="s">
        <v>23</v>
      </c>
      <c r="M1114" s="1" t="str">
        <f>TEXT(Table1[[#This Row],[Order Date]],"mmm")</f>
        <v>Jun</v>
      </c>
      <c r="N1114" s="1">
        <f>YEAR(Table1[[#This Row],[Order Date]])</f>
        <v>2023</v>
      </c>
    </row>
    <row r="1115" spans="1:14" x14ac:dyDescent="0.35">
      <c r="A1115" s="1" t="s">
        <v>1767</v>
      </c>
      <c r="B1115" s="1" t="s">
        <v>47</v>
      </c>
      <c r="C1115" s="1" t="s">
        <v>14</v>
      </c>
      <c r="D1115" s="1" t="s">
        <v>74</v>
      </c>
      <c r="E1115" s="1" t="s">
        <v>22</v>
      </c>
      <c r="F1115" s="1" t="s">
        <v>74</v>
      </c>
      <c r="G1115" s="1">
        <v>6</v>
      </c>
      <c r="H1115" s="1">
        <v>47717</v>
      </c>
      <c r="I1115" s="1">
        <v>0.1</v>
      </c>
      <c r="J1115" s="1">
        <v>257671.8</v>
      </c>
      <c r="K1115" s="1">
        <v>59697.27</v>
      </c>
      <c r="L1115" s="1" t="s">
        <v>17</v>
      </c>
      <c r="M1115" s="1" t="str">
        <f>TEXT(Table1[[#This Row],[Order Date]],"mmm")</f>
        <v>May</v>
      </c>
      <c r="N1115" s="1">
        <f>YEAR(Table1[[#This Row],[Order Date]])</f>
        <v>2023</v>
      </c>
    </row>
    <row r="1116" spans="1:14" x14ac:dyDescent="0.35">
      <c r="A1116" s="1" t="s">
        <v>1768</v>
      </c>
      <c r="B1116" s="1" t="s">
        <v>558</v>
      </c>
      <c r="C1116" s="1" t="s">
        <v>362</v>
      </c>
      <c r="D1116" s="1" t="s">
        <v>60</v>
      </c>
      <c r="E1116" s="1" t="s">
        <v>33</v>
      </c>
      <c r="F1116" s="1" t="s">
        <v>60</v>
      </c>
      <c r="G1116" s="1">
        <v>3</v>
      </c>
      <c r="H1116" s="1">
        <v>39094</v>
      </c>
      <c r="I1116" s="1">
        <v>0.15</v>
      </c>
      <c r="J1116" s="1">
        <v>99689.7</v>
      </c>
      <c r="K1116" s="1">
        <v>15205.53</v>
      </c>
      <c r="L1116" s="1" t="s">
        <v>17</v>
      </c>
      <c r="M1116" s="1" t="str">
        <f>TEXT(Table1[[#This Row],[Order Date]],"mmm")</f>
        <v>Nov</v>
      </c>
      <c r="N1116" s="1">
        <f>YEAR(Table1[[#This Row],[Order Date]])</f>
        <v>2023</v>
      </c>
    </row>
    <row r="1117" spans="1:14" x14ac:dyDescent="0.35">
      <c r="A1117" s="1" t="s">
        <v>1769</v>
      </c>
      <c r="B1117" s="1" t="s">
        <v>965</v>
      </c>
      <c r="C1117" s="1" t="s">
        <v>188</v>
      </c>
      <c r="D1117" s="1" t="s">
        <v>224</v>
      </c>
      <c r="E1117" s="1" t="s">
        <v>33</v>
      </c>
      <c r="F1117" s="1" t="s">
        <v>224</v>
      </c>
      <c r="G1117" s="1">
        <v>15</v>
      </c>
      <c r="H1117" s="1">
        <v>5890</v>
      </c>
      <c r="I1117" s="1">
        <v>0.15</v>
      </c>
      <c r="J1117" s="1">
        <v>75097.5</v>
      </c>
      <c r="K1117" s="1">
        <v>11294.35</v>
      </c>
      <c r="L1117" s="1" t="s">
        <v>70</v>
      </c>
      <c r="M1117" s="1" t="str">
        <f>TEXT(Table1[[#This Row],[Order Date]],"mmm")</f>
        <v>Jan</v>
      </c>
      <c r="N1117" s="1">
        <f>YEAR(Table1[[#This Row],[Order Date]])</f>
        <v>2024</v>
      </c>
    </row>
    <row r="1118" spans="1:14" x14ac:dyDescent="0.35">
      <c r="A1118" s="1" t="s">
        <v>1770</v>
      </c>
      <c r="B1118" s="1" t="s">
        <v>215</v>
      </c>
      <c r="C1118" s="1" t="s">
        <v>31</v>
      </c>
      <c r="D1118" s="1" t="s">
        <v>151</v>
      </c>
      <c r="E1118" s="1" t="s">
        <v>22</v>
      </c>
      <c r="F1118" s="1" t="s">
        <v>151</v>
      </c>
      <c r="G1118" s="1">
        <v>6</v>
      </c>
      <c r="H1118" s="1">
        <v>20384</v>
      </c>
      <c r="I1118" s="1">
        <v>0</v>
      </c>
      <c r="J1118" s="1">
        <v>122304</v>
      </c>
      <c r="K1118" s="1">
        <v>33943.019999999997</v>
      </c>
      <c r="L1118" s="1" t="s">
        <v>23</v>
      </c>
      <c r="M1118" s="1" t="str">
        <f>TEXT(Table1[[#This Row],[Order Date]],"mmm")</f>
        <v>Jul</v>
      </c>
      <c r="N1118" s="1">
        <f>YEAR(Table1[[#This Row],[Order Date]])</f>
        <v>2024</v>
      </c>
    </row>
    <row r="1119" spans="1:14" x14ac:dyDescent="0.35">
      <c r="A1119" s="1" t="s">
        <v>1771</v>
      </c>
      <c r="B1119" s="1" t="s">
        <v>1772</v>
      </c>
      <c r="C1119" s="1" t="s">
        <v>117</v>
      </c>
      <c r="D1119" s="1" t="s">
        <v>78</v>
      </c>
      <c r="E1119" s="1" t="s">
        <v>28</v>
      </c>
      <c r="F1119" s="1" t="s">
        <v>78</v>
      </c>
      <c r="G1119" s="1">
        <v>3</v>
      </c>
      <c r="H1119" s="1">
        <v>7881</v>
      </c>
      <c r="I1119" s="1">
        <v>0.2</v>
      </c>
      <c r="J1119" s="1">
        <v>18914.400000000001</v>
      </c>
      <c r="K1119" s="1">
        <v>4169.51</v>
      </c>
      <c r="L1119" s="1" t="s">
        <v>45</v>
      </c>
      <c r="M1119" s="1" t="str">
        <f>TEXT(Table1[[#This Row],[Order Date]],"mmm")</f>
        <v>Jun</v>
      </c>
      <c r="N1119" s="1">
        <f>YEAR(Table1[[#This Row],[Order Date]])</f>
        <v>2024</v>
      </c>
    </row>
    <row r="1120" spans="1:14" x14ac:dyDescent="0.35">
      <c r="A1120" s="1" t="s">
        <v>1773</v>
      </c>
      <c r="B1120" s="1" t="s">
        <v>1774</v>
      </c>
      <c r="C1120" s="1" t="s">
        <v>59</v>
      </c>
      <c r="D1120" s="1" t="s">
        <v>37</v>
      </c>
      <c r="E1120" s="1" t="s">
        <v>16</v>
      </c>
      <c r="F1120" s="1" t="s">
        <v>37</v>
      </c>
      <c r="G1120" s="1">
        <v>2</v>
      </c>
      <c r="H1120" s="1">
        <v>46962</v>
      </c>
      <c r="I1120" s="1">
        <v>0.2</v>
      </c>
      <c r="J1120" s="1">
        <v>75139.199999999997</v>
      </c>
      <c r="K1120" s="1">
        <v>10943.25</v>
      </c>
      <c r="L1120" s="1" t="s">
        <v>70</v>
      </c>
      <c r="M1120" s="1" t="str">
        <f>TEXT(Table1[[#This Row],[Order Date]],"mmm")</f>
        <v>Jun</v>
      </c>
      <c r="N1120" s="1">
        <f>YEAR(Table1[[#This Row],[Order Date]])</f>
        <v>2023</v>
      </c>
    </row>
    <row r="1121" spans="1:14" x14ac:dyDescent="0.35">
      <c r="A1121" s="1" t="s">
        <v>1775</v>
      </c>
      <c r="B1121" s="1" t="s">
        <v>1225</v>
      </c>
      <c r="C1121" s="1" t="s">
        <v>125</v>
      </c>
      <c r="D1121" s="1" t="s">
        <v>141</v>
      </c>
      <c r="E1121" s="1" t="s">
        <v>22</v>
      </c>
      <c r="F1121" s="1" t="s">
        <v>141</v>
      </c>
      <c r="G1121" s="1">
        <v>14</v>
      </c>
      <c r="H1121" s="1">
        <v>7081</v>
      </c>
      <c r="I1121" s="1">
        <v>0.05</v>
      </c>
      <c r="J1121" s="1">
        <v>94177.3</v>
      </c>
      <c r="K1121" s="1">
        <v>24004.53</v>
      </c>
      <c r="L1121" s="1" t="s">
        <v>45</v>
      </c>
      <c r="M1121" s="1" t="str">
        <f>TEXT(Table1[[#This Row],[Order Date]],"mmm")</f>
        <v>May</v>
      </c>
      <c r="N1121" s="1">
        <f>YEAR(Table1[[#This Row],[Order Date]])</f>
        <v>2023</v>
      </c>
    </row>
    <row r="1122" spans="1:14" x14ac:dyDescent="0.35">
      <c r="A1122" s="1" t="s">
        <v>1776</v>
      </c>
      <c r="B1122" s="1" t="s">
        <v>1611</v>
      </c>
      <c r="C1122" s="1" t="s">
        <v>158</v>
      </c>
      <c r="D1122" s="1" t="s">
        <v>32</v>
      </c>
      <c r="E1122" s="1" t="s">
        <v>33</v>
      </c>
      <c r="F1122" s="1" t="s">
        <v>32</v>
      </c>
      <c r="G1122" s="1">
        <v>15</v>
      </c>
      <c r="H1122" s="1">
        <v>43134</v>
      </c>
      <c r="I1122" s="1">
        <v>0.1</v>
      </c>
      <c r="J1122" s="1">
        <v>582309</v>
      </c>
      <c r="K1122" s="1">
        <v>108747.73</v>
      </c>
      <c r="L1122" s="1" t="s">
        <v>45</v>
      </c>
      <c r="M1122" s="1" t="str">
        <f>TEXT(Table1[[#This Row],[Order Date]],"mmm")</f>
        <v>Jan</v>
      </c>
      <c r="N1122" s="1">
        <f>YEAR(Table1[[#This Row],[Order Date]])</f>
        <v>2023</v>
      </c>
    </row>
    <row r="1123" spans="1:14" x14ac:dyDescent="0.35">
      <c r="A1123" s="1" t="s">
        <v>1777</v>
      </c>
      <c r="B1123" s="1" t="s">
        <v>1778</v>
      </c>
      <c r="C1123" s="1" t="s">
        <v>88</v>
      </c>
      <c r="D1123" s="1" t="s">
        <v>141</v>
      </c>
      <c r="E1123" s="1" t="s">
        <v>22</v>
      </c>
      <c r="F1123" s="1" t="s">
        <v>141</v>
      </c>
      <c r="G1123" s="1">
        <v>15</v>
      </c>
      <c r="H1123" s="1">
        <v>16883</v>
      </c>
      <c r="I1123" s="1">
        <v>0.2</v>
      </c>
      <c r="J1123" s="1">
        <v>202596</v>
      </c>
      <c r="K1123" s="1">
        <v>39426.089999999997</v>
      </c>
      <c r="L1123" s="1" t="s">
        <v>17</v>
      </c>
      <c r="M1123" s="1" t="str">
        <f>TEXT(Table1[[#This Row],[Order Date]],"mmm")</f>
        <v>May</v>
      </c>
      <c r="N1123" s="1">
        <f>YEAR(Table1[[#This Row],[Order Date]])</f>
        <v>2023</v>
      </c>
    </row>
    <row r="1124" spans="1:14" x14ac:dyDescent="0.35">
      <c r="A1124" s="1" t="s">
        <v>1779</v>
      </c>
      <c r="B1124" s="1" t="s">
        <v>1616</v>
      </c>
      <c r="C1124" s="1" t="s">
        <v>98</v>
      </c>
      <c r="D1124" s="1" t="s">
        <v>60</v>
      </c>
      <c r="E1124" s="1" t="s">
        <v>33</v>
      </c>
      <c r="F1124" s="1" t="s">
        <v>60</v>
      </c>
      <c r="G1124" s="1">
        <v>14</v>
      </c>
      <c r="H1124" s="1">
        <v>21239</v>
      </c>
      <c r="I1124" s="1">
        <v>0.15</v>
      </c>
      <c r="J1124" s="1">
        <v>252744.1</v>
      </c>
      <c r="K1124" s="1">
        <v>60931.93</v>
      </c>
      <c r="L1124" s="1" t="s">
        <v>17</v>
      </c>
      <c r="M1124" s="1" t="str">
        <f>TEXT(Table1[[#This Row],[Order Date]],"mmm")</f>
        <v>Aug</v>
      </c>
      <c r="N1124" s="1">
        <f>YEAR(Table1[[#This Row],[Order Date]])</f>
        <v>2023</v>
      </c>
    </row>
    <row r="1125" spans="1:14" x14ac:dyDescent="0.35">
      <c r="A1125" s="1" t="s">
        <v>1780</v>
      </c>
      <c r="B1125" s="1" t="s">
        <v>1781</v>
      </c>
      <c r="C1125" s="1" t="s">
        <v>98</v>
      </c>
      <c r="D1125" s="1" t="s">
        <v>85</v>
      </c>
      <c r="E1125" s="1" t="s">
        <v>28</v>
      </c>
      <c r="F1125" s="1" t="s">
        <v>85</v>
      </c>
      <c r="G1125" s="1">
        <v>2</v>
      </c>
      <c r="H1125" s="1">
        <v>34485</v>
      </c>
      <c r="I1125" s="1">
        <v>0.15</v>
      </c>
      <c r="J1125" s="1">
        <v>58624.5</v>
      </c>
      <c r="K1125" s="1">
        <v>11923.28</v>
      </c>
      <c r="L1125" s="1" t="s">
        <v>17</v>
      </c>
      <c r="M1125" s="1" t="str">
        <f>TEXT(Table1[[#This Row],[Order Date]],"mmm")</f>
        <v>Sep</v>
      </c>
      <c r="N1125" s="1">
        <f>YEAR(Table1[[#This Row],[Order Date]])</f>
        <v>2024</v>
      </c>
    </row>
    <row r="1126" spans="1:14" x14ac:dyDescent="0.35">
      <c r="A1126" s="1" t="s">
        <v>1782</v>
      </c>
      <c r="B1126" s="1" t="s">
        <v>491</v>
      </c>
      <c r="C1126" s="1" t="s">
        <v>67</v>
      </c>
      <c r="D1126" s="1" t="s">
        <v>32</v>
      </c>
      <c r="E1126" s="1" t="s">
        <v>33</v>
      </c>
      <c r="F1126" s="1" t="s">
        <v>32</v>
      </c>
      <c r="G1126" s="1">
        <v>15</v>
      </c>
      <c r="H1126" s="1">
        <v>4110</v>
      </c>
      <c r="I1126" s="1">
        <v>0.2</v>
      </c>
      <c r="J1126" s="1">
        <v>49320</v>
      </c>
      <c r="K1126" s="1">
        <v>6627.02</v>
      </c>
      <c r="L1126" s="1" t="s">
        <v>70</v>
      </c>
      <c r="M1126" s="1" t="str">
        <f>TEXT(Table1[[#This Row],[Order Date]],"mmm")</f>
        <v>Aug</v>
      </c>
      <c r="N1126" s="1">
        <f>YEAR(Table1[[#This Row],[Order Date]])</f>
        <v>2024</v>
      </c>
    </row>
    <row r="1127" spans="1:14" x14ac:dyDescent="0.35">
      <c r="A1127" s="1" t="s">
        <v>1783</v>
      </c>
      <c r="B1127" s="1" t="s">
        <v>1500</v>
      </c>
      <c r="C1127" s="1" t="s">
        <v>101</v>
      </c>
      <c r="D1127" s="1" t="s">
        <v>32</v>
      </c>
      <c r="E1127" s="1" t="s">
        <v>33</v>
      </c>
      <c r="F1127" s="1" t="s">
        <v>32</v>
      </c>
      <c r="G1127" s="1">
        <v>10</v>
      </c>
      <c r="H1127" s="1">
        <v>12232</v>
      </c>
      <c r="I1127" s="1">
        <v>0</v>
      </c>
      <c r="J1127" s="1">
        <v>122320</v>
      </c>
      <c r="K1127" s="1">
        <v>29359.78</v>
      </c>
      <c r="L1127" s="1" t="s">
        <v>70</v>
      </c>
      <c r="M1127" s="1" t="str">
        <f>TEXT(Table1[[#This Row],[Order Date]],"mmm")</f>
        <v>Jun</v>
      </c>
      <c r="N1127" s="1">
        <f>YEAR(Table1[[#This Row],[Order Date]])</f>
        <v>2023</v>
      </c>
    </row>
    <row r="1128" spans="1:14" x14ac:dyDescent="0.35">
      <c r="A1128" s="1" t="s">
        <v>1784</v>
      </c>
      <c r="B1128" s="1" t="s">
        <v>1113</v>
      </c>
      <c r="C1128" s="1" t="s">
        <v>84</v>
      </c>
      <c r="D1128" s="1" t="s">
        <v>108</v>
      </c>
      <c r="E1128" s="1" t="s">
        <v>22</v>
      </c>
      <c r="F1128" s="1" t="s">
        <v>108</v>
      </c>
      <c r="G1128" s="1">
        <v>14</v>
      </c>
      <c r="H1128" s="1">
        <v>43744</v>
      </c>
      <c r="I1128" s="1">
        <v>0.05</v>
      </c>
      <c r="J1128" s="1">
        <v>581795.19999999995</v>
      </c>
      <c r="K1128" s="1">
        <v>90273.79</v>
      </c>
      <c r="L1128" s="1" t="s">
        <v>23</v>
      </c>
      <c r="M1128" s="1" t="str">
        <f>TEXT(Table1[[#This Row],[Order Date]],"mmm")</f>
        <v>Feb</v>
      </c>
      <c r="N1128" s="1">
        <f>YEAR(Table1[[#This Row],[Order Date]])</f>
        <v>2023</v>
      </c>
    </row>
    <row r="1129" spans="1:14" x14ac:dyDescent="0.35">
      <c r="A1129" s="1" t="s">
        <v>1785</v>
      </c>
      <c r="B1129" s="1" t="s">
        <v>1198</v>
      </c>
      <c r="C1129" s="1" t="s">
        <v>107</v>
      </c>
      <c r="D1129" s="1" t="s">
        <v>293</v>
      </c>
      <c r="E1129" s="1" t="s">
        <v>33</v>
      </c>
      <c r="F1129" s="1" t="s">
        <v>293</v>
      </c>
      <c r="G1129" s="1">
        <v>7</v>
      </c>
      <c r="H1129" s="1">
        <v>37668</v>
      </c>
      <c r="I1129" s="1">
        <v>0.2</v>
      </c>
      <c r="J1129" s="1">
        <v>210940.79999999999</v>
      </c>
      <c r="K1129" s="1">
        <v>44451.16</v>
      </c>
      <c r="L1129" s="1" t="s">
        <v>17</v>
      </c>
      <c r="M1129" s="1" t="str">
        <f>TEXT(Table1[[#This Row],[Order Date]],"mmm")</f>
        <v>Mar</v>
      </c>
      <c r="N1129" s="1">
        <f>YEAR(Table1[[#This Row],[Order Date]])</f>
        <v>2023</v>
      </c>
    </row>
    <row r="1130" spans="1:14" x14ac:dyDescent="0.35">
      <c r="A1130" s="1" t="s">
        <v>1786</v>
      </c>
      <c r="B1130" s="1" t="s">
        <v>807</v>
      </c>
      <c r="C1130" s="1" t="s">
        <v>111</v>
      </c>
      <c r="D1130" s="1" t="s">
        <v>141</v>
      </c>
      <c r="E1130" s="1" t="s">
        <v>22</v>
      </c>
      <c r="F1130" s="1" t="s">
        <v>141</v>
      </c>
      <c r="G1130" s="1">
        <v>5</v>
      </c>
      <c r="H1130" s="1">
        <v>40650</v>
      </c>
      <c r="I1130" s="1">
        <v>0.15</v>
      </c>
      <c r="J1130" s="1">
        <v>172762.5</v>
      </c>
      <c r="K1130" s="1">
        <v>16832.02</v>
      </c>
      <c r="L1130" s="1" t="s">
        <v>70</v>
      </c>
      <c r="M1130" s="1" t="str">
        <f>TEXT(Table1[[#This Row],[Order Date]],"mmm")</f>
        <v>Sep</v>
      </c>
      <c r="N1130" s="1">
        <f>YEAR(Table1[[#This Row],[Order Date]])</f>
        <v>2024</v>
      </c>
    </row>
    <row r="1131" spans="1:14" x14ac:dyDescent="0.35">
      <c r="A1131" s="1" t="s">
        <v>1787</v>
      </c>
      <c r="B1131" s="1" t="s">
        <v>1788</v>
      </c>
      <c r="C1131" s="1" t="s">
        <v>200</v>
      </c>
      <c r="D1131" s="1" t="s">
        <v>114</v>
      </c>
      <c r="E1131" s="1" t="s">
        <v>16</v>
      </c>
      <c r="F1131" s="1" t="s">
        <v>114</v>
      </c>
      <c r="G1131" s="1">
        <v>7</v>
      </c>
      <c r="H1131" s="1">
        <v>2030</v>
      </c>
      <c r="I1131" s="1">
        <v>0</v>
      </c>
      <c r="J1131" s="1">
        <v>14210</v>
      </c>
      <c r="K1131" s="1">
        <v>1788.24</v>
      </c>
      <c r="L1131" s="1" t="s">
        <v>23</v>
      </c>
      <c r="M1131" s="1" t="str">
        <f>TEXT(Table1[[#This Row],[Order Date]],"mmm")</f>
        <v>Jun</v>
      </c>
      <c r="N1131" s="1">
        <f>YEAR(Table1[[#This Row],[Order Date]])</f>
        <v>2023</v>
      </c>
    </row>
    <row r="1132" spans="1:14" x14ac:dyDescent="0.35">
      <c r="A1132" s="1" t="s">
        <v>1789</v>
      </c>
      <c r="B1132" s="1" t="s">
        <v>1790</v>
      </c>
      <c r="C1132" s="1" t="s">
        <v>227</v>
      </c>
      <c r="D1132" s="1" t="s">
        <v>85</v>
      </c>
      <c r="E1132" s="1" t="s">
        <v>28</v>
      </c>
      <c r="F1132" s="1" t="s">
        <v>85</v>
      </c>
      <c r="G1132" s="1">
        <v>8</v>
      </c>
      <c r="H1132" s="1">
        <v>42647</v>
      </c>
      <c r="I1132" s="1">
        <v>0</v>
      </c>
      <c r="J1132" s="1">
        <v>341176</v>
      </c>
      <c r="K1132" s="1">
        <v>98983.59</v>
      </c>
      <c r="L1132" s="1" t="s">
        <v>17</v>
      </c>
      <c r="M1132" s="1" t="str">
        <f>TEXT(Table1[[#This Row],[Order Date]],"mmm")</f>
        <v>Jan</v>
      </c>
      <c r="N1132" s="1">
        <f>YEAR(Table1[[#This Row],[Order Date]])</f>
        <v>2023</v>
      </c>
    </row>
    <row r="1133" spans="1:14" x14ac:dyDescent="0.35">
      <c r="A1133" s="1" t="s">
        <v>1791</v>
      </c>
      <c r="B1133" s="1" t="s">
        <v>1792</v>
      </c>
      <c r="C1133" s="1" t="s">
        <v>31</v>
      </c>
      <c r="D1133" s="1" t="s">
        <v>60</v>
      </c>
      <c r="E1133" s="1" t="s">
        <v>33</v>
      </c>
      <c r="F1133" s="1" t="s">
        <v>60</v>
      </c>
      <c r="G1133" s="1">
        <v>9</v>
      </c>
      <c r="H1133" s="1">
        <v>22971</v>
      </c>
      <c r="I1133" s="1">
        <v>0.15</v>
      </c>
      <c r="J1133" s="1">
        <v>175728.15</v>
      </c>
      <c r="K1133" s="1">
        <v>38493.58</v>
      </c>
      <c r="L1133" s="1" t="s">
        <v>17</v>
      </c>
      <c r="M1133" s="1" t="str">
        <f>TEXT(Table1[[#This Row],[Order Date]],"mmm")</f>
        <v>Apr</v>
      </c>
      <c r="N1133" s="1">
        <f>YEAR(Table1[[#This Row],[Order Date]])</f>
        <v>2023</v>
      </c>
    </row>
    <row r="1134" spans="1:14" x14ac:dyDescent="0.35">
      <c r="A1134" s="1" t="s">
        <v>1793</v>
      </c>
      <c r="B1134" s="1" t="s">
        <v>1688</v>
      </c>
      <c r="C1134" s="1" t="s">
        <v>40</v>
      </c>
      <c r="D1134" s="1" t="s">
        <v>32</v>
      </c>
      <c r="E1134" s="1" t="s">
        <v>33</v>
      </c>
      <c r="F1134" s="1" t="s">
        <v>32</v>
      </c>
      <c r="G1134" s="1">
        <v>3</v>
      </c>
      <c r="H1134" s="1">
        <v>57810</v>
      </c>
      <c r="I1134" s="1">
        <v>0.2</v>
      </c>
      <c r="J1134" s="1">
        <v>138744</v>
      </c>
      <c r="K1134" s="1">
        <v>26542.62</v>
      </c>
      <c r="L1134" s="1" t="s">
        <v>23</v>
      </c>
      <c r="M1134" s="1" t="str">
        <f>TEXT(Table1[[#This Row],[Order Date]],"mmm")</f>
        <v>Jul</v>
      </c>
      <c r="N1134" s="1">
        <f>YEAR(Table1[[#This Row],[Order Date]])</f>
        <v>2024</v>
      </c>
    </row>
    <row r="1135" spans="1:14" x14ac:dyDescent="0.35">
      <c r="A1135" s="1" t="s">
        <v>1794</v>
      </c>
      <c r="B1135" s="1" t="s">
        <v>169</v>
      </c>
      <c r="C1135" s="1" t="s">
        <v>136</v>
      </c>
      <c r="D1135" s="1" t="s">
        <v>293</v>
      </c>
      <c r="E1135" s="1" t="s">
        <v>33</v>
      </c>
      <c r="F1135" s="1" t="s">
        <v>293</v>
      </c>
      <c r="G1135" s="1">
        <v>12</v>
      </c>
      <c r="H1135" s="1">
        <v>6131</v>
      </c>
      <c r="I1135" s="1">
        <v>0.1</v>
      </c>
      <c r="J1135" s="1">
        <v>66214.8</v>
      </c>
      <c r="K1135" s="1">
        <v>9639.5400000000009</v>
      </c>
      <c r="L1135" s="1" t="s">
        <v>45</v>
      </c>
      <c r="M1135" s="1" t="str">
        <f>TEXT(Table1[[#This Row],[Order Date]],"mmm")</f>
        <v>Nov</v>
      </c>
      <c r="N1135" s="1">
        <f>YEAR(Table1[[#This Row],[Order Date]])</f>
        <v>2024</v>
      </c>
    </row>
    <row r="1136" spans="1:14" x14ac:dyDescent="0.35">
      <c r="A1136" s="1" t="s">
        <v>1795</v>
      </c>
      <c r="B1136" s="1" t="s">
        <v>1796</v>
      </c>
      <c r="C1136" s="1" t="s">
        <v>370</v>
      </c>
      <c r="D1136" s="1" t="s">
        <v>293</v>
      </c>
      <c r="E1136" s="1" t="s">
        <v>33</v>
      </c>
      <c r="F1136" s="1" t="s">
        <v>293</v>
      </c>
      <c r="G1136" s="1">
        <v>15</v>
      </c>
      <c r="H1136" s="1">
        <v>51778</v>
      </c>
      <c r="I1136" s="1">
        <v>0.15</v>
      </c>
      <c r="J1136" s="1">
        <v>660169.5</v>
      </c>
      <c r="K1136" s="1">
        <v>171444.11</v>
      </c>
      <c r="L1136" s="1" t="s">
        <v>70</v>
      </c>
      <c r="M1136" s="1" t="str">
        <f>TEXT(Table1[[#This Row],[Order Date]],"mmm")</f>
        <v>Mar</v>
      </c>
      <c r="N1136" s="1">
        <f>YEAR(Table1[[#This Row],[Order Date]])</f>
        <v>2024</v>
      </c>
    </row>
    <row r="1137" spans="1:14" x14ac:dyDescent="0.35">
      <c r="A1137" s="1" t="s">
        <v>1797</v>
      </c>
      <c r="B1137" s="1" t="s">
        <v>1798</v>
      </c>
      <c r="C1137" s="1" t="s">
        <v>107</v>
      </c>
      <c r="D1137" s="1" t="s">
        <v>60</v>
      </c>
      <c r="E1137" s="1" t="s">
        <v>33</v>
      </c>
      <c r="F1137" s="1" t="s">
        <v>60</v>
      </c>
      <c r="G1137" s="1">
        <v>14</v>
      </c>
      <c r="H1137" s="1">
        <v>44084</v>
      </c>
      <c r="I1137" s="1">
        <v>0.15</v>
      </c>
      <c r="J1137" s="1">
        <v>524599.6</v>
      </c>
      <c r="K1137" s="1">
        <v>60009.64</v>
      </c>
      <c r="L1137" s="1" t="s">
        <v>17</v>
      </c>
      <c r="M1137" s="1" t="str">
        <f>TEXT(Table1[[#This Row],[Order Date]],"mmm")</f>
        <v>Jan</v>
      </c>
      <c r="N1137" s="1">
        <f>YEAR(Table1[[#This Row],[Order Date]])</f>
        <v>2024</v>
      </c>
    </row>
    <row r="1138" spans="1:14" x14ac:dyDescent="0.35">
      <c r="A1138" s="1" t="s">
        <v>1799</v>
      </c>
      <c r="B1138" s="1" t="s">
        <v>728</v>
      </c>
      <c r="C1138" s="1" t="s">
        <v>125</v>
      </c>
      <c r="D1138" s="1" t="s">
        <v>224</v>
      </c>
      <c r="E1138" s="1" t="s">
        <v>33</v>
      </c>
      <c r="F1138" s="1" t="s">
        <v>224</v>
      </c>
      <c r="G1138" s="1">
        <v>15</v>
      </c>
      <c r="H1138" s="1">
        <v>58606</v>
      </c>
      <c r="I1138" s="1">
        <v>0.1</v>
      </c>
      <c r="J1138" s="1">
        <v>791181</v>
      </c>
      <c r="K1138" s="1">
        <v>173501.45</v>
      </c>
      <c r="L1138" s="1" t="s">
        <v>45</v>
      </c>
      <c r="M1138" s="1" t="str">
        <f>TEXT(Table1[[#This Row],[Order Date]],"mmm")</f>
        <v>Oct</v>
      </c>
      <c r="N1138" s="1">
        <f>YEAR(Table1[[#This Row],[Order Date]])</f>
        <v>2023</v>
      </c>
    </row>
    <row r="1139" spans="1:14" x14ac:dyDescent="0.35">
      <c r="A1139" s="1" t="s">
        <v>1800</v>
      </c>
      <c r="B1139" s="1" t="s">
        <v>466</v>
      </c>
      <c r="C1139" s="1" t="s">
        <v>349</v>
      </c>
      <c r="D1139" s="1" t="s">
        <v>179</v>
      </c>
      <c r="E1139" s="1" t="s">
        <v>28</v>
      </c>
      <c r="F1139" s="1" t="s">
        <v>179</v>
      </c>
      <c r="G1139" s="1">
        <v>5</v>
      </c>
      <c r="H1139" s="1">
        <v>787</v>
      </c>
      <c r="I1139" s="1">
        <v>0.05</v>
      </c>
      <c r="J1139" s="1">
        <v>3738.25</v>
      </c>
      <c r="K1139" s="1">
        <v>821.58</v>
      </c>
      <c r="L1139" s="1" t="s">
        <v>17</v>
      </c>
      <c r="M1139" s="1" t="str">
        <f>TEXT(Table1[[#This Row],[Order Date]],"mmm")</f>
        <v>Feb</v>
      </c>
      <c r="N1139" s="1">
        <f>YEAR(Table1[[#This Row],[Order Date]])</f>
        <v>2024</v>
      </c>
    </row>
    <row r="1140" spans="1:14" x14ac:dyDescent="0.35">
      <c r="A1140" s="1" t="s">
        <v>1801</v>
      </c>
      <c r="B1140" s="1" t="s">
        <v>1781</v>
      </c>
      <c r="C1140" s="1" t="s">
        <v>88</v>
      </c>
      <c r="D1140" s="1" t="s">
        <v>95</v>
      </c>
      <c r="E1140" s="1" t="s">
        <v>33</v>
      </c>
      <c r="F1140" s="1" t="s">
        <v>95</v>
      </c>
      <c r="G1140" s="1">
        <v>2</v>
      </c>
      <c r="H1140" s="1">
        <v>8833</v>
      </c>
      <c r="I1140" s="1">
        <v>0.2</v>
      </c>
      <c r="J1140" s="1">
        <v>14132.8</v>
      </c>
      <c r="K1140" s="1">
        <v>3990.86</v>
      </c>
      <c r="L1140" s="1" t="s">
        <v>17</v>
      </c>
      <c r="M1140" s="1" t="str">
        <f>TEXT(Table1[[#This Row],[Order Date]],"mmm")</f>
        <v>Sep</v>
      </c>
      <c r="N1140" s="1">
        <f>YEAR(Table1[[#This Row],[Order Date]])</f>
        <v>2024</v>
      </c>
    </row>
    <row r="1141" spans="1:14" x14ac:dyDescent="0.35">
      <c r="A1141" s="1" t="s">
        <v>1802</v>
      </c>
      <c r="B1141" s="1" t="s">
        <v>1513</v>
      </c>
      <c r="C1141" s="1" t="s">
        <v>146</v>
      </c>
      <c r="D1141" s="1" t="s">
        <v>78</v>
      </c>
      <c r="E1141" s="1" t="s">
        <v>28</v>
      </c>
      <c r="F1141" s="1" t="s">
        <v>78</v>
      </c>
      <c r="G1141" s="1">
        <v>3</v>
      </c>
      <c r="H1141" s="1">
        <v>11796</v>
      </c>
      <c r="I1141" s="1">
        <v>0.05</v>
      </c>
      <c r="J1141" s="1">
        <v>33618.6</v>
      </c>
      <c r="K1141" s="1">
        <v>3870.29</v>
      </c>
      <c r="L1141" s="1" t="s">
        <v>70</v>
      </c>
      <c r="M1141" s="1" t="str">
        <f>TEXT(Table1[[#This Row],[Order Date]],"mmm")</f>
        <v>Jan</v>
      </c>
      <c r="N1141" s="1">
        <f>YEAR(Table1[[#This Row],[Order Date]])</f>
        <v>2023</v>
      </c>
    </row>
    <row r="1142" spans="1:14" x14ac:dyDescent="0.35">
      <c r="A1142" s="1" t="s">
        <v>1803</v>
      </c>
      <c r="B1142" s="1" t="s">
        <v>1804</v>
      </c>
      <c r="C1142" s="1" t="s">
        <v>175</v>
      </c>
      <c r="D1142" s="1" t="s">
        <v>21</v>
      </c>
      <c r="E1142" s="1" t="s">
        <v>22</v>
      </c>
      <c r="F1142" s="1" t="s">
        <v>21</v>
      </c>
      <c r="G1142" s="1">
        <v>7</v>
      </c>
      <c r="H1142" s="1">
        <v>34328</v>
      </c>
      <c r="I1142" s="1">
        <v>0.15</v>
      </c>
      <c r="J1142" s="1">
        <v>204251.6</v>
      </c>
      <c r="K1142" s="1">
        <v>20018.68</v>
      </c>
      <c r="L1142" s="1" t="s">
        <v>70</v>
      </c>
      <c r="M1142" s="1" t="str">
        <f>TEXT(Table1[[#This Row],[Order Date]],"mmm")</f>
        <v>Nov</v>
      </c>
      <c r="N1142" s="1">
        <f>YEAR(Table1[[#This Row],[Order Date]])</f>
        <v>2023</v>
      </c>
    </row>
    <row r="1143" spans="1:14" x14ac:dyDescent="0.35">
      <c r="A1143" s="1" t="s">
        <v>1805</v>
      </c>
      <c r="B1143" s="1" t="s">
        <v>257</v>
      </c>
      <c r="C1143" s="1" t="s">
        <v>146</v>
      </c>
      <c r="D1143" s="1" t="s">
        <v>48</v>
      </c>
      <c r="E1143" s="1" t="s">
        <v>16</v>
      </c>
      <c r="F1143" s="1" t="s">
        <v>48</v>
      </c>
      <c r="G1143" s="1">
        <v>6</v>
      </c>
      <c r="H1143" s="1">
        <v>11964</v>
      </c>
      <c r="I1143" s="1">
        <v>0.2</v>
      </c>
      <c r="J1143" s="1">
        <v>57427.199999999997</v>
      </c>
      <c r="K1143" s="1">
        <v>14778.81</v>
      </c>
      <c r="L1143" s="1" t="s">
        <v>17</v>
      </c>
      <c r="M1143" s="1" t="str">
        <f>TEXT(Table1[[#This Row],[Order Date]],"mmm")</f>
        <v>Aug</v>
      </c>
      <c r="N1143" s="1">
        <f>YEAR(Table1[[#This Row],[Order Date]])</f>
        <v>2024</v>
      </c>
    </row>
    <row r="1144" spans="1:14" x14ac:dyDescent="0.35">
      <c r="A1144" s="1" t="s">
        <v>1806</v>
      </c>
      <c r="B1144" s="1" t="s">
        <v>339</v>
      </c>
      <c r="C1144" s="1" t="s">
        <v>51</v>
      </c>
      <c r="D1144" s="1" t="s">
        <v>151</v>
      </c>
      <c r="E1144" s="1" t="s">
        <v>22</v>
      </c>
      <c r="F1144" s="1" t="s">
        <v>151</v>
      </c>
      <c r="G1144" s="1">
        <v>4</v>
      </c>
      <c r="H1144" s="1">
        <v>20915</v>
      </c>
      <c r="I1144" s="1">
        <v>0</v>
      </c>
      <c r="J1144" s="1">
        <v>83660</v>
      </c>
      <c r="K1144" s="1">
        <v>12579.99</v>
      </c>
      <c r="L1144" s="1" t="s">
        <v>70</v>
      </c>
      <c r="M1144" s="1" t="str">
        <f>TEXT(Table1[[#This Row],[Order Date]],"mmm")</f>
        <v>Jun</v>
      </c>
      <c r="N1144" s="1">
        <f>YEAR(Table1[[#This Row],[Order Date]])</f>
        <v>2024</v>
      </c>
    </row>
    <row r="1145" spans="1:14" x14ac:dyDescent="0.35">
      <c r="A1145" s="1" t="s">
        <v>1807</v>
      </c>
      <c r="B1145" s="1" t="s">
        <v>169</v>
      </c>
      <c r="C1145" s="1" t="s">
        <v>640</v>
      </c>
      <c r="D1145" s="1" t="s">
        <v>78</v>
      </c>
      <c r="E1145" s="1" t="s">
        <v>28</v>
      </c>
      <c r="F1145" s="1" t="s">
        <v>78</v>
      </c>
      <c r="G1145" s="1">
        <v>15</v>
      </c>
      <c r="H1145" s="1">
        <v>31721</v>
      </c>
      <c r="I1145" s="1">
        <v>0.2</v>
      </c>
      <c r="J1145" s="1">
        <v>380652</v>
      </c>
      <c r="K1145" s="1">
        <v>82625.740000000005</v>
      </c>
      <c r="L1145" s="1" t="s">
        <v>23</v>
      </c>
      <c r="M1145" s="1" t="str">
        <f>TEXT(Table1[[#This Row],[Order Date]],"mmm")</f>
        <v>Nov</v>
      </c>
      <c r="N1145" s="1">
        <f>YEAR(Table1[[#This Row],[Order Date]])</f>
        <v>2024</v>
      </c>
    </row>
    <row r="1146" spans="1:14" x14ac:dyDescent="0.35">
      <c r="A1146" s="1" t="s">
        <v>1808</v>
      </c>
      <c r="B1146" s="1" t="s">
        <v>1322</v>
      </c>
      <c r="C1146" s="1" t="s">
        <v>200</v>
      </c>
      <c r="D1146" s="1" t="s">
        <v>78</v>
      </c>
      <c r="E1146" s="1" t="s">
        <v>28</v>
      </c>
      <c r="F1146" s="1" t="s">
        <v>78</v>
      </c>
      <c r="G1146" s="1">
        <v>7</v>
      </c>
      <c r="H1146" s="1">
        <v>3768</v>
      </c>
      <c r="I1146" s="1">
        <v>0.2</v>
      </c>
      <c r="J1146" s="1">
        <v>21100.799999999999</v>
      </c>
      <c r="K1146" s="1">
        <v>5196.87</v>
      </c>
      <c r="L1146" s="1" t="s">
        <v>23</v>
      </c>
      <c r="M1146" s="1" t="str">
        <f>TEXT(Table1[[#This Row],[Order Date]],"mmm")</f>
        <v>Sep</v>
      </c>
      <c r="N1146" s="1">
        <f>YEAR(Table1[[#This Row],[Order Date]])</f>
        <v>2023</v>
      </c>
    </row>
    <row r="1147" spans="1:14" x14ac:dyDescent="0.35">
      <c r="A1147" s="1" t="s">
        <v>1809</v>
      </c>
      <c r="B1147" s="1" t="s">
        <v>833</v>
      </c>
      <c r="C1147" s="1" t="s">
        <v>203</v>
      </c>
      <c r="D1147" s="1" t="s">
        <v>78</v>
      </c>
      <c r="E1147" s="1" t="s">
        <v>28</v>
      </c>
      <c r="F1147" s="1" t="s">
        <v>78</v>
      </c>
      <c r="G1147" s="1">
        <v>8</v>
      </c>
      <c r="H1147" s="1">
        <v>33065</v>
      </c>
      <c r="I1147" s="1">
        <v>0.15</v>
      </c>
      <c r="J1147" s="1">
        <v>224842</v>
      </c>
      <c r="K1147" s="1">
        <v>30710.400000000001</v>
      </c>
      <c r="L1147" s="1" t="s">
        <v>45</v>
      </c>
      <c r="M1147" s="1" t="str">
        <f>TEXT(Table1[[#This Row],[Order Date]],"mmm")</f>
        <v>Apr</v>
      </c>
      <c r="N1147" s="1">
        <f>YEAR(Table1[[#This Row],[Order Date]])</f>
        <v>2023</v>
      </c>
    </row>
    <row r="1148" spans="1:14" x14ac:dyDescent="0.35">
      <c r="A1148" s="1" t="s">
        <v>1810</v>
      </c>
      <c r="B1148" s="1" t="s">
        <v>1523</v>
      </c>
      <c r="C1148" s="1" t="s">
        <v>507</v>
      </c>
      <c r="D1148" s="1" t="s">
        <v>95</v>
      </c>
      <c r="E1148" s="1" t="s">
        <v>33</v>
      </c>
      <c r="F1148" s="1" t="s">
        <v>95</v>
      </c>
      <c r="G1148" s="1">
        <v>2</v>
      </c>
      <c r="H1148" s="1">
        <v>6014</v>
      </c>
      <c r="I1148" s="1">
        <v>0.2</v>
      </c>
      <c r="J1148" s="1">
        <v>9622.4</v>
      </c>
      <c r="K1148" s="1">
        <v>1932.24</v>
      </c>
      <c r="L1148" s="1" t="s">
        <v>23</v>
      </c>
      <c r="M1148" s="1" t="str">
        <f>TEXT(Table1[[#This Row],[Order Date]],"mmm")</f>
        <v>Jun</v>
      </c>
      <c r="N1148" s="1">
        <f>YEAR(Table1[[#This Row],[Order Date]])</f>
        <v>2023</v>
      </c>
    </row>
    <row r="1149" spans="1:14" x14ac:dyDescent="0.35">
      <c r="A1149" s="1" t="s">
        <v>1811</v>
      </c>
      <c r="B1149" s="1" t="s">
        <v>707</v>
      </c>
      <c r="C1149" s="1" t="s">
        <v>98</v>
      </c>
      <c r="D1149" s="1" t="s">
        <v>21</v>
      </c>
      <c r="E1149" s="1" t="s">
        <v>22</v>
      </c>
      <c r="F1149" s="1" t="s">
        <v>21</v>
      </c>
      <c r="G1149" s="1">
        <v>10</v>
      </c>
      <c r="H1149" s="1">
        <v>29770</v>
      </c>
      <c r="I1149" s="1">
        <v>0.15</v>
      </c>
      <c r="J1149" s="1">
        <v>253045</v>
      </c>
      <c r="K1149" s="1">
        <v>32895.1</v>
      </c>
      <c r="L1149" s="1" t="s">
        <v>45</v>
      </c>
      <c r="M1149" s="1" t="str">
        <f>TEXT(Table1[[#This Row],[Order Date]],"mmm")</f>
        <v>Oct</v>
      </c>
      <c r="N1149" s="1">
        <f>YEAR(Table1[[#This Row],[Order Date]])</f>
        <v>2024</v>
      </c>
    </row>
    <row r="1150" spans="1:14" x14ac:dyDescent="0.35">
      <c r="A1150" s="1" t="s">
        <v>1812</v>
      </c>
      <c r="B1150" s="1" t="s">
        <v>398</v>
      </c>
      <c r="C1150" s="1" t="s">
        <v>63</v>
      </c>
      <c r="D1150" s="1" t="s">
        <v>91</v>
      </c>
      <c r="E1150" s="1" t="s">
        <v>16</v>
      </c>
      <c r="F1150" s="1" t="s">
        <v>91</v>
      </c>
      <c r="G1150" s="1">
        <v>2</v>
      </c>
      <c r="H1150" s="1">
        <v>32022</v>
      </c>
      <c r="I1150" s="1">
        <v>0.1</v>
      </c>
      <c r="J1150" s="1">
        <v>57639.6</v>
      </c>
      <c r="K1150" s="1">
        <v>13712.13</v>
      </c>
      <c r="L1150" s="1" t="s">
        <v>70</v>
      </c>
      <c r="M1150" s="1" t="str">
        <f>TEXT(Table1[[#This Row],[Order Date]],"mmm")</f>
        <v>Sep</v>
      </c>
      <c r="N1150" s="1">
        <f>YEAR(Table1[[#This Row],[Order Date]])</f>
        <v>2023</v>
      </c>
    </row>
    <row r="1151" spans="1:14" x14ac:dyDescent="0.35">
      <c r="A1151" s="1" t="s">
        <v>1813</v>
      </c>
      <c r="B1151" s="1" t="s">
        <v>13</v>
      </c>
      <c r="C1151" s="1" t="s">
        <v>200</v>
      </c>
      <c r="D1151" s="1" t="s">
        <v>41</v>
      </c>
      <c r="E1151" s="1" t="s">
        <v>16</v>
      </c>
      <c r="F1151" s="1" t="s">
        <v>41</v>
      </c>
      <c r="G1151" s="1">
        <v>14</v>
      </c>
      <c r="H1151" s="1">
        <v>21469</v>
      </c>
      <c r="I1151" s="1">
        <v>0.2</v>
      </c>
      <c r="J1151" s="1">
        <v>240452.8</v>
      </c>
      <c r="K1151" s="1">
        <v>39754.74</v>
      </c>
      <c r="L1151" s="1" t="s">
        <v>23</v>
      </c>
      <c r="M1151" s="1" t="str">
        <f>TEXT(Table1[[#This Row],[Order Date]],"mmm")</f>
        <v>Oct</v>
      </c>
      <c r="N1151" s="1">
        <f>YEAR(Table1[[#This Row],[Order Date]])</f>
        <v>2024</v>
      </c>
    </row>
    <row r="1152" spans="1:14" x14ac:dyDescent="0.35">
      <c r="A1152" s="1" t="s">
        <v>1814</v>
      </c>
      <c r="B1152" s="1" t="s">
        <v>325</v>
      </c>
      <c r="C1152" s="1" t="s">
        <v>51</v>
      </c>
      <c r="D1152" s="1" t="s">
        <v>151</v>
      </c>
      <c r="E1152" s="1" t="s">
        <v>22</v>
      </c>
      <c r="F1152" s="1" t="s">
        <v>151</v>
      </c>
      <c r="G1152" s="1">
        <v>7</v>
      </c>
      <c r="H1152" s="1">
        <v>52410</v>
      </c>
      <c r="I1152" s="1">
        <v>0.05</v>
      </c>
      <c r="J1152" s="1">
        <v>348526.5</v>
      </c>
      <c r="K1152" s="1">
        <v>78522.42</v>
      </c>
      <c r="L1152" s="1" t="s">
        <v>17</v>
      </c>
      <c r="M1152" s="1" t="str">
        <f>TEXT(Table1[[#This Row],[Order Date]],"mmm")</f>
        <v>Aug</v>
      </c>
      <c r="N1152" s="1">
        <f>YEAR(Table1[[#This Row],[Order Date]])</f>
        <v>2023</v>
      </c>
    </row>
    <row r="1153" spans="1:14" x14ac:dyDescent="0.35">
      <c r="A1153" s="1" t="s">
        <v>1815</v>
      </c>
      <c r="B1153" s="1" t="s">
        <v>1531</v>
      </c>
      <c r="C1153" s="1" t="s">
        <v>77</v>
      </c>
      <c r="D1153" s="1" t="s">
        <v>167</v>
      </c>
      <c r="E1153" s="1" t="s">
        <v>16</v>
      </c>
      <c r="F1153" s="1" t="s">
        <v>167</v>
      </c>
      <c r="G1153" s="1">
        <v>3</v>
      </c>
      <c r="H1153" s="1">
        <v>50642</v>
      </c>
      <c r="I1153" s="1">
        <v>0.05</v>
      </c>
      <c r="J1153" s="1">
        <v>144329.70000000001</v>
      </c>
      <c r="K1153" s="1">
        <v>16777.12</v>
      </c>
      <c r="L1153" s="1" t="s">
        <v>45</v>
      </c>
      <c r="M1153" s="1" t="str">
        <f>TEXT(Table1[[#This Row],[Order Date]],"mmm")</f>
        <v>Aug</v>
      </c>
      <c r="N1153" s="1">
        <f>YEAR(Table1[[#This Row],[Order Date]])</f>
        <v>2023</v>
      </c>
    </row>
    <row r="1154" spans="1:14" x14ac:dyDescent="0.35">
      <c r="A1154" s="1" t="s">
        <v>1816</v>
      </c>
      <c r="B1154" s="1" t="s">
        <v>1059</v>
      </c>
      <c r="C1154" s="1" t="s">
        <v>77</v>
      </c>
      <c r="D1154" s="1" t="s">
        <v>78</v>
      </c>
      <c r="E1154" s="1" t="s">
        <v>28</v>
      </c>
      <c r="F1154" s="1" t="s">
        <v>78</v>
      </c>
      <c r="G1154" s="1">
        <v>9</v>
      </c>
      <c r="H1154" s="1">
        <v>8388</v>
      </c>
      <c r="I1154" s="1">
        <v>0.1</v>
      </c>
      <c r="J1154" s="1">
        <v>67942.8</v>
      </c>
      <c r="K1154" s="1">
        <v>7329.9</v>
      </c>
      <c r="L1154" s="1" t="s">
        <v>23</v>
      </c>
      <c r="M1154" s="1" t="str">
        <f>TEXT(Table1[[#This Row],[Order Date]],"mmm")</f>
        <v>Nov</v>
      </c>
      <c r="N1154" s="1">
        <f>YEAR(Table1[[#This Row],[Order Date]])</f>
        <v>2024</v>
      </c>
    </row>
    <row r="1155" spans="1:14" x14ac:dyDescent="0.35">
      <c r="A1155" s="1" t="s">
        <v>1817</v>
      </c>
      <c r="B1155" s="1" t="s">
        <v>497</v>
      </c>
      <c r="C1155" s="1" t="s">
        <v>20</v>
      </c>
      <c r="D1155" s="1" t="s">
        <v>74</v>
      </c>
      <c r="E1155" s="1" t="s">
        <v>22</v>
      </c>
      <c r="F1155" s="1" t="s">
        <v>74</v>
      </c>
      <c r="G1155" s="1">
        <v>9</v>
      </c>
      <c r="H1155" s="1">
        <v>7893</v>
      </c>
      <c r="I1155" s="1">
        <v>0.15</v>
      </c>
      <c r="J1155" s="1">
        <v>60381.45</v>
      </c>
      <c r="K1155" s="1">
        <v>5864.65</v>
      </c>
      <c r="L1155" s="1" t="s">
        <v>70</v>
      </c>
      <c r="M1155" s="1" t="str">
        <f>TEXT(Table1[[#This Row],[Order Date]],"mmm")</f>
        <v>Jul</v>
      </c>
      <c r="N1155" s="1">
        <f>YEAR(Table1[[#This Row],[Order Date]])</f>
        <v>2024</v>
      </c>
    </row>
    <row r="1156" spans="1:14" x14ac:dyDescent="0.35">
      <c r="A1156" s="1" t="s">
        <v>1818</v>
      </c>
      <c r="B1156" s="1" t="s">
        <v>185</v>
      </c>
      <c r="C1156" s="1" t="s">
        <v>14</v>
      </c>
      <c r="D1156" s="1" t="s">
        <v>78</v>
      </c>
      <c r="E1156" s="1" t="s">
        <v>28</v>
      </c>
      <c r="F1156" s="1" t="s">
        <v>78</v>
      </c>
      <c r="G1156" s="1">
        <v>15</v>
      </c>
      <c r="H1156" s="1">
        <v>46305</v>
      </c>
      <c r="I1156" s="1">
        <v>0.1</v>
      </c>
      <c r="J1156" s="1">
        <v>625117.5</v>
      </c>
      <c r="K1156" s="1">
        <v>113363.81</v>
      </c>
      <c r="L1156" s="1" t="s">
        <v>45</v>
      </c>
      <c r="M1156" s="1" t="str">
        <f>TEXT(Table1[[#This Row],[Order Date]],"mmm")</f>
        <v>Jun</v>
      </c>
      <c r="N1156" s="1">
        <f>YEAR(Table1[[#This Row],[Order Date]])</f>
        <v>2023</v>
      </c>
    </row>
    <row r="1157" spans="1:14" x14ac:dyDescent="0.35">
      <c r="A1157" s="1" t="s">
        <v>1819</v>
      </c>
      <c r="B1157" s="1" t="s">
        <v>1212</v>
      </c>
      <c r="C1157" s="1" t="s">
        <v>36</v>
      </c>
      <c r="D1157" s="1" t="s">
        <v>137</v>
      </c>
      <c r="E1157" s="1" t="s">
        <v>22</v>
      </c>
      <c r="F1157" s="1" t="s">
        <v>137</v>
      </c>
      <c r="G1157" s="1">
        <v>12</v>
      </c>
      <c r="H1157" s="1">
        <v>17374</v>
      </c>
      <c r="I1157" s="1">
        <v>0.2</v>
      </c>
      <c r="J1157" s="1">
        <v>166790.39999999999</v>
      </c>
      <c r="K1157" s="1">
        <v>18953.439999999999</v>
      </c>
      <c r="L1157" s="1" t="s">
        <v>17</v>
      </c>
      <c r="M1157" s="1" t="str">
        <f>TEXT(Table1[[#This Row],[Order Date]],"mmm")</f>
        <v>Dec</v>
      </c>
      <c r="N1157" s="1">
        <f>YEAR(Table1[[#This Row],[Order Date]])</f>
        <v>2023</v>
      </c>
    </row>
    <row r="1158" spans="1:14" x14ac:dyDescent="0.35">
      <c r="A1158" s="1" t="s">
        <v>1820</v>
      </c>
      <c r="B1158" s="1" t="s">
        <v>921</v>
      </c>
      <c r="C1158" s="1" t="s">
        <v>94</v>
      </c>
      <c r="D1158" s="1" t="s">
        <v>32</v>
      </c>
      <c r="E1158" s="1" t="s">
        <v>33</v>
      </c>
      <c r="F1158" s="1" t="s">
        <v>32</v>
      </c>
      <c r="G1158" s="1">
        <v>9</v>
      </c>
      <c r="H1158" s="1">
        <v>49800</v>
      </c>
      <c r="I1158" s="1">
        <v>0.1</v>
      </c>
      <c r="J1158" s="1">
        <v>403380</v>
      </c>
      <c r="K1158" s="1">
        <v>98231.13</v>
      </c>
      <c r="L1158" s="1" t="s">
        <v>45</v>
      </c>
      <c r="M1158" s="1" t="str">
        <f>TEXT(Table1[[#This Row],[Order Date]],"mmm")</f>
        <v>Jul</v>
      </c>
      <c r="N1158" s="1">
        <f>YEAR(Table1[[#This Row],[Order Date]])</f>
        <v>2023</v>
      </c>
    </row>
    <row r="1159" spans="1:14" x14ac:dyDescent="0.35">
      <c r="A1159" s="1" t="s">
        <v>1821</v>
      </c>
      <c r="B1159" s="1" t="s">
        <v>1310</v>
      </c>
      <c r="C1159" s="1" t="s">
        <v>362</v>
      </c>
      <c r="D1159" s="1" t="s">
        <v>293</v>
      </c>
      <c r="E1159" s="1" t="s">
        <v>33</v>
      </c>
      <c r="F1159" s="1" t="s">
        <v>293</v>
      </c>
      <c r="G1159" s="1">
        <v>14</v>
      </c>
      <c r="H1159" s="1">
        <v>8098</v>
      </c>
      <c r="I1159" s="1">
        <v>0.05</v>
      </c>
      <c r="J1159" s="1">
        <v>107703.4</v>
      </c>
      <c r="K1159" s="1">
        <v>25431.53</v>
      </c>
      <c r="L1159" s="1" t="s">
        <v>45</v>
      </c>
      <c r="M1159" s="1" t="str">
        <f>TEXT(Table1[[#This Row],[Order Date]],"mmm")</f>
        <v>Jan</v>
      </c>
      <c r="N1159" s="1">
        <f>YEAR(Table1[[#This Row],[Order Date]])</f>
        <v>2024</v>
      </c>
    </row>
    <row r="1160" spans="1:14" x14ac:dyDescent="0.35">
      <c r="A1160" s="1" t="s">
        <v>1822</v>
      </c>
      <c r="B1160" s="1" t="s">
        <v>1823</v>
      </c>
      <c r="C1160" s="1" t="s">
        <v>117</v>
      </c>
      <c r="D1160" s="1" t="s">
        <v>323</v>
      </c>
      <c r="E1160" s="1" t="s">
        <v>33</v>
      </c>
      <c r="F1160" s="1" t="s">
        <v>323</v>
      </c>
      <c r="G1160" s="1">
        <v>3</v>
      </c>
      <c r="H1160" s="1">
        <v>9836</v>
      </c>
      <c r="I1160" s="1">
        <v>0.15</v>
      </c>
      <c r="J1160" s="1">
        <v>25081.8</v>
      </c>
      <c r="K1160" s="1">
        <v>4822.09</v>
      </c>
      <c r="L1160" s="1" t="s">
        <v>17</v>
      </c>
      <c r="M1160" s="1" t="str">
        <f>TEXT(Table1[[#This Row],[Order Date]],"mmm")</f>
        <v>Feb</v>
      </c>
      <c r="N1160" s="1">
        <f>YEAR(Table1[[#This Row],[Order Date]])</f>
        <v>2023</v>
      </c>
    </row>
    <row r="1161" spans="1:14" x14ac:dyDescent="0.35">
      <c r="A1161" s="1" t="s">
        <v>1824</v>
      </c>
      <c r="B1161" s="1" t="s">
        <v>1348</v>
      </c>
      <c r="C1161" s="1" t="s">
        <v>208</v>
      </c>
      <c r="D1161" s="1" t="s">
        <v>21</v>
      </c>
      <c r="E1161" s="1" t="s">
        <v>22</v>
      </c>
      <c r="F1161" s="1" t="s">
        <v>21</v>
      </c>
      <c r="G1161" s="1">
        <v>6</v>
      </c>
      <c r="H1161" s="1">
        <v>1097</v>
      </c>
      <c r="I1161" s="1">
        <v>0.2</v>
      </c>
      <c r="J1161" s="1">
        <v>5265.6</v>
      </c>
      <c r="K1161" s="1">
        <v>1554</v>
      </c>
      <c r="L1161" s="1" t="s">
        <v>17</v>
      </c>
      <c r="M1161" s="1" t="str">
        <f>TEXT(Table1[[#This Row],[Order Date]],"mmm")</f>
        <v>Dec</v>
      </c>
      <c r="N1161" s="1">
        <f>YEAR(Table1[[#This Row],[Order Date]])</f>
        <v>2023</v>
      </c>
    </row>
    <row r="1162" spans="1:14" x14ac:dyDescent="0.35">
      <c r="A1162" s="1" t="s">
        <v>1825</v>
      </c>
      <c r="B1162" s="1" t="s">
        <v>93</v>
      </c>
      <c r="C1162" s="1" t="s">
        <v>128</v>
      </c>
      <c r="D1162" s="1" t="s">
        <v>108</v>
      </c>
      <c r="E1162" s="1" t="s">
        <v>22</v>
      </c>
      <c r="F1162" s="1" t="s">
        <v>108</v>
      </c>
      <c r="G1162" s="1">
        <v>13</v>
      </c>
      <c r="H1162" s="1">
        <v>10288</v>
      </c>
      <c r="I1162" s="1">
        <v>0.05</v>
      </c>
      <c r="J1162" s="1">
        <v>127056.8</v>
      </c>
      <c r="K1162" s="1">
        <v>22326.2</v>
      </c>
      <c r="L1162" s="1" t="s">
        <v>70</v>
      </c>
      <c r="M1162" s="1" t="str">
        <f>TEXT(Table1[[#This Row],[Order Date]],"mmm")</f>
        <v>Mar</v>
      </c>
      <c r="N1162" s="1">
        <f>YEAR(Table1[[#This Row],[Order Date]])</f>
        <v>2024</v>
      </c>
    </row>
    <row r="1163" spans="1:14" x14ac:dyDescent="0.35">
      <c r="A1163" s="1" t="s">
        <v>1826</v>
      </c>
      <c r="B1163" s="1" t="s">
        <v>1220</v>
      </c>
      <c r="C1163" s="1" t="s">
        <v>117</v>
      </c>
      <c r="D1163" s="1" t="s">
        <v>74</v>
      </c>
      <c r="E1163" s="1" t="s">
        <v>22</v>
      </c>
      <c r="F1163" s="1" t="s">
        <v>74</v>
      </c>
      <c r="G1163" s="1">
        <v>13</v>
      </c>
      <c r="H1163" s="1">
        <v>1917</v>
      </c>
      <c r="I1163" s="1">
        <v>0.2</v>
      </c>
      <c r="J1163" s="1">
        <v>19936.8</v>
      </c>
      <c r="K1163" s="1">
        <v>2698.68</v>
      </c>
      <c r="L1163" s="1" t="s">
        <v>17</v>
      </c>
      <c r="M1163" s="1" t="str">
        <f>TEXT(Table1[[#This Row],[Order Date]],"mmm")</f>
        <v>Oct</v>
      </c>
      <c r="N1163" s="1">
        <f>YEAR(Table1[[#This Row],[Order Date]])</f>
        <v>2024</v>
      </c>
    </row>
    <row r="1164" spans="1:14" x14ac:dyDescent="0.35">
      <c r="A1164" s="1" t="s">
        <v>1827</v>
      </c>
      <c r="B1164" s="1" t="s">
        <v>1755</v>
      </c>
      <c r="C1164" s="1" t="s">
        <v>77</v>
      </c>
      <c r="D1164" s="1" t="s">
        <v>37</v>
      </c>
      <c r="E1164" s="1" t="s">
        <v>16</v>
      </c>
      <c r="F1164" s="1" t="s">
        <v>37</v>
      </c>
      <c r="G1164" s="1">
        <v>4</v>
      </c>
      <c r="H1164" s="1">
        <v>18703</v>
      </c>
      <c r="I1164" s="1">
        <v>0.1</v>
      </c>
      <c r="J1164" s="1">
        <v>67330.8</v>
      </c>
      <c r="K1164" s="1">
        <v>14509.49</v>
      </c>
      <c r="L1164" s="1" t="s">
        <v>45</v>
      </c>
      <c r="M1164" s="1" t="str">
        <f>TEXT(Table1[[#This Row],[Order Date]],"mmm")</f>
        <v>May</v>
      </c>
      <c r="N1164" s="1">
        <f>YEAR(Table1[[#This Row],[Order Date]])</f>
        <v>2024</v>
      </c>
    </row>
    <row r="1165" spans="1:14" x14ac:dyDescent="0.35">
      <c r="A1165" s="1" t="s">
        <v>1828</v>
      </c>
      <c r="B1165" s="1" t="s">
        <v>601</v>
      </c>
      <c r="C1165" s="1" t="s">
        <v>101</v>
      </c>
      <c r="D1165" s="1" t="s">
        <v>64</v>
      </c>
      <c r="E1165" s="1" t="s">
        <v>33</v>
      </c>
      <c r="F1165" s="1" t="s">
        <v>64</v>
      </c>
      <c r="G1165" s="1">
        <v>10</v>
      </c>
      <c r="H1165" s="1">
        <v>52450</v>
      </c>
      <c r="I1165" s="1">
        <v>0.1</v>
      </c>
      <c r="J1165" s="1">
        <v>472050</v>
      </c>
      <c r="K1165" s="1">
        <v>80684.33</v>
      </c>
      <c r="L1165" s="1" t="s">
        <v>23</v>
      </c>
      <c r="M1165" s="1" t="str">
        <f>TEXT(Table1[[#This Row],[Order Date]],"mmm")</f>
        <v>Aug</v>
      </c>
      <c r="N1165" s="1">
        <f>YEAR(Table1[[#This Row],[Order Date]])</f>
        <v>2024</v>
      </c>
    </row>
    <row r="1166" spans="1:14" x14ac:dyDescent="0.35">
      <c r="A1166" s="1" t="s">
        <v>1829</v>
      </c>
      <c r="B1166" s="1" t="s">
        <v>1492</v>
      </c>
      <c r="C1166" s="1" t="s">
        <v>81</v>
      </c>
      <c r="D1166" s="1" t="s">
        <v>48</v>
      </c>
      <c r="E1166" s="1" t="s">
        <v>16</v>
      </c>
      <c r="F1166" s="1" t="s">
        <v>48</v>
      </c>
      <c r="G1166" s="1">
        <v>3</v>
      </c>
      <c r="H1166" s="1">
        <v>28287</v>
      </c>
      <c r="I1166" s="1">
        <v>0</v>
      </c>
      <c r="J1166" s="1">
        <v>84861</v>
      </c>
      <c r="K1166" s="1">
        <v>22913.08</v>
      </c>
      <c r="L1166" s="1" t="s">
        <v>70</v>
      </c>
      <c r="M1166" s="1" t="str">
        <f>TEXT(Table1[[#This Row],[Order Date]],"mmm")</f>
        <v>Mar</v>
      </c>
      <c r="N1166" s="1">
        <f>YEAR(Table1[[#This Row],[Order Date]])</f>
        <v>2024</v>
      </c>
    </row>
    <row r="1167" spans="1:14" x14ac:dyDescent="0.35">
      <c r="A1167" s="1" t="s">
        <v>1830</v>
      </c>
      <c r="B1167" s="1" t="s">
        <v>515</v>
      </c>
      <c r="C1167" s="1" t="s">
        <v>349</v>
      </c>
      <c r="D1167" s="1" t="s">
        <v>293</v>
      </c>
      <c r="E1167" s="1" t="s">
        <v>33</v>
      </c>
      <c r="F1167" s="1" t="s">
        <v>293</v>
      </c>
      <c r="G1167" s="1">
        <v>8</v>
      </c>
      <c r="H1167" s="1">
        <v>36706</v>
      </c>
      <c r="I1167" s="1">
        <v>0</v>
      </c>
      <c r="J1167" s="1">
        <v>293648</v>
      </c>
      <c r="K1167" s="1">
        <v>86179.63</v>
      </c>
      <c r="L1167" s="1" t="s">
        <v>70</v>
      </c>
      <c r="M1167" s="1" t="str">
        <f>TEXT(Table1[[#This Row],[Order Date]],"mmm")</f>
        <v>Apr</v>
      </c>
      <c r="N1167" s="1">
        <f>YEAR(Table1[[#This Row],[Order Date]])</f>
        <v>2024</v>
      </c>
    </row>
    <row r="1168" spans="1:14" x14ac:dyDescent="0.35">
      <c r="A1168" s="1" t="s">
        <v>1831</v>
      </c>
      <c r="B1168" s="1" t="s">
        <v>1832</v>
      </c>
      <c r="C1168" s="1" t="s">
        <v>31</v>
      </c>
      <c r="D1168" s="1" t="s">
        <v>60</v>
      </c>
      <c r="E1168" s="1" t="s">
        <v>33</v>
      </c>
      <c r="F1168" s="1" t="s">
        <v>60</v>
      </c>
      <c r="G1168" s="1">
        <v>13</v>
      </c>
      <c r="H1168" s="1">
        <v>49748</v>
      </c>
      <c r="I1168" s="1">
        <v>0</v>
      </c>
      <c r="J1168" s="1">
        <v>646724</v>
      </c>
      <c r="K1168" s="1">
        <v>73917.89</v>
      </c>
      <c r="L1168" s="1" t="s">
        <v>70</v>
      </c>
      <c r="M1168" s="1" t="str">
        <f>TEXT(Table1[[#This Row],[Order Date]],"mmm")</f>
        <v>Sep</v>
      </c>
      <c r="N1168" s="1">
        <f>YEAR(Table1[[#This Row],[Order Date]])</f>
        <v>2023</v>
      </c>
    </row>
    <row r="1169" spans="1:14" x14ac:dyDescent="0.35">
      <c r="A1169" s="1" t="s">
        <v>1833</v>
      </c>
      <c r="B1169" s="1" t="s">
        <v>1834</v>
      </c>
      <c r="C1169" s="1" t="s">
        <v>191</v>
      </c>
      <c r="D1169" s="1" t="s">
        <v>41</v>
      </c>
      <c r="E1169" s="1" t="s">
        <v>16</v>
      </c>
      <c r="F1169" s="1" t="s">
        <v>41</v>
      </c>
      <c r="G1169" s="1">
        <v>4</v>
      </c>
      <c r="H1169" s="1">
        <v>49877</v>
      </c>
      <c r="I1169" s="1">
        <v>0</v>
      </c>
      <c r="J1169" s="1">
        <v>199508</v>
      </c>
      <c r="K1169" s="1">
        <v>38621.599999999999</v>
      </c>
      <c r="L1169" s="1" t="s">
        <v>17</v>
      </c>
      <c r="M1169" s="1" t="str">
        <f>TEXT(Table1[[#This Row],[Order Date]],"mmm")</f>
        <v>Nov</v>
      </c>
      <c r="N1169" s="1">
        <f>YEAR(Table1[[#This Row],[Order Date]])</f>
        <v>2023</v>
      </c>
    </row>
    <row r="1170" spans="1:14" x14ac:dyDescent="0.35">
      <c r="A1170" s="1" t="s">
        <v>1835</v>
      </c>
      <c r="B1170" s="1" t="s">
        <v>1029</v>
      </c>
      <c r="C1170" s="1" t="s">
        <v>162</v>
      </c>
      <c r="D1170" s="1" t="s">
        <v>114</v>
      </c>
      <c r="E1170" s="1" t="s">
        <v>16</v>
      </c>
      <c r="F1170" s="1" t="s">
        <v>114</v>
      </c>
      <c r="G1170" s="1">
        <v>2</v>
      </c>
      <c r="H1170" s="1">
        <v>36044</v>
      </c>
      <c r="I1170" s="1">
        <v>0.05</v>
      </c>
      <c r="J1170" s="1">
        <v>68483.600000000006</v>
      </c>
      <c r="K1170" s="1">
        <v>13234.15</v>
      </c>
      <c r="L1170" s="1" t="s">
        <v>17</v>
      </c>
      <c r="M1170" s="1" t="str">
        <f>TEXT(Table1[[#This Row],[Order Date]],"mmm")</f>
        <v>Nov</v>
      </c>
      <c r="N1170" s="1">
        <f>YEAR(Table1[[#This Row],[Order Date]])</f>
        <v>2024</v>
      </c>
    </row>
    <row r="1171" spans="1:14" x14ac:dyDescent="0.35">
      <c r="A1171" s="1" t="s">
        <v>1836</v>
      </c>
      <c r="B1171" s="1" t="s">
        <v>379</v>
      </c>
      <c r="C1171" s="1" t="s">
        <v>117</v>
      </c>
      <c r="D1171" s="1" t="s">
        <v>167</v>
      </c>
      <c r="E1171" s="1" t="s">
        <v>16</v>
      </c>
      <c r="F1171" s="1" t="s">
        <v>167</v>
      </c>
      <c r="G1171" s="1">
        <v>6</v>
      </c>
      <c r="H1171" s="1">
        <v>9035</v>
      </c>
      <c r="I1171" s="1">
        <v>0.2</v>
      </c>
      <c r="J1171" s="1">
        <v>43368</v>
      </c>
      <c r="K1171" s="1">
        <v>11237.65</v>
      </c>
      <c r="L1171" s="1" t="s">
        <v>45</v>
      </c>
      <c r="M1171" s="1" t="str">
        <f>TEXT(Table1[[#This Row],[Order Date]],"mmm")</f>
        <v>Feb</v>
      </c>
      <c r="N1171" s="1">
        <f>YEAR(Table1[[#This Row],[Order Date]])</f>
        <v>2023</v>
      </c>
    </row>
    <row r="1172" spans="1:14" x14ac:dyDescent="0.35">
      <c r="A1172" s="1" t="s">
        <v>1837</v>
      </c>
      <c r="B1172" s="1" t="s">
        <v>1149</v>
      </c>
      <c r="C1172" s="1" t="s">
        <v>20</v>
      </c>
      <c r="D1172" s="1" t="s">
        <v>151</v>
      </c>
      <c r="E1172" s="1" t="s">
        <v>22</v>
      </c>
      <c r="F1172" s="1" t="s">
        <v>151</v>
      </c>
      <c r="G1172" s="1">
        <v>6</v>
      </c>
      <c r="H1172" s="1">
        <v>4405</v>
      </c>
      <c r="I1172" s="1">
        <v>0</v>
      </c>
      <c r="J1172" s="1">
        <v>26430</v>
      </c>
      <c r="K1172" s="1">
        <v>5044.8999999999996</v>
      </c>
      <c r="L1172" s="1" t="s">
        <v>70</v>
      </c>
      <c r="M1172" s="1" t="str">
        <f>TEXT(Table1[[#This Row],[Order Date]],"mmm")</f>
        <v>Jul</v>
      </c>
      <c r="N1172" s="1">
        <f>YEAR(Table1[[#This Row],[Order Date]])</f>
        <v>2024</v>
      </c>
    </row>
    <row r="1173" spans="1:14" x14ac:dyDescent="0.35">
      <c r="A1173" s="1" t="s">
        <v>1838</v>
      </c>
      <c r="B1173" s="1" t="s">
        <v>563</v>
      </c>
      <c r="C1173" s="1" t="s">
        <v>117</v>
      </c>
      <c r="D1173" s="1" t="s">
        <v>95</v>
      </c>
      <c r="E1173" s="1" t="s">
        <v>33</v>
      </c>
      <c r="F1173" s="1" t="s">
        <v>95</v>
      </c>
      <c r="G1173" s="1">
        <v>9</v>
      </c>
      <c r="H1173" s="1">
        <v>42703</v>
      </c>
      <c r="I1173" s="1">
        <v>0.1</v>
      </c>
      <c r="J1173" s="1">
        <v>345894.3</v>
      </c>
      <c r="K1173" s="1">
        <v>44290.1</v>
      </c>
      <c r="L1173" s="1" t="s">
        <v>17</v>
      </c>
      <c r="M1173" s="1" t="str">
        <f>TEXT(Table1[[#This Row],[Order Date]],"mmm")</f>
        <v>Jan</v>
      </c>
      <c r="N1173" s="1">
        <f>YEAR(Table1[[#This Row],[Order Date]])</f>
        <v>2023</v>
      </c>
    </row>
    <row r="1174" spans="1:14" x14ac:dyDescent="0.35">
      <c r="A1174" s="1" t="s">
        <v>1839</v>
      </c>
      <c r="B1174" s="1" t="s">
        <v>1840</v>
      </c>
      <c r="C1174" s="1" t="s">
        <v>26</v>
      </c>
      <c r="D1174" s="1" t="s">
        <v>108</v>
      </c>
      <c r="E1174" s="1" t="s">
        <v>22</v>
      </c>
      <c r="F1174" s="1" t="s">
        <v>108</v>
      </c>
      <c r="G1174" s="1">
        <v>5</v>
      </c>
      <c r="H1174" s="1">
        <v>49555</v>
      </c>
      <c r="I1174" s="1">
        <v>0.15</v>
      </c>
      <c r="J1174" s="1">
        <v>210608.75</v>
      </c>
      <c r="K1174" s="1">
        <v>29036.16</v>
      </c>
      <c r="L1174" s="1" t="s">
        <v>17</v>
      </c>
      <c r="M1174" s="1" t="str">
        <f>TEXT(Table1[[#This Row],[Order Date]],"mmm")</f>
        <v>Aug</v>
      </c>
      <c r="N1174" s="1">
        <f>YEAR(Table1[[#This Row],[Order Date]])</f>
        <v>2024</v>
      </c>
    </row>
    <row r="1175" spans="1:14" x14ac:dyDescent="0.35">
      <c r="A1175" s="1" t="s">
        <v>1841</v>
      </c>
      <c r="B1175" s="1" t="s">
        <v>1842</v>
      </c>
      <c r="C1175" s="1" t="s">
        <v>20</v>
      </c>
      <c r="D1175" s="1" t="s">
        <v>167</v>
      </c>
      <c r="E1175" s="1" t="s">
        <v>16</v>
      </c>
      <c r="F1175" s="1" t="s">
        <v>167</v>
      </c>
      <c r="G1175" s="1">
        <v>10</v>
      </c>
      <c r="H1175" s="1">
        <v>36510</v>
      </c>
      <c r="I1175" s="1">
        <v>0.2</v>
      </c>
      <c r="J1175" s="1">
        <v>292080</v>
      </c>
      <c r="K1175" s="1">
        <v>29781.599999999999</v>
      </c>
      <c r="L1175" s="1" t="s">
        <v>17</v>
      </c>
      <c r="M1175" s="1" t="str">
        <f>TEXT(Table1[[#This Row],[Order Date]],"mmm")</f>
        <v>Oct</v>
      </c>
      <c r="N1175" s="1">
        <f>YEAR(Table1[[#This Row],[Order Date]])</f>
        <v>2023</v>
      </c>
    </row>
    <row r="1176" spans="1:14" x14ac:dyDescent="0.35">
      <c r="A1176" s="1" t="s">
        <v>1843</v>
      </c>
      <c r="B1176" s="1" t="s">
        <v>223</v>
      </c>
      <c r="C1176" s="1" t="s">
        <v>170</v>
      </c>
      <c r="D1176" s="1" t="s">
        <v>78</v>
      </c>
      <c r="E1176" s="1" t="s">
        <v>28</v>
      </c>
      <c r="F1176" s="1" t="s">
        <v>78</v>
      </c>
      <c r="G1176" s="1">
        <v>6</v>
      </c>
      <c r="H1176" s="1">
        <v>43898</v>
      </c>
      <c r="I1176" s="1">
        <v>0</v>
      </c>
      <c r="J1176" s="1">
        <v>263388</v>
      </c>
      <c r="K1176" s="1">
        <v>62910.74</v>
      </c>
      <c r="L1176" s="1" t="s">
        <v>23</v>
      </c>
      <c r="M1176" s="1" t="str">
        <f>TEXT(Table1[[#This Row],[Order Date]],"mmm")</f>
        <v>Jan</v>
      </c>
      <c r="N1176" s="1">
        <f>YEAR(Table1[[#This Row],[Order Date]])</f>
        <v>2024</v>
      </c>
    </row>
    <row r="1177" spans="1:14" x14ac:dyDescent="0.35">
      <c r="A1177" s="1" t="s">
        <v>1844</v>
      </c>
      <c r="B1177" s="1" t="s">
        <v>1845</v>
      </c>
      <c r="C1177" s="1" t="s">
        <v>81</v>
      </c>
      <c r="D1177" s="1" t="s">
        <v>293</v>
      </c>
      <c r="E1177" s="1" t="s">
        <v>33</v>
      </c>
      <c r="F1177" s="1" t="s">
        <v>293</v>
      </c>
      <c r="G1177" s="1">
        <v>4</v>
      </c>
      <c r="H1177" s="1">
        <v>39058</v>
      </c>
      <c r="I1177" s="1">
        <v>0.15</v>
      </c>
      <c r="J1177" s="1">
        <v>132797.20000000001</v>
      </c>
      <c r="K1177" s="1">
        <v>36101.550000000003</v>
      </c>
      <c r="L1177" s="1" t="s">
        <v>17</v>
      </c>
      <c r="M1177" s="1" t="str">
        <f>TEXT(Table1[[#This Row],[Order Date]],"mmm")</f>
        <v>Mar</v>
      </c>
      <c r="N1177" s="1">
        <f>YEAR(Table1[[#This Row],[Order Date]])</f>
        <v>2023</v>
      </c>
    </row>
    <row r="1178" spans="1:14" x14ac:dyDescent="0.35">
      <c r="A1178" s="1" t="s">
        <v>1846</v>
      </c>
      <c r="B1178" s="1" t="s">
        <v>963</v>
      </c>
      <c r="C1178" s="1" t="s">
        <v>31</v>
      </c>
      <c r="D1178" s="1" t="s">
        <v>37</v>
      </c>
      <c r="E1178" s="1" t="s">
        <v>16</v>
      </c>
      <c r="F1178" s="1" t="s">
        <v>37</v>
      </c>
      <c r="G1178" s="1">
        <v>12</v>
      </c>
      <c r="H1178" s="1">
        <v>33096</v>
      </c>
      <c r="I1178" s="1">
        <v>0</v>
      </c>
      <c r="J1178" s="1">
        <v>397152</v>
      </c>
      <c r="K1178" s="1">
        <v>89920.61</v>
      </c>
      <c r="L1178" s="1" t="s">
        <v>17</v>
      </c>
      <c r="M1178" s="1" t="str">
        <f>TEXT(Table1[[#This Row],[Order Date]],"mmm")</f>
        <v>Oct</v>
      </c>
      <c r="N1178" s="1">
        <f>YEAR(Table1[[#This Row],[Order Date]])</f>
        <v>2024</v>
      </c>
    </row>
    <row r="1179" spans="1:14" x14ac:dyDescent="0.35">
      <c r="A1179" s="1" t="s">
        <v>1847</v>
      </c>
      <c r="B1179" s="1" t="s">
        <v>429</v>
      </c>
      <c r="C1179" s="1" t="s">
        <v>20</v>
      </c>
      <c r="D1179" s="1" t="s">
        <v>27</v>
      </c>
      <c r="E1179" s="1" t="s">
        <v>28</v>
      </c>
      <c r="F1179" s="1" t="s">
        <v>27</v>
      </c>
      <c r="G1179" s="1">
        <v>15</v>
      </c>
      <c r="H1179" s="1">
        <v>42526</v>
      </c>
      <c r="I1179" s="1">
        <v>0</v>
      </c>
      <c r="J1179" s="1">
        <v>637890</v>
      </c>
      <c r="K1179" s="1">
        <v>67241.929999999993</v>
      </c>
      <c r="L1179" s="1" t="s">
        <v>70</v>
      </c>
      <c r="M1179" s="1" t="str">
        <f>TEXT(Table1[[#This Row],[Order Date]],"mmm")</f>
        <v>Apr</v>
      </c>
      <c r="N1179" s="1">
        <f>YEAR(Table1[[#This Row],[Order Date]])</f>
        <v>2024</v>
      </c>
    </row>
    <row r="1180" spans="1:14" x14ac:dyDescent="0.35">
      <c r="A1180" s="1" t="s">
        <v>1848</v>
      </c>
      <c r="B1180" s="1" t="s">
        <v>481</v>
      </c>
      <c r="C1180" s="1" t="s">
        <v>191</v>
      </c>
      <c r="D1180" s="1" t="s">
        <v>48</v>
      </c>
      <c r="E1180" s="1" t="s">
        <v>16</v>
      </c>
      <c r="F1180" s="1" t="s">
        <v>48</v>
      </c>
      <c r="G1180" s="1">
        <v>14</v>
      </c>
      <c r="H1180" s="1">
        <v>32720</v>
      </c>
      <c r="I1180" s="1">
        <v>0.05</v>
      </c>
      <c r="J1180" s="1">
        <v>435176</v>
      </c>
      <c r="K1180" s="1">
        <v>90860.83</v>
      </c>
      <c r="L1180" s="1" t="s">
        <v>17</v>
      </c>
      <c r="M1180" s="1" t="str">
        <f>TEXT(Table1[[#This Row],[Order Date]],"mmm")</f>
        <v>Oct</v>
      </c>
      <c r="N1180" s="1">
        <f>YEAR(Table1[[#This Row],[Order Date]])</f>
        <v>2024</v>
      </c>
    </row>
    <row r="1181" spans="1:14" x14ac:dyDescent="0.35">
      <c r="A1181" s="1" t="s">
        <v>1849</v>
      </c>
      <c r="B1181" s="1" t="s">
        <v>1354</v>
      </c>
      <c r="C1181" s="1" t="s">
        <v>81</v>
      </c>
      <c r="D1181" s="1" t="s">
        <v>44</v>
      </c>
      <c r="E1181" s="1" t="s">
        <v>28</v>
      </c>
      <c r="F1181" s="1" t="s">
        <v>44</v>
      </c>
      <c r="G1181" s="1">
        <v>9</v>
      </c>
      <c r="H1181" s="1">
        <v>36783</v>
      </c>
      <c r="I1181" s="1">
        <v>0.2</v>
      </c>
      <c r="J1181" s="1">
        <v>264837.59999999998</v>
      </c>
      <c r="K1181" s="1">
        <v>37103.5</v>
      </c>
      <c r="L1181" s="1" t="s">
        <v>70</v>
      </c>
      <c r="M1181" s="1" t="str">
        <f>TEXT(Table1[[#This Row],[Order Date]],"mmm")</f>
        <v>Aug</v>
      </c>
      <c r="N1181" s="1">
        <f>YEAR(Table1[[#This Row],[Order Date]])</f>
        <v>2024</v>
      </c>
    </row>
    <row r="1182" spans="1:14" x14ac:dyDescent="0.35">
      <c r="A1182" s="1" t="s">
        <v>1850</v>
      </c>
      <c r="B1182" s="1" t="s">
        <v>177</v>
      </c>
      <c r="C1182" s="1" t="s">
        <v>203</v>
      </c>
      <c r="D1182" s="1" t="s">
        <v>151</v>
      </c>
      <c r="E1182" s="1" t="s">
        <v>22</v>
      </c>
      <c r="F1182" s="1" t="s">
        <v>151</v>
      </c>
      <c r="G1182" s="1">
        <v>8</v>
      </c>
      <c r="H1182" s="1">
        <v>47805</v>
      </c>
      <c r="I1182" s="1">
        <v>0.2</v>
      </c>
      <c r="J1182" s="1">
        <v>305952</v>
      </c>
      <c r="K1182" s="1">
        <v>64262.74</v>
      </c>
      <c r="L1182" s="1" t="s">
        <v>70</v>
      </c>
      <c r="M1182" s="1" t="str">
        <f>TEXT(Table1[[#This Row],[Order Date]],"mmm")</f>
        <v>Jun</v>
      </c>
      <c r="N1182" s="1">
        <f>YEAR(Table1[[#This Row],[Order Date]])</f>
        <v>2023</v>
      </c>
    </row>
    <row r="1183" spans="1:14" x14ac:dyDescent="0.35">
      <c r="A1183" s="1" t="s">
        <v>1851</v>
      </c>
      <c r="B1183" s="1" t="s">
        <v>1438</v>
      </c>
      <c r="C1183" s="1" t="s">
        <v>104</v>
      </c>
      <c r="D1183" s="1" t="s">
        <v>85</v>
      </c>
      <c r="E1183" s="1" t="s">
        <v>28</v>
      </c>
      <c r="F1183" s="1" t="s">
        <v>85</v>
      </c>
      <c r="G1183" s="1">
        <v>9</v>
      </c>
      <c r="H1183" s="1">
        <v>6066</v>
      </c>
      <c r="I1183" s="1">
        <v>0</v>
      </c>
      <c r="J1183" s="1">
        <v>54594</v>
      </c>
      <c r="K1183" s="1">
        <v>10153.84</v>
      </c>
      <c r="L1183" s="1" t="s">
        <v>17</v>
      </c>
      <c r="M1183" s="1" t="str">
        <f>TEXT(Table1[[#This Row],[Order Date]],"mmm")</f>
        <v>Nov</v>
      </c>
      <c r="N1183" s="1">
        <f>YEAR(Table1[[#This Row],[Order Date]])</f>
        <v>2024</v>
      </c>
    </row>
    <row r="1184" spans="1:14" x14ac:dyDescent="0.35">
      <c r="A1184" s="1" t="s">
        <v>1852</v>
      </c>
      <c r="B1184" s="1" t="s">
        <v>1104</v>
      </c>
      <c r="C1184" s="1" t="s">
        <v>63</v>
      </c>
      <c r="D1184" s="1" t="s">
        <v>78</v>
      </c>
      <c r="E1184" s="1" t="s">
        <v>28</v>
      </c>
      <c r="F1184" s="1" t="s">
        <v>78</v>
      </c>
      <c r="G1184" s="1">
        <v>13</v>
      </c>
      <c r="H1184" s="1">
        <v>23832</v>
      </c>
      <c r="I1184" s="1">
        <v>0.1</v>
      </c>
      <c r="J1184" s="1">
        <v>278834.40000000002</v>
      </c>
      <c r="K1184" s="1">
        <v>34388.75</v>
      </c>
      <c r="L1184" s="1" t="s">
        <v>17</v>
      </c>
      <c r="M1184" s="1" t="str">
        <f>TEXT(Table1[[#This Row],[Order Date]],"mmm")</f>
        <v>Oct</v>
      </c>
      <c r="N1184" s="1">
        <f>YEAR(Table1[[#This Row],[Order Date]])</f>
        <v>2023</v>
      </c>
    </row>
    <row r="1185" spans="1:14" x14ac:dyDescent="0.35">
      <c r="A1185" s="1" t="s">
        <v>1853</v>
      </c>
      <c r="B1185" s="1" t="s">
        <v>1854</v>
      </c>
      <c r="C1185" s="1" t="s">
        <v>73</v>
      </c>
      <c r="D1185" s="1" t="s">
        <v>15</v>
      </c>
      <c r="E1185" s="1" t="s">
        <v>16</v>
      </c>
      <c r="F1185" s="1" t="s">
        <v>15</v>
      </c>
      <c r="G1185" s="1">
        <v>13</v>
      </c>
      <c r="H1185" s="1">
        <v>38673</v>
      </c>
      <c r="I1185" s="1">
        <v>0.2</v>
      </c>
      <c r="J1185" s="1">
        <v>402199.2</v>
      </c>
      <c r="K1185" s="1">
        <v>39944.449999999997</v>
      </c>
      <c r="L1185" s="1" t="s">
        <v>23</v>
      </c>
      <c r="M1185" s="1" t="str">
        <f>TEXT(Table1[[#This Row],[Order Date]],"mmm")</f>
        <v>Jul</v>
      </c>
      <c r="N1185" s="1">
        <f>YEAR(Table1[[#This Row],[Order Date]])</f>
        <v>2023</v>
      </c>
    </row>
    <row r="1186" spans="1:14" x14ac:dyDescent="0.35">
      <c r="A1186" s="1" t="s">
        <v>1855</v>
      </c>
      <c r="B1186" s="1" t="s">
        <v>770</v>
      </c>
      <c r="C1186" s="1" t="s">
        <v>332</v>
      </c>
      <c r="D1186" s="1" t="s">
        <v>141</v>
      </c>
      <c r="E1186" s="1" t="s">
        <v>22</v>
      </c>
      <c r="F1186" s="1" t="s">
        <v>141</v>
      </c>
      <c r="G1186" s="1">
        <v>4</v>
      </c>
      <c r="H1186" s="1">
        <v>37519</v>
      </c>
      <c r="I1186" s="1">
        <v>0.1</v>
      </c>
      <c r="J1186" s="1">
        <v>135068.4</v>
      </c>
      <c r="K1186" s="1">
        <v>21328.48</v>
      </c>
      <c r="L1186" s="1" t="s">
        <v>17</v>
      </c>
      <c r="M1186" s="1" t="str">
        <f>TEXT(Table1[[#This Row],[Order Date]],"mmm")</f>
        <v>Feb</v>
      </c>
      <c r="N1186" s="1">
        <f>YEAR(Table1[[#This Row],[Order Date]])</f>
        <v>2024</v>
      </c>
    </row>
    <row r="1187" spans="1:14" x14ac:dyDescent="0.35">
      <c r="A1187" s="1" t="s">
        <v>1856</v>
      </c>
      <c r="B1187" s="1" t="s">
        <v>1631</v>
      </c>
      <c r="C1187" s="1" t="s">
        <v>158</v>
      </c>
      <c r="D1187" s="1" t="s">
        <v>64</v>
      </c>
      <c r="E1187" s="1" t="s">
        <v>33</v>
      </c>
      <c r="F1187" s="1" t="s">
        <v>64</v>
      </c>
      <c r="G1187" s="1">
        <v>8</v>
      </c>
      <c r="H1187" s="1">
        <v>46531</v>
      </c>
      <c r="I1187" s="1">
        <v>0.15</v>
      </c>
      <c r="J1187" s="1">
        <v>316410.8</v>
      </c>
      <c r="K1187" s="1">
        <v>72889.100000000006</v>
      </c>
      <c r="L1187" s="1" t="s">
        <v>45</v>
      </c>
      <c r="M1187" s="1" t="str">
        <f>TEXT(Table1[[#This Row],[Order Date]],"mmm")</f>
        <v>Apr</v>
      </c>
      <c r="N1187" s="1">
        <f>YEAR(Table1[[#This Row],[Order Date]])</f>
        <v>2023</v>
      </c>
    </row>
    <row r="1188" spans="1:14" x14ac:dyDescent="0.35">
      <c r="A1188" s="1" t="s">
        <v>1857</v>
      </c>
      <c r="B1188" s="1" t="s">
        <v>62</v>
      </c>
      <c r="C1188" s="1" t="s">
        <v>59</v>
      </c>
      <c r="D1188" s="1" t="s">
        <v>27</v>
      </c>
      <c r="E1188" s="1" t="s">
        <v>28</v>
      </c>
      <c r="F1188" s="1" t="s">
        <v>27</v>
      </c>
      <c r="G1188" s="1">
        <v>6</v>
      </c>
      <c r="H1188" s="1">
        <v>766</v>
      </c>
      <c r="I1188" s="1">
        <v>0.1</v>
      </c>
      <c r="J1188" s="1">
        <v>4136.3999999999996</v>
      </c>
      <c r="K1188" s="1">
        <v>998.59</v>
      </c>
      <c r="L1188" s="1" t="s">
        <v>17</v>
      </c>
      <c r="M1188" s="1" t="str">
        <f>TEXT(Table1[[#This Row],[Order Date]],"mmm")</f>
        <v>Dec</v>
      </c>
      <c r="N1188" s="1">
        <f>YEAR(Table1[[#This Row],[Order Date]])</f>
        <v>2023</v>
      </c>
    </row>
    <row r="1189" spans="1:14" x14ac:dyDescent="0.35">
      <c r="A1189" s="1" t="s">
        <v>1858</v>
      </c>
      <c r="B1189" s="1" t="s">
        <v>705</v>
      </c>
      <c r="C1189" s="1" t="s">
        <v>162</v>
      </c>
      <c r="D1189" s="1" t="s">
        <v>48</v>
      </c>
      <c r="E1189" s="1" t="s">
        <v>16</v>
      </c>
      <c r="F1189" s="1" t="s">
        <v>48</v>
      </c>
      <c r="G1189" s="1">
        <v>6</v>
      </c>
      <c r="H1189" s="1">
        <v>38430</v>
      </c>
      <c r="I1189" s="1">
        <v>0.05</v>
      </c>
      <c r="J1189" s="1">
        <v>219051</v>
      </c>
      <c r="K1189" s="1">
        <v>44631.35</v>
      </c>
      <c r="L1189" s="1" t="s">
        <v>23</v>
      </c>
      <c r="M1189" s="1" t="str">
        <f>TEXT(Table1[[#This Row],[Order Date]],"mmm")</f>
        <v>May</v>
      </c>
      <c r="N1189" s="1">
        <f>YEAR(Table1[[#This Row],[Order Date]])</f>
        <v>2024</v>
      </c>
    </row>
    <row r="1190" spans="1:14" x14ac:dyDescent="0.35">
      <c r="A1190" s="1" t="s">
        <v>1859</v>
      </c>
      <c r="B1190" s="1" t="s">
        <v>1860</v>
      </c>
      <c r="C1190" s="1" t="s">
        <v>507</v>
      </c>
      <c r="D1190" s="1" t="s">
        <v>108</v>
      </c>
      <c r="E1190" s="1" t="s">
        <v>22</v>
      </c>
      <c r="F1190" s="1" t="s">
        <v>108</v>
      </c>
      <c r="G1190" s="1">
        <v>14</v>
      </c>
      <c r="H1190" s="1">
        <v>28737</v>
      </c>
      <c r="I1190" s="1">
        <v>0.15</v>
      </c>
      <c r="J1190" s="1">
        <v>341970.3</v>
      </c>
      <c r="K1190" s="1">
        <v>86934.94</v>
      </c>
      <c r="L1190" s="1" t="s">
        <v>17</v>
      </c>
      <c r="M1190" s="1" t="str">
        <f>TEXT(Table1[[#This Row],[Order Date]],"mmm")</f>
        <v>Jul</v>
      </c>
      <c r="N1190" s="1">
        <f>YEAR(Table1[[#This Row],[Order Date]])</f>
        <v>2023</v>
      </c>
    </row>
    <row r="1191" spans="1:14" x14ac:dyDescent="0.35">
      <c r="A1191" s="1" t="s">
        <v>1861</v>
      </c>
      <c r="B1191" s="1" t="s">
        <v>1427</v>
      </c>
      <c r="C1191" s="1" t="s">
        <v>111</v>
      </c>
      <c r="D1191" s="1" t="s">
        <v>179</v>
      </c>
      <c r="E1191" s="1" t="s">
        <v>28</v>
      </c>
      <c r="F1191" s="1" t="s">
        <v>179</v>
      </c>
      <c r="G1191" s="1">
        <v>9</v>
      </c>
      <c r="H1191" s="1">
        <v>23532</v>
      </c>
      <c r="I1191" s="1">
        <v>0.05</v>
      </c>
      <c r="J1191" s="1">
        <v>201198.6</v>
      </c>
      <c r="K1191" s="1">
        <v>45919.07</v>
      </c>
      <c r="L1191" s="1" t="s">
        <v>17</v>
      </c>
      <c r="M1191" s="1" t="str">
        <f>TEXT(Table1[[#This Row],[Order Date]],"mmm")</f>
        <v>Oct</v>
      </c>
      <c r="N1191" s="1">
        <f>YEAR(Table1[[#This Row],[Order Date]])</f>
        <v>2024</v>
      </c>
    </row>
    <row r="1192" spans="1:14" x14ac:dyDescent="0.35">
      <c r="A1192" s="1" t="s">
        <v>1862</v>
      </c>
      <c r="B1192" s="1" t="s">
        <v>1563</v>
      </c>
      <c r="C1192" s="1" t="s">
        <v>155</v>
      </c>
      <c r="D1192" s="1" t="s">
        <v>64</v>
      </c>
      <c r="E1192" s="1" t="s">
        <v>33</v>
      </c>
      <c r="F1192" s="1" t="s">
        <v>64</v>
      </c>
      <c r="G1192" s="1">
        <v>15</v>
      </c>
      <c r="H1192" s="1">
        <v>21525</v>
      </c>
      <c r="I1192" s="1">
        <v>0</v>
      </c>
      <c r="J1192" s="1">
        <v>322875</v>
      </c>
      <c r="K1192" s="1">
        <v>47764.23</v>
      </c>
      <c r="L1192" s="1" t="s">
        <v>17</v>
      </c>
      <c r="M1192" s="1" t="str">
        <f>TEXT(Table1[[#This Row],[Order Date]],"mmm")</f>
        <v>Mar</v>
      </c>
      <c r="N1192" s="1">
        <f>YEAR(Table1[[#This Row],[Order Date]])</f>
        <v>2024</v>
      </c>
    </row>
    <row r="1193" spans="1:14" x14ac:dyDescent="0.35">
      <c r="A1193" s="1" t="s">
        <v>1863</v>
      </c>
      <c r="B1193" s="1" t="s">
        <v>617</v>
      </c>
      <c r="C1193" s="1" t="s">
        <v>203</v>
      </c>
      <c r="D1193" s="1" t="s">
        <v>27</v>
      </c>
      <c r="E1193" s="1" t="s">
        <v>28</v>
      </c>
      <c r="F1193" s="1" t="s">
        <v>27</v>
      </c>
      <c r="G1193" s="1">
        <v>2</v>
      </c>
      <c r="H1193" s="1">
        <v>12177</v>
      </c>
      <c r="I1193" s="1">
        <v>0.05</v>
      </c>
      <c r="J1193" s="1">
        <v>23136.3</v>
      </c>
      <c r="K1193" s="1">
        <v>6686.05</v>
      </c>
      <c r="L1193" s="1" t="s">
        <v>17</v>
      </c>
      <c r="M1193" s="1" t="str">
        <f>TEXT(Table1[[#This Row],[Order Date]],"mmm")</f>
        <v>Jul</v>
      </c>
      <c r="N1193" s="1">
        <f>YEAR(Table1[[#This Row],[Order Date]])</f>
        <v>2023</v>
      </c>
    </row>
    <row r="1194" spans="1:14" x14ac:dyDescent="0.35">
      <c r="A1194" s="1" t="s">
        <v>1864</v>
      </c>
      <c r="B1194" s="1" t="s">
        <v>524</v>
      </c>
      <c r="C1194" s="1" t="s">
        <v>158</v>
      </c>
      <c r="D1194" s="1" t="s">
        <v>15</v>
      </c>
      <c r="E1194" s="1" t="s">
        <v>16</v>
      </c>
      <c r="F1194" s="1" t="s">
        <v>15</v>
      </c>
      <c r="G1194" s="1">
        <v>8</v>
      </c>
      <c r="H1194" s="1">
        <v>58907</v>
      </c>
      <c r="I1194" s="1">
        <v>0.15</v>
      </c>
      <c r="J1194" s="1">
        <v>400567.6</v>
      </c>
      <c r="K1194" s="1">
        <v>99574.99</v>
      </c>
      <c r="L1194" s="1" t="s">
        <v>17</v>
      </c>
      <c r="M1194" s="1" t="str">
        <f>TEXT(Table1[[#This Row],[Order Date]],"mmm")</f>
        <v>Nov</v>
      </c>
      <c r="N1194" s="1">
        <f>YEAR(Table1[[#This Row],[Order Date]])</f>
        <v>2024</v>
      </c>
    </row>
    <row r="1195" spans="1:14" x14ac:dyDescent="0.35">
      <c r="A1195" s="1" t="s">
        <v>1865</v>
      </c>
      <c r="B1195" s="1" t="s">
        <v>624</v>
      </c>
      <c r="C1195" s="1" t="s">
        <v>155</v>
      </c>
      <c r="D1195" s="1" t="s">
        <v>41</v>
      </c>
      <c r="E1195" s="1" t="s">
        <v>16</v>
      </c>
      <c r="F1195" s="1" t="s">
        <v>41</v>
      </c>
      <c r="G1195" s="1">
        <v>3</v>
      </c>
      <c r="H1195" s="1">
        <v>50389</v>
      </c>
      <c r="I1195" s="1">
        <v>0.2</v>
      </c>
      <c r="J1195" s="1">
        <v>120933.6</v>
      </c>
      <c r="K1195" s="1">
        <v>26722.74</v>
      </c>
      <c r="L1195" s="1" t="s">
        <v>45</v>
      </c>
      <c r="M1195" s="1" t="str">
        <f>TEXT(Table1[[#This Row],[Order Date]],"mmm")</f>
        <v>May</v>
      </c>
      <c r="N1195" s="1">
        <f>YEAR(Table1[[#This Row],[Order Date]])</f>
        <v>2023</v>
      </c>
    </row>
    <row r="1196" spans="1:14" x14ac:dyDescent="0.35">
      <c r="A1196" s="1" t="s">
        <v>1866</v>
      </c>
      <c r="B1196" s="1" t="s">
        <v>334</v>
      </c>
      <c r="C1196" s="1" t="s">
        <v>101</v>
      </c>
      <c r="D1196" s="1" t="s">
        <v>21</v>
      </c>
      <c r="E1196" s="1" t="s">
        <v>22</v>
      </c>
      <c r="F1196" s="1" t="s">
        <v>21</v>
      </c>
      <c r="G1196" s="1">
        <v>7</v>
      </c>
      <c r="H1196" s="1">
        <v>46083</v>
      </c>
      <c r="I1196" s="1">
        <v>0.15</v>
      </c>
      <c r="J1196" s="1">
        <v>274193.84999999998</v>
      </c>
      <c r="K1196" s="1">
        <v>22754.76</v>
      </c>
      <c r="L1196" s="1" t="s">
        <v>23</v>
      </c>
      <c r="M1196" s="1" t="str">
        <f>TEXT(Table1[[#This Row],[Order Date]],"mmm")</f>
        <v>Sep</v>
      </c>
      <c r="N1196" s="1">
        <f>YEAR(Table1[[#This Row],[Order Date]])</f>
        <v>2023</v>
      </c>
    </row>
    <row r="1197" spans="1:14" x14ac:dyDescent="0.35">
      <c r="A1197" s="1" t="s">
        <v>1867</v>
      </c>
      <c r="B1197" s="1" t="s">
        <v>217</v>
      </c>
      <c r="C1197" s="1" t="s">
        <v>120</v>
      </c>
      <c r="D1197" s="1" t="s">
        <v>52</v>
      </c>
      <c r="E1197" s="1" t="s">
        <v>28</v>
      </c>
      <c r="F1197" s="1" t="s">
        <v>52</v>
      </c>
      <c r="G1197" s="1">
        <v>10</v>
      </c>
      <c r="H1197" s="1">
        <v>12059</v>
      </c>
      <c r="I1197" s="1">
        <v>0.05</v>
      </c>
      <c r="J1197" s="1">
        <v>114560.5</v>
      </c>
      <c r="K1197" s="1">
        <v>19882.71</v>
      </c>
      <c r="L1197" s="1" t="s">
        <v>17</v>
      </c>
      <c r="M1197" s="1" t="str">
        <f>TEXT(Table1[[#This Row],[Order Date]],"mmm")</f>
        <v>Sep</v>
      </c>
      <c r="N1197" s="1">
        <f>YEAR(Table1[[#This Row],[Order Date]])</f>
        <v>2023</v>
      </c>
    </row>
    <row r="1198" spans="1:14" x14ac:dyDescent="0.35">
      <c r="A1198" s="1" t="s">
        <v>1868</v>
      </c>
      <c r="B1198" s="1" t="s">
        <v>969</v>
      </c>
      <c r="C1198" s="1" t="s">
        <v>73</v>
      </c>
      <c r="D1198" s="1" t="s">
        <v>137</v>
      </c>
      <c r="E1198" s="1" t="s">
        <v>22</v>
      </c>
      <c r="F1198" s="1" t="s">
        <v>137</v>
      </c>
      <c r="G1198" s="1">
        <v>10</v>
      </c>
      <c r="H1198" s="1">
        <v>57318</v>
      </c>
      <c r="I1198" s="1">
        <v>0.05</v>
      </c>
      <c r="J1198" s="1">
        <v>544521</v>
      </c>
      <c r="K1198" s="1">
        <v>111753.58</v>
      </c>
      <c r="L1198" s="1" t="s">
        <v>23</v>
      </c>
      <c r="M1198" s="1" t="str">
        <f>TEXT(Table1[[#This Row],[Order Date]],"mmm")</f>
        <v>Aug</v>
      </c>
      <c r="N1198" s="1">
        <f>YEAR(Table1[[#This Row],[Order Date]])</f>
        <v>2024</v>
      </c>
    </row>
    <row r="1199" spans="1:14" x14ac:dyDescent="0.35">
      <c r="A1199" s="1" t="s">
        <v>1869</v>
      </c>
      <c r="B1199" s="1" t="s">
        <v>653</v>
      </c>
      <c r="C1199" s="1" t="s">
        <v>67</v>
      </c>
      <c r="D1199" s="1" t="s">
        <v>224</v>
      </c>
      <c r="E1199" s="1" t="s">
        <v>33</v>
      </c>
      <c r="F1199" s="1" t="s">
        <v>224</v>
      </c>
      <c r="G1199" s="1">
        <v>7</v>
      </c>
      <c r="H1199" s="1">
        <v>5019</v>
      </c>
      <c r="I1199" s="1">
        <v>0.1</v>
      </c>
      <c r="J1199" s="1">
        <v>31619.7</v>
      </c>
      <c r="K1199" s="1">
        <v>8249.4500000000007</v>
      </c>
      <c r="L1199" s="1" t="s">
        <v>70</v>
      </c>
      <c r="M1199" s="1" t="str">
        <f>TEXT(Table1[[#This Row],[Order Date]],"mmm")</f>
        <v>Nov</v>
      </c>
      <c r="N1199" s="1">
        <f>YEAR(Table1[[#This Row],[Order Date]])</f>
        <v>2024</v>
      </c>
    </row>
    <row r="1200" spans="1:14" x14ac:dyDescent="0.35">
      <c r="A1200" s="1" t="s">
        <v>1870</v>
      </c>
      <c r="B1200" s="1" t="s">
        <v>686</v>
      </c>
      <c r="C1200" s="1" t="s">
        <v>335</v>
      </c>
      <c r="D1200" s="1" t="s">
        <v>27</v>
      </c>
      <c r="E1200" s="1" t="s">
        <v>28</v>
      </c>
      <c r="F1200" s="1" t="s">
        <v>27</v>
      </c>
      <c r="G1200" s="1">
        <v>10</v>
      </c>
      <c r="H1200" s="1">
        <v>6388</v>
      </c>
      <c r="I1200" s="1">
        <v>0.05</v>
      </c>
      <c r="J1200" s="1">
        <v>60686</v>
      </c>
      <c r="K1200" s="1">
        <v>13877.93</v>
      </c>
      <c r="L1200" s="1" t="s">
        <v>45</v>
      </c>
      <c r="M1200" s="1" t="str">
        <f>TEXT(Table1[[#This Row],[Order Date]],"mmm")</f>
        <v>Jun</v>
      </c>
      <c r="N1200" s="1">
        <f>YEAR(Table1[[#This Row],[Order Date]])</f>
        <v>2023</v>
      </c>
    </row>
    <row r="1201" spans="1:14" x14ac:dyDescent="0.35">
      <c r="A1201" s="1" t="s">
        <v>1871</v>
      </c>
      <c r="B1201" s="1" t="s">
        <v>1438</v>
      </c>
      <c r="C1201" s="1" t="s">
        <v>14</v>
      </c>
      <c r="D1201" s="1" t="s">
        <v>56</v>
      </c>
      <c r="E1201" s="1" t="s">
        <v>22</v>
      </c>
      <c r="F1201" s="1" t="s">
        <v>56</v>
      </c>
      <c r="G1201" s="1">
        <v>10</v>
      </c>
      <c r="H1201" s="1">
        <v>49834</v>
      </c>
      <c r="I1201" s="1">
        <v>0.1</v>
      </c>
      <c r="J1201" s="1">
        <v>448506</v>
      </c>
      <c r="K1201" s="1">
        <v>64137.88</v>
      </c>
      <c r="L1201" s="1" t="s">
        <v>70</v>
      </c>
      <c r="M1201" s="1" t="str">
        <f>TEXT(Table1[[#This Row],[Order Date]],"mmm")</f>
        <v>Nov</v>
      </c>
      <c r="N1201" s="1">
        <f>YEAR(Table1[[#This Row],[Order Date]])</f>
        <v>2024</v>
      </c>
    </row>
    <row r="1202" spans="1:14" x14ac:dyDescent="0.35">
      <c r="A1202" s="1" t="s">
        <v>1872</v>
      </c>
      <c r="B1202" s="1" t="s">
        <v>837</v>
      </c>
      <c r="C1202" s="1" t="s">
        <v>120</v>
      </c>
      <c r="D1202" s="1" t="s">
        <v>151</v>
      </c>
      <c r="E1202" s="1" t="s">
        <v>22</v>
      </c>
      <c r="F1202" s="1" t="s">
        <v>151</v>
      </c>
      <c r="G1202" s="1">
        <v>14</v>
      </c>
      <c r="H1202" s="1">
        <v>35823</v>
      </c>
      <c r="I1202" s="1">
        <v>0.1</v>
      </c>
      <c r="J1202" s="1">
        <v>451369.8</v>
      </c>
      <c r="K1202" s="1">
        <v>51174.75</v>
      </c>
      <c r="L1202" s="1" t="s">
        <v>70</v>
      </c>
      <c r="M1202" s="1" t="str">
        <f>TEXT(Table1[[#This Row],[Order Date]],"mmm")</f>
        <v>Feb</v>
      </c>
      <c r="N1202" s="1">
        <f>YEAR(Table1[[#This Row],[Order Date]])</f>
        <v>2024</v>
      </c>
    </row>
    <row r="1203" spans="1:14" x14ac:dyDescent="0.35">
      <c r="A1203" s="1" t="s">
        <v>1873</v>
      </c>
      <c r="B1203" s="1" t="s">
        <v>69</v>
      </c>
      <c r="C1203" s="1" t="s">
        <v>31</v>
      </c>
      <c r="D1203" s="1" t="s">
        <v>114</v>
      </c>
      <c r="E1203" s="1" t="s">
        <v>16</v>
      </c>
      <c r="F1203" s="1" t="s">
        <v>114</v>
      </c>
      <c r="G1203" s="1">
        <v>4</v>
      </c>
      <c r="H1203" s="1">
        <v>55289</v>
      </c>
      <c r="I1203" s="1">
        <v>0.15</v>
      </c>
      <c r="J1203" s="1">
        <v>187982.6</v>
      </c>
      <c r="K1203" s="1">
        <v>35449.19</v>
      </c>
      <c r="L1203" s="1" t="s">
        <v>23</v>
      </c>
      <c r="M1203" s="1" t="str">
        <f>TEXT(Table1[[#This Row],[Order Date]],"mmm")</f>
        <v>Mar</v>
      </c>
      <c r="N1203" s="1">
        <f>YEAR(Table1[[#This Row],[Order Date]])</f>
        <v>2023</v>
      </c>
    </row>
    <row r="1204" spans="1:14" x14ac:dyDescent="0.35">
      <c r="A1204" s="1" t="s">
        <v>1874</v>
      </c>
      <c r="B1204" s="1" t="s">
        <v>1618</v>
      </c>
      <c r="C1204" s="1" t="s">
        <v>94</v>
      </c>
      <c r="D1204" s="1" t="s">
        <v>15</v>
      </c>
      <c r="E1204" s="1" t="s">
        <v>16</v>
      </c>
      <c r="F1204" s="1" t="s">
        <v>15</v>
      </c>
      <c r="G1204" s="1">
        <v>2</v>
      </c>
      <c r="H1204" s="1">
        <v>14606</v>
      </c>
      <c r="I1204" s="1">
        <v>0.05</v>
      </c>
      <c r="J1204" s="1">
        <v>27751.4</v>
      </c>
      <c r="K1204" s="1">
        <v>3943.51</v>
      </c>
      <c r="L1204" s="1" t="s">
        <v>70</v>
      </c>
      <c r="M1204" s="1" t="str">
        <f>TEXT(Table1[[#This Row],[Order Date]],"mmm")</f>
        <v>Mar</v>
      </c>
      <c r="N1204" s="1">
        <f>YEAR(Table1[[#This Row],[Order Date]])</f>
        <v>2024</v>
      </c>
    </row>
    <row r="1205" spans="1:14" x14ac:dyDescent="0.35">
      <c r="A1205" s="1" t="s">
        <v>1875</v>
      </c>
      <c r="B1205" s="1" t="s">
        <v>1876</v>
      </c>
      <c r="C1205" s="1" t="s">
        <v>20</v>
      </c>
      <c r="D1205" s="1" t="s">
        <v>74</v>
      </c>
      <c r="E1205" s="1" t="s">
        <v>22</v>
      </c>
      <c r="F1205" s="1" t="s">
        <v>74</v>
      </c>
      <c r="G1205" s="1">
        <v>1</v>
      </c>
      <c r="H1205" s="1">
        <v>6008</v>
      </c>
      <c r="I1205" s="1">
        <v>0.2</v>
      </c>
      <c r="J1205" s="1">
        <v>4806.3999999999996</v>
      </c>
      <c r="K1205" s="1">
        <v>662.04</v>
      </c>
      <c r="L1205" s="1" t="s">
        <v>45</v>
      </c>
      <c r="M1205" s="1" t="str">
        <f>TEXT(Table1[[#This Row],[Order Date]],"mmm")</f>
        <v>Feb</v>
      </c>
      <c r="N1205" s="1">
        <f>YEAR(Table1[[#This Row],[Order Date]])</f>
        <v>2024</v>
      </c>
    </row>
    <row r="1206" spans="1:14" x14ac:dyDescent="0.35">
      <c r="A1206" s="1" t="s">
        <v>1877</v>
      </c>
      <c r="B1206" s="1" t="s">
        <v>1878</v>
      </c>
      <c r="C1206" s="1" t="s">
        <v>67</v>
      </c>
      <c r="D1206" s="1" t="s">
        <v>21</v>
      </c>
      <c r="E1206" s="1" t="s">
        <v>22</v>
      </c>
      <c r="F1206" s="1" t="s">
        <v>21</v>
      </c>
      <c r="G1206" s="1">
        <v>14</v>
      </c>
      <c r="H1206" s="1">
        <v>5393</v>
      </c>
      <c r="I1206" s="1">
        <v>0.2</v>
      </c>
      <c r="J1206" s="1">
        <v>60401.599999999999</v>
      </c>
      <c r="K1206" s="1">
        <v>10225.530000000001</v>
      </c>
      <c r="L1206" s="1" t="s">
        <v>23</v>
      </c>
      <c r="M1206" s="1" t="str">
        <f>TEXT(Table1[[#This Row],[Order Date]],"mmm")</f>
        <v>Jun</v>
      </c>
      <c r="N1206" s="1">
        <f>YEAR(Table1[[#This Row],[Order Date]])</f>
        <v>2024</v>
      </c>
    </row>
    <row r="1207" spans="1:14" x14ac:dyDescent="0.35">
      <c r="A1207" s="1" t="s">
        <v>1879</v>
      </c>
      <c r="B1207" s="1" t="s">
        <v>174</v>
      </c>
      <c r="C1207" s="1" t="s">
        <v>158</v>
      </c>
      <c r="D1207" s="1" t="s">
        <v>151</v>
      </c>
      <c r="E1207" s="1" t="s">
        <v>22</v>
      </c>
      <c r="F1207" s="1" t="s">
        <v>151</v>
      </c>
      <c r="G1207" s="1">
        <v>3</v>
      </c>
      <c r="H1207" s="1">
        <v>48878</v>
      </c>
      <c r="I1207" s="1">
        <v>0.1</v>
      </c>
      <c r="J1207" s="1">
        <v>131970.6</v>
      </c>
      <c r="K1207" s="1">
        <v>21552.68</v>
      </c>
      <c r="L1207" s="1" t="s">
        <v>23</v>
      </c>
      <c r="M1207" s="1" t="str">
        <f>TEXT(Table1[[#This Row],[Order Date]],"mmm")</f>
        <v>Jun</v>
      </c>
      <c r="N1207" s="1">
        <f>YEAR(Table1[[#This Row],[Order Date]])</f>
        <v>2024</v>
      </c>
    </row>
    <row r="1208" spans="1:14" x14ac:dyDescent="0.35">
      <c r="A1208" s="1" t="s">
        <v>1880</v>
      </c>
      <c r="B1208" s="1" t="s">
        <v>1235</v>
      </c>
      <c r="C1208" s="1" t="s">
        <v>255</v>
      </c>
      <c r="D1208" s="1" t="s">
        <v>60</v>
      </c>
      <c r="E1208" s="1" t="s">
        <v>33</v>
      </c>
      <c r="F1208" s="1" t="s">
        <v>60</v>
      </c>
      <c r="G1208" s="1">
        <v>11</v>
      </c>
      <c r="H1208" s="1">
        <v>59334</v>
      </c>
      <c r="I1208" s="1">
        <v>0.05</v>
      </c>
      <c r="J1208" s="1">
        <v>620040.30000000005</v>
      </c>
      <c r="K1208" s="1">
        <v>100567.46</v>
      </c>
      <c r="L1208" s="1" t="s">
        <v>17</v>
      </c>
      <c r="M1208" s="1" t="str">
        <f>TEXT(Table1[[#This Row],[Order Date]],"mmm")</f>
        <v>Oct</v>
      </c>
      <c r="N1208" s="1">
        <f>YEAR(Table1[[#This Row],[Order Date]])</f>
        <v>2024</v>
      </c>
    </row>
    <row r="1209" spans="1:14" x14ac:dyDescent="0.35">
      <c r="A1209" s="1" t="s">
        <v>1881</v>
      </c>
      <c r="B1209" s="1" t="s">
        <v>746</v>
      </c>
      <c r="C1209" s="1" t="s">
        <v>349</v>
      </c>
      <c r="D1209" s="1" t="s">
        <v>15</v>
      </c>
      <c r="E1209" s="1" t="s">
        <v>16</v>
      </c>
      <c r="F1209" s="1" t="s">
        <v>15</v>
      </c>
      <c r="G1209" s="1">
        <v>14</v>
      </c>
      <c r="H1209" s="1">
        <v>52903</v>
      </c>
      <c r="I1209" s="1">
        <v>0.15</v>
      </c>
      <c r="J1209" s="1">
        <v>629545.69999999995</v>
      </c>
      <c r="K1209" s="1">
        <v>153407.35</v>
      </c>
      <c r="L1209" s="1" t="s">
        <v>17</v>
      </c>
      <c r="M1209" s="1" t="str">
        <f>TEXT(Table1[[#This Row],[Order Date]],"mmm")</f>
        <v>Mar</v>
      </c>
      <c r="N1209" s="1">
        <f>YEAR(Table1[[#This Row],[Order Date]])</f>
        <v>2024</v>
      </c>
    </row>
    <row r="1210" spans="1:14" x14ac:dyDescent="0.35">
      <c r="A1210" s="1" t="s">
        <v>1882</v>
      </c>
      <c r="B1210" s="1" t="s">
        <v>1121</v>
      </c>
      <c r="C1210" s="1" t="s">
        <v>120</v>
      </c>
      <c r="D1210" s="1" t="s">
        <v>323</v>
      </c>
      <c r="E1210" s="1" t="s">
        <v>33</v>
      </c>
      <c r="F1210" s="1" t="s">
        <v>323</v>
      </c>
      <c r="G1210" s="1">
        <v>11</v>
      </c>
      <c r="H1210" s="1">
        <v>11539</v>
      </c>
      <c r="I1210" s="1">
        <v>0.05</v>
      </c>
      <c r="J1210" s="1">
        <v>120582.55</v>
      </c>
      <c r="K1210" s="1">
        <v>22294.65</v>
      </c>
      <c r="L1210" s="1" t="s">
        <v>70</v>
      </c>
      <c r="M1210" s="1" t="str">
        <f>TEXT(Table1[[#This Row],[Order Date]],"mmm")</f>
        <v>Nov</v>
      </c>
      <c r="N1210" s="1">
        <f>YEAR(Table1[[#This Row],[Order Date]])</f>
        <v>2024</v>
      </c>
    </row>
    <row r="1211" spans="1:14" x14ac:dyDescent="0.35">
      <c r="A1211" s="1" t="s">
        <v>1883</v>
      </c>
      <c r="B1211" s="1" t="s">
        <v>1568</v>
      </c>
      <c r="C1211" s="1" t="s">
        <v>349</v>
      </c>
      <c r="D1211" s="1" t="s">
        <v>293</v>
      </c>
      <c r="E1211" s="1" t="s">
        <v>33</v>
      </c>
      <c r="F1211" s="1" t="s">
        <v>293</v>
      </c>
      <c r="G1211" s="1">
        <v>8</v>
      </c>
      <c r="H1211" s="1">
        <v>53032</v>
      </c>
      <c r="I1211" s="1">
        <v>0.15</v>
      </c>
      <c r="J1211" s="1">
        <v>360617.6</v>
      </c>
      <c r="K1211" s="1">
        <v>62316.11</v>
      </c>
      <c r="L1211" s="1" t="s">
        <v>17</v>
      </c>
      <c r="M1211" s="1" t="str">
        <f>TEXT(Table1[[#This Row],[Order Date]],"mmm")</f>
        <v>Feb</v>
      </c>
      <c r="N1211" s="1">
        <f>YEAR(Table1[[#This Row],[Order Date]])</f>
        <v>2024</v>
      </c>
    </row>
    <row r="1212" spans="1:14" x14ac:dyDescent="0.35">
      <c r="A1212" s="1" t="s">
        <v>1884</v>
      </c>
      <c r="B1212" s="1" t="s">
        <v>238</v>
      </c>
      <c r="C1212" s="1" t="s">
        <v>362</v>
      </c>
      <c r="D1212" s="1" t="s">
        <v>179</v>
      </c>
      <c r="E1212" s="1" t="s">
        <v>28</v>
      </c>
      <c r="F1212" s="1" t="s">
        <v>179</v>
      </c>
      <c r="G1212" s="1">
        <v>12</v>
      </c>
      <c r="H1212" s="1">
        <v>11706</v>
      </c>
      <c r="I1212" s="1">
        <v>0</v>
      </c>
      <c r="J1212" s="1">
        <v>140472</v>
      </c>
      <c r="K1212" s="1">
        <v>40489.699999999997</v>
      </c>
      <c r="L1212" s="1" t="s">
        <v>17</v>
      </c>
      <c r="M1212" s="1" t="str">
        <f>TEXT(Table1[[#This Row],[Order Date]],"mmm")</f>
        <v>Dec</v>
      </c>
      <c r="N1212" s="1">
        <f>YEAR(Table1[[#This Row],[Order Date]])</f>
        <v>2023</v>
      </c>
    </row>
    <row r="1213" spans="1:14" x14ac:dyDescent="0.35">
      <c r="A1213" s="1" t="s">
        <v>1885</v>
      </c>
      <c r="B1213" s="1" t="s">
        <v>1886</v>
      </c>
      <c r="C1213" s="1" t="s">
        <v>67</v>
      </c>
      <c r="D1213" s="1" t="s">
        <v>137</v>
      </c>
      <c r="E1213" s="1" t="s">
        <v>22</v>
      </c>
      <c r="F1213" s="1" t="s">
        <v>137</v>
      </c>
      <c r="G1213" s="1">
        <v>3</v>
      </c>
      <c r="H1213" s="1">
        <v>47871</v>
      </c>
      <c r="I1213" s="1">
        <v>0.2</v>
      </c>
      <c r="J1213" s="1">
        <v>114890.4</v>
      </c>
      <c r="K1213" s="1">
        <v>25066.9</v>
      </c>
      <c r="L1213" s="1" t="s">
        <v>45</v>
      </c>
      <c r="M1213" s="1" t="str">
        <f>TEXT(Table1[[#This Row],[Order Date]],"mmm")</f>
        <v>Apr</v>
      </c>
      <c r="N1213" s="1">
        <f>YEAR(Table1[[#This Row],[Order Date]])</f>
        <v>2024</v>
      </c>
    </row>
    <row r="1214" spans="1:14" x14ac:dyDescent="0.35">
      <c r="A1214" s="1" t="s">
        <v>1887</v>
      </c>
      <c r="B1214" s="1" t="s">
        <v>956</v>
      </c>
      <c r="C1214" s="1" t="s">
        <v>94</v>
      </c>
      <c r="D1214" s="1" t="s">
        <v>44</v>
      </c>
      <c r="E1214" s="1" t="s">
        <v>28</v>
      </c>
      <c r="F1214" s="1" t="s">
        <v>44</v>
      </c>
      <c r="G1214" s="1">
        <v>6</v>
      </c>
      <c r="H1214" s="1">
        <v>42293</v>
      </c>
      <c r="I1214" s="1">
        <v>0.05</v>
      </c>
      <c r="J1214" s="1">
        <v>241070.1</v>
      </c>
      <c r="K1214" s="1">
        <v>56047.28</v>
      </c>
      <c r="L1214" s="1" t="s">
        <v>45</v>
      </c>
      <c r="M1214" s="1" t="str">
        <f>TEXT(Table1[[#This Row],[Order Date]],"mmm")</f>
        <v>Aug</v>
      </c>
      <c r="N1214" s="1">
        <f>YEAR(Table1[[#This Row],[Order Date]])</f>
        <v>2024</v>
      </c>
    </row>
    <row r="1215" spans="1:14" x14ac:dyDescent="0.35">
      <c r="A1215" s="1" t="s">
        <v>1888</v>
      </c>
      <c r="B1215" s="1" t="s">
        <v>35</v>
      </c>
      <c r="C1215" s="1" t="s">
        <v>117</v>
      </c>
      <c r="D1215" s="1" t="s">
        <v>85</v>
      </c>
      <c r="E1215" s="1" t="s">
        <v>28</v>
      </c>
      <c r="F1215" s="1" t="s">
        <v>85</v>
      </c>
      <c r="G1215" s="1">
        <v>13</v>
      </c>
      <c r="H1215" s="1">
        <v>15551</v>
      </c>
      <c r="I1215" s="1">
        <v>0</v>
      </c>
      <c r="J1215" s="1">
        <v>202163</v>
      </c>
      <c r="K1215" s="1">
        <v>18135.13</v>
      </c>
      <c r="L1215" s="1" t="s">
        <v>17</v>
      </c>
      <c r="M1215" s="1" t="str">
        <f>TEXT(Table1[[#This Row],[Order Date]],"mmm")</f>
        <v>Jan</v>
      </c>
      <c r="N1215" s="1">
        <f>YEAR(Table1[[#This Row],[Order Date]])</f>
        <v>2023</v>
      </c>
    </row>
    <row r="1216" spans="1:14" x14ac:dyDescent="0.35">
      <c r="A1216" s="1" t="s">
        <v>1889</v>
      </c>
      <c r="B1216" s="1" t="s">
        <v>1890</v>
      </c>
      <c r="C1216" s="1" t="s">
        <v>107</v>
      </c>
      <c r="D1216" s="1" t="s">
        <v>44</v>
      </c>
      <c r="E1216" s="1" t="s">
        <v>28</v>
      </c>
      <c r="F1216" s="1" t="s">
        <v>44</v>
      </c>
      <c r="G1216" s="1">
        <v>10</v>
      </c>
      <c r="H1216" s="1">
        <v>55334</v>
      </c>
      <c r="I1216" s="1">
        <v>0.1</v>
      </c>
      <c r="J1216" s="1">
        <v>498006</v>
      </c>
      <c r="K1216" s="1">
        <v>137216.78</v>
      </c>
      <c r="L1216" s="1" t="s">
        <v>70</v>
      </c>
      <c r="M1216" s="1" t="str">
        <f>TEXT(Table1[[#This Row],[Order Date]],"mmm")</f>
        <v>Oct</v>
      </c>
      <c r="N1216" s="1">
        <f>YEAR(Table1[[#This Row],[Order Date]])</f>
        <v>2023</v>
      </c>
    </row>
    <row r="1217" spans="1:14" x14ac:dyDescent="0.35">
      <c r="A1217" s="1" t="s">
        <v>1891</v>
      </c>
      <c r="B1217" s="1" t="s">
        <v>419</v>
      </c>
      <c r="C1217" s="1" t="s">
        <v>155</v>
      </c>
      <c r="D1217" s="1" t="s">
        <v>151</v>
      </c>
      <c r="E1217" s="1" t="s">
        <v>22</v>
      </c>
      <c r="F1217" s="1" t="s">
        <v>151</v>
      </c>
      <c r="G1217" s="1">
        <v>12</v>
      </c>
      <c r="H1217" s="1">
        <v>58057</v>
      </c>
      <c r="I1217" s="1">
        <v>0.1</v>
      </c>
      <c r="J1217" s="1">
        <v>627015.6</v>
      </c>
      <c r="K1217" s="1">
        <v>144674.39000000001</v>
      </c>
      <c r="L1217" s="1" t="s">
        <v>23</v>
      </c>
      <c r="M1217" s="1" t="str">
        <f>TEXT(Table1[[#This Row],[Order Date]],"mmm")</f>
        <v>Feb</v>
      </c>
      <c r="N1217" s="1">
        <f>YEAR(Table1[[#This Row],[Order Date]])</f>
        <v>2024</v>
      </c>
    </row>
    <row r="1218" spans="1:14" x14ac:dyDescent="0.35">
      <c r="A1218" s="1" t="s">
        <v>1892</v>
      </c>
      <c r="B1218" s="1" t="s">
        <v>1893</v>
      </c>
      <c r="C1218" s="1" t="s">
        <v>146</v>
      </c>
      <c r="D1218" s="1" t="s">
        <v>15</v>
      </c>
      <c r="E1218" s="1" t="s">
        <v>16</v>
      </c>
      <c r="F1218" s="1" t="s">
        <v>15</v>
      </c>
      <c r="G1218" s="1">
        <v>14</v>
      </c>
      <c r="H1218" s="1">
        <v>13670</v>
      </c>
      <c r="I1218" s="1">
        <v>0.2</v>
      </c>
      <c r="J1218" s="1">
        <v>153104</v>
      </c>
      <c r="K1218" s="1">
        <v>34039.129999999997</v>
      </c>
      <c r="L1218" s="1" t="s">
        <v>17</v>
      </c>
      <c r="M1218" s="1" t="str">
        <f>TEXT(Table1[[#This Row],[Order Date]],"mmm")</f>
        <v>Jul</v>
      </c>
      <c r="N1218" s="1">
        <f>YEAR(Table1[[#This Row],[Order Date]])</f>
        <v>2024</v>
      </c>
    </row>
    <row r="1219" spans="1:14" x14ac:dyDescent="0.35">
      <c r="A1219" s="1" t="s">
        <v>1894</v>
      </c>
      <c r="B1219" s="1" t="s">
        <v>875</v>
      </c>
      <c r="C1219" s="1" t="s">
        <v>26</v>
      </c>
      <c r="D1219" s="1" t="s">
        <v>15</v>
      </c>
      <c r="E1219" s="1" t="s">
        <v>16</v>
      </c>
      <c r="F1219" s="1" t="s">
        <v>15</v>
      </c>
      <c r="G1219" s="1">
        <v>9</v>
      </c>
      <c r="H1219" s="1">
        <v>28206</v>
      </c>
      <c r="I1219" s="1">
        <v>0.2</v>
      </c>
      <c r="J1219" s="1">
        <v>203083.2</v>
      </c>
      <c r="K1219" s="1">
        <v>44345.54</v>
      </c>
      <c r="L1219" s="1" t="s">
        <v>45</v>
      </c>
      <c r="M1219" s="1" t="str">
        <f>TEXT(Table1[[#This Row],[Order Date]],"mmm")</f>
        <v>Mar</v>
      </c>
      <c r="N1219" s="1">
        <f>YEAR(Table1[[#This Row],[Order Date]])</f>
        <v>2024</v>
      </c>
    </row>
    <row r="1220" spans="1:14" x14ac:dyDescent="0.35">
      <c r="A1220" s="1" t="s">
        <v>1895</v>
      </c>
      <c r="B1220" s="1" t="s">
        <v>1019</v>
      </c>
      <c r="C1220" s="1" t="s">
        <v>120</v>
      </c>
      <c r="D1220" s="1" t="s">
        <v>137</v>
      </c>
      <c r="E1220" s="1" t="s">
        <v>22</v>
      </c>
      <c r="F1220" s="1" t="s">
        <v>137</v>
      </c>
      <c r="G1220" s="1">
        <v>11</v>
      </c>
      <c r="H1220" s="1">
        <v>12478</v>
      </c>
      <c r="I1220" s="1">
        <v>0.2</v>
      </c>
      <c r="J1220" s="1">
        <v>109806.39999999999</v>
      </c>
      <c r="K1220" s="1">
        <v>18048.099999999999</v>
      </c>
      <c r="L1220" s="1" t="s">
        <v>70</v>
      </c>
      <c r="M1220" s="1" t="str">
        <f>TEXT(Table1[[#This Row],[Order Date]],"mmm")</f>
        <v>Jun</v>
      </c>
      <c r="N1220" s="1">
        <f>YEAR(Table1[[#This Row],[Order Date]])</f>
        <v>2024</v>
      </c>
    </row>
    <row r="1221" spans="1:14" x14ac:dyDescent="0.35">
      <c r="A1221" s="1" t="s">
        <v>1896</v>
      </c>
      <c r="B1221" s="1" t="s">
        <v>802</v>
      </c>
      <c r="C1221" s="1" t="s">
        <v>20</v>
      </c>
      <c r="D1221" s="1" t="s">
        <v>151</v>
      </c>
      <c r="E1221" s="1" t="s">
        <v>22</v>
      </c>
      <c r="F1221" s="1" t="s">
        <v>151</v>
      </c>
      <c r="G1221" s="1">
        <v>10</v>
      </c>
      <c r="H1221" s="1">
        <v>7898</v>
      </c>
      <c r="I1221" s="1">
        <v>0</v>
      </c>
      <c r="J1221" s="1">
        <v>78980</v>
      </c>
      <c r="K1221" s="1">
        <v>15944.1</v>
      </c>
      <c r="L1221" s="1" t="s">
        <v>23</v>
      </c>
      <c r="M1221" s="1" t="str">
        <f>TEXT(Table1[[#This Row],[Order Date]],"mmm")</f>
        <v>Jan</v>
      </c>
      <c r="N1221" s="1">
        <f>YEAR(Table1[[#This Row],[Order Date]])</f>
        <v>2024</v>
      </c>
    </row>
    <row r="1222" spans="1:14" x14ac:dyDescent="0.35">
      <c r="A1222" s="1" t="s">
        <v>1897</v>
      </c>
      <c r="B1222" s="1" t="s">
        <v>676</v>
      </c>
      <c r="C1222" s="1" t="s">
        <v>73</v>
      </c>
      <c r="D1222" s="1" t="s">
        <v>64</v>
      </c>
      <c r="E1222" s="1" t="s">
        <v>33</v>
      </c>
      <c r="F1222" s="1" t="s">
        <v>64</v>
      </c>
      <c r="G1222" s="1">
        <v>4</v>
      </c>
      <c r="H1222" s="1">
        <v>9285</v>
      </c>
      <c r="I1222" s="1">
        <v>0.1</v>
      </c>
      <c r="J1222" s="1">
        <v>33426</v>
      </c>
      <c r="K1222" s="1">
        <v>5750.5</v>
      </c>
      <c r="L1222" s="1" t="s">
        <v>45</v>
      </c>
      <c r="M1222" s="1" t="str">
        <f>TEXT(Table1[[#This Row],[Order Date]],"mmm")</f>
        <v>Oct</v>
      </c>
      <c r="N1222" s="1">
        <f>YEAR(Table1[[#This Row],[Order Date]])</f>
        <v>2023</v>
      </c>
    </row>
    <row r="1223" spans="1:14" x14ac:dyDescent="0.35">
      <c r="A1223" s="1" t="s">
        <v>1898</v>
      </c>
      <c r="B1223" s="1" t="s">
        <v>1149</v>
      </c>
      <c r="C1223" s="1" t="s">
        <v>158</v>
      </c>
      <c r="D1223" s="1" t="s">
        <v>85</v>
      </c>
      <c r="E1223" s="1" t="s">
        <v>28</v>
      </c>
      <c r="F1223" s="1" t="s">
        <v>85</v>
      </c>
      <c r="G1223" s="1">
        <v>5</v>
      </c>
      <c r="H1223" s="1">
        <v>50559</v>
      </c>
      <c r="I1223" s="1">
        <v>0.15</v>
      </c>
      <c r="J1223" s="1">
        <v>214875.75</v>
      </c>
      <c r="K1223" s="1">
        <v>25451.18</v>
      </c>
      <c r="L1223" s="1" t="s">
        <v>17</v>
      </c>
      <c r="M1223" s="1" t="str">
        <f>TEXT(Table1[[#This Row],[Order Date]],"mmm")</f>
        <v>Jul</v>
      </c>
      <c r="N1223" s="1">
        <f>YEAR(Table1[[#This Row],[Order Date]])</f>
        <v>2024</v>
      </c>
    </row>
    <row r="1224" spans="1:14" x14ac:dyDescent="0.35">
      <c r="A1224" s="1" t="s">
        <v>1899</v>
      </c>
      <c r="B1224" s="1" t="s">
        <v>1460</v>
      </c>
      <c r="C1224" s="1" t="s">
        <v>98</v>
      </c>
      <c r="D1224" s="1" t="s">
        <v>44</v>
      </c>
      <c r="E1224" s="1" t="s">
        <v>28</v>
      </c>
      <c r="F1224" s="1" t="s">
        <v>44</v>
      </c>
      <c r="G1224" s="1">
        <v>6</v>
      </c>
      <c r="H1224" s="1">
        <v>52927</v>
      </c>
      <c r="I1224" s="1">
        <v>0.05</v>
      </c>
      <c r="J1224" s="1">
        <v>301683.90000000002</v>
      </c>
      <c r="K1224" s="1">
        <v>65460.88</v>
      </c>
      <c r="L1224" s="1" t="s">
        <v>45</v>
      </c>
      <c r="M1224" s="1" t="str">
        <f>TEXT(Table1[[#This Row],[Order Date]],"mmm")</f>
        <v>Feb</v>
      </c>
      <c r="N1224" s="1">
        <f>YEAR(Table1[[#This Row],[Order Date]])</f>
        <v>2023</v>
      </c>
    </row>
    <row r="1225" spans="1:14" x14ac:dyDescent="0.35">
      <c r="A1225" s="1" t="s">
        <v>1900</v>
      </c>
      <c r="B1225" s="1" t="s">
        <v>377</v>
      </c>
      <c r="C1225" s="1" t="s">
        <v>136</v>
      </c>
      <c r="D1225" s="1" t="s">
        <v>179</v>
      </c>
      <c r="E1225" s="1" t="s">
        <v>28</v>
      </c>
      <c r="F1225" s="1" t="s">
        <v>179</v>
      </c>
      <c r="G1225" s="1">
        <v>8</v>
      </c>
      <c r="H1225" s="1">
        <v>36820</v>
      </c>
      <c r="I1225" s="1">
        <v>0.15</v>
      </c>
      <c r="J1225" s="1">
        <v>250376</v>
      </c>
      <c r="K1225" s="1">
        <v>57000.33</v>
      </c>
      <c r="L1225" s="1" t="s">
        <v>70</v>
      </c>
      <c r="M1225" s="1" t="str">
        <f>TEXT(Table1[[#This Row],[Order Date]],"mmm")</f>
        <v>Jul</v>
      </c>
      <c r="N1225" s="1">
        <f>YEAR(Table1[[#This Row],[Order Date]])</f>
        <v>2024</v>
      </c>
    </row>
    <row r="1226" spans="1:14" x14ac:dyDescent="0.35">
      <c r="A1226" s="1" t="s">
        <v>1901</v>
      </c>
      <c r="B1226" s="1" t="s">
        <v>909</v>
      </c>
      <c r="C1226" s="1" t="s">
        <v>81</v>
      </c>
      <c r="D1226" s="1" t="s">
        <v>37</v>
      </c>
      <c r="E1226" s="1" t="s">
        <v>16</v>
      </c>
      <c r="F1226" s="1" t="s">
        <v>37</v>
      </c>
      <c r="G1226" s="1">
        <v>13</v>
      </c>
      <c r="H1226" s="1">
        <v>32442</v>
      </c>
      <c r="I1226" s="1">
        <v>0.05</v>
      </c>
      <c r="J1226" s="1">
        <v>400658.7</v>
      </c>
      <c r="K1226" s="1">
        <v>102828.63</v>
      </c>
      <c r="L1226" s="1" t="s">
        <v>23</v>
      </c>
      <c r="M1226" s="1" t="str">
        <f>TEXT(Table1[[#This Row],[Order Date]],"mmm")</f>
        <v>Sep</v>
      </c>
      <c r="N1226" s="1">
        <f>YEAR(Table1[[#This Row],[Order Date]])</f>
        <v>2024</v>
      </c>
    </row>
    <row r="1227" spans="1:14" x14ac:dyDescent="0.35">
      <c r="A1227" s="1" t="s">
        <v>1902</v>
      </c>
      <c r="B1227" s="1" t="s">
        <v>676</v>
      </c>
      <c r="C1227" s="1" t="s">
        <v>81</v>
      </c>
      <c r="D1227" s="1" t="s">
        <v>44</v>
      </c>
      <c r="E1227" s="1" t="s">
        <v>28</v>
      </c>
      <c r="F1227" s="1" t="s">
        <v>44</v>
      </c>
      <c r="G1227" s="1">
        <v>13</v>
      </c>
      <c r="H1227" s="1">
        <v>12951</v>
      </c>
      <c r="I1227" s="1">
        <v>0.15</v>
      </c>
      <c r="J1227" s="1">
        <v>143108.54999999999</v>
      </c>
      <c r="K1227" s="1">
        <v>12119.7</v>
      </c>
      <c r="L1227" s="1" t="s">
        <v>17</v>
      </c>
      <c r="M1227" s="1" t="str">
        <f>TEXT(Table1[[#This Row],[Order Date]],"mmm")</f>
        <v>Oct</v>
      </c>
      <c r="N1227" s="1">
        <f>YEAR(Table1[[#This Row],[Order Date]])</f>
        <v>2023</v>
      </c>
    </row>
    <row r="1228" spans="1:14" x14ac:dyDescent="0.35">
      <c r="A1228" s="1" t="s">
        <v>1903</v>
      </c>
      <c r="B1228" s="1" t="s">
        <v>681</v>
      </c>
      <c r="C1228" s="1" t="s">
        <v>335</v>
      </c>
      <c r="D1228" s="1" t="s">
        <v>15</v>
      </c>
      <c r="E1228" s="1" t="s">
        <v>16</v>
      </c>
      <c r="F1228" s="1" t="s">
        <v>15</v>
      </c>
      <c r="G1228" s="1">
        <v>11</v>
      </c>
      <c r="H1228" s="1">
        <v>29143</v>
      </c>
      <c r="I1228" s="1">
        <v>0</v>
      </c>
      <c r="J1228" s="1">
        <v>320573</v>
      </c>
      <c r="K1228" s="1">
        <v>74391.350000000006</v>
      </c>
      <c r="L1228" s="1" t="s">
        <v>23</v>
      </c>
      <c r="M1228" s="1" t="str">
        <f>TEXT(Table1[[#This Row],[Order Date]],"mmm")</f>
        <v>Apr</v>
      </c>
      <c r="N1228" s="1">
        <f>YEAR(Table1[[#This Row],[Order Date]])</f>
        <v>2024</v>
      </c>
    </row>
    <row r="1229" spans="1:14" x14ac:dyDescent="0.35">
      <c r="A1229" s="1" t="s">
        <v>1904</v>
      </c>
      <c r="B1229" s="1" t="s">
        <v>437</v>
      </c>
      <c r="C1229" s="1" t="s">
        <v>158</v>
      </c>
      <c r="D1229" s="1" t="s">
        <v>37</v>
      </c>
      <c r="E1229" s="1" t="s">
        <v>16</v>
      </c>
      <c r="F1229" s="1" t="s">
        <v>37</v>
      </c>
      <c r="G1229" s="1">
        <v>6</v>
      </c>
      <c r="H1229" s="1">
        <v>11861</v>
      </c>
      <c r="I1229" s="1">
        <v>0</v>
      </c>
      <c r="J1229" s="1">
        <v>71166</v>
      </c>
      <c r="K1229" s="1">
        <v>7288.4</v>
      </c>
      <c r="L1229" s="1" t="s">
        <v>70</v>
      </c>
      <c r="M1229" s="1" t="str">
        <f>TEXT(Table1[[#This Row],[Order Date]],"mmm")</f>
        <v>Mar</v>
      </c>
      <c r="N1229" s="1">
        <f>YEAR(Table1[[#This Row],[Order Date]])</f>
        <v>2023</v>
      </c>
    </row>
    <row r="1230" spans="1:14" x14ac:dyDescent="0.35">
      <c r="A1230" s="1" t="s">
        <v>1905</v>
      </c>
      <c r="B1230" s="1" t="s">
        <v>692</v>
      </c>
      <c r="C1230" s="1" t="s">
        <v>125</v>
      </c>
      <c r="D1230" s="1" t="s">
        <v>41</v>
      </c>
      <c r="E1230" s="1" t="s">
        <v>16</v>
      </c>
      <c r="F1230" s="1" t="s">
        <v>41</v>
      </c>
      <c r="G1230" s="1">
        <v>12</v>
      </c>
      <c r="H1230" s="1">
        <v>6838</v>
      </c>
      <c r="I1230" s="1">
        <v>0.2</v>
      </c>
      <c r="J1230" s="1">
        <v>65644.800000000003</v>
      </c>
      <c r="K1230" s="1">
        <v>5361.34</v>
      </c>
      <c r="L1230" s="1" t="s">
        <v>70</v>
      </c>
      <c r="M1230" s="1" t="str">
        <f>TEXT(Table1[[#This Row],[Order Date]],"mmm")</f>
        <v>Nov</v>
      </c>
      <c r="N1230" s="1">
        <f>YEAR(Table1[[#This Row],[Order Date]])</f>
        <v>2023</v>
      </c>
    </row>
    <row r="1231" spans="1:14" x14ac:dyDescent="0.35">
      <c r="A1231" s="1" t="s">
        <v>1906</v>
      </c>
      <c r="B1231" s="1" t="s">
        <v>1907</v>
      </c>
      <c r="C1231" s="1" t="s">
        <v>55</v>
      </c>
      <c r="D1231" s="1" t="s">
        <v>52</v>
      </c>
      <c r="E1231" s="1" t="s">
        <v>28</v>
      </c>
      <c r="F1231" s="1" t="s">
        <v>52</v>
      </c>
      <c r="G1231" s="1">
        <v>1</v>
      </c>
      <c r="H1231" s="1">
        <v>11705</v>
      </c>
      <c r="I1231" s="1">
        <v>0.1</v>
      </c>
      <c r="J1231" s="1">
        <v>10534.5</v>
      </c>
      <c r="K1231" s="1">
        <v>1916.23</v>
      </c>
      <c r="L1231" s="1" t="s">
        <v>17</v>
      </c>
      <c r="M1231" s="1" t="str">
        <f>TEXT(Table1[[#This Row],[Order Date]],"mmm")</f>
        <v>Jan</v>
      </c>
      <c r="N1231" s="1">
        <f>YEAR(Table1[[#This Row],[Order Date]])</f>
        <v>2024</v>
      </c>
    </row>
    <row r="1232" spans="1:14" x14ac:dyDescent="0.35">
      <c r="A1232" s="1" t="s">
        <v>1908</v>
      </c>
      <c r="B1232" s="1" t="s">
        <v>1909</v>
      </c>
      <c r="C1232" s="1" t="s">
        <v>14</v>
      </c>
      <c r="D1232" s="1" t="s">
        <v>179</v>
      </c>
      <c r="E1232" s="1" t="s">
        <v>28</v>
      </c>
      <c r="F1232" s="1" t="s">
        <v>179</v>
      </c>
      <c r="G1232" s="1">
        <v>3</v>
      </c>
      <c r="H1232" s="1">
        <v>54839</v>
      </c>
      <c r="I1232" s="1">
        <v>0.05</v>
      </c>
      <c r="J1232" s="1">
        <v>156291.15</v>
      </c>
      <c r="K1232" s="1">
        <v>23490.5</v>
      </c>
      <c r="L1232" s="1" t="s">
        <v>70</v>
      </c>
      <c r="M1232" s="1" t="str">
        <f>TEXT(Table1[[#This Row],[Order Date]],"mmm")</f>
        <v>Jun</v>
      </c>
      <c r="N1232" s="1">
        <f>YEAR(Table1[[#This Row],[Order Date]])</f>
        <v>2024</v>
      </c>
    </row>
    <row r="1233" spans="1:14" x14ac:dyDescent="0.35">
      <c r="A1233" s="1" t="s">
        <v>1910</v>
      </c>
      <c r="B1233" s="1" t="s">
        <v>731</v>
      </c>
      <c r="C1233" s="1" t="s">
        <v>260</v>
      </c>
      <c r="D1233" s="1" t="s">
        <v>151</v>
      </c>
      <c r="E1233" s="1" t="s">
        <v>22</v>
      </c>
      <c r="F1233" s="1" t="s">
        <v>151</v>
      </c>
      <c r="G1233" s="1">
        <v>2</v>
      </c>
      <c r="H1233" s="1">
        <v>52651</v>
      </c>
      <c r="I1233" s="1">
        <v>0.15</v>
      </c>
      <c r="J1233" s="1">
        <v>89506.7</v>
      </c>
      <c r="K1233" s="1">
        <v>9135.48</v>
      </c>
      <c r="L1233" s="1" t="s">
        <v>45</v>
      </c>
      <c r="M1233" s="1" t="str">
        <f>TEXT(Table1[[#This Row],[Order Date]],"mmm")</f>
        <v>Mar</v>
      </c>
      <c r="N1233" s="1">
        <f>YEAR(Table1[[#This Row],[Order Date]])</f>
        <v>2023</v>
      </c>
    </row>
    <row r="1234" spans="1:14" x14ac:dyDescent="0.35">
      <c r="A1234" s="1" t="s">
        <v>1911</v>
      </c>
      <c r="B1234" s="1" t="s">
        <v>589</v>
      </c>
      <c r="C1234" s="1" t="s">
        <v>178</v>
      </c>
      <c r="D1234" s="1" t="s">
        <v>137</v>
      </c>
      <c r="E1234" s="1" t="s">
        <v>22</v>
      </c>
      <c r="F1234" s="1" t="s">
        <v>137</v>
      </c>
      <c r="G1234" s="1">
        <v>9</v>
      </c>
      <c r="H1234" s="1">
        <v>43142</v>
      </c>
      <c r="I1234" s="1">
        <v>0.15</v>
      </c>
      <c r="J1234" s="1">
        <v>330036.3</v>
      </c>
      <c r="K1234" s="1">
        <v>38564.61</v>
      </c>
      <c r="L1234" s="1" t="s">
        <v>23</v>
      </c>
      <c r="M1234" s="1" t="str">
        <f>TEXT(Table1[[#This Row],[Order Date]],"mmm")</f>
        <v>Sep</v>
      </c>
      <c r="N1234" s="1">
        <f>YEAR(Table1[[#This Row],[Order Date]])</f>
        <v>2023</v>
      </c>
    </row>
    <row r="1235" spans="1:14" x14ac:dyDescent="0.35">
      <c r="A1235" s="1" t="s">
        <v>1912</v>
      </c>
      <c r="B1235" s="1" t="s">
        <v>19</v>
      </c>
      <c r="C1235" s="1" t="s">
        <v>203</v>
      </c>
      <c r="D1235" s="1" t="s">
        <v>56</v>
      </c>
      <c r="E1235" s="1" t="s">
        <v>22</v>
      </c>
      <c r="F1235" s="1" t="s">
        <v>56</v>
      </c>
      <c r="G1235" s="1">
        <v>2</v>
      </c>
      <c r="H1235" s="1">
        <v>49047</v>
      </c>
      <c r="I1235" s="1">
        <v>0</v>
      </c>
      <c r="J1235" s="1">
        <v>98094</v>
      </c>
      <c r="K1235" s="1">
        <v>27482.39</v>
      </c>
      <c r="L1235" s="1" t="s">
        <v>23</v>
      </c>
      <c r="M1235" s="1" t="str">
        <f>TEXT(Table1[[#This Row],[Order Date]],"mmm")</f>
        <v>Jul</v>
      </c>
      <c r="N1235" s="1">
        <f>YEAR(Table1[[#This Row],[Order Date]])</f>
        <v>2023</v>
      </c>
    </row>
    <row r="1236" spans="1:14" x14ac:dyDescent="0.35">
      <c r="A1236" s="1" t="s">
        <v>1913</v>
      </c>
      <c r="B1236" s="1" t="s">
        <v>284</v>
      </c>
      <c r="C1236" s="1" t="s">
        <v>40</v>
      </c>
      <c r="D1236" s="1" t="s">
        <v>44</v>
      </c>
      <c r="E1236" s="1" t="s">
        <v>28</v>
      </c>
      <c r="F1236" s="1" t="s">
        <v>44</v>
      </c>
      <c r="G1236" s="1">
        <v>4</v>
      </c>
      <c r="H1236" s="1">
        <v>19683</v>
      </c>
      <c r="I1236" s="1">
        <v>0.2</v>
      </c>
      <c r="J1236" s="1">
        <v>62985.599999999999</v>
      </c>
      <c r="K1236" s="1">
        <v>15969.15</v>
      </c>
      <c r="L1236" s="1" t="s">
        <v>23</v>
      </c>
      <c r="M1236" s="1" t="str">
        <f>TEXT(Table1[[#This Row],[Order Date]],"mmm")</f>
        <v>Nov</v>
      </c>
      <c r="N1236" s="1">
        <f>YEAR(Table1[[#This Row],[Order Date]])</f>
        <v>2023</v>
      </c>
    </row>
    <row r="1237" spans="1:14" x14ac:dyDescent="0.35">
      <c r="A1237" s="1" t="s">
        <v>1914</v>
      </c>
      <c r="B1237" s="1" t="s">
        <v>1915</v>
      </c>
      <c r="C1237" s="1" t="s">
        <v>362</v>
      </c>
      <c r="D1237" s="1" t="s">
        <v>85</v>
      </c>
      <c r="E1237" s="1" t="s">
        <v>28</v>
      </c>
      <c r="F1237" s="1" t="s">
        <v>85</v>
      </c>
      <c r="G1237" s="1">
        <v>14</v>
      </c>
      <c r="H1237" s="1">
        <v>59105</v>
      </c>
      <c r="I1237" s="1">
        <v>0</v>
      </c>
      <c r="J1237" s="1">
        <v>827470</v>
      </c>
      <c r="K1237" s="1">
        <v>142567.74</v>
      </c>
      <c r="L1237" s="1" t="s">
        <v>17</v>
      </c>
      <c r="M1237" s="1" t="str">
        <f>TEXT(Table1[[#This Row],[Order Date]],"mmm")</f>
        <v>Apr</v>
      </c>
      <c r="N1237" s="1">
        <f>YEAR(Table1[[#This Row],[Order Date]])</f>
        <v>2023</v>
      </c>
    </row>
    <row r="1238" spans="1:14" x14ac:dyDescent="0.35">
      <c r="A1238" s="1" t="s">
        <v>1916</v>
      </c>
      <c r="B1238" s="1" t="s">
        <v>952</v>
      </c>
      <c r="C1238" s="1" t="s">
        <v>128</v>
      </c>
      <c r="D1238" s="1" t="s">
        <v>56</v>
      </c>
      <c r="E1238" s="1" t="s">
        <v>22</v>
      </c>
      <c r="F1238" s="1" t="s">
        <v>56</v>
      </c>
      <c r="G1238" s="1">
        <v>9</v>
      </c>
      <c r="H1238" s="1">
        <v>54223</v>
      </c>
      <c r="I1238" s="1">
        <v>0.05</v>
      </c>
      <c r="J1238" s="1">
        <v>463606.65</v>
      </c>
      <c r="K1238" s="1">
        <v>110762.91</v>
      </c>
      <c r="L1238" s="1" t="s">
        <v>45</v>
      </c>
      <c r="M1238" s="1" t="str">
        <f>TEXT(Table1[[#This Row],[Order Date]],"mmm")</f>
        <v>Oct</v>
      </c>
      <c r="N1238" s="1">
        <f>YEAR(Table1[[#This Row],[Order Date]])</f>
        <v>2023</v>
      </c>
    </row>
    <row r="1239" spans="1:14" x14ac:dyDescent="0.35">
      <c r="A1239" s="1" t="s">
        <v>1917</v>
      </c>
      <c r="B1239" s="1" t="s">
        <v>1918</v>
      </c>
      <c r="C1239" s="1" t="s">
        <v>98</v>
      </c>
      <c r="D1239" s="1" t="s">
        <v>21</v>
      </c>
      <c r="E1239" s="1" t="s">
        <v>22</v>
      </c>
      <c r="F1239" s="1" t="s">
        <v>21</v>
      </c>
      <c r="G1239" s="1">
        <v>14</v>
      </c>
      <c r="H1239" s="1">
        <v>31656</v>
      </c>
      <c r="I1239" s="1">
        <v>0.05</v>
      </c>
      <c r="J1239" s="1">
        <v>421024.8</v>
      </c>
      <c r="K1239" s="1">
        <v>121051.34</v>
      </c>
      <c r="L1239" s="1" t="s">
        <v>17</v>
      </c>
      <c r="M1239" s="1" t="str">
        <f>TEXT(Table1[[#This Row],[Order Date]],"mmm")</f>
        <v>Aug</v>
      </c>
      <c r="N1239" s="1">
        <f>YEAR(Table1[[#This Row],[Order Date]])</f>
        <v>2023</v>
      </c>
    </row>
    <row r="1240" spans="1:14" x14ac:dyDescent="0.35">
      <c r="A1240" s="1" t="s">
        <v>1919</v>
      </c>
      <c r="B1240" s="1" t="s">
        <v>735</v>
      </c>
      <c r="C1240" s="1" t="s">
        <v>77</v>
      </c>
      <c r="D1240" s="1" t="s">
        <v>167</v>
      </c>
      <c r="E1240" s="1" t="s">
        <v>16</v>
      </c>
      <c r="F1240" s="1" t="s">
        <v>167</v>
      </c>
      <c r="G1240" s="1">
        <v>14</v>
      </c>
      <c r="H1240" s="1">
        <v>45090</v>
      </c>
      <c r="I1240" s="1">
        <v>0</v>
      </c>
      <c r="J1240" s="1">
        <v>631260</v>
      </c>
      <c r="K1240" s="1">
        <v>176864.68</v>
      </c>
      <c r="L1240" s="1" t="s">
        <v>70</v>
      </c>
      <c r="M1240" s="1" t="str">
        <f>TEXT(Table1[[#This Row],[Order Date]],"mmm")</f>
        <v>Aug</v>
      </c>
      <c r="N1240" s="1">
        <f>YEAR(Table1[[#This Row],[Order Date]])</f>
        <v>2024</v>
      </c>
    </row>
    <row r="1241" spans="1:14" x14ac:dyDescent="0.35">
      <c r="A1241" s="1" t="s">
        <v>1920</v>
      </c>
      <c r="B1241" s="1" t="s">
        <v>1151</v>
      </c>
      <c r="C1241" s="1" t="s">
        <v>335</v>
      </c>
      <c r="D1241" s="1" t="s">
        <v>48</v>
      </c>
      <c r="E1241" s="1" t="s">
        <v>16</v>
      </c>
      <c r="F1241" s="1" t="s">
        <v>48</v>
      </c>
      <c r="G1241" s="1">
        <v>4</v>
      </c>
      <c r="H1241" s="1">
        <v>18456</v>
      </c>
      <c r="I1241" s="1">
        <v>0.2</v>
      </c>
      <c r="J1241" s="1">
        <v>59059.199999999997</v>
      </c>
      <c r="K1241" s="1">
        <v>9323.8700000000008</v>
      </c>
      <c r="L1241" s="1" t="s">
        <v>70</v>
      </c>
      <c r="M1241" s="1" t="str">
        <f>TEXT(Table1[[#This Row],[Order Date]],"mmm")</f>
        <v>Jul</v>
      </c>
      <c r="N1241" s="1">
        <f>YEAR(Table1[[#This Row],[Order Date]])</f>
        <v>2023</v>
      </c>
    </row>
    <row r="1242" spans="1:14" x14ac:dyDescent="0.35">
      <c r="A1242" s="1" t="s">
        <v>1921</v>
      </c>
      <c r="B1242" s="1" t="s">
        <v>181</v>
      </c>
      <c r="C1242" s="1" t="s">
        <v>117</v>
      </c>
      <c r="D1242" s="1" t="s">
        <v>56</v>
      </c>
      <c r="E1242" s="1" t="s">
        <v>22</v>
      </c>
      <c r="F1242" s="1" t="s">
        <v>56</v>
      </c>
      <c r="G1242" s="1">
        <v>4</v>
      </c>
      <c r="H1242" s="1">
        <v>46521</v>
      </c>
      <c r="I1242" s="1">
        <v>0.2</v>
      </c>
      <c r="J1242" s="1">
        <v>148867.20000000001</v>
      </c>
      <c r="K1242" s="1">
        <v>44098.63</v>
      </c>
      <c r="L1242" s="1" t="s">
        <v>45</v>
      </c>
      <c r="M1242" s="1" t="str">
        <f>TEXT(Table1[[#This Row],[Order Date]],"mmm")</f>
        <v>May</v>
      </c>
      <c r="N1242" s="1">
        <f>YEAR(Table1[[#This Row],[Order Date]])</f>
        <v>2023</v>
      </c>
    </row>
    <row r="1243" spans="1:14" x14ac:dyDescent="0.35">
      <c r="A1243" s="1" t="s">
        <v>1922</v>
      </c>
      <c r="B1243" s="1" t="s">
        <v>996</v>
      </c>
      <c r="C1243" s="1" t="s">
        <v>162</v>
      </c>
      <c r="D1243" s="1" t="s">
        <v>48</v>
      </c>
      <c r="E1243" s="1" t="s">
        <v>16</v>
      </c>
      <c r="F1243" s="1" t="s">
        <v>48</v>
      </c>
      <c r="G1243" s="1">
        <v>12</v>
      </c>
      <c r="H1243" s="1">
        <v>26016</v>
      </c>
      <c r="I1243" s="1">
        <v>0.05</v>
      </c>
      <c r="J1243" s="1">
        <v>296582.40000000002</v>
      </c>
      <c r="K1243" s="1">
        <v>38626.32</v>
      </c>
      <c r="L1243" s="1" t="s">
        <v>23</v>
      </c>
      <c r="M1243" s="1" t="str">
        <f>TEXT(Table1[[#This Row],[Order Date]],"mmm")</f>
        <v>Feb</v>
      </c>
      <c r="N1243" s="1">
        <f>YEAR(Table1[[#This Row],[Order Date]])</f>
        <v>2024</v>
      </c>
    </row>
    <row r="1244" spans="1:14" x14ac:dyDescent="0.35">
      <c r="A1244" s="1" t="s">
        <v>1923</v>
      </c>
      <c r="B1244" s="1" t="s">
        <v>1624</v>
      </c>
      <c r="C1244" s="1" t="s">
        <v>51</v>
      </c>
      <c r="D1244" s="1" t="s">
        <v>52</v>
      </c>
      <c r="E1244" s="1" t="s">
        <v>28</v>
      </c>
      <c r="F1244" s="1" t="s">
        <v>52</v>
      </c>
      <c r="G1244" s="1">
        <v>15</v>
      </c>
      <c r="H1244" s="1">
        <v>51260</v>
      </c>
      <c r="I1244" s="1">
        <v>0.05</v>
      </c>
      <c r="J1244" s="1">
        <v>730455</v>
      </c>
      <c r="K1244" s="1">
        <v>198909.62</v>
      </c>
      <c r="L1244" s="1" t="s">
        <v>45</v>
      </c>
      <c r="M1244" s="1" t="str">
        <f>TEXT(Table1[[#This Row],[Order Date]],"mmm")</f>
        <v>Apr</v>
      </c>
      <c r="N1244" s="1">
        <f>YEAR(Table1[[#This Row],[Order Date]])</f>
        <v>2023</v>
      </c>
    </row>
    <row r="1245" spans="1:14" x14ac:dyDescent="0.35">
      <c r="A1245" s="1" t="s">
        <v>1924</v>
      </c>
      <c r="B1245" s="1" t="s">
        <v>1155</v>
      </c>
      <c r="C1245" s="1" t="s">
        <v>188</v>
      </c>
      <c r="D1245" s="1" t="s">
        <v>64</v>
      </c>
      <c r="E1245" s="1" t="s">
        <v>33</v>
      </c>
      <c r="F1245" s="1" t="s">
        <v>64</v>
      </c>
      <c r="G1245" s="1">
        <v>6</v>
      </c>
      <c r="H1245" s="1">
        <v>23473</v>
      </c>
      <c r="I1245" s="1">
        <v>0.05</v>
      </c>
      <c r="J1245" s="1">
        <v>133796.1</v>
      </c>
      <c r="K1245" s="1">
        <v>25952.83</v>
      </c>
      <c r="L1245" s="1" t="s">
        <v>70</v>
      </c>
      <c r="M1245" s="1" t="str">
        <f>TEXT(Table1[[#This Row],[Order Date]],"mmm")</f>
        <v>May</v>
      </c>
      <c r="N1245" s="1">
        <f>YEAR(Table1[[#This Row],[Order Date]])</f>
        <v>2024</v>
      </c>
    </row>
    <row r="1246" spans="1:14" x14ac:dyDescent="0.35">
      <c r="A1246" s="1" t="s">
        <v>1925</v>
      </c>
      <c r="B1246" s="1" t="s">
        <v>1926</v>
      </c>
      <c r="C1246" s="1" t="s">
        <v>94</v>
      </c>
      <c r="D1246" s="1" t="s">
        <v>91</v>
      </c>
      <c r="E1246" s="1" t="s">
        <v>16</v>
      </c>
      <c r="F1246" s="1" t="s">
        <v>91</v>
      </c>
      <c r="G1246" s="1">
        <v>4</v>
      </c>
      <c r="H1246" s="1">
        <v>7977</v>
      </c>
      <c r="I1246" s="1">
        <v>0.15</v>
      </c>
      <c r="J1246" s="1">
        <v>27121.8</v>
      </c>
      <c r="K1246" s="1">
        <v>3025.44</v>
      </c>
      <c r="L1246" s="1" t="s">
        <v>45</v>
      </c>
      <c r="M1246" s="1" t="str">
        <f>TEXT(Table1[[#This Row],[Order Date]],"mmm")</f>
        <v>Oct</v>
      </c>
      <c r="N1246" s="1">
        <f>YEAR(Table1[[#This Row],[Order Date]])</f>
        <v>2023</v>
      </c>
    </row>
    <row r="1247" spans="1:14" x14ac:dyDescent="0.35">
      <c r="A1247" s="1" t="s">
        <v>1927</v>
      </c>
      <c r="B1247" s="1" t="s">
        <v>1487</v>
      </c>
      <c r="C1247" s="1" t="s">
        <v>158</v>
      </c>
      <c r="D1247" s="1" t="s">
        <v>133</v>
      </c>
      <c r="E1247" s="1" t="s">
        <v>22</v>
      </c>
      <c r="F1247" s="1" t="s">
        <v>133</v>
      </c>
      <c r="G1247" s="1">
        <v>5</v>
      </c>
      <c r="H1247" s="1">
        <v>17044</v>
      </c>
      <c r="I1247" s="1">
        <v>0.05</v>
      </c>
      <c r="J1247" s="1">
        <v>80959</v>
      </c>
      <c r="K1247" s="1">
        <v>16511.599999999999</v>
      </c>
      <c r="L1247" s="1" t="s">
        <v>70</v>
      </c>
      <c r="M1247" s="1" t="str">
        <f>TEXT(Table1[[#This Row],[Order Date]],"mmm")</f>
        <v>Oct</v>
      </c>
      <c r="N1247" s="1">
        <f>YEAR(Table1[[#This Row],[Order Date]])</f>
        <v>2023</v>
      </c>
    </row>
    <row r="1248" spans="1:14" x14ac:dyDescent="0.35">
      <c r="A1248" s="1" t="s">
        <v>1928</v>
      </c>
      <c r="B1248" s="1" t="s">
        <v>1929</v>
      </c>
      <c r="C1248" s="1" t="s">
        <v>63</v>
      </c>
      <c r="D1248" s="1" t="s">
        <v>114</v>
      </c>
      <c r="E1248" s="1" t="s">
        <v>16</v>
      </c>
      <c r="F1248" s="1" t="s">
        <v>114</v>
      </c>
      <c r="G1248" s="1">
        <v>3</v>
      </c>
      <c r="H1248" s="1">
        <v>34922</v>
      </c>
      <c r="I1248" s="1">
        <v>0.2</v>
      </c>
      <c r="J1248" s="1">
        <v>83812.800000000003</v>
      </c>
      <c r="K1248" s="1">
        <v>22262.68</v>
      </c>
      <c r="L1248" s="1" t="s">
        <v>23</v>
      </c>
      <c r="M1248" s="1" t="str">
        <f>TEXT(Table1[[#This Row],[Order Date]],"mmm")</f>
        <v>Jan</v>
      </c>
      <c r="N1248" s="1">
        <f>YEAR(Table1[[#This Row],[Order Date]])</f>
        <v>2024</v>
      </c>
    </row>
    <row r="1249" spans="1:14" x14ac:dyDescent="0.35">
      <c r="A1249" s="1" t="s">
        <v>1930</v>
      </c>
      <c r="B1249" s="1" t="s">
        <v>481</v>
      </c>
      <c r="C1249" s="1" t="s">
        <v>51</v>
      </c>
      <c r="D1249" s="1" t="s">
        <v>224</v>
      </c>
      <c r="E1249" s="1" t="s">
        <v>33</v>
      </c>
      <c r="F1249" s="1" t="s">
        <v>224</v>
      </c>
      <c r="G1249" s="1">
        <v>10</v>
      </c>
      <c r="H1249" s="1">
        <v>677</v>
      </c>
      <c r="I1249" s="1">
        <v>0.2</v>
      </c>
      <c r="J1249" s="1">
        <v>5416</v>
      </c>
      <c r="K1249" s="1">
        <v>1568.98</v>
      </c>
      <c r="L1249" s="1" t="s">
        <v>23</v>
      </c>
      <c r="M1249" s="1" t="str">
        <f>TEXT(Table1[[#This Row],[Order Date]],"mmm")</f>
        <v>Oct</v>
      </c>
      <c r="N1249" s="1">
        <f>YEAR(Table1[[#This Row],[Order Date]])</f>
        <v>2024</v>
      </c>
    </row>
    <row r="1250" spans="1:14" x14ac:dyDescent="0.35">
      <c r="A1250" s="1" t="s">
        <v>1931</v>
      </c>
      <c r="B1250" s="1" t="s">
        <v>296</v>
      </c>
      <c r="C1250" s="1" t="s">
        <v>14</v>
      </c>
      <c r="D1250" s="1" t="s">
        <v>323</v>
      </c>
      <c r="E1250" s="1" t="s">
        <v>33</v>
      </c>
      <c r="F1250" s="1" t="s">
        <v>323</v>
      </c>
      <c r="G1250" s="1">
        <v>4</v>
      </c>
      <c r="H1250" s="1">
        <v>59701</v>
      </c>
      <c r="I1250" s="1">
        <v>0.05</v>
      </c>
      <c r="J1250" s="1">
        <v>226863.8</v>
      </c>
      <c r="K1250" s="1">
        <v>43505.71</v>
      </c>
      <c r="L1250" s="1" t="s">
        <v>70</v>
      </c>
      <c r="M1250" s="1" t="str">
        <f>TEXT(Table1[[#This Row],[Order Date]],"mmm")</f>
        <v>Aug</v>
      </c>
      <c r="N1250" s="1">
        <f>YEAR(Table1[[#This Row],[Order Date]])</f>
        <v>2023</v>
      </c>
    </row>
    <row r="1251" spans="1:14" x14ac:dyDescent="0.35">
      <c r="A1251" s="1" t="s">
        <v>1932</v>
      </c>
      <c r="B1251" s="1" t="s">
        <v>1201</v>
      </c>
      <c r="C1251" s="1" t="s">
        <v>260</v>
      </c>
      <c r="D1251" s="1" t="s">
        <v>78</v>
      </c>
      <c r="E1251" s="1" t="s">
        <v>28</v>
      </c>
      <c r="F1251" s="1" t="s">
        <v>78</v>
      </c>
      <c r="G1251" s="1">
        <v>1</v>
      </c>
      <c r="H1251" s="1">
        <v>51266</v>
      </c>
      <c r="I1251" s="1">
        <v>0.15</v>
      </c>
      <c r="J1251" s="1">
        <v>43576.1</v>
      </c>
      <c r="K1251" s="1">
        <v>7507.02</v>
      </c>
      <c r="L1251" s="1" t="s">
        <v>17</v>
      </c>
      <c r="M1251" s="1" t="str">
        <f>TEXT(Table1[[#This Row],[Order Date]],"mmm")</f>
        <v>Nov</v>
      </c>
      <c r="N1251" s="1">
        <f>YEAR(Table1[[#This Row],[Order Date]])</f>
        <v>2024</v>
      </c>
    </row>
    <row r="1252" spans="1:14" x14ac:dyDescent="0.35">
      <c r="A1252" s="1" t="s">
        <v>1933</v>
      </c>
      <c r="B1252" s="1" t="s">
        <v>1934</v>
      </c>
      <c r="C1252" s="1" t="s">
        <v>104</v>
      </c>
      <c r="D1252" s="1" t="s">
        <v>167</v>
      </c>
      <c r="E1252" s="1" t="s">
        <v>16</v>
      </c>
      <c r="F1252" s="1" t="s">
        <v>167</v>
      </c>
      <c r="G1252" s="1">
        <v>14</v>
      </c>
      <c r="H1252" s="1">
        <v>28319</v>
      </c>
      <c r="I1252" s="1">
        <v>0.05</v>
      </c>
      <c r="J1252" s="1">
        <v>376642.7</v>
      </c>
      <c r="K1252" s="1">
        <v>68189.600000000006</v>
      </c>
      <c r="L1252" s="1" t="s">
        <v>70</v>
      </c>
      <c r="M1252" s="1" t="str">
        <f>TEXT(Table1[[#This Row],[Order Date]],"mmm")</f>
        <v>Jul</v>
      </c>
      <c r="N1252" s="1">
        <f>YEAR(Table1[[#This Row],[Order Date]])</f>
        <v>2024</v>
      </c>
    </row>
    <row r="1253" spans="1:14" x14ac:dyDescent="0.35">
      <c r="A1253" s="1" t="s">
        <v>1935</v>
      </c>
      <c r="B1253" s="1" t="s">
        <v>856</v>
      </c>
      <c r="C1253" s="1" t="s">
        <v>155</v>
      </c>
      <c r="D1253" s="1" t="s">
        <v>56</v>
      </c>
      <c r="E1253" s="1" t="s">
        <v>22</v>
      </c>
      <c r="F1253" s="1" t="s">
        <v>56</v>
      </c>
      <c r="G1253" s="1">
        <v>8</v>
      </c>
      <c r="H1253" s="1">
        <v>22513</v>
      </c>
      <c r="I1253" s="1">
        <v>0.1</v>
      </c>
      <c r="J1253" s="1">
        <v>162093.6</v>
      </c>
      <c r="K1253" s="1">
        <v>19925.55</v>
      </c>
      <c r="L1253" s="1" t="s">
        <v>23</v>
      </c>
      <c r="M1253" s="1" t="str">
        <f>TEXT(Table1[[#This Row],[Order Date]],"mmm")</f>
        <v>Oct</v>
      </c>
      <c r="N1253" s="1">
        <f>YEAR(Table1[[#This Row],[Order Date]])</f>
        <v>2024</v>
      </c>
    </row>
    <row r="1254" spans="1:14" x14ac:dyDescent="0.35">
      <c r="A1254" s="1" t="s">
        <v>1936</v>
      </c>
      <c r="B1254" s="1" t="s">
        <v>873</v>
      </c>
      <c r="C1254" s="1" t="s">
        <v>59</v>
      </c>
      <c r="D1254" s="1" t="s">
        <v>293</v>
      </c>
      <c r="E1254" s="1" t="s">
        <v>33</v>
      </c>
      <c r="F1254" s="1" t="s">
        <v>293</v>
      </c>
      <c r="G1254" s="1">
        <v>9</v>
      </c>
      <c r="H1254" s="1">
        <v>8679</v>
      </c>
      <c r="I1254" s="1">
        <v>0</v>
      </c>
      <c r="J1254" s="1">
        <v>78111</v>
      </c>
      <c r="K1254" s="1">
        <v>21583.39</v>
      </c>
      <c r="L1254" s="1" t="s">
        <v>45</v>
      </c>
      <c r="M1254" s="1" t="str">
        <f>TEXT(Table1[[#This Row],[Order Date]],"mmm")</f>
        <v>Dec</v>
      </c>
      <c r="N1254" s="1">
        <f>YEAR(Table1[[#This Row],[Order Date]])</f>
        <v>2023</v>
      </c>
    </row>
    <row r="1255" spans="1:14" x14ac:dyDescent="0.35">
      <c r="A1255" s="1" t="s">
        <v>1937</v>
      </c>
      <c r="B1255" s="1" t="s">
        <v>478</v>
      </c>
      <c r="C1255" s="1" t="s">
        <v>260</v>
      </c>
      <c r="D1255" s="1" t="s">
        <v>78</v>
      </c>
      <c r="E1255" s="1" t="s">
        <v>28</v>
      </c>
      <c r="F1255" s="1" t="s">
        <v>78</v>
      </c>
      <c r="G1255" s="1">
        <v>13</v>
      </c>
      <c r="H1255" s="1">
        <v>25667</v>
      </c>
      <c r="I1255" s="1">
        <v>0.1</v>
      </c>
      <c r="J1255" s="1">
        <v>300303.90000000002</v>
      </c>
      <c r="K1255" s="1">
        <v>59680.93</v>
      </c>
      <c r="L1255" s="1" t="s">
        <v>70</v>
      </c>
      <c r="M1255" s="1" t="str">
        <f>TEXT(Table1[[#This Row],[Order Date]],"mmm")</f>
        <v>May</v>
      </c>
      <c r="N1255" s="1">
        <f>YEAR(Table1[[#This Row],[Order Date]])</f>
        <v>2024</v>
      </c>
    </row>
    <row r="1256" spans="1:14" x14ac:dyDescent="0.35">
      <c r="A1256" s="1" t="s">
        <v>1938</v>
      </c>
      <c r="B1256" s="1" t="s">
        <v>1431</v>
      </c>
      <c r="C1256" s="1" t="s">
        <v>162</v>
      </c>
      <c r="D1256" s="1" t="s">
        <v>78</v>
      </c>
      <c r="E1256" s="1" t="s">
        <v>28</v>
      </c>
      <c r="F1256" s="1" t="s">
        <v>78</v>
      </c>
      <c r="G1256" s="1">
        <v>11</v>
      </c>
      <c r="H1256" s="1">
        <v>46591</v>
      </c>
      <c r="I1256" s="1">
        <v>0.15</v>
      </c>
      <c r="J1256" s="1">
        <v>435625.85</v>
      </c>
      <c r="K1256" s="1">
        <v>121138.16</v>
      </c>
      <c r="L1256" s="1" t="s">
        <v>70</v>
      </c>
      <c r="M1256" s="1" t="str">
        <f>TEXT(Table1[[#This Row],[Order Date]],"mmm")</f>
        <v>Feb</v>
      </c>
      <c r="N1256" s="1">
        <f>YEAR(Table1[[#This Row],[Order Date]])</f>
        <v>2023</v>
      </c>
    </row>
    <row r="1257" spans="1:14" x14ac:dyDescent="0.35">
      <c r="A1257" s="1" t="s">
        <v>1939</v>
      </c>
      <c r="B1257" s="1" t="s">
        <v>921</v>
      </c>
      <c r="C1257" s="1" t="s">
        <v>370</v>
      </c>
      <c r="D1257" s="1" t="s">
        <v>74</v>
      </c>
      <c r="E1257" s="1" t="s">
        <v>22</v>
      </c>
      <c r="F1257" s="1" t="s">
        <v>74</v>
      </c>
      <c r="G1257" s="1">
        <v>2</v>
      </c>
      <c r="H1257" s="1">
        <v>43734</v>
      </c>
      <c r="I1257" s="1">
        <v>0.15</v>
      </c>
      <c r="J1257" s="1">
        <v>74347.8</v>
      </c>
      <c r="K1257" s="1">
        <v>6746.65</v>
      </c>
      <c r="L1257" s="1" t="s">
        <v>23</v>
      </c>
      <c r="M1257" s="1" t="str">
        <f>TEXT(Table1[[#This Row],[Order Date]],"mmm")</f>
        <v>Jul</v>
      </c>
      <c r="N1257" s="1">
        <f>YEAR(Table1[[#This Row],[Order Date]])</f>
        <v>2023</v>
      </c>
    </row>
    <row r="1258" spans="1:14" x14ac:dyDescent="0.35">
      <c r="A1258" s="1" t="s">
        <v>1940</v>
      </c>
      <c r="B1258" s="1" t="s">
        <v>1083</v>
      </c>
      <c r="C1258" s="1" t="s">
        <v>67</v>
      </c>
      <c r="D1258" s="1" t="s">
        <v>44</v>
      </c>
      <c r="E1258" s="1" t="s">
        <v>28</v>
      </c>
      <c r="F1258" s="1" t="s">
        <v>44</v>
      </c>
      <c r="G1258" s="1">
        <v>11</v>
      </c>
      <c r="H1258" s="1">
        <v>5554</v>
      </c>
      <c r="I1258" s="1">
        <v>0.15</v>
      </c>
      <c r="J1258" s="1">
        <v>51929.9</v>
      </c>
      <c r="K1258" s="1">
        <v>11538.72</v>
      </c>
      <c r="L1258" s="1" t="s">
        <v>23</v>
      </c>
      <c r="M1258" s="1" t="str">
        <f>TEXT(Table1[[#This Row],[Order Date]],"mmm")</f>
        <v>Jul</v>
      </c>
      <c r="N1258" s="1">
        <f>YEAR(Table1[[#This Row],[Order Date]])</f>
        <v>2023</v>
      </c>
    </row>
    <row r="1259" spans="1:14" x14ac:dyDescent="0.35">
      <c r="A1259" s="1" t="s">
        <v>1941</v>
      </c>
      <c r="B1259" s="1" t="s">
        <v>1942</v>
      </c>
      <c r="C1259" s="1" t="s">
        <v>67</v>
      </c>
      <c r="D1259" s="1" t="s">
        <v>37</v>
      </c>
      <c r="E1259" s="1" t="s">
        <v>16</v>
      </c>
      <c r="F1259" s="1" t="s">
        <v>37</v>
      </c>
      <c r="G1259" s="1">
        <v>2</v>
      </c>
      <c r="H1259" s="1">
        <v>58118</v>
      </c>
      <c r="I1259" s="1">
        <v>0.15</v>
      </c>
      <c r="J1259" s="1">
        <v>98800.6</v>
      </c>
      <c r="K1259" s="1">
        <v>21878.25</v>
      </c>
      <c r="L1259" s="1" t="s">
        <v>23</v>
      </c>
      <c r="M1259" s="1" t="str">
        <f>TEXT(Table1[[#This Row],[Order Date]],"mmm")</f>
        <v>Jul</v>
      </c>
      <c r="N1259" s="1">
        <f>YEAR(Table1[[#This Row],[Order Date]])</f>
        <v>2023</v>
      </c>
    </row>
    <row r="1260" spans="1:14" x14ac:dyDescent="0.35">
      <c r="A1260" s="1" t="s">
        <v>1943</v>
      </c>
      <c r="B1260" s="1" t="s">
        <v>1944</v>
      </c>
      <c r="C1260" s="1" t="s">
        <v>507</v>
      </c>
      <c r="D1260" s="1" t="s">
        <v>108</v>
      </c>
      <c r="E1260" s="1" t="s">
        <v>22</v>
      </c>
      <c r="F1260" s="1" t="s">
        <v>108</v>
      </c>
      <c r="G1260" s="1">
        <v>13</v>
      </c>
      <c r="H1260" s="1">
        <v>24973</v>
      </c>
      <c r="I1260" s="1">
        <v>0.05</v>
      </c>
      <c r="J1260" s="1">
        <v>308416.55</v>
      </c>
      <c r="K1260" s="1">
        <v>71976.36</v>
      </c>
      <c r="L1260" s="1" t="s">
        <v>17</v>
      </c>
      <c r="M1260" s="1" t="str">
        <f>TEXT(Table1[[#This Row],[Order Date]],"mmm")</f>
        <v>Sep</v>
      </c>
      <c r="N1260" s="1">
        <f>YEAR(Table1[[#This Row],[Order Date]])</f>
        <v>2023</v>
      </c>
    </row>
    <row r="1261" spans="1:14" x14ac:dyDescent="0.35">
      <c r="A1261" s="1" t="s">
        <v>1945</v>
      </c>
      <c r="B1261" s="1" t="s">
        <v>891</v>
      </c>
      <c r="C1261" s="1" t="s">
        <v>26</v>
      </c>
      <c r="D1261" s="1" t="s">
        <v>60</v>
      </c>
      <c r="E1261" s="1" t="s">
        <v>33</v>
      </c>
      <c r="F1261" s="1" t="s">
        <v>60</v>
      </c>
      <c r="G1261" s="1">
        <v>6</v>
      </c>
      <c r="H1261" s="1">
        <v>28779</v>
      </c>
      <c r="I1261" s="1">
        <v>0.2</v>
      </c>
      <c r="J1261" s="1">
        <v>138139.20000000001</v>
      </c>
      <c r="K1261" s="1">
        <v>20967.04</v>
      </c>
      <c r="L1261" s="1" t="s">
        <v>23</v>
      </c>
      <c r="M1261" s="1" t="str">
        <f>TEXT(Table1[[#This Row],[Order Date]],"mmm")</f>
        <v>Feb</v>
      </c>
      <c r="N1261" s="1">
        <f>YEAR(Table1[[#This Row],[Order Date]])</f>
        <v>2024</v>
      </c>
    </row>
    <row r="1262" spans="1:14" x14ac:dyDescent="0.35">
      <c r="A1262" s="1" t="s">
        <v>1946</v>
      </c>
      <c r="B1262" s="1" t="s">
        <v>296</v>
      </c>
      <c r="C1262" s="1" t="s">
        <v>349</v>
      </c>
      <c r="D1262" s="1" t="s">
        <v>56</v>
      </c>
      <c r="E1262" s="1" t="s">
        <v>22</v>
      </c>
      <c r="F1262" s="1" t="s">
        <v>56</v>
      </c>
      <c r="G1262" s="1">
        <v>8</v>
      </c>
      <c r="H1262" s="1">
        <v>10869</v>
      </c>
      <c r="I1262" s="1">
        <v>0</v>
      </c>
      <c r="J1262" s="1">
        <v>86952</v>
      </c>
      <c r="K1262" s="1">
        <v>13410.72</v>
      </c>
      <c r="L1262" s="1" t="s">
        <v>45</v>
      </c>
      <c r="M1262" s="1" t="str">
        <f>TEXT(Table1[[#This Row],[Order Date]],"mmm")</f>
        <v>Aug</v>
      </c>
      <c r="N1262" s="1">
        <f>YEAR(Table1[[#This Row],[Order Date]])</f>
        <v>2023</v>
      </c>
    </row>
    <row r="1263" spans="1:14" x14ac:dyDescent="0.35">
      <c r="A1263" s="1" t="s">
        <v>1947</v>
      </c>
      <c r="B1263" s="1" t="s">
        <v>1948</v>
      </c>
      <c r="C1263" s="1" t="s">
        <v>155</v>
      </c>
      <c r="D1263" s="1" t="s">
        <v>44</v>
      </c>
      <c r="E1263" s="1" t="s">
        <v>28</v>
      </c>
      <c r="F1263" s="1" t="s">
        <v>44</v>
      </c>
      <c r="G1263" s="1">
        <v>8</v>
      </c>
      <c r="H1263" s="1">
        <v>24844</v>
      </c>
      <c r="I1263" s="1">
        <v>0.1</v>
      </c>
      <c r="J1263" s="1">
        <v>178876.79999999999</v>
      </c>
      <c r="K1263" s="1">
        <v>23661.200000000001</v>
      </c>
      <c r="L1263" s="1" t="s">
        <v>45</v>
      </c>
      <c r="M1263" s="1" t="str">
        <f>TEXT(Table1[[#This Row],[Order Date]],"mmm")</f>
        <v>Dec</v>
      </c>
      <c r="N1263" s="1">
        <f>YEAR(Table1[[#This Row],[Order Date]])</f>
        <v>2023</v>
      </c>
    </row>
    <row r="1264" spans="1:14" x14ac:dyDescent="0.35">
      <c r="A1264" s="1" t="s">
        <v>1949</v>
      </c>
      <c r="B1264" s="1" t="s">
        <v>603</v>
      </c>
      <c r="C1264" s="1" t="s">
        <v>370</v>
      </c>
      <c r="D1264" s="1" t="s">
        <v>74</v>
      </c>
      <c r="E1264" s="1" t="s">
        <v>22</v>
      </c>
      <c r="F1264" s="1" t="s">
        <v>74</v>
      </c>
      <c r="G1264" s="1">
        <v>10</v>
      </c>
      <c r="H1264" s="1">
        <v>15658</v>
      </c>
      <c r="I1264" s="1">
        <v>0.15</v>
      </c>
      <c r="J1264" s="1">
        <v>133093</v>
      </c>
      <c r="K1264" s="1">
        <v>21611.34</v>
      </c>
      <c r="L1264" s="1" t="s">
        <v>17</v>
      </c>
      <c r="M1264" s="1" t="str">
        <f>TEXT(Table1[[#This Row],[Order Date]],"mmm")</f>
        <v>Dec</v>
      </c>
      <c r="N1264" s="1">
        <f>YEAR(Table1[[#This Row],[Order Date]])</f>
        <v>2023</v>
      </c>
    </row>
    <row r="1265" spans="1:14" x14ac:dyDescent="0.35">
      <c r="A1265" s="1" t="s">
        <v>1950</v>
      </c>
      <c r="B1265" s="1" t="s">
        <v>1951</v>
      </c>
      <c r="C1265" s="1" t="s">
        <v>14</v>
      </c>
      <c r="D1265" s="1" t="s">
        <v>60</v>
      </c>
      <c r="E1265" s="1" t="s">
        <v>33</v>
      </c>
      <c r="F1265" s="1" t="s">
        <v>60</v>
      </c>
      <c r="G1265" s="1">
        <v>5</v>
      </c>
      <c r="H1265" s="1">
        <v>36184</v>
      </c>
      <c r="I1265" s="1">
        <v>0.05</v>
      </c>
      <c r="J1265" s="1">
        <v>171874</v>
      </c>
      <c r="K1265" s="1">
        <v>44678.63</v>
      </c>
      <c r="L1265" s="1" t="s">
        <v>23</v>
      </c>
      <c r="M1265" s="1" t="str">
        <f>TEXT(Table1[[#This Row],[Order Date]],"mmm")</f>
        <v>May</v>
      </c>
      <c r="N1265" s="1">
        <f>YEAR(Table1[[#This Row],[Order Date]])</f>
        <v>2024</v>
      </c>
    </row>
    <row r="1266" spans="1:14" x14ac:dyDescent="0.35">
      <c r="A1266" s="1" t="s">
        <v>1952</v>
      </c>
      <c r="B1266" s="1" t="s">
        <v>190</v>
      </c>
      <c r="C1266" s="1" t="s">
        <v>31</v>
      </c>
      <c r="D1266" s="1" t="s">
        <v>293</v>
      </c>
      <c r="E1266" s="1" t="s">
        <v>33</v>
      </c>
      <c r="F1266" s="1" t="s">
        <v>293</v>
      </c>
      <c r="G1266" s="1">
        <v>4</v>
      </c>
      <c r="H1266" s="1">
        <v>32683</v>
      </c>
      <c r="I1266" s="1">
        <v>0.1</v>
      </c>
      <c r="J1266" s="1">
        <v>117658.8</v>
      </c>
      <c r="K1266" s="1">
        <v>17153.650000000001</v>
      </c>
      <c r="L1266" s="1" t="s">
        <v>23</v>
      </c>
      <c r="M1266" s="1" t="str">
        <f>TEXT(Table1[[#This Row],[Order Date]],"mmm")</f>
        <v>Mar</v>
      </c>
      <c r="N1266" s="1">
        <f>YEAR(Table1[[#This Row],[Order Date]])</f>
        <v>2024</v>
      </c>
    </row>
    <row r="1267" spans="1:14" x14ac:dyDescent="0.35">
      <c r="A1267" s="1" t="s">
        <v>1953</v>
      </c>
      <c r="B1267" s="1" t="s">
        <v>831</v>
      </c>
      <c r="C1267" s="1" t="s">
        <v>170</v>
      </c>
      <c r="D1267" s="1" t="s">
        <v>114</v>
      </c>
      <c r="E1267" s="1" t="s">
        <v>16</v>
      </c>
      <c r="F1267" s="1" t="s">
        <v>114</v>
      </c>
      <c r="G1267" s="1">
        <v>8</v>
      </c>
      <c r="H1267" s="1">
        <v>3708</v>
      </c>
      <c r="I1267" s="1">
        <v>0.2</v>
      </c>
      <c r="J1267" s="1">
        <v>23731.200000000001</v>
      </c>
      <c r="K1267" s="1">
        <v>5318.64</v>
      </c>
      <c r="L1267" s="1" t="s">
        <v>17</v>
      </c>
      <c r="M1267" s="1" t="str">
        <f>TEXT(Table1[[#This Row],[Order Date]],"mmm")</f>
        <v>Jun</v>
      </c>
      <c r="N1267" s="1">
        <f>YEAR(Table1[[#This Row],[Order Date]])</f>
        <v>2024</v>
      </c>
    </row>
    <row r="1268" spans="1:14" x14ac:dyDescent="0.35">
      <c r="A1268" s="1" t="s">
        <v>1954</v>
      </c>
      <c r="B1268" s="1" t="s">
        <v>272</v>
      </c>
      <c r="C1268" s="1" t="s">
        <v>81</v>
      </c>
      <c r="D1268" s="1" t="s">
        <v>32</v>
      </c>
      <c r="E1268" s="1" t="s">
        <v>33</v>
      </c>
      <c r="F1268" s="1" t="s">
        <v>32</v>
      </c>
      <c r="G1268" s="1">
        <v>7</v>
      </c>
      <c r="H1268" s="1">
        <v>9699</v>
      </c>
      <c r="I1268" s="1">
        <v>0.05</v>
      </c>
      <c r="J1268" s="1">
        <v>64498.35</v>
      </c>
      <c r="K1268" s="1">
        <v>9811.7800000000007</v>
      </c>
      <c r="L1268" s="1" t="s">
        <v>45</v>
      </c>
      <c r="M1268" s="1" t="str">
        <f>TEXT(Table1[[#This Row],[Order Date]],"mmm")</f>
        <v>Jun</v>
      </c>
      <c r="N1268" s="1">
        <f>YEAR(Table1[[#This Row],[Order Date]])</f>
        <v>2023</v>
      </c>
    </row>
    <row r="1269" spans="1:14" x14ac:dyDescent="0.35">
      <c r="A1269" s="1" t="s">
        <v>1955</v>
      </c>
      <c r="B1269" s="1" t="s">
        <v>385</v>
      </c>
      <c r="C1269" s="1" t="s">
        <v>349</v>
      </c>
      <c r="D1269" s="1" t="s">
        <v>15</v>
      </c>
      <c r="E1269" s="1" t="s">
        <v>16</v>
      </c>
      <c r="F1269" s="1" t="s">
        <v>15</v>
      </c>
      <c r="G1269" s="1">
        <v>8</v>
      </c>
      <c r="H1269" s="1">
        <v>22240</v>
      </c>
      <c r="I1269" s="1">
        <v>0</v>
      </c>
      <c r="J1269" s="1">
        <v>177920</v>
      </c>
      <c r="K1269" s="1">
        <v>50742.69</v>
      </c>
      <c r="L1269" s="1" t="s">
        <v>70</v>
      </c>
      <c r="M1269" s="1" t="str">
        <f>TEXT(Table1[[#This Row],[Order Date]],"mmm")</f>
        <v>Jan</v>
      </c>
      <c r="N1269" s="1">
        <f>YEAR(Table1[[#This Row],[Order Date]])</f>
        <v>2023</v>
      </c>
    </row>
    <row r="1270" spans="1:14" x14ac:dyDescent="0.35">
      <c r="A1270" s="1" t="s">
        <v>1956</v>
      </c>
      <c r="B1270" s="1" t="s">
        <v>435</v>
      </c>
      <c r="C1270" s="1" t="s">
        <v>67</v>
      </c>
      <c r="D1270" s="1" t="s">
        <v>141</v>
      </c>
      <c r="E1270" s="1" t="s">
        <v>22</v>
      </c>
      <c r="F1270" s="1" t="s">
        <v>141</v>
      </c>
      <c r="G1270" s="1">
        <v>1</v>
      </c>
      <c r="H1270" s="1">
        <v>44527</v>
      </c>
      <c r="I1270" s="1">
        <v>0.2</v>
      </c>
      <c r="J1270" s="1">
        <v>35621.599999999999</v>
      </c>
      <c r="K1270" s="1">
        <v>5225.38</v>
      </c>
      <c r="L1270" s="1" t="s">
        <v>23</v>
      </c>
      <c r="M1270" s="1" t="str">
        <f>TEXT(Table1[[#This Row],[Order Date]],"mmm")</f>
        <v>Nov</v>
      </c>
      <c r="N1270" s="1">
        <f>YEAR(Table1[[#This Row],[Order Date]])</f>
        <v>2024</v>
      </c>
    </row>
    <row r="1271" spans="1:14" x14ac:dyDescent="0.35">
      <c r="A1271" s="1" t="s">
        <v>1957</v>
      </c>
      <c r="B1271" s="1" t="s">
        <v>394</v>
      </c>
      <c r="C1271" s="1" t="s">
        <v>117</v>
      </c>
      <c r="D1271" s="1" t="s">
        <v>133</v>
      </c>
      <c r="E1271" s="1" t="s">
        <v>22</v>
      </c>
      <c r="F1271" s="1" t="s">
        <v>133</v>
      </c>
      <c r="G1271" s="1">
        <v>9</v>
      </c>
      <c r="H1271" s="1">
        <v>15780</v>
      </c>
      <c r="I1271" s="1">
        <v>0.05</v>
      </c>
      <c r="J1271" s="1">
        <v>134919</v>
      </c>
      <c r="K1271" s="1">
        <v>27126.28</v>
      </c>
      <c r="L1271" s="1" t="s">
        <v>45</v>
      </c>
      <c r="M1271" s="1" t="str">
        <f>TEXT(Table1[[#This Row],[Order Date]],"mmm")</f>
        <v>Sep</v>
      </c>
      <c r="N1271" s="1">
        <f>YEAR(Table1[[#This Row],[Order Date]])</f>
        <v>2023</v>
      </c>
    </row>
    <row r="1272" spans="1:14" x14ac:dyDescent="0.35">
      <c r="A1272" s="1" t="s">
        <v>1958</v>
      </c>
      <c r="B1272" s="1" t="s">
        <v>1890</v>
      </c>
      <c r="C1272" s="1" t="s">
        <v>227</v>
      </c>
      <c r="D1272" s="1" t="s">
        <v>41</v>
      </c>
      <c r="E1272" s="1" t="s">
        <v>16</v>
      </c>
      <c r="F1272" s="1" t="s">
        <v>41</v>
      </c>
      <c r="G1272" s="1">
        <v>14</v>
      </c>
      <c r="H1272" s="1">
        <v>10683</v>
      </c>
      <c r="I1272" s="1">
        <v>0.15</v>
      </c>
      <c r="J1272" s="1">
        <v>127127.7</v>
      </c>
      <c r="K1272" s="1">
        <v>12924.15</v>
      </c>
      <c r="L1272" s="1" t="s">
        <v>17</v>
      </c>
      <c r="M1272" s="1" t="str">
        <f>TEXT(Table1[[#This Row],[Order Date]],"mmm")</f>
        <v>Oct</v>
      </c>
      <c r="N1272" s="1">
        <f>YEAR(Table1[[#This Row],[Order Date]])</f>
        <v>2023</v>
      </c>
    </row>
    <row r="1273" spans="1:14" x14ac:dyDescent="0.35">
      <c r="A1273" s="1" t="s">
        <v>1959</v>
      </c>
      <c r="B1273" s="1" t="s">
        <v>1658</v>
      </c>
      <c r="C1273" s="1" t="s">
        <v>191</v>
      </c>
      <c r="D1273" s="1" t="s">
        <v>74</v>
      </c>
      <c r="E1273" s="1" t="s">
        <v>22</v>
      </c>
      <c r="F1273" s="1" t="s">
        <v>74</v>
      </c>
      <c r="G1273" s="1">
        <v>6</v>
      </c>
      <c r="H1273" s="1">
        <v>53704</v>
      </c>
      <c r="I1273" s="1">
        <v>0</v>
      </c>
      <c r="J1273" s="1">
        <v>322224</v>
      </c>
      <c r="K1273" s="1">
        <v>83482.91</v>
      </c>
      <c r="L1273" s="1" t="s">
        <v>17</v>
      </c>
      <c r="M1273" s="1" t="str">
        <f>TEXT(Table1[[#This Row],[Order Date]],"mmm")</f>
        <v>Sep</v>
      </c>
      <c r="N1273" s="1">
        <f>YEAR(Table1[[#This Row],[Order Date]])</f>
        <v>2024</v>
      </c>
    </row>
    <row r="1274" spans="1:14" x14ac:dyDescent="0.35">
      <c r="A1274" s="1" t="s">
        <v>1960</v>
      </c>
      <c r="B1274" s="1" t="s">
        <v>1440</v>
      </c>
      <c r="C1274" s="1" t="s">
        <v>170</v>
      </c>
      <c r="D1274" s="1" t="s">
        <v>41</v>
      </c>
      <c r="E1274" s="1" t="s">
        <v>16</v>
      </c>
      <c r="F1274" s="1" t="s">
        <v>41</v>
      </c>
      <c r="G1274" s="1">
        <v>6</v>
      </c>
      <c r="H1274" s="1">
        <v>41041</v>
      </c>
      <c r="I1274" s="1">
        <v>0</v>
      </c>
      <c r="J1274" s="1">
        <v>246246</v>
      </c>
      <c r="K1274" s="1">
        <v>63041.57</v>
      </c>
      <c r="L1274" s="1" t="s">
        <v>70</v>
      </c>
      <c r="M1274" s="1" t="str">
        <f>TEXT(Table1[[#This Row],[Order Date]],"mmm")</f>
        <v>Mar</v>
      </c>
      <c r="N1274" s="1">
        <f>YEAR(Table1[[#This Row],[Order Date]])</f>
        <v>2023</v>
      </c>
    </row>
    <row r="1275" spans="1:14" x14ac:dyDescent="0.35">
      <c r="A1275" s="1" t="s">
        <v>1961</v>
      </c>
      <c r="B1275" s="1" t="s">
        <v>1080</v>
      </c>
      <c r="C1275" s="1" t="s">
        <v>255</v>
      </c>
      <c r="D1275" s="1" t="s">
        <v>114</v>
      </c>
      <c r="E1275" s="1" t="s">
        <v>16</v>
      </c>
      <c r="F1275" s="1" t="s">
        <v>114</v>
      </c>
      <c r="G1275" s="1">
        <v>2</v>
      </c>
      <c r="H1275" s="1">
        <v>43333</v>
      </c>
      <c r="I1275" s="1">
        <v>0.15</v>
      </c>
      <c r="J1275" s="1">
        <v>73666.100000000006</v>
      </c>
      <c r="K1275" s="1">
        <v>14700.52</v>
      </c>
      <c r="L1275" s="1" t="s">
        <v>23</v>
      </c>
      <c r="M1275" s="1" t="str">
        <f>TEXT(Table1[[#This Row],[Order Date]],"mmm")</f>
        <v>Apr</v>
      </c>
      <c r="N1275" s="1">
        <f>YEAR(Table1[[#This Row],[Order Date]])</f>
        <v>2024</v>
      </c>
    </row>
    <row r="1276" spans="1:14" x14ac:dyDescent="0.35">
      <c r="A1276" s="1" t="s">
        <v>1962</v>
      </c>
      <c r="B1276" s="1" t="s">
        <v>750</v>
      </c>
      <c r="C1276" s="1" t="s">
        <v>26</v>
      </c>
      <c r="D1276" s="1" t="s">
        <v>293</v>
      </c>
      <c r="E1276" s="1" t="s">
        <v>33</v>
      </c>
      <c r="F1276" s="1" t="s">
        <v>293</v>
      </c>
      <c r="G1276" s="1">
        <v>11</v>
      </c>
      <c r="H1276" s="1">
        <v>11847</v>
      </c>
      <c r="I1276" s="1">
        <v>0.1</v>
      </c>
      <c r="J1276" s="1">
        <v>117285.3</v>
      </c>
      <c r="K1276" s="1">
        <v>20974.34</v>
      </c>
      <c r="L1276" s="1" t="s">
        <v>45</v>
      </c>
      <c r="M1276" s="1" t="str">
        <f>TEXT(Table1[[#This Row],[Order Date]],"mmm")</f>
        <v>Nov</v>
      </c>
      <c r="N1276" s="1">
        <f>YEAR(Table1[[#This Row],[Order Date]])</f>
        <v>2023</v>
      </c>
    </row>
    <row r="1277" spans="1:14" x14ac:dyDescent="0.35">
      <c r="A1277" s="1" t="s">
        <v>1963</v>
      </c>
      <c r="B1277" s="1" t="s">
        <v>778</v>
      </c>
      <c r="C1277" s="1" t="s">
        <v>63</v>
      </c>
      <c r="D1277" s="1" t="s">
        <v>141</v>
      </c>
      <c r="E1277" s="1" t="s">
        <v>22</v>
      </c>
      <c r="F1277" s="1" t="s">
        <v>141</v>
      </c>
      <c r="G1277" s="1">
        <v>4</v>
      </c>
      <c r="H1277" s="1">
        <v>33713</v>
      </c>
      <c r="I1277" s="1">
        <v>0.2</v>
      </c>
      <c r="J1277" s="1">
        <v>107881.60000000001</v>
      </c>
      <c r="K1277" s="1">
        <v>20397.599999999999</v>
      </c>
      <c r="L1277" s="1" t="s">
        <v>17</v>
      </c>
      <c r="M1277" s="1" t="str">
        <f>TEXT(Table1[[#This Row],[Order Date]],"mmm")</f>
        <v>Nov</v>
      </c>
      <c r="N1277" s="1">
        <f>YEAR(Table1[[#This Row],[Order Date]])</f>
        <v>2023</v>
      </c>
    </row>
    <row r="1278" spans="1:14" x14ac:dyDescent="0.35">
      <c r="A1278" s="1" t="s">
        <v>1964</v>
      </c>
      <c r="B1278" s="1" t="s">
        <v>850</v>
      </c>
      <c r="C1278" s="1" t="s">
        <v>260</v>
      </c>
      <c r="D1278" s="1" t="s">
        <v>64</v>
      </c>
      <c r="E1278" s="1" t="s">
        <v>33</v>
      </c>
      <c r="F1278" s="1" t="s">
        <v>64</v>
      </c>
      <c r="G1278" s="1">
        <v>10</v>
      </c>
      <c r="H1278" s="1">
        <v>5613</v>
      </c>
      <c r="I1278" s="1">
        <v>0.15</v>
      </c>
      <c r="J1278" s="1">
        <v>47710.5</v>
      </c>
      <c r="K1278" s="1">
        <v>12978.03</v>
      </c>
      <c r="L1278" s="1" t="s">
        <v>23</v>
      </c>
      <c r="M1278" s="1" t="str">
        <f>TEXT(Table1[[#This Row],[Order Date]],"mmm")</f>
        <v>May</v>
      </c>
      <c r="N1278" s="1">
        <f>YEAR(Table1[[#This Row],[Order Date]])</f>
        <v>2024</v>
      </c>
    </row>
    <row r="1279" spans="1:14" x14ac:dyDescent="0.35">
      <c r="A1279" s="1" t="s">
        <v>1965</v>
      </c>
      <c r="B1279" s="1" t="s">
        <v>1137</v>
      </c>
      <c r="C1279" s="1" t="s">
        <v>140</v>
      </c>
      <c r="D1279" s="1" t="s">
        <v>141</v>
      </c>
      <c r="E1279" s="1" t="s">
        <v>22</v>
      </c>
      <c r="F1279" s="1" t="s">
        <v>141</v>
      </c>
      <c r="G1279" s="1">
        <v>9</v>
      </c>
      <c r="H1279" s="1">
        <v>7365</v>
      </c>
      <c r="I1279" s="1">
        <v>0.2</v>
      </c>
      <c r="J1279" s="1">
        <v>53028</v>
      </c>
      <c r="K1279" s="1">
        <v>13463.21</v>
      </c>
      <c r="L1279" s="1" t="s">
        <v>70</v>
      </c>
      <c r="M1279" s="1" t="str">
        <f>TEXT(Table1[[#This Row],[Order Date]],"mmm")</f>
        <v>Apr</v>
      </c>
      <c r="N1279" s="1">
        <f>YEAR(Table1[[#This Row],[Order Date]])</f>
        <v>2023</v>
      </c>
    </row>
    <row r="1280" spans="1:14" x14ac:dyDescent="0.35">
      <c r="A1280" s="1" t="s">
        <v>1966</v>
      </c>
      <c r="B1280" s="1" t="s">
        <v>760</v>
      </c>
      <c r="C1280" s="1" t="s">
        <v>170</v>
      </c>
      <c r="D1280" s="1" t="s">
        <v>56</v>
      </c>
      <c r="E1280" s="1" t="s">
        <v>22</v>
      </c>
      <c r="F1280" s="1" t="s">
        <v>56</v>
      </c>
      <c r="G1280" s="1">
        <v>15</v>
      </c>
      <c r="H1280" s="1">
        <v>27805</v>
      </c>
      <c r="I1280" s="1">
        <v>0</v>
      </c>
      <c r="J1280" s="1">
        <v>417075</v>
      </c>
      <c r="K1280" s="1">
        <v>52271.72</v>
      </c>
      <c r="L1280" s="1" t="s">
        <v>17</v>
      </c>
      <c r="M1280" s="1" t="str">
        <f>TEXT(Table1[[#This Row],[Order Date]],"mmm")</f>
        <v>Jan</v>
      </c>
      <c r="N1280" s="1">
        <f>YEAR(Table1[[#This Row],[Order Date]])</f>
        <v>2023</v>
      </c>
    </row>
    <row r="1281" spans="1:14" x14ac:dyDescent="0.35">
      <c r="A1281" s="1" t="s">
        <v>1967</v>
      </c>
      <c r="B1281" s="1" t="s">
        <v>435</v>
      </c>
      <c r="C1281" s="1" t="s">
        <v>203</v>
      </c>
      <c r="D1281" s="1" t="s">
        <v>52</v>
      </c>
      <c r="E1281" s="1" t="s">
        <v>28</v>
      </c>
      <c r="F1281" s="1" t="s">
        <v>52</v>
      </c>
      <c r="G1281" s="1">
        <v>14</v>
      </c>
      <c r="H1281" s="1">
        <v>54994</v>
      </c>
      <c r="I1281" s="1">
        <v>0.05</v>
      </c>
      <c r="J1281" s="1">
        <v>731420.2</v>
      </c>
      <c r="K1281" s="1">
        <v>76403.100000000006</v>
      </c>
      <c r="L1281" s="1" t="s">
        <v>70</v>
      </c>
      <c r="M1281" s="1" t="str">
        <f>TEXT(Table1[[#This Row],[Order Date]],"mmm")</f>
        <v>Nov</v>
      </c>
      <c r="N1281" s="1">
        <f>YEAR(Table1[[#This Row],[Order Date]])</f>
        <v>2024</v>
      </c>
    </row>
    <row r="1282" spans="1:14" x14ac:dyDescent="0.35">
      <c r="A1282" s="1" t="s">
        <v>1968</v>
      </c>
      <c r="B1282" s="1" t="s">
        <v>996</v>
      </c>
      <c r="C1282" s="1" t="s">
        <v>188</v>
      </c>
      <c r="D1282" s="1" t="s">
        <v>21</v>
      </c>
      <c r="E1282" s="1" t="s">
        <v>22</v>
      </c>
      <c r="F1282" s="1" t="s">
        <v>21</v>
      </c>
      <c r="G1282" s="1">
        <v>13</v>
      </c>
      <c r="H1282" s="1">
        <v>31008</v>
      </c>
      <c r="I1282" s="1">
        <v>0.1</v>
      </c>
      <c r="J1282" s="1">
        <v>362793.6</v>
      </c>
      <c r="K1282" s="1">
        <v>79580.78</v>
      </c>
      <c r="L1282" s="1" t="s">
        <v>70</v>
      </c>
      <c r="M1282" s="1" t="str">
        <f>TEXT(Table1[[#This Row],[Order Date]],"mmm")</f>
        <v>Feb</v>
      </c>
      <c r="N1282" s="1">
        <f>YEAR(Table1[[#This Row],[Order Date]])</f>
        <v>2024</v>
      </c>
    </row>
    <row r="1283" spans="1:14" x14ac:dyDescent="0.35">
      <c r="A1283" s="1" t="s">
        <v>1969</v>
      </c>
      <c r="B1283" s="1" t="s">
        <v>1970</v>
      </c>
      <c r="C1283" s="1" t="s">
        <v>140</v>
      </c>
      <c r="D1283" s="1" t="s">
        <v>85</v>
      </c>
      <c r="E1283" s="1" t="s">
        <v>28</v>
      </c>
      <c r="F1283" s="1" t="s">
        <v>85</v>
      </c>
      <c r="G1283" s="1">
        <v>10</v>
      </c>
      <c r="H1283" s="1">
        <v>32466</v>
      </c>
      <c r="I1283" s="1">
        <v>0</v>
      </c>
      <c r="J1283" s="1">
        <v>324660</v>
      </c>
      <c r="K1283" s="1">
        <v>45087.47</v>
      </c>
      <c r="L1283" s="1" t="s">
        <v>45</v>
      </c>
      <c r="M1283" s="1" t="str">
        <f>TEXT(Table1[[#This Row],[Order Date]],"mmm")</f>
        <v>Feb</v>
      </c>
      <c r="N1283" s="1">
        <f>YEAR(Table1[[#This Row],[Order Date]])</f>
        <v>2024</v>
      </c>
    </row>
    <row r="1284" spans="1:14" x14ac:dyDescent="0.35">
      <c r="A1284" s="1" t="s">
        <v>1971</v>
      </c>
      <c r="B1284" s="1" t="s">
        <v>996</v>
      </c>
      <c r="C1284" s="1" t="s">
        <v>81</v>
      </c>
      <c r="D1284" s="1" t="s">
        <v>74</v>
      </c>
      <c r="E1284" s="1" t="s">
        <v>22</v>
      </c>
      <c r="F1284" s="1" t="s">
        <v>74</v>
      </c>
      <c r="G1284" s="1">
        <v>9</v>
      </c>
      <c r="H1284" s="1">
        <v>38024</v>
      </c>
      <c r="I1284" s="1">
        <v>0.15</v>
      </c>
      <c r="J1284" s="1">
        <v>290883.59999999998</v>
      </c>
      <c r="K1284" s="1">
        <v>54667.42</v>
      </c>
      <c r="L1284" s="1" t="s">
        <v>17</v>
      </c>
      <c r="M1284" s="1" t="str">
        <f>TEXT(Table1[[#This Row],[Order Date]],"mmm")</f>
        <v>Feb</v>
      </c>
      <c r="N1284" s="1">
        <f>YEAR(Table1[[#This Row],[Order Date]])</f>
        <v>2024</v>
      </c>
    </row>
    <row r="1285" spans="1:14" x14ac:dyDescent="0.35">
      <c r="A1285" s="1" t="s">
        <v>1972</v>
      </c>
      <c r="B1285" s="1" t="s">
        <v>673</v>
      </c>
      <c r="C1285" s="1" t="s">
        <v>158</v>
      </c>
      <c r="D1285" s="1" t="s">
        <v>27</v>
      </c>
      <c r="E1285" s="1" t="s">
        <v>28</v>
      </c>
      <c r="F1285" s="1" t="s">
        <v>27</v>
      </c>
      <c r="G1285" s="1">
        <v>8</v>
      </c>
      <c r="H1285" s="1">
        <v>31478</v>
      </c>
      <c r="I1285" s="1">
        <v>0.1</v>
      </c>
      <c r="J1285" s="1">
        <v>226641.6</v>
      </c>
      <c r="K1285" s="1">
        <v>63555.66</v>
      </c>
      <c r="L1285" s="1" t="s">
        <v>17</v>
      </c>
      <c r="M1285" s="1" t="str">
        <f>TEXT(Table1[[#This Row],[Order Date]],"mmm")</f>
        <v>Dec</v>
      </c>
      <c r="N1285" s="1">
        <f>YEAR(Table1[[#This Row],[Order Date]])</f>
        <v>2023</v>
      </c>
    </row>
    <row r="1286" spans="1:14" x14ac:dyDescent="0.35">
      <c r="A1286" s="1" t="s">
        <v>1973</v>
      </c>
      <c r="B1286" s="1" t="s">
        <v>1019</v>
      </c>
      <c r="C1286" s="1" t="s">
        <v>349</v>
      </c>
      <c r="D1286" s="1" t="s">
        <v>323</v>
      </c>
      <c r="E1286" s="1" t="s">
        <v>33</v>
      </c>
      <c r="F1286" s="1" t="s">
        <v>323</v>
      </c>
      <c r="G1286" s="1">
        <v>5</v>
      </c>
      <c r="H1286" s="1">
        <v>19392</v>
      </c>
      <c r="I1286" s="1">
        <v>0.15</v>
      </c>
      <c r="J1286" s="1">
        <v>82416</v>
      </c>
      <c r="K1286" s="1">
        <v>12113.4</v>
      </c>
      <c r="L1286" s="1" t="s">
        <v>23</v>
      </c>
      <c r="M1286" s="1" t="str">
        <f>TEXT(Table1[[#This Row],[Order Date]],"mmm")</f>
        <v>Jun</v>
      </c>
      <c r="N1286" s="1">
        <f>YEAR(Table1[[#This Row],[Order Date]])</f>
        <v>2024</v>
      </c>
    </row>
    <row r="1287" spans="1:14" x14ac:dyDescent="0.35">
      <c r="A1287" s="1" t="s">
        <v>1974</v>
      </c>
      <c r="B1287" s="1" t="s">
        <v>952</v>
      </c>
      <c r="C1287" s="1" t="s">
        <v>51</v>
      </c>
      <c r="D1287" s="1" t="s">
        <v>21</v>
      </c>
      <c r="E1287" s="1" t="s">
        <v>22</v>
      </c>
      <c r="F1287" s="1" t="s">
        <v>21</v>
      </c>
      <c r="G1287" s="1">
        <v>7</v>
      </c>
      <c r="H1287" s="1">
        <v>37218</v>
      </c>
      <c r="I1287" s="1">
        <v>0</v>
      </c>
      <c r="J1287" s="1">
        <v>260526</v>
      </c>
      <c r="K1287" s="1">
        <v>30233.94</v>
      </c>
      <c r="L1287" s="1" t="s">
        <v>45</v>
      </c>
      <c r="M1287" s="1" t="str">
        <f>TEXT(Table1[[#This Row],[Order Date]],"mmm")</f>
        <v>Oct</v>
      </c>
      <c r="N1287" s="1">
        <f>YEAR(Table1[[#This Row],[Order Date]])</f>
        <v>2023</v>
      </c>
    </row>
    <row r="1288" spans="1:14" x14ac:dyDescent="0.35">
      <c r="A1288" s="1" t="s">
        <v>1975</v>
      </c>
      <c r="B1288" s="1" t="s">
        <v>1427</v>
      </c>
      <c r="C1288" s="1" t="s">
        <v>125</v>
      </c>
      <c r="D1288" s="1" t="s">
        <v>37</v>
      </c>
      <c r="E1288" s="1" t="s">
        <v>16</v>
      </c>
      <c r="F1288" s="1" t="s">
        <v>37</v>
      </c>
      <c r="G1288" s="1">
        <v>13</v>
      </c>
      <c r="H1288" s="1">
        <v>28086</v>
      </c>
      <c r="I1288" s="1">
        <v>0.05</v>
      </c>
      <c r="J1288" s="1">
        <v>346862.1</v>
      </c>
      <c r="K1288" s="1">
        <v>65213.64</v>
      </c>
      <c r="L1288" s="1" t="s">
        <v>70</v>
      </c>
      <c r="M1288" s="1" t="str">
        <f>TEXT(Table1[[#This Row],[Order Date]],"mmm")</f>
        <v>Oct</v>
      </c>
      <c r="N1288" s="1">
        <f>YEAR(Table1[[#This Row],[Order Date]])</f>
        <v>2024</v>
      </c>
    </row>
    <row r="1289" spans="1:14" x14ac:dyDescent="0.35">
      <c r="A1289" s="1" t="s">
        <v>1976</v>
      </c>
      <c r="B1289" s="1" t="s">
        <v>1860</v>
      </c>
      <c r="C1289" s="1" t="s">
        <v>128</v>
      </c>
      <c r="D1289" s="1" t="s">
        <v>167</v>
      </c>
      <c r="E1289" s="1" t="s">
        <v>16</v>
      </c>
      <c r="F1289" s="1" t="s">
        <v>167</v>
      </c>
      <c r="G1289" s="1">
        <v>3</v>
      </c>
      <c r="H1289" s="1">
        <v>13039</v>
      </c>
      <c r="I1289" s="1">
        <v>0.2</v>
      </c>
      <c r="J1289" s="1">
        <v>31293.599999999999</v>
      </c>
      <c r="K1289" s="1">
        <v>7453.83</v>
      </c>
      <c r="L1289" s="1" t="s">
        <v>23</v>
      </c>
      <c r="M1289" s="1" t="str">
        <f>TEXT(Table1[[#This Row],[Order Date]],"mmm")</f>
        <v>Jul</v>
      </c>
      <c r="N1289" s="1">
        <f>YEAR(Table1[[#This Row],[Order Date]])</f>
        <v>2023</v>
      </c>
    </row>
    <row r="1290" spans="1:14" x14ac:dyDescent="0.35">
      <c r="A1290" s="1" t="s">
        <v>1977</v>
      </c>
      <c r="B1290" s="1" t="s">
        <v>565</v>
      </c>
      <c r="C1290" s="1" t="s">
        <v>260</v>
      </c>
      <c r="D1290" s="1" t="s">
        <v>21</v>
      </c>
      <c r="E1290" s="1" t="s">
        <v>22</v>
      </c>
      <c r="F1290" s="1" t="s">
        <v>21</v>
      </c>
      <c r="G1290" s="1">
        <v>5</v>
      </c>
      <c r="H1290" s="1">
        <v>30909</v>
      </c>
      <c r="I1290" s="1">
        <v>0.15</v>
      </c>
      <c r="J1290" s="1">
        <v>131363.25</v>
      </c>
      <c r="K1290" s="1">
        <v>24092.15</v>
      </c>
      <c r="L1290" s="1" t="s">
        <v>23</v>
      </c>
      <c r="M1290" s="1" t="str">
        <f>TEXT(Table1[[#This Row],[Order Date]],"mmm")</f>
        <v>Nov</v>
      </c>
      <c r="N1290" s="1">
        <f>YEAR(Table1[[#This Row],[Order Date]])</f>
        <v>2024</v>
      </c>
    </row>
    <row r="1291" spans="1:14" x14ac:dyDescent="0.35">
      <c r="A1291" s="1" t="s">
        <v>1978</v>
      </c>
      <c r="B1291" s="1" t="s">
        <v>1563</v>
      </c>
      <c r="C1291" s="1" t="s">
        <v>191</v>
      </c>
      <c r="D1291" s="1" t="s">
        <v>133</v>
      </c>
      <c r="E1291" s="1" t="s">
        <v>22</v>
      </c>
      <c r="F1291" s="1" t="s">
        <v>133</v>
      </c>
      <c r="G1291" s="1">
        <v>2</v>
      </c>
      <c r="H1291" s="1">
        <v>9110</v>
      </c>
      <c r="I1291" s="1">
        <v>0.05</v>
      </c>
      <c r="J1291" s="1">
        <v>17309</v>
      </c>
      <c r="K1291" s="1">
        <v>2975.13</v>
      </c>
      <c r="L1291" s="1" t="s">
        <v>45</v>
      </c>
      <c r="M1291" s="1" t="str">
        <f>TEXT(Table1[[#This Row],[Order Date]],"mmm")</f>
        <v>Mar</v>
      </c>
      <c r="N1291" s="1">
        <f>YEAR(Table1[[#This Row],[Order Date]])</f>
        <v>2024</v>
      </c>
    </row>
    <row r="1292" spans="1:14" x14ac:dyDescent="0.35">
      <c r="A1292" s="1" t="s">
        <v>1979</v>
      </c>
      <c r="B1292" s="1" t="s">
        <v>1013</v>
      </c>
      <c r="C1292" s="1" t="s">
        <v>117</v>
      </c>
      <c r="D1292" s="1" t="s">
        <v>32</v>
      </c>
      <c r="E1292" s="1" t="s">
        <v>33</v>
      </c>
      <c r="F1292" s="1" t="s">
        <v>32</v>
      </c>
      <c r="G1292" s="1">
        <v>3</v>
      </c>
      <c r="H1292" s="1">
        <v>5116</v>
      </c>
      <c r="I1292" s="1">
        <v>0.2</v>
      </c>
      <c r="J1292" s="1">
        <v>12278.4</v>
      </c>
      <c r="K1292" s="1">
        <v>2678.69</v>
      </c>
      <c r="L1292" s="1" t="s">
        <v>70</v>
      </c>
      <c r="M1292" s="1" t="str">
        <f>TEXT(Table1[[#This Row],[Order Date]],"mmm")</f>
        <v>Sep</v>
      </c>
      <c r="N1292" s="1">
        <f>YEAR(Table1[[#This Row],[Order Date]])</f>
        <v>2023</v>
      </c>
    </row>
    <row r="1293" spans="1:14" x14ac:dyDescent="0.35">
      <c r="A1293" s="1" t="s">
        <v>1980</v>
      </c>
      <c r="B1293" s="1" t="s">
        <v>551</v>
      </c>
      <c r="C1293" s="1" t="s">
        <v>200</v>
      </c>
      <c r="D1293" s="1" t="s">
        <v>52</v>
      </c>
      <c r="E1293" s="1" t="s">
        <v>28</v>
      </c>
      <c r="F1293" s="1" t="s">
        <v>52</v>
      </c>
      <c r="G1293" s="1">
        <v>11</v>
      </c>
      <c r="H1293" s="1">
        <v>11747</v>
      </c>
      <c r="I1293" s="1">
        <v>0.1</v>
      </c>
      <c r="J1293" s="1">
        <v>116295.3</v>
      </c>
      <c r="K1293" s="1">
        <v>26112.6</v>
      </c>
      <c r="L1293" s="1" t="s">
        <v>17</v>
      </c>
      <c r="M1293" s="1" t="str">
        <f>TEXT(Table1[[#This Row],[Order Date]],"mmm")</f>
        <v>Apr</v>
      </c>
      <c r="N1293" s="1">
        <f>YEAR(Table1[[#This Row],[Order Date]])</f>
        <v>2024</v>
      </c>
    </row>
    <row r="1294" spans="1:14" x14ac:dyDescent="0.35">
      <c r="A1294" s="1" t="s">
        <v>1981</v>
      </c>
      <c r="B1294" s="1" t="s">
        <v>377</v>
      </c>
      <c r="C1294" s="1" t="s">
        <v>36</v>
      </c>
      <c r="D1294" s="1" t="s">
        <v>91</v>
      </c>
      <c r="E1294" s="1" t="s">
        <v>16</v>
      </c>
      <c r="F1294" s="1" t="s">
        <v>91</v>
      </c>
      <c r="G1294" s="1">
        <v>13</v>
      </c>
      <c r="H1294" s="1">
        <v>6516</v>
      </c>
      <c r="I1294" s="1">
        <v>0</v>
      </c>
      <c r="J1294" s="1">
        <v>84708</v>
      </c>
      <c r="K1294" s="1">
        <v>18874.34</v>
      </c>
      <c r="L1294" s="1" t="s">
        <v>70</v>
      </c>
      <c r="M1294" s="1" t="str">
        <f>TEXT(Table1[[#This Row],[Order Date]],"mmm")</f>
        <v>Jul</v>
      </c>
      <c r="N1294" s="1">
        <f>YEAR(Table1[[#This Row],[Order Date]])</f>
        <v>2024</v>
      </c>
    </row>
    <row r="1295" spans="1:14" x14ac:dyDescent="0.35">
      <c r="A1295" s="1" t="s">
        <v>1982</v>
      </c>
      <c r="B1295" s="1" t="s">
        <v>1840</v>
      </c>
      <c r="C1295" s="1" t="s">
        <v>31</v>
      </c>
      <c r="D1295" s="1" t="s">
        <v>78</v>
      </c>
      <c r="E1295" s="1" t="s">
        <v>28</v>
      </c>
      <c r="F1295" s="1" t="s">
        <v>78</v>
      </c>
      <c r="G1295" s="1">
        <v>9</v>
      </c>
      <c r="H1295" s="1">
        <v>19344</v>
      </c>
      <c r="I1295" s="1">
        <v>0.2</v>
      </c>
      <c r="J1295" s="1">
        <v>139276.79999999999</v>
      </c>
      <c r="K1295" s="1">
        <v>19916.259999999998</v>
      </c>
      <c r="L1295" s="1" t="s">
        <v>17</v>
      </c>
      <c r="M1295" s="1" t="str">
        <f>TEXT(Table1[[#This Row],[Order Date]],"mmm")</f>
        <v>Aug</v>
      </c>
      <c r="N1295" s="1">
        <f>YEAR(Table1[[#This Row],[Order Date]])</f>
        <v>2024</v>
      </c>
    </row>
    <row r="1296" spans="1:14" x14ac:dyDescent="0.35">
      <c r="A1296" s="1" t="s">
        <v>1983</v>
      </c>
      <c r="B1296" s="1" t="s">
        <v>1984</v>
      </c>
      <c r="C1296" s="1" t="s">
        <v>101</v>
      </c>
      <c r="D1296" s="1" t="s">
        <v>141</v>
      </c>
      <c r="E1296" s="1" t="s">
        <v>22</v>
      </c>
      <c r="F1296" s="1" t="s">
        <v>141</v>
      </c>
      <c r="G1296" s="1">
        <v>9</v>
      </c>
      <c r="H1296" s="1">
        <v>1901</v>
      </c>
      <c r="I1296" s="1">
        <v>0.1</v>
      </c>
      <c r="J1296" s="1">
        <v>15398.1</v>
      </c>
      <c r="K1296" s="1">
        <v>2457.7399999999998</v>
      </c>
      <c r="L1296" s="1" t="s">
        <v>23</v>
      </c>
      <c r="M1296" s="1" t="str">
        <f>TEXT(Table1[[#This Row],[Order Date]],"mmm")</f>
        <v>May</v>
      </c>
      <c r="N1296" s="1">
        <f>YEAR(Table1[[#This Row],[Order Date]])</f>
        <v>2024</v>
      </c>
    </row>
    <row r="1297" spans="1:14" x14ac:dyDescent="0.35">
      <c r="A1297" s="1" t="s">
        <v>1985</v>
      </c>
      <c r="B1297" s="1" t="s">
        <v>469</v>
      </c>
      <c r="C1297" s="1" t="s">
        <v>84</v>
      </c>
      <c r="D1297" s="1" t="s">
        <v>167</v>
      </c>
      <c r="E1297" s="1" t="s">
        <v>16</v>
      </c>
      <c r="F1297" s="1" t="s">
        <v>167</v>
      </c>
      <c r="G1297" s="1">
        <v>9</v>
      </c>
      <c r="H1297" s="1">
        <v>12844</v>
      </c>
      <c r="I1297" s="1">
        <v>0.05</v>
      </c>
      <c r="J1297" s="1">
        <v>109816.2</v>
      </c>
      <c r="K1297" s="1">
        <v>15066.43</v>
      </c>
      <c r="L1297" s="1" t="s">
        <v>70</v>
      </c>
      <c r="M1297" s="1" t="str">
        <f>TEXT(Table1[[#This Row],[Order Date]],"mmm")</f>
        <v>Apr</v>
      </c>
      <c r="N1297" s="1">
        <f>YEAR(Table1[[#This Row],[Order Date]])</f>
        <v>2023</v>
      </c>
    </row>
    <row r="1298" spans="1:14" x14ac:dyDescent="0.35">
      <c r="A1298" s="1" t="s">
        <v>1986</v>
      </c>
      <c r="B1298" s="1" t="s">
        <v>238</v>
      </c>
      <c r="C1298" s="1" t="s">
        <v>94</v>
      </c>
      <c r="D1298" s="1" t="s">
        <v>141</v>
      </c>
      <c r="E1298" s="1" t="s">
        <v>22</v>
      </c>
      <c r="F1298" s="1" t="s">
        <v>141</v>
      </c>
      <c r="G1298" s="1">
        <v>13</v>
      </c>
      <c r="H1298" s="1">
        <v>38129</v>
      </c>
      <c r="I1298" s="1">
        <v>0.2</v>
      </c>
      <c r="J1298" s="1">
        <v>396541.6</v>
      </c>
      <c r="K1298" s="1">
        <v>90697.04</v>
      </c>
      <c r="L1298" s="1" t="s">
        <v>23</v>
      </c>
      <c r="M1298" s="1" t="str">
        <f>TEXT(Table1[[#This Row],[Order Date]],"mmm")</f>
        <v>Dec</v>
      </c>
      <c r="N1298" s="1">
        <f>YEAR(Table1[[#This Row],[Order Date]])</f>
        <v>2023</v>
      </c>
    </row>
    <row r="1299" spans="1:14" x14ac:dyDescent="0.35">
      <c r="A1299" s="1" t="s">
        <v>1987</v>
      </c>
      <c r="B1299" s="1" t="s">
        <v>1790</v>
      </c>
      <c r="C1299" s="1" t="s">
        <v>94</v>
      </c>
      <c r="D1299" s="1" t="s">
        <v>137</v>
      </c>
      <c r="E1299" s="1" t="s">
        <v>22</v>
      </c>
      <c r="F1299" s="1" t="s">
        <v>137</v>
      </c>
      <c r="G1299" s="1">
        <v>5</v>
      </c>
      <c r="H1299" s="1">
        <v>57366</v>
      </c>
      <c r="I1299" s="1">
        <v>0.15</v>
      </c>
      <c r="J1299" s="1">
        <v>243805.5</v>
      </c>
      <c r="K1299" s="1">
        <v>25262.880000000001</v>
      </c>
      <c r="L1299" s="1" t="s">
        <v>45</v>
      </c>
      <c r="M1299" s="1" t="str">
        <f>TEXT(Table1[[#This Row],[Order Date]],"mmm")</f>
        <v>Jan</v>
      </c>
      <c r="N1299" s="1">
        <f>YEAR(Table1[[#This Row],[Order Date]])</f>
        <v>2023</v>
      </c>
    </row>
    <row r="1300" spans="1:14" x14ac:dyDescent="0.35">
      <c r="A1300" s="1" t="s">
        <v>1988</v>
      </c>
      <c r="B1300" s="1" t="s">
        <v>1080</v>
      </c>
      <c r="C1300" s="1" t="s">
        <v>98</v>
      </c>
      <c r="D1300" s="1" t="s">
        <v>95</v>
      </c>
      <c r="E1300" s="1" t="s">
        <v>33</v>
      </c>
      <c r="F1300" s="1" t="s">
        <v>95</v>
      </c>
      <c r="G1300" s="1">
        <v>9</v>
      </c>
      <c r="H1300" s="1">
        <v>46013</v>
      </c>
      <c r="I1300" s="1">
        <v>0.15</v>
      </c>
      <c r="J1300" s="1">
        <v>351999.45</v>
      </c>
      <c r="K1300" s="1">
        <v>71806.880000000005</v>
      </c>
      <c r="L1300" s="1" t="s">
        <v>70</v>
      </c>
      <c r="M1300" s="1" t="str">
        <f>TEXT(Table1[[#This Row],[Order Date]],"mmm")</f>
        <v>Apr</v>
      </c>
      <c r="N1300" s="1">
        <f>YEAR(Table1[[#This Row],[Order Date]])</f>
        <v>2024</v>
      </c>
    </row>
    <row r="1301" spans="1:14" x14ac:dyDescent="0.35">
      <c r="A1301" s="1" t="s">
        <v>1989</v>
      </c>
      <c r="B1301" s="1" t="s">
        <v>1324</v>
      </c>
      <c r="C1301" s="1" t="s">
        <v>208</v>
      </c>
      <c r="D1301" s="1" t="s">
        <v>179</v>
      </c>
      <c r="E1301" s="1" t="s">
        <v>28</v>
      </c>
      <c r="F1301" s="1" t="s">
        <v>179</v>
      </c>
      <c r="G1301" s="1">
        <v>15</v>
      </c>
      <c r="H1301" s="1">
        <v>33645</v>
      </c>
      <c r="I1301" s="1">
        <v>0.15</v>
      </c>
      <c r="J1301" s="1">
        <v>428973.75</v>
      </c>
      <c r="K1301" s="1">
        <v>80443.399999999994</v>
      </c>
      <c r="L1301" s="1" t="s">
        <v>17</v>
      </c>
      <c r="M1301" s="1" t="str">
        <f>TEXT(Table1[[#This Row],[Order Date]],"mmm")</f>
        <v>Aug</v>
      </c>
      <c r="N1301" s="1">
        <f>YEAR(Table1[[#This Row],[Order Date]])</f>
        <v>2024</v>
      </c>
    </row>
    <row r="1302" spans="1:14" x14ac:dyDescent="0.35">
      <c r="A1302" s="1" t="s">
        <v>1990</v>
      </c>
      <c r="B1302" s="1" t="s">
        <v>712</v>
      </c>
      <c r="C1302" s="1" t="s">
        <v>208</v>
      </c>
      <c r="D1302" s="1" t="s">
        <v>27</v>
      </c>
      <c r="E1302" s="1" t="s">
        <v>28</v>
      </c>
      <c r="F1302" s="1" t="s">
        <v>27</v>
      </c>
      <c r="G1302" s="1">
        <v>11</v>
      </c>
      <c r="H1302" s="1">
        <v>45190</v>
      </c>
      <c r="I1302" s="1">
        <v>0.15</v>
      </c>
      <c r="J1302" s="1">
        <v>422526.5</v>
      </c>
      <c r="K1302" s="1">
        <v>43292.43</v>
      </c>
      <c r="L1302" s="1" t="s">
        <v>70</v>
      </c>
      <c r="M1302" s="1" t="str">
        <f>TEXT(Table1[[#This Row],[Order Date]],"mmm")</f>
        <v>Sep</v>
      </c>
      <c r="N1302" s="1">
        <f>YEAR(Table1[[#This Row],[Order Date]])</f>
        <v>2023</v>
      </c>
    </row>
    <row r="1303" spans="1:14" x14ac:dyDescent="0.35">
      <c r="A1303" s="1" t="s">
        <v>1991</v>
      </c>
      <c r="B1303" s="1" t="s">
        <v>571</v>
      </c>
      <c r="C1303" s="1" t="s">
        <v>81</v>
      </c>
      <c r="D1303" s="1" t="s">
        <v>64</v>
      </c>
      <c r="E1303" s="1" t="s">
        <v>33</v>
      </c>
      <c r="F1303" s="1" t="s">
        <v>64</v>
      </c>
      <c r="G1303" s="1">
        <v>15</v>
      </c>
      <c r="H1303" s="1">
        <v>40248</v>
      </c>
      <c r="I1303" s="1">
        <v>0.05</v>
      </c>
      <c r="J1303" s="1">
        <v>573534</v>
      </c>
      <c r="K1303" s="1">
        <v>153895.07</v>
      </c>
      <c r="L1303" s="1" t="s">
        <v>45</v>
      </c>
      <c r="M1303" s="1" t="str">
        <f>TEXT(Table1[[#This Row],[Order Date]],"mmm")</f>
        <v>Dec</v>
      </c>
      <c r="N1303" s="1">
        <f>YEAR(Table1[[#This Row],[Order Date]])</f>
        <v>2023</v>
      </c>
    </row>
    <row r="1304" spans="1:14" x14ac:dyDescent="0.35">
      <c r="A1304" s="1" t="s">
        <v>1992</v>
      </c>
      <c r="B1304" s="1" t="s">
        <v>833</v>
      </c>
      <c r="C1304" s="1" t="s">
        <v>67</v>
      </c>
      <c r="D1304" s="1" t="s">
        <v>44</v>
      </c>
      <c r="E1304" s="1" t="s">
        <v>28</v>
      </c>
      <c r="F1304" s="1" t="s">
        <v>44</v>
      </c>
      <c r="G1304" s="1">
        <v>13</v>
      </c>
      <c r="H1304" s="1">
        <v>44978</v>
      </c>
      <c r="I1304" s="1">
        <v>0.1</v>
      </c>
      <c r="J1304" s="1">
        <v>526242.6</v>
      </c>
      <c r="K1304" s="1">
        <v>76498.149999999994</v>
      </c>
      <c r="L1304" s="1" t="s">
        <v>45</v>
      </c>
      <c r="M1304" s="1" t="str">
        <f>TEXT(Table1[[#This Row],[Order Date]],"mmm")</f>
        <v>Apr</v>
      </c>
      <c r="N1304" s="1">
        <f>YEAR(Table1[[#This Row],[Order Date]])</f>
        <v>2023</v>
      </c>
    </row>
    <row r="1305" spans="1:14" x14ac:dyDescent="0.35">
      <c r="A1305" s="1" t="s">
        <v>1993</v>
      </c>
      <c r="B1305" s="1" t="s">
        <v>707</v>
      </c>
      <c r="C1305" s="1" t="s">
        <v>158</v>
      </c>
      <c r="D1305" s="1" t="s">
        <v>60</v>
      </c>
      <c r="E1305" s="1" t="s">
        <v>33</v>
      </c>
      <c r="F1305" s="1" t="s">
        <v>60</v>
      </c>
      <c r="G1305" s="1">
        <v>8</v>
      </c>
      <c r="H1305" s="1">
        <v>10350</v>
      </c>
      <c r="I1305" s="1">
        <v>0</v>
      </c>
      <c r="J1305" s="1">
        <v>82800</v>
      </c>
      <c r="K1305" s="1">
        <v>17779.580000000002</v>
      </c>
      <c r="L1305" s="1" t="s">
        <v>45</v>
      </c>
      <c r="M1305" s="1" t="str">
        <f>TEXT(Table1[[#This Row],[Order Date]],"mmm")</f>
        <v>Oct</v>
      </c>
      <c r="N1305" s="1">
        <f>YEAR(Table1[[#This Row],[Order Date]])</f>
        <v>2024</v>
      </c>
    </row>
    <row r="1306" spans="1:14" x14ac:dyDescent="0.35">
      <c r="A1306" s="1" t="s">
        <v>1994</v>
      </c>
      <c r="B1306" s="1" t="s">
        <v>1934</v>
      </c>
      <c r="C1306" s="1" t="s">
        <v>26</v>
      </c>
      <c r="D1306" s="1" t="s">
        <v>21</v>
      </c>
      <c r="E1306" s="1" t="s">
        <v>22</v>
      </c>
      <c r="F1306" s="1" t="s">
        <v>21</v>
      </c>
      <c r="G1306" s="1">
        <v>12</v>
      </c>
      <c r="H1306" s="1">
        <v>2746</v>
      </c>
      <c r="I1306" s="1">
        <v>0.2</v>
      </c>
      <c r="J1306" s="1">
        <v>26361.599999999999</v>
      </c>
      <c r="K1306" s="1">
        <v>2589.86</v>
      </c>
      <c r="L1306" s="1" t="s">
        <v>70</v>
      </c>
      <c r="M1306" s="1" t="str">
        <f>TEXT(Table1[[#This Row],[Order Date]],"mmm")</f>
        <v>Jul</v>
      </c>
      <c r="N1306" s="1">
        <f>YEAR(Table1[[#This Row],[Order Date]])</f>
        <v>2024</v>
      </c>
    </row>
    <row r="1307" spans="1:14" x14ac:dyDescent="0.35">
      <c r="A1307" s="1" t="s">
        <v>1995</v>
      </c>
      <c r="B1307" s="1" t="s">
        <v>1109</v>
      </c>
      <c r="C1307" s="1" t="s">
        <v>73</v>
      </c>
      <c r="D1307" s="1" t="s">
        <v>323</v>
      </c>
      <c r="E1307" s="1" t="s">
        <v>33</v>
      </c>
      <c r="F1307" s="1" t="s">
        <v>323</v>
      </c>
      <c r="G1307" s="1">
        <v>13</v>
      </c>
      <c r="H1307" s="1">
        <v>20398</v>
      </c>
      <c r="I1307" s="1">
        <v>0</v>
      </c>
      <c r="J1307" s="1">
        <v>265174</v>
      </c>
      <c r="K1307" s="1">
        <v>36141.699999999997</v>
      </c>
      <c r="L1307" s="1" t="s">
        <v>45</v>
      </c>
      <c r="M1307" s="1" t="str">
        <f>TEXT(Table1[[#This Row],[Order Date]],"mmm")</f>
        <v>Nov</v>
      </c>
      <c r="N1307" s="1">
        <f>YEAR(Table1[[#This Row],[Order Date]])</f>
        <v>2023</v>
      </c>
    </row>
    <row r="1308" spans="1:14" x14ac:dyDescent="0.35">
      <c r="A1308" s="1" t="s">
        <v>1996</v>
      </c>
      <c r="B1308" s="1" t="s">
        <v>1997</v>
      </c>
      <c r="C1308" s="1" t="s">
        <v>349</v>
      </c>
      <c r="D1308" s="1" t="s">
        <v>137</v>
      </c>
      <c r="E1308" s="1" t="s">
        <v>22</v>
      </c>
      <c r="F1308" s="1" t="s">
        <v>137</v>
      </c>
      <c r="G1308" s="1">
        <v>13</v>
      </c>
      <c r="H1308" s="1">
        <v>10136</v>
      </c>
      <c r="I1308" s="1">
        <v>0</v>
      </c>
      <c r="J1308" s="1">
        <v>131768</v>
      </c>
      <c r="K1308" s="1">
        <v>28872.93</v>
      </c>
      <c r="L1308" s="1" t="s">
        <v>45</v>
      </c>
      <c r="M1308" s="1" t="str">
        <f>TEXT(Table1[[#This Row],[Order Date]],"mmm")</f>
        <v>Jul</v>
      </c>
      <c r="N1308" s="1">
        <f>YEAR(Table1[[#This Row],[Order Date]])</f>
        <v>2023</v>
      </c>
    </row>
    <row r="1309" spans="1:14" x14ac:dyDescent="0.35">
      <c r="A1309" s="1" t="s">
        <v>1998</v>
      </c>
      <c r="B1309" s="1" t="s">
        <v>989</v>
      </c>
      <c r="C1309" s="1" t="s">
        <v>191</v>
      </c>
      <c r="D1309" s="1" t="s">
        <v>60</v>
      </c>
      <c r="E1309" s="1" t="s">
        <v>33</v>
      </c>
      <c r="F1309" s="1" t="s">
        <v>60</v>
      </c>
      <c r="G1309" s="1">
        <v>7</v>
      </c>
      <c r="H1309" s="1">
        <v>51657</v>
      </c>
      <c r="I1309" s="1">
        <v>0.15</v>
      </c>
      <c r="J1309" s="1">
        <v>307359.15000000002</v>
      </c>
      <c r="K1309" s="1">
        <v>26101.17</v>
      </c>
      <c r="L1309" s="1" t="s">
        <v>45</v>
      </c>
      <c r="M1309" s="1" t="str">
        <f>TEXT(Table1[[#This Row],[Order Date]],"mmm")</f>
        <v>Oct</v>
      </c>
      <c r="N1309" s="1">
        <f>YEAR(Table1[[#This Row],[Order Date]])</f>
        <v>2024</v>
      </c>
    </row>
    <row r="1310" spans="1:14" x14ac:dyDescent="0.35">
      <c r="A1310" s="1" t="s">
        <v>1999</v>
      </c>
      <c r="B1310" s="1" t="s">
        <v>2000</v>
      </c>
      <c r="C1310" s="1" t="s">
        <v>101</v>
      </c>
      <c r="D1310" s="1" t="s">
        <v>52</v>
      </c>
      <c r="E1310" s="1" t="s">
        <v>28</v>
      </c>
      <c r="F1310" s="1" t="s">
        <v>52</v>
      </c>
      <c r="G1310" s="1">
        <v>5</v>
      </c>
      <c r="H1310" s="1">
        <v>52196</v>
      </c>
      <c r="I1310" s="1">
        <v>0.15</v>
      </c>
      <c r="J1310" s="1">
        <v>221833</v>
      </c>
      <c r="K1310" s="1">
        <v>53911.57</v>
      </c>
      <c r="L1310" s="1" t="s">
        <v>45</v>
      </c>
      <c r="M1310" s="1" t="str">
        <f>TEXT(Table1[[#This Row],[Order Date]],"mmm")</f>
        <v>Sep</v>
      </c>
      <c r="N1310" s="1">
        <f>YEAR(Table1[[#This Row],[Order Date]])</f>
        <v>2024</v>
      </c>
    </row>
    <row r="1311" spans="1:14" x14ac:dyDescent="0.35">
      <c r="A1311" s="1" t="s">
        <v>2001</v>
      </c>
      <c r="B1311" s="1" t="s">
        <v>2002</v>
      </c>
      <c r="C1311" s="1" t="s">
        <v>162</v>
      </c>
      <c r="D1311" s="1" t="s">
        <v>60</v>
      </c>
      <c r="E1311" s="1" t="s">
        <v>33</v>
      </c>
      <c r="F1311" s="1" t="s">
        <v>60</v>
      </c>
      <c r="G1311" s="1">
        <v>5</v>
      </c>
      <c r="H1311" s="1">
        <v>39649</v>
      </c>
      <c r="I1311" s="1">
        <v>0.15</v>
      </c>
      <c r="J1311" s="1">
        <v>168508.25</v>
      </c>
      <c r="K1311" s="1">
        <v>21064.31</v>
      </c>
      <c r="L1311" s="1" t="s">
        <v>70</v>
      </c>
      <c r="M1311" s="1" t="str">
        <f>TEXT(Table1[[#This Row],[Order Date]],"mmm")</f>
        <v>Apr</v>
      </c>
      <c r="N1311" s="1">
        <f>YEAR(Table1[[#This Row],[Order Date]])</f>
        <v>2024</v>
      </c>
    </row>
    <row r="1312" spans="1:14" x14ac:dyDescent="0.35">
      <c r="A1312" s="1" t="s">
        <v>2003</v>
      </c>
      <c r="B1312" s="1" t="s">
        <v>2004</v>
      </c>
      <c r="C1312" s="1" t="s">
        <v>335</v>
      </c>
      <c r="D1312" s="1" t="s">
        <v>15</v>
      </c>
      <c r="E1312" s="1" t="s">
        <v>16</v>
      </c>
      <c r="F1312" s="1" t="s">
        <v>15</v>
      </c>
      <c r="G1312" s="1">
        <v>14</v>
      </c>
      <c r="H1312" s="1">
        <v>20308</v>
      </c>
      <c r="I1312" s="1">
        <v>0.2</v>
      </c>
      <c r="J1312" s="1">
        <v>227449.60000000001</v>
      </c>
      <c r="K1312" s="1">
        <v>40927.839999999997</v>
      </c>
      <c r="L1312" s="1" t="s">
        <v>17</v>
      </c>
      <c r="M1312" s="1" t="str">
        <f>TEXT(Table1[[#This Row],[Order Date]],"mmm")</f>
        <v>May</v>
      </c>
      <c r="N1312" s="1">
        <f>YEAR(Table1[[#This Row],[Order Date]])</f>
        <v>2023</v>
      </c>
    </row>
    <row r="1313" spans="1:14" x14ac:dyDescent="0.35">
      <c r="A1313" s="1" t="s">
        <v>2005</v>
      </c>
      <c r="B1313" s="1" t="s">
        <v>534</v>
      </c>
      <c r="C1313" s="1" t="s">
        <v>31</v>
      </c>
      <c r="D1313" s="1" t="s">
        <v>141</v>
      </c>
      <c r="E1313" s="1" t="s">
        <v>22</v>
      </c>
      <c r="F1313" s="1" t="s">
        <v>141</v>
      </c>
      <c r="G1313" s="1">
        <v>7</v>
      </c>
      <c r="H1313" s="1">
        <v>36004</v>
      </c>
      <c r="I1313" s="1">
        <v>0.2</v>
      </c>
      <c r="J1313" s="1">
        <v>201622.39999999999</v>
      </c>
      <c r="K1313" s="1">
        <v>48075.03</v>
      </c>
      <c r="L1313" s="1" t="s">
        <v>23</v>
      </c>
      <c r="M1313" s="1" t="str">
        <f>TEXT(Table1[[#This Row],[Order Date]],"mmm")</f>
        <v>Apr</v>
      </c>
      <c r="N1313" s="1">
        <f>YEAR(Table1[[#This Row],[Order Date]])</f>
        <v>2023</v>
      </c>
    </row>
    <row r="1314" spans="1:14" x14ac:dyDescent="0.35">
      <c r="A1314" s="1" t="s">
        <v>2006</v>
      </c>
      <c r="B1314" s="1" t="s">
        <v>617</v>
      </c>
      <c r="C1314" s="1" t="s">
        <v>178</v>
      </c>
      <c r="D1314" s="1" t="s">
        <v>41</v>
      </c>
      <c r="E1314" s="1" t="s">
        <v>16</v>
      </c>
      <c r="F1314" s="1" t="s">
        <v>41</v>
      </c>
      <c r="G1314" s="1">
        <v>9</v>
      </c>
      <c r="H1314" s="1">
        <v>48276</v>
      </c>
      <c r="I1314" s="1">
        <v>0</v>
      </c>
      <c r="J1314" s="1">
        <v>434484</v>
      </c>
      <c r="K1314" s="1">
        <v>72820.210000000006</v>
      </c>
      <c r="L1314" s="1" t="s">
        <v>45</v>
      </c>
      <c r="M1314" s="1" t="str">
        <f>TEXT(Table1[[#This Row],[Order Date]],"mmm")</f>
        <v>Jul</v>
      </c>
      <c r="N1314" s="1">
        <f>YEAR(Table1[[#This Row],[Order Date]])</f>
        <v>2023</v>
      </c>
    </row>
    <row r="1315" spans="1:14" x14ac:dyDescent="0.35">
      <c r="A1315" s="1" t="s">
        <v>2007</v>
      </c>
      <c r="B1315" s="1" t="s">
        <v>1556</v>
      </c>
      <c r="C1315" s="1" t="s">
        <v>40</v>
      </c>
      <c r="D1315" s="1" t="s">
        <v>179</v>
      </c>
      <c r="E1315" s="1" t="s">
        <v>28</v>
      </c>
      <c r="F1315" s="1" t="s">
        <v>179</v>
      </c>
      <c r="G1315" s="1">
        <v>9</v>
      </c>
      <c r="H1315" s="1">
        <v>2408</v>
      </c>
      <c r="I1315" s="1">
        <v>0.15</v>
      </c>
      <c r="J1315" s="1">
        <v>18421.2</v>
      </c>
      <c r="K1315" s="1">
        <v>5079.3</v>
      </c>
      <c r="L1315" s="1" t="s">
        <v>23</v>
      </c>
      <c r="M1315" s="1" t="str">
        <f>TEXT(Table1[[#This Row],[Order Date]],"mmm")</f>
        <v>May</v>
      </c>
      <c r="N1315" s="1">
        <f>YEAR(Table1[[#This Row],[Order Date]])</f>
        <v>2023</v>
      </c>
    </row>
    <row r="1316" spans="1:14" x14ac:dyDescent="0.35">
      <c r="A1316" s="1" t="s">
        <v>2008</v>
      </c>
      <c r="B1316" s="1" t="s">
        <v>2009</v>
      </c>
      <c r="C1316" s="1" t="s">
        <v>20</v>
      </c>
      <c r="D1316" s="1" t="s">
        <v>56</v>
      </c>
      <c r="E1316" s="1" t="s">
        <v>22</v>
      </c>
      <c r="F1316" s="1" t="s">
        <v>56</v>
      </c>
      <c r="G1316" s="1">
        <v>13</v>
      </c>
      <c r="H1316" s="1">
        <v>28211</v>
      </c>
      <c r="I1316" s="1">
        <v>0.15</v>
      </c>
      <c r="J1316" s="1">
        <v>311731.55</v>
      </c>
      <c r="K1316" s="1">
        <v>52468.88</v>
      </c>
      <c r="L1316" s="1" t="s">
        <v>23</v>
      </c>
      <c r="M1316" s="1" t="str">
        <f>TEXT(Table1[[#This Row],[Order Date]],"mmm")</f>
        <v>Jun</v>
      </c>
      <c r="N1316" s="1">
        <f>YEAR(Table1[[#This Row],[Order Date]])</f>
        <v>2024</v>
      </c>
    </row>
    <row r="1317" spans="1:14" x14ac:dyDescent="0.35">
      <c r="A1317" s="1" t="s">
        <v>2010</v>
      </c>
      <c r="B1317" s="1" t="s">
        <v>1356</v>
      </c>
      <c r="C1317" s="1" t="s">
        <v>73</v>
      </c>
      <c r="D1317" s="1" t="s">
        <v>108</v>
      </c>
      <c r="E1317" s="1" t="s">
        <v>22</v>
      </c>
      <c r="F1317" s="1" t="s">
        <v>108</v>
      </c>
      <c r="G1317" s="1">
        <v>10</v>
      </c>
      <c r="H1317" s="1">
        <v>11871</v>
      </c>
      <c r="I1317" s="1">
        <v>0.05</v>
      </c>
      <c r="J1317" s="1">
        <v>112774.5</v>
      </c>
      <c r="K1317" s="1">
        <v>23292.51</v>
      </c>
      <c r="L1317" s="1" t="s">
        <v>45</v>
      </c>
      <c r="M1317" s="1" t="str">
        <f>TEXT(Table1[[#This Row],[Order Date]],"mmm")</f>
        <v>Jun</v>
      </c>
      <c r="N1317" s="1">
        <f>YEAR(Table1[[#This Row],[Order Date]])</f>
        <v>2023</v>
      </c>
    </row>
    <row r="1318" spans="1:14" x14ac:dyDescent="0.35">
      <c r="A1318" s="1" t="s">
        <v>2011</v>
      </c>
      <c r="B1318" s="1" t="s">
        <v>341</v>
      </c>
      <c r="C1318" s="1" t="s">
        <v>120</v>
      </c>
      <c r="D1318" s="1" t="s">
        <v>78</v>
      </c>
      <c r="E1318" s="1" t="s">
        <v>28</v>
      </c>
      <c r="F1318" s="1" t="s">
        <v>78</v>
      </c>
      <c r="G1318" s="1">
        <v>14</v>
      </c>
      <c r="H1318" s="1">
        <v>26941</v>
      </c>
      <c r="I1318" s="1">
        <v>0.2</v>
      </c>
      <c r="J1318" s="1">
        <v>301739.2</v>
      </c>
      <c r="K1318" s="1">
        <v>36388.71</v>
      </c>
      <c r="L1318" s="1" t="s">
        <v>70</v>
      </c>
      <c r="M1318" s="1" t="str">
        <f>TEXT(Table1[[#This Row],[Order Date]],"mmm")</f>
        <v>May</v>
      </c>
      <c r="N1318" s="1">
        <f>YEAR(Table1[[#This Row],[Order Date]])</f>
        <v>2023</v>
      </c>
    </row>
    <row r="1319" spans="1:14" x14ac:dyDescent="0.35">
      <c r="A1319" s="1" t="s">
        <v>2012</v>
      </c>
      <c r="B1319" s="1" t="s">
        <v>2002</v>
      </c>
      <c r="C1319" s="1" t="s">
        <v>88</v>
      </c>
      <c r="D1319" s="1" t="s">
        <v>179</v>
      </c>
      <c r="E1319" s="1" t="s">
        <v>28</v>
      </c>
      <c r="F1319" s="1" t="s">
        <v>179</v>
      </c>
      <c r="G1319" s="1">
        <v>13</v>
      </c>
      <c r="H1319" s="1">
        <v>47003</v>
      </c>
      <c r="I1319" s="1">
        <v>0.1</v>
      </c>
      <c r="J1319" s="1">
        <v>549935.1</v>
      </c>
      <c r="K1319" s="1">
        <v>67939.850000000006</v>
      </c>
      <c r="L1319" s="1" t="s">
        <v>17</v>
      </c>
      <c r="M1319" s="1" t="str">
        <f>TEXT(Table1[[#This Row],[Order Date]],"mmm")</f>
        <v>Apr</v>
      </c>
      <c r="N1319" s="1">
        <f>YEAR(Table1[[#This Row],[Order Date]])</f>
        <v>2024</v>
      </c>
    </row>
    <row r="1320" spans="1:14" x14ac:dyDescent="0.35">
      <c r="A1320" s="1" t="s">
        <v>2013</v>
      </c>
      <c r="B1320" s="1" t="s">
        <v>823</v>
      </c>
      <c r="C1320" s="1" t="s">
        <v>640</v>
      </c>
      <c r="D1320" s="1" t="s">
        <v>141</v>
      </c>
      <c r="E1320" s="1" t="s">
        <v>22</v>
      </c>
      <c r="F1320" s="1" t="s">
        <v>141</v>
      </c>
      <c r="G1320" s="1">
        <v>9</v>
      </c>
      <c r="H1320" s="1">
        <v>13631</v>
      </c>
      <c r="I1320" s="1">
        <v>0.2</v>
      </c>
      <c r="J1320" s="1">
        <v>98143.2</v>
      </c>
      <c r="K1320" s="1">
        <v>11881.94</v>
      </c>
      <c r="L1320" s="1" t="s">
        <v>70</v>
      </c>
      <c r="M1320" s="1" t="str">
        <f>TEXT(Table1[[#This Row],[Order Date]],"mmm")</f>
        <v>Jul</v>
      </c>
      <c r="N1320" s="1">
        <f>YEAR(Table1[[#This Row],[Order Date]])</f>
        <v>2024</v>
      </c>
    </row>
    <row r="1321" spans="1:14" x14ac:dyDescent="0.35">
      <c r="A1321" s="1" t="s">
        <v>2014</v>
      </c>
      <c r="B1321" s="1" t="s">
        <v>914</v>
      </c>
      <c r="C1321" s="1" t="s">
        <v>203</v>
      </c>
      <c r="D1321" s="1" t="s">
        <v>52</v>
      </c>
      <c r="E1321" s="1" t="s">
        <v>28</v>
      </c>
      <c r="F1321" s="1" t="s">
        <v>52</v>
      </c>
      <c r="G1321" s="1">
        <v>12</v>
      </c>
      <c r="H1321" s="1">
        <v>51849</v>
      </c>
      <c r="I1321" s="1">
        <v>0.05</v>
      </c>
      <c r="J1321" s="1">
        <v>591078.6</v>
      </c>
      <c r="K1321" s="1">
        <v>51675.86</v>
      </c>
      <c r="L1321" s="1" t="s">
        <v>23</v>
      </c>
      <c r="M1321" s="1" t="str">
        <f>TEXT(Table1[[#This Row],[Order Date]],"mmm")</f>
        <v>Apr</v>
      </c>
      <c r="N1321" s="1">
        <f>YEAR(Table1[[#This Row],[Order Date]])</f>
        <v>2023</v>
      </c>
    </row>
    <row r="1322" spans="1:14" x14ac:dyDescent="0.35">
      <c r="A1322" s="1" t="s">
        <v>2015</v>
      </c>
      <c r="B1322" s="1" t="s">
        <v>1492</v>
      </c>
      <c r="C1322" s="1" t="s">
        <v>101</v>
      </c>
      <c r="D1322" s="1" t="s">
        <v>224</v>
      </c>
      <c r="E1322" s="1" t="s">
        <v>33</v>
      </c>
      <c r="F1322" s="1" t="s">
        <v>224</v>
      </c>
      <c r="G1322" s="1">
        <v>3</v>
      </c>
      <c r="H1322" s="1">
        <v>9710</v>
      </c>
      <c r="I1322" s="1">
        <v>0</v>
      </c>
      <c r="J1322" s="1">
        <v>29130</v>
      </c>
      <c r="K1322" s="1">
        <v>6622.6</v>
      </c>
      <c r="L1322" s="1" t="s">
        <v>23</v>
      </c>
      <c r="M1322" s="1" t="str">
        <f>TEXT(Table1[[#This Row],[Order Date]],"mmm")</f>
        <v>Mar</v>
      </c>
      <c r="N1322" s="1">
        <f>YEAR(Table1[[#This Row],[Order Date]])</f>
        <v>2024</v>
      </c>
    </row>
    <row r="1323" spans="1:14" x14ac:dyDescent="0.35">
      <c r="A1323" s="1" t="s">
        <v>2016</v>
      </c>
      <c r="B1323" s="1" t="s">
        <v>2017</v>
      </c>
      <c r="C1323" s="1" t="s">
        <v>332</v>
      </c>
      <c r="D1323" s="1" t="s">
        <v>48</v>
      </c>
      <c r="E1323" s="1" t="s">
        <v>16</v>
      </c>
      <c r="F1323" s="1" t="s">
        <v>48</v>
      </c>
      <c r="G1323" s="1">
        <v>6</v>
      </c>
      <c r="H1323" s="1">
        <v>38653</v>
      </c>
      <c r="I1323" s="1">
        <v>0.05</v>
      </c>
      <c r="J1323" s="1">
        <v>220322.1</v>
      </c>
      <c r="K1323" s="1">
        <v>55274.21</v>
      </c>
      <c r="L1323" s="1" t="s">
        <v>45</v>
      </c>
      <c r="M1323" s="1" t="str">
        <f>TEXT(Table1[[#This Row],[Order Date]],"mmm")</f>
        <v>Sep</v>
      </c>
      <c r="N1323" s="1">
        <f>YEAR(Table1[[#This Row],[Order Date]])</f>
        <v>2024</v>
      </c>
    </row>
    <row r="1324" spans="1:14" x14ac:dyDescent="0.35">
      <c r="A1324" s="1" t="s">
        <v>2018</v>
      </c>
      <c r="B1324" s="1" t="s">
        <v>236</v>
      </c>
      <c r="C1324" s="1" t="s">
        <v>136</v>
      </c>
      <c r="D1324" s="1" t="s">
        <v>179</v>
      </c>
      <c r="E1324" s="1" t="s">
        <v>28</v>
      </c>
      <c r="F1324" s="1" t="s">
        <v>179</v>
      </c>
      <c r="G1324" s="1">
        <v>6</v>
      </c>
      <c r="H1324" s="1">
        <v>43481</v>
      </c>
      <c r="I1324" s="1">
        <v>0</v>
      </c>
      <c r="J1324" s="1">
        <v>260886</v>
      </c>
      <c r="K1324" s="1">
        <v>30962.43</v>
      </c>
      <c r="L1324" s="1" t="s">
        <v>70</v>
      </c>
      <c r="M1324" s="1" t="str">
        <f>TEXT(Table1[[#This Row],[Order Date]],"mmm")</f>
        <v>May</v>
      </c>
      <c r="N1324" s="1">
        <f>YEAR(Table1[[#This Row],[Order Date]])</f>
        <v>2024</v>
      </c>
    </row>
    <row r="1325" spans="1:14" x14ac:dyDescent="0.35">
      <c r="A1325" s="1" t="s">
        <v>2019</v>
      </c>
      <c r="B1325" s="1" t="s">
        <v>837</v>
      </c>
      <c r="C1325" s="1" t="s">
        <v>640</v>
      </c>
      <c r="D1325" s="1" t="s">
        <v>323</v>
      </c>
      <c r="E1325" s="1" t="s">
        <v>33</v>
      </c>
      <c r="F1325" s="1" t="s">
        <v>323</v>
      </c>
      <c r="G1325" s="1">
        <v>9</v>
      </c>
      <c r="H1325" s="1">
        <v>56771</v>
      </c>
      <c r="I1325" s="1">
        <v>0</v>
      </c>
      <c r="J1325" s="1">
        <v>510939</v>
      </c>
      <c r="K1325" s="1">
        <v>87328.52</v>
      </c>
      <c r="L1325" s="1" t="s">
        <v>45</v>
      </c>
      <c r="M1325" s="1" t="str">
        <f>TEXT(Table1[[#This Row],[Order Date]],"mmm")</f>
        <v>Feb</v>
      </c>
      <c r="N1325" s="1">
        <f>YEAR(Table1[[#This Row],[Order Date]])</f>
        <v>2024</v>
      </c>
    </row>
    <row r="1326" spans="1:14" x14ac:dyDescent="0.35">
      <c r="A1326" s="1" t="s">
        <v>2020</v>
      </c>
      <c r="B1326" s="1" t="s">
        <v>308</v>
      </c>
      <c r="C1326" s="1" t="s">
        <v>170</v>
      </c>
      <c r="D1326" s="1" t="s">
        <v>74</v>
      </c>
      <c r="E1326" s="1" t="s">
        <v>22</v>
      </c>
      <c r="F1326" s="1" t="s">
        <v>74</v>
      </c>
      <c r="G1326" s="1">
        <v>7</v>
      </c>
      <c r="H1326" s="1">
        <v>21408</v>
      </c>
      <c r="I1326" s="1">
        <v>0</v>
      </c>
      <c r="J1326" s="1">
        <v>149856</v>
      </c>
      <c r="K1326" s="1">
        <v>19404.169999999998</v>
      </c>
      <c r="L1326" s="1" t="s">
        <v>23</v>
      </c>
      <c r="M1326" s="1" t="str">
        <f>TEXT(Table1[[#This Row],[Order Date]],"mmm")</f>
        <v>Jul</v>
      </c>
      <c r="N1326" s="1">
        <f>YEAR(Table1[[#This Row],[Order Date]])</f>
        <v>2024</v>
      </c>
    </row>
    <row r="1327" spans="1:14" x14ac:dyDescent="0.35">
      <c r="A1327" s="1" t="s">
        <v>2021</v>
      </c>
      <c r="B1327" s="1" t="s">
        <v>404</v>
      </c>
      <c r="C1327" s="1" t="s">
        <v>332</v>
      </c>
      <c r="D1327" s="1" t="s">
        <v>137</v>
      </c>
      <c r="E1327" s="1" t="s">
        <v>22</v>
      </c>
      <c r="F1327" s="1" t="s">
        <v>137</v>
      </c>
      <c r="G1327" s="1">
        <v>6</v>
      </c>
      <c r="H1327" s="1">
        <v>28692</v>
      </c>
      <c r="I1327" s="1">
        <v>0.15</v>
      </c>
      <c r="J1327" s="1">
        <v>146329.20000000001</v>
      </c>
      <c r="K1327" s="1">
        <v>16221.92</v>
      </c>
      <c r="L1327" s="1" t="s">
        <v>70</v>
      </c>
      <c r="M1327" s="1" t="str">
        <f>TEXT(Table1[[#This Row],[Order Date]],"mmm")</f>
        <v>Jan</v>
      </c>
      <c r="N1327" s="1">
        <f>YEAR(Table1[[#This Row],[Order Date]])</f>
        <v>2023</v>
      </c>
    </row>
    <row r="1328" spans="1:14" x14ac:dyDescent="0.35">
      <c r="A1328" s="1" t="s">
        <v>2022</v>
      </c>
      <c r="B1328" s="1" t="s">
        <v>2023</v>
      </c>
      <c r="C1328" s="1" t="s">
        <v>155</v>
      </c>
      <c r="D1328" s="1" t="s">
        <v>179</v>
      </c>
      <c r="E1328" s="1" t="s">
        <v>28</v>
      </c>
      <c r="F1328" s="1" t="s">
        <v>179</v>
      </c>
      <c r="G1328" s="1">
        <v>8</v>
      </c>
      <c r="H1328" s="1">
        <v>5796</v>
      </c>
      <c r="I1328" s="1">
        <v>0.2</v>
      </c>
      <c r="J1328" s="1">
        <v>37094.400000000001</v>
      </c>
      <c r="K1328" s="1">
        <v>5053.71</v>
      </c>
      <c r="L1328" s="1" t="s">
        <v>17</v>
      </c>
      <c r="M1328" s="1" t="str">
        <f>TEXT(Table1[[#This Row],[Order Date]],"mmm")</f>
        <v>Jul</v>
      </c>
      <c r="N1328" s="1">
        <f>YEAR(Table1[[#This Row],[Order Date]])</f>
        <v>2023</v>
      </c>
    </row>
    <row r="1329" spans="1:14" x14ac:dyDescent="0.35">
      <c r="A1329" s="1" t="s">
        <v>2024</v>
      </c>
      <c r="B1329" s="1" t="s">
        <v>506</v>
      </c>
      <c r="C1329" s="1" t="s">
        <v>77</v>
      </c>
      <c r="D1329" s="1" t="s">
        <v>32</v>
      </c>
      <c r="E1329" s="1" t="s">
        <v>33</v>
      </c>
      <c r="F1329" s="1" t="s">
        <v>32</v>
      </c>
      <c r="G1329" s="1">
        <v>5</v>
      </c>
      <c r="H1329" s="1">
        <v>53830</v>
      </c>
      <c r="I1329" s="1">
        <v>0</v>
      </c>
      <c r="J1329" s="1">
        <v>269150</v>
      </c>
      <c r="K1329" s="1">
        <v>48152.87</v>
      </c>
      <c r="L1329" s="1" t="s">
        <v>70</v>
      </c>
      <c r="M1329" s="1" t="str">
        <f>TEXT(Table1[[#This Row],[Order Date]],"mmm")</f>
        <v>Jul</v>
      </c>
      <c r="N1329" s="1">
        <f>YEAR(Table1[[#This Row],[Order Date]])</f>
        <v>2024</v>
      </c>
    </row>
    <row r="1330" spans="1:14" x14ac:dyDescent="0.35">
      <c r="A1330" s="1" t="s">
        <v>2025</v>
      </c>
      <c r="B1330" s="1" t="s">
        <v>528</v>
      </c>
      <c r="C1330" s="1" t="s">
        <v>335</v>
      </c>
      <c r="D1330" s="1" t="s">
        <v>137</v>
      </c>
      <c r="E1330" s="1" t="s">
        <v>22</v>
      </c>
      <c r="F1330" s="1" t="s">
        <v>137</v>
      </c>
      <c r="G1330" s="1">
        <v>3</v>
      </c>
      <c r="H1330" s="1">
        <v>6486</v>
      </c>
      <c r="I1330" s="1">
        <v>0.05</v>
      </c>
      <c r="J1330" s="1">
        <v>18485.099999999999</v>
      </c>
      <c r="K1330" s="1">
        <v>2367.83</v>
      </c>
      <c r="L1330" s="1" t="s">
        <v>45</v>
      </c>
      <c r="M1330" s="1" t="str">
        <f>TEXT(Table1[[#This Row],[Order Date]],"mmm")</f>
        <v>Feb</v>
      </c>
      <c r="N1330" s="1">
        <f>YEAR(Table1[[#This Row],[Order Date]])</f>
        <v>2024</v>
      </c>
    </row>
    <row r="1331" spans="1:14" x14ac:dyDescent="0.35">
      <c r="A1331" s="1" t="s">
        <v>2026</v>
      </c>
      <c r="B1331" s="1" t="s">
        <v>236</v>
      </c>
      <c r="C1331" s="1" t="s">
        <v>111</v>
      </c>
      <c r="D1331" s="1" t="s">
        <v>44</v>
      </c>
      <c r="E1331" s="1" t="s">
        <v>28</v>
      </c>
      <c r="F1331" s="1" t="s">
        <v>44</v>
      </c>
      <c r="G1331" s="1">
        <v>4</v>
      </c>
      <c r="H1331" s="1">
        <v>6906</v>
      </c>
      <c r="I1331" s="1">
        <v>0.15</v>
      </c>
      <c r="J1331" s="1">
        <v>23480.400000000001</v>
      </c>
      <c r="K1331" s="1">
        <v>5783</v>
      </c>
      <c r="L1331" s="1" t="s">
        <v>17</v>
      </c>
      <c r="M1331" s="1" t="str">
        <f>TEXT(Table1[[#This Row],[Order Date]],"mmm")</f>
        <v>May</v>
      </c>
      <c r="N1331" s="1">
        <f>YEAR(Table1[[#This Row],[Order Date]])</f>
        <v>2024</v>
      </c>
    </row>
    <row r="1332" spans="1:14" x14ac:dyDescent="0.35">
      <c r="A1332" s="1" t="s">
        <v>2027</v>
      </c>
      <c r="B1332" s="1" t="s">
        <v>1718</v>
      </c>
      <c r="C1332" s="1" t="s">
        <v>155</v>
      </c>
      <c r="D1332" s="1" t="s">
        <v>133</v>
      </c>
      <c r="E1332" s="1" t="s">
        <v>22</v>
      </c>
      <c r="F1332" s="1" t="s">
        <v>133</v>
      </c>
      <c r="G1332" s="1">
        <v>3</v>
      </c>
      <c r="H1332" s="1">
        <v>39685</v>
      </c>
      <c r="I1332" s="1">
        <v>0.15</v>
      </c>
      <c r="J1332" s="1">
        <v>101196.75</v>
      </c>
      <c r="K1332" s="1">
        <v>13229.89</v>
      </c>
      <c r="L1332" s="1" t="s">
        <v>45</v>
      </c>
      <c r="M1332" s="1" t="str">
        <f>TEXT(Table1[[#This Row],[Order Date]],"mmm")</f>
        <v>Nov</v>
      </c>
      <c r="N1332" s="1">
        <f>YEAR(Table1[[#This Row],[Order Date]])</f>
        <v>2024</v>
      </c>
    </row>
    <row r="1333" spans="1:14" x14ac:dyDescent="0.35">
      <c r="A1333" s="1" t="s">
        <v>2028</v>
      </c>
      <c r="B1333" s="1" t="s">
        <v>515</v>
      </c>
      <c r="C1333" s="1" t="s">
        <v>98</v>
      </c>
      <c r="D1333" s="1" t="s">
        <v>37</v>
      </c>
      <c r="E1333" s="1" t="s">
        <v>16</v>
      </c>
      <c r="F1333" s="1" t="s">
        <v>37</v>
      </c>
      <c r="G1333" s="1">
        <v>10</v>
      </c>
      <c r="H1333" s="1">
        <v>27740</v>
      </c>
      <c r="I1333" s="1">
        <v>0.05</v>
      </c>
      <c r="J1333" s="1">
        <v>263530</v>
      </c>
      <c r="K1333" s="1">
        <v>46518.41</v>
      </c>
      <c r="L1333" s="1" t="s">
        <v>23</v>
      </c>
      <c r="M1333" s="1" t="str">
        <f>TEXT(Table1[[#This Row],[Order Date]],"mmm")</f>
        <v>Apr</v>
      </c>
      <c r="N1333" s="1">
        <f>YEAR(Table1[[#This Row],[Order Date]])</f>
        <v>2024</v>
      </c>
    </row>
    <row r="1334" spans="1:14" x14ac:dyDescent="0.35">
      <c r="A1334" s="1" t="s">
        <v>2029</v>
      </c>
      <c r="B1334" s="1" t="s">
        <v>688</v>
      </c>
      <c r="C1334" s="1" t="s">
        <v>208</v>
      </c>
      <c r="D1334" s="1" t="s">
        <v>95</v>
      </c>
      <c r="E1334" s="1" t="s">
        <v>33</v>
      </c>
      <c r="F1334" s="1" t="s">
        <v>95</v>
      </c>
      <c r="G1334" s="1">
        <v>2</v>
      </c>
      <c r="H1334" s="1">
        <v>25353</v>
      </c>
      <c r="I1334" s="1">
        <v>0.05</v>
      </c>
      <c r="J1334" s="1">
        <v>48170.7</v>
      </c>
      <c r="K1334" s="1">
        <v>10823.69</v>
      </c>
      <c r="L1334" s="1" t="s">
        <v>70</v>
      </c>
      <c r="M1334" s="1" t="str">
        <f>TEXT(Table1[[#This Row],[Order Date]],"mmm")</f>
        <v>Jul</v>
      </c>
      <c r="N1334" s="1">
        <f>YEAR(Table1[[#This Row],[Order Date]])</f>
        <v>2023</v>
      </c>
    </row>
    <row r="1335" spans="1:14" x14ac:dyDescent="0.35">
      <c r="A1335" s="1" t="s">
        <v>2030</v>
      </c>
      <c r="B1335" s="1" t="s">
        <v>1948</v>
      </c>
      <c r="C1335" s="1" t="s">
        <v>120</v>
      </c>
      <c r="D1335" s="1" t="s">
        <v>323</v>
      </c>
      <c r="E1335" s="1" t="s">
        <v>33</v>
      </c>
      <c r="F1335" s="1" t="s">
        <v>323</v>
      </c>
      <c r="G1335" s="1">
        <v>2</v>
      </c>
      <c r="H1335" s="1">
        <v>25231</v>
      </c>
      <c r="I1335" s="1">
        <v>0.2</v>
      </c>
      <c r="J1335" s="1">
        <v>40369.599999999999</v>
      </c>
      <c r="K1335" s="1">
        <v>9722.56</v>
      </c>
      <c r="L1335" s="1" t="s">
        <v>45</v>
      </c>
      <c r="M1335" s="1" t="str">
        <f>TEXT(Table1[[#This Row],[Order Date]],"mmm")</f>
        <v>Dec</v>
      </c>
      <c r="N1335" s="1">
        <f>YEAR(Table1[[#This Row],[Order Date]])</f>
        <v>2023</v>
      </c>
    </row>
    <row r="1336" spans="1:14" x14ac:dyDescent="0.35">
      <c r="A1336" s="1" t="s">
        <v>2031</v>
      </c>
      <c r="B1336" s="1" t="s">
        <v>2032</v>
      </c>
      <c r="C1336" s="1" t="s">
        <v>203</v>
      </c>
      <c r="D1336" s="1" t="s">
        <v>133</v>
      </c>
      <c r="E1336" s="1" t="s">
        <v>22</v>
      </c>
      <c r="F1336" s="1" t="s">
        <v>133</v>
      </c>
      <c r="G1336" s="1">
        <v>11</v>
      </c>
      <c r="H1336" s="1">
        <v>24484</v>
      </c>
      <c r="I1336" s="1">
        <v>0.1</v>
      </c>
      <c r="J1336" s="1">
        <v>242391.6</v>
      </c>
      <c r="K1336" s="1">
        <v>55324.77</v>
      </c>
      <c r="L1336" s="1" t="s">
        <v>17</v>
      </c>
      <c r="M1336" s="1" t="str">
        <f>TEXT(Table1[[#This Row],[Order Date]],"mmm")</f>
        <v>Nov</v>
      </c>
      <c r="N1336" s="1">
        <f>YEAR(Table1[[#This Row],[Order Date]])</f>
        <v>2024</v>
      </c>
    </row>
    <row r="1337" spans="1:14" x14ac:dyDescent="0.35">
      <c r="A1337" s="1" t="s">
        <v>2033</v>
      </c>
      <c r="B1337" s="1" t="s">
        <v>1997</v>
      </c>
      <c r="C1337" s="1" t="s">
        <v>162</v>
      </c>
      <c r="D1337" s="1" t="s">
        <v>137</v>
      </c>
      <c r="E1337" s="1" t="s">
        <v>22</v>
      </c>
      <c r="F1337" s="1" t="s">
        <v>137</v>
      </c>
      <c r="G1337" s="1">
        <v>8</v>
      </c>
      <c r="H1337" s="1">
        <v>49833</v>
      </c>
      <c r="I1337" s="1">
        <v>0.15</v>
      </c>
      <c r="J1337" s="1">
        <v>338864.4</v>
      </c>
      <c r="K1337" s="1">
        <v>44368.25</v>
      </c>
      <c r="L1337" s="1" t="s">
        <v>17</v>
      </c>
      <c r="M1337" s="1" t="str">
        <f>TEXT(Table1[[#This Row],[Order Date]],"mmm")</f>
        <v>Jul</v>
      </c>
      <c r="N1337" s="1">
        <f>YEAR(Table1[[#This Row],[Order Date]])</f>
        <v>2023</v>
      </c>
    </row>
    <row r="1338" spans="1:14" x14ac:dyDescent="0.35">
      <c r="A1338" s="1" t="s">
        <v>2034</v>
      </c>
      <c r="B1338" s="1" t="s">
        <v>1015</v>
      </c>
      <c r="C1338" s="1" t="s">
        <v>117</v>
      </c>
      <c r="D1338" s="1" t="s">
        <v>133</v>
      </c>
      <c r="E1338" s="1" t="s">
        <v>22</v>
      </c>
      <c r="F1338" s="1" t="s">
        <v>133</v>
      </c>
      <c r="G1338" s="1">
        <v>9</v>
      </c>
      <c r="H1338" s="1">
        <v>7334</v>
      </c>
      <c r="I1338" s="1">
        <v>0.15</v>
      </c>
      <c r="J1338" s="1">
        <v>56105.1</v>
      </c>
      <c r="K1338" s="1">
        <v>12427.68</v>
      </c>
      <c r="L1338" s="1" t="s">
        <v>17</v>
      </c>
      <c r="M1338" s="1" t="str">
        <f>TEXT(Table1[[#This Row],[Order Date]],"mmm")</f>
        <v>Aug</v>
      </c>
      <c r="N1338" s="1">
        <f>YEAR(Table1[[#This Row],[Order Date]])</f>
        <v>2023</v>
      </c>
    </row>
    <row r="1339" spans="1:14" x14ac:dyDescent="0.35">
      <c r="A1339" s="1" t="s">
        <v>2035</v>
      </c>
      <c r="B1339" s="1" t="s">
        <v>608</v>
      </c>
      <c r="C1339" s="1" t="s">
        <v>162</v>
      </c>
      <c r="D1339" s="1" t="s">
        <v>52</v>
      </c>
      <c r="E1339" s="1" t="s">
        <v>28</v>
      </c>
      <c r="F1339" s="1" t="s">
        <v>52</v>
      </c>
      <c r="G1339" s="1">
        <v>14</v>
      </c>
      <c r="H1339" s="1">
        <v>35744</v>
      </c>
      <c r="I1339" s="1">
        <v>0</v>
      </c>
      <c r="J1339" s="1">
        <v>500416</v>
      </c>
      <c r="K1339" s="1">
        <v>135344.29</v>
      </c>
      <c r="L1339" s="1" t="s">
        <v>45</v>
      </c>
      <c r="M1339" s="1" t="str">
        <f>TEXT(Table1[[#This Row],[Order Date]],"mmm")</f>
        <v>May</v>
      </c>
      <c r="N1339" s="1">
        <f>YEAR(Table1[[#This Row],[Order Date]])</f>
        <v>2024</v>
      </c>
    </row>
    <row r="1340" spans="1:14" x14ac:dyDescent="0.35">
      <c r="A1340" s="1" t="s">
        <v>2036</v>
      </c>
      <c r="B1340" s="1" t="s">
        <v>1842</v>
      </c>
      <c r="C1340" s="1" t="s">
        <v>81</v>
      </c>
      <c r="D1340" s="1" t="s">
        <v>78</v>
      </c>
      <c r="E1340" s="1" t="s">
        <v>28</v>
      </c>
      <c r="F1340" s="1" t="s">
        <v>78</v>
      </c>
      <c r="G1340" s="1">
        <v>1</v>
      </c>
      <c r="H1340" s="1">
        <v>3817</v>
      </c>
      <c r="I1340" s="1">
        <v>0.15</v>
      </c>
      <c r="J1340" s="1">
        <v>3244.45</v>
      </c>
      <c r="K1340" s="1">
        <v>494.99</v>
      </c>
      <c r="L1340" s="1" t="s">
        <v>45</v>
      </c>
      <c r="M1340" s="1" t="str">
        <f>TEXT(Table1[[#This Row],[Order Date]],"mmm")</f>
        <v>Oct</v>
      </c>
      <c r="N1340" s="1">
        <f>YEAR(Table1[[#This Row],[Order Date]])</f>
        <v>2023</v>
      </c>
    </row>
    <row r="1341" spans="1:14" x14ac:dyDescent="0.35">
      <c r="A1341" s="1" t="s">
        <v>2037</v>
      </c>
      <c r="B1341" s="1" t="s">
        <v>1376</v>
      </c>
      <c r="C1341" s="1" t="s">
        <v>170</v>
      </c>
      <c r="D1341" s="1" t="s">
        <v>41</v>
      </c>
      <c r="E1341" s="1" t="s">
        <v>16</v>
      </c>
      <c r="F1341" s="1" t="s">
        <v>41</v>
      </c>
      <c r="G1341" s="1">
        <v>5</v>
      </c>
      <c r="H1341" s="1">
        <v>48386</v>
      </c>
      <c r="I1341" s="1">
        <v>0.15</v>
      </c>
      <c r="J1341" s="1">
        <v>205640.5</v>
      </c>
      <c r="K1341" s="1">
        <v>54922.38</v>
      </c>
      <c r="L1341" s="1" t="s">
        <v>45</v>
      </c>
      <c r="M1341" s="1" t="str">
        <f>TEXT(Table1[[#This Row],[Order Date]],"mmm")</f>
        <v>Jan</v>
      </c>
      <c r="N1341" s="1">
        <f>YEAR(Table1[[#This Row],[Order Date]])</f>
        <v>2024</v>
      </c>
    </row>
    <row r="1342" spans="1:14" x14ac:dyDescent="0.35">
      <c r="A1342" s="1" t="s">
        <v>2038</v>
      </c>
      <c r="B1342" s="1" t="s">
        <v>177</v>
      </c>
      <c r="C1342" s="1" t="s">
        <v>140</v>
      </c>
      <c r="D1342" s="1" t="s">
        <v>27</v>
      </c>
      <c r="E1342" s="1" t="s">
        <v>28</v>
      </c>
      <c r="F1342" s="1" t="s">
        <v>27</v>
      </c>
      <c r="G1342" s="1">
        <v>14</v>
      </c>
      <c r="H1342" s="1">
        <v>20716</v>
      </c>
      <c r="I1342" s="1">
        <v>0.05</v>
      </c>
      <c r="J1342" s="1">
        <v>275522.8</v>
      </c>
      <c r="K1342" s="1">
        <v>60547.32</v>
      </c>
      <c r="L1342" s="1" t="s">
        <v>45</v>
      </c>
      <c r="M1342" s="1" t="str">
        <f>TEXT(Table1[[#This Row],[Order Date]],"mmm")</f>
        <v>Jun</v>
      </c>
      <c r="N1342" s="1">
        <f>YEAR(Table1[[#This Row],[Order Date]])</f>
        <v>2023</v>
      </c>
    </row>
    <row r="1343" spans="1:14" x14ac:dyDescent="0.35">
      <c r="A1343" s="1" t="s">
        <v>2039</v>
      </c>
      <c r="B1343" s="1" t="s">
        <v>1282</v>
      </c>
      <c r="C1343" s="1" t="s">
        <v>175</v>
      </c>
      <c r="D1343" s="1" t="s">
        <v>167</v>
      </c>
      <c r="E1343" s="1" t="s">
        <v>16</v>
      </c>
      <c r="F1343" s="1" t="s">
        <v>167</v>
      </c>
      <c r="G1343" s="1">
        <v>14</v>
      </c>
      <c r="H1343" s="1">
        <v>36240</v>
      </c>
      <c r="I1343" s="1">
        <v>0.05</v>
      </c>
      <c r="J1343" s="1">
        <v>481992</v>
      </c>
      <c r="K1343" s="1">
        <v>120055.75</v>
      </c>
      <c r="L1343" s="1" t="s">
        <v>23</v>
      </c>
      <c r="M1343" s="1" t="str">
        <f>TEXT(Table1[[#This Row],[Order Date]],"mmm")</f>
        <v>Sep</v>
      </c>
      <c r="N1343" s="1">
        <f>YEAR(Table1[[#This Row],[Order Date]])</f>
        <v>2023</v>
      </c>
    </row>
    <row r="1344" spans="1:14" x14ac:dyDescent="0.35">
      <c r="A1344" s="1" t="s">
        <v>2040</v>
      </c>
      <c r="B1344" s="1" t="s">
        <v>783</v>
      </c>
      <c r="C1344" s="1" t="s">
        <v>77</v>
      </c>
      <c r="D1344" s="1" t="s">
        <v>64</v>
      </c>
      <c r="E1344" s="1" t="s">
        <v>33</v>
      </c>
      <c r="F1344" s="1" t="s">
        <v>64</v>
      </c>
      <c r="G1344" s="1">
        <v>15</v>
      </c>
      <c r="H1344" s="1">
        <v>43657</v>
      </c>
      <c r="I1344" s="1">
        <v>0.2</v>
      </c>
      <c r="J1344" s="1">
        <v>523884</v>
      </c>
      <c r="K1344" s="1">
        <v>135036.31</v>
      </c>
      <c r="L1344" s="1" t="s">
        <v>45</v>
      </c>
      <c r="M1344" s="1" t="str">
        <f>TEXT(Table1[[#This Row],[Order Date]],"mmm")</f>
        <v>Jan</v>
      </c>
      <c r="N1344" s="1">
        <f>YEAR(Table1[[#This Row],[Order Date]])</f>
        <v>2024</v>
      </c>
    </row>
    <row r="1345" spans="1:14" x14ac:dyDescent="0.35">
      <c r="A1345" s="1" t="s">
        <v>2041</v>
      </c>
      <c r="B1345" s="1" t="s">
        <v>881</v>
      </c>
      <c r="C1345" s="1" t="s">
        <v>63</v>
      </c>
      <c r="D1345" s="1" t="s">
        <v>137</v>
      </c>
      <c r="E1345" s="1" t="s">
        <v>22</v>
      </c>
      <c r="F1345" s="1" t="s">
        <v>137</v>
      </c>
      <c r="G1345" s="1">
        <v>9</v>
      </c>
      <c r="H1345" s="1">
        <v>32761</v>
      </c>
      <c r="I1345" s="1">
        <v>0.2</v>
      </c>
      <c r="J1345" s="1">
        <v>235879.2</v>
      </c>
      <c r="K1345" s="1">
        <v>32348.87</v>
      </c>
      <c r="L1345" s="1" t="s">
        <v>70</v>
      </c>
      <c r="M1345" s="1" t="str">
        <f>TEXT(Table1[[#This Row],[Order Date]],"mmm")</f>
        <v>Oct</v>
      </c>
      <c r="N1345" s="1">
        <f>YEAR(Table1[[#This Row],[Order Date]])</f>
        <v>2024</v>
      </c>
    </row>
    <row r="1346" spans="1:14" x14ac:dyDescent="0.35">
      <c r="A1346" s="1" t="s">
        <v>2042</v>
      </c>
      <c r="B1346" s="1" t="s">
        <v>288</v>
      </c>
      <c r="C1346" s="1" t="s">
        <v>203</v>
      </c>
      <c r="D1346" s="1" t="s">
        <v>137</v>
      </c>
      <c r="E1346" s="1" t="s">
        <v>22</v>
      </c>
      <c r="F1346" s="1" t="s">
        <v>137</v>
      </c>
      <c r="G1346" s="1">
        <v>13</v>
      </c>
      <c r="H1346" s="1">
        <v>26597</v>
      </c>
      <c r="I1346" s="1">
        <v>0</v>
      </c>
      <c r="J1346" s="1">
        <v>345761</v>
      </c>
      <c r="K1346" s="1">
        <v>59522.26</v>
      </c>
      <c r="L1346" s="1" t="s">
        <v>23</v>
      </c>
      <c r="M1346" s="1" t="str">
        <f>TEXT(Table1[[#This Row],[Order Date]],"mmm")</f>
        <v>Jun</v>
      </c>
      <c r="N1346" s="1">
        <f>YEAR(Table1[[#This Row],[Order Date]])</f>
        <v>2024</v>
      </c>
    </row>
    <row r="1347" spans="1:14" x14ac:dyDescent="0.35">
      <c r="A1347" s="1" t="s">
        <v>2043</v>
      </c>
      <c r="B1347" s="1" t="s">
        <v>187</v>
      </c>
      <c r="C1347" s="1" t="s">
        <v>507</v>
      </c>
      <c r="D1347" s="1" t="s">
        <v>224</v>
      </c>
      <c r="E1347" s="1" t="s">
        <v>33</v>
      </c>
      <c r="F1347" s="1" t="s">
        <v>224</v>
      </c>
      <c r="G1347" s="1">
        <v>5</v>
      </c>
      <c r="H1347" s="1">
        <v>2996</v>
      </c>
      <c r="I1347" s="1">
        <v>0.15</v>
      </c>
      <c r="J1347" s="1">
        <v>12733</v>
      </c>
      <c r="K1347" s="1">
        <v>1396.98</v>
      </c>
      <c r="L1347" s="1" t="s">
        <v>23</v>
      </c>
      <c r="M1347" s="1" t="str">
        <f>TEXT(Table1[[#This Row],[Order Date]],"mmm")</f>
        <v>Sep</v>
      </c>
      <c r="N1347" s="1">
        <f>YEAR(Table1[[#This Row],[Order Date]])</f>
        <v>2024</v>
      </c>
    </row>
    <row r="1348" spans="1:14" x14ac:dyDescent="0.35">
      <c r="A1348" s="1" t="s">
        <v>2044</v>
      </c>
      <c r="B1348" s="1" t="s">
        <v>2045</v>
      </c>
      <c r="C1348" s="1" t="s">
        <v>125</v>
      </c>
      <c r="D1348" s="1" t="s">
        <v>32</v>
      </c>
      <c r="E1348" s="1" t="s">
        <v>33</v>
      </c>
      <c r="F1348" s="1" t="s">
        <v>32</v>
      </c>
      <c r="G1348" s="1">
        <v>11</v>
      </c>
      <c r="H1348" s="1">
        <v>10118</v>
      </c>
      <c r="I1348" s="1">
        <v>0.05</v>
      </c>
      <c r="J1348" s="1">
        <v>105733.1</v>
      </c>
      <c r="K1348" s="1">
        <v>25211.85</v>
      </c>
      <c r="L1348" s="1" t="s">
        <v>17</v>
      </c>
      <c r="M1348" s="1" t="str">
        <f>TEXT(Table1[[#This Row],[Order Date]],"mmm")</f>
        <v>Sep</v>
      </c>
      <c r="N1348" s="1">
        <f>YEAR(Table1[[#This Row],[Order Date]])</f>
        <v>2024</v>
      </c>
    </row>
    <row r="1349" spans="1:14" x14ac:dyDescent="0.35">
      <c r="A1349" s="1" t="s">
        <v>2046</v>
      </c>
      <c r="B1349" s="1" t="s">
        <v>800</v>
      </c>
      <c r="C1349" s="1" t="s">
        <v>26</v>
      </c>
      <c r="D1349" s="1" t="s">
        <v>27</v>
      </c>
      <c r="E1349" s="1" t="s">
        <v>28</v>
      </c>
      <c r="F1349" s="1" t="s">
        <v>27</v>
      </c>
      <c r="G1349" s="1">
        <v>7</v>
      </c>
      <c r="H1349" s="1">
        <v>42858</v>
      </c>
      <c r="I1349" s="1">
        <v>0</v>
      </c>
      <c r="J1349" s="1">
        <v>300006</v>
      </c>
      <c r="K1349" s="1">
        <v>47183.91</v>
      </c>
      <c r="L1349" s="1" t="s">
        <v>45</v>
      </c>
      <c r="M1349" s="1" t="str">
        <f>TEXT(Table1[[#This Row],[Order Date]],"mmm")</f>
        <v>Oct</v>
      </c>
      <c r="N1349" s="1">
        <f>YEAR(Table1[[#This Row],[Order Date]])</f>
        <v>2023</v>
      </c>
    </row>
    <row r="1350" spans="1:14" x14ac:dyDescent="0.35">
      <c r="A1350" s="1" t="s">
        <v>2047</v>
      </c>
      <c r="B1350" s="1" t="s">
        <v>1688</v>
      </c>
      <c r="C1350" s="1" t="s">
        <v>208</v>
      </c>
      <c r="D1350" s="1" t="s">
        <v>44</v>
      </c>
      <c r="E1350" s="1" t="s">
        <v>28</v>
      </c>
      <c r="F1350" s="1" t="s">
        <v>44</v>
      </c>
      <c r="G1350" s="1">
        <v>2</v>
      </c>
      <c r="H1350" s="1">
        <v>59230</v>
      </c>
      <c r="I1350" s="1">
        <v>0.15</v>
      </c>
      <c r="J1350" s="1">
        <v>100691</v>
      </c>
      <c r="K1350" s="1">
        <v>21223.52</v>
      </c>
      <c r="L1350" s="1" t="s">
        <v>45</v>
      </c>
      <c r="M1350" s="1" t="str">
        <f>TEXT(Table1[[#This Row],[Order Date]],"mmm")</f>
        <v>Jul</v>
      </c>
      <c r="N1350" s="1">
        <f>YEAR(Table1[[#This Row],[Order Date]])</f>
        <v>2024</v>
      </c>
    </row>
    <row r="1351" spans="1:14" x14ac:dyDescent="0.35">
      <c r="A1351" s="1" t="s">
        <v>2048</v>
      </c>
      <c r="B1351" s="1" t="s">
        <v>2049</v>
      </c>
      <c r="C1351" s="1" t="s">
        <v>255</v>
      </c>
      <c r="D1351" s="1" t="s">
        <v>37</v>
      </c>
      <c r="E1351" s="1" t="s">
        <v>16</v>
      </c>
      <c r="F1351" s="1" t="s">
        <v>37</v>
      </c>
      <c r="G1351" s="1">
        <v>11</v>
      </c>
      <c r="H1351" s="1">
        <v>37593</v>
      </c>
      <c r="I1351" s="1">
        <v>0.05</v>
      </c>
      <c r="J1351" s="1">
        <v>392846.85</v>
      </c>
      <c r="K1351" s="1">
        <v>90297.03</v>
      </c>
      <c r="L1351" s="1" t="s">
        <v>45</v>
      </c>
      <c r="M1351" s="1" t="str">
        <f>TEXT(Table1[[#This Row],[Order Date]],"mmm")</f>
        <v>Apr</v>
      </c>
      <c r="N1351" s="1">
        <f>YEAR(Table1[[#This Row],[Order Date]])</f>
        <v>2024</v>
      </c>
    </row>
    <row r="1352" spans="1:14" x14ac:dyDescent="0.35">
      <c r="A1352" s="1" t="s">
        <v>2050</v>
      </c>
      <c r="B1352" s="1" t="s">
        <v>348</v>
      </c>
      <c r="C1352" s="1" t="s">
        <v>203</v>
      </c>
      <c r="D1352" s="1" t="s">
        <v>133</v>
      </c>
      <c r="E1352" s="1" t="s">
        <v>22</v>
      </c>
      <c r="F1352" s="1" t="s">
        <v>133</v>
      </c>
      <c r="G1352" s="1">
        <v>8</v>
      </c>
      <c r="H1352" s="1">
        <v>24732</v>
      </c>
      <c r="I1352" s="1">
        <v>0.05</v>
      </c>
      <c r="J1352" s="1">
        <v>187963.2</v>
      </c>
      <c r="K1352" s="1">
        <v>19680.259999999998</v>
      </c>
      <c r="L1352" s="1" t="s">
        <v>17</v>
      </c>
      <c r="M1352" s="1" t="str">
        <f>TEXT(Table1[[#This Row],[Order Date]],"mmm")</f>
        <v>May</v>
      </c>
      <c r="N1352" s="1">
        <f>YEAR(Table1[[#This Row],[Order Date]])</f>
        <v>2024</v>
      </c>
    </row>
    <row r="1353" spans="1:14" x14ac:dyDescent="0.35">
      <c r="A1353" s="1" t="s">
        <v>2051</v>
      </c>
      <c r="B1353" s="1" t="s">
        <v>195</v>
      </c>
      <c r="C1353" s="1" t="s">
        <v>335</v>
      </c>
      <c r="D1353" s="1" t="s">
        <v>293</v>
      </c>
      <c r="E1353" s="1" t="s">
        <v>33</v>
      </c>
      <c r="F1353" s="1" t="s">
        <v>293</v>
      </c>
      <c r="G1353" s="1">
        <v>10</v>
      </c>
      <c r="H1353" s="1">
        <v>38974</v>
      </c>
      <c r="I1353" s="1">
        <v>0</v>
      </c>
      <c r="J1353" s="1">
        <v>389740</v>
      </c>
      <c r="K1353" s="1">
        <v>37740.9</v>
      </c>
      <c r="L1353" s="1" t="s">
        <v>23</v>
      </c>
      <c r="M1353" s="1" t="str">
        <f>TEXT(Table1[[#This Row],[Order Date]],"mmm")</f>
        <v>Mar</v>
      </c>
      <c r="N1353" s="1">
        <f>YEAR(Table1[[#This Row],[Order Date]])</f>
        <v>2024</v>
      </c>
    </row>
    <row r="1354" spans="1:14" x14ac:dyDescent="0.35">
      <c r="A1354" s="1" t="s">
        <v>2052</v>
      </c>
      <c r="B1354" s="1" t="s">
        <v>850</v>
      </c>
      <c r="C1354" s="1" t="s">
        <v>136</v>
      </c>
      <c r="D1354" s="1" t="s">
        <v>41</v>
      </c>
      <c r="E1354" s="1" t="s">
        <v>16</v>
      </c>
      <c r="F1354" s="1" t="s">
        <v>41</v>
      </c>
      <c r="G1354" s="1">
        <v>12</v>
      </c>
      <c r="H1354" s="1">
        <v>4121</v>
      </c>
      <c r="I1354" s="1">
        <v>0.2</v>
      </c>
      <c r="J1354" s="1">
        <v>39561.599999999999</v>
      </c>
      <c r="K1354" s="1">
        <v>5092.1099999999997</v>
      </c>
      <c r="L1354" s="1" t="s">
        <v>70</v>
      </c>
      <c r="M1354" s="1" t="str">
        <f>TEXT(Table1[[#This Row],[Order Date]],"mmm")</f>
        <v>May</v>
      </c>
      <c r="N1354" s="1">
        <f>YEAR(Table1[[#This Row],[Order Date]])</f>
        <v>2024</v>
      </c>
    </row>
    <row r="1355" spans="1:14" x14ac:dyDescent="0.35">
      <c r="A1355" s="1" t="s">
        <v>2053</v>
      </c>
      <c r="B1355" s="1" t="s">
        <v>873</v>
      </c>
      <c r="C1355" s="1" t="s">
        <v>140</v>
      </c>
      <c r="D1355" s="1" t="s">
        <v>52</v>
      </c>
      <c r="E1355" s="1" t="s">
        <v>28</v>
      </c>
      <c r="F1355" s="1" t="s">
        <v>52</v>
      </c>
      <c r="G1355" s="1">
        <v>4</v>
      </c>
      <c r="H1355" s="1">
        <v>58904</v>
      </c>
      <c r="I1355" s="1">
        <v>0.2</v>
      </c>
      <c r="J1355" s="1">
        <v>188492.79999999999</v>
      </c>
      <c r="K1355" s="1">
        <v>17414.13</v>
      </c>
      <c r="L1355" s="1" t="s">
        <v>70</v>
      </c>
      <c r="M1355" s="1" t="str">
        <f>TEXT(Table1[[#This Row],[Order Date]],"mmm")</f>
        <v>Dec</v>
      </c>
      <c r="N1355" s="1">
        <f>YEAR(Table1[[#This Row],[Order Date]])</f>
        <v>2023</v>
      </c>
    </row>
    <row r="1356" spans="1:14" x14ac:dyDescent="0.35">
      <c r="A1356" s="1" t="s">
        <v>2054</v>
      </c>
      <c r="B1356" s="1" t="s">
        <v>1301</v>
      </c>
      <c r="C1356" s="1" t="s">
        <v>67</v>
      </c>
      <c r="D1356" s="1" t="s">
        <v>224</v>
      </c>
      <c r="E1356" s="1" t="s">
        <v>33</v>
      </c>
      <c r="F1356" s="1" t="s">
        <v>224</v>
      </c>
      <c r="G1356" s="1">
        <v>9</v>
      </c>
      <c r="H1356" s="1">
        <v>51211</v>
      </c>
      <c r="I1356" s="1">
        <v>0</v>
      </c>
      <c r="J1356" s="1">
        <v>460899</v>
      </c>
      <c r="K1356" s="1">
        <v>71988.350000000006</v>
      </c>
      <c r="L1356" s="1" t="s">
        <v>45</v>
      </c>
      <c r="M1356" s="1" t="str">
        <f>TEXT(Table1[[#This Row],[Order Date]],"mmm")</f>
        <v>Jul</v>
      </c>
      <c r="N1356" s="1">
        <f>YEAR(Table1[[#This Row],[Order Date]])</f>
        <v>2024</v>
      </c>
    </row>
    <row r="1357" spans="1:14" x14ac:dyDescent="0.35">
      <c r="A1357" s="1" t="s">
        <v>2055</v>
      </c>
      <c r="B1357" s="1" t="s">
        <v>823</v>
      </c>
      <c r="C1357" s="1" t="s">
        <v>158</v>
      </c>
      <c r="D1357" s="1" t="s">
        <v>64</v>
      </c>
      <c r="E1357" s="1" t="s">
        <v>33</v>
      </c>
      <c r="F1357" s="1" t="s">
        <v>64</v>
      </c>
      <c r="G1357" s="1">
        <v>15</v>
      </c>
      <c r="H1357" s="1">
        <v>29226</v>
      </c>
      <c r="I1357" s="1">
        <v>0.05</v>
      </c>
      <c r="J1357" s="1">
        <v>416470.5</v>
      </c>
      <c r="K1357" s="1">
        <v>47298.19</v>
      </c>
      <c r="L1357" s="1" t="s">
        <v>45</v>
      </c>
      <c r="M1357" s="1" t="str">
        <f>TEXT(Table1[[#This Row],[Order Date]],"mmm")</f>
        <v>Jul</v>
      </c>
      <c r="N1357" s="1">
        <f>YEAR(Table1[[#This Row],[Order Date]])</f>
        <v>2024</v>
      </c>
    </row>
    <row r="1358" spans="1:14" x14ac:dyDescent="0.35">
      <c r="A1358" s="1" t="s">
        <v>2056</v>
      </c>
      <c r="B1358" s="1" t="s">
        <v>1611</v>
      </c>
      <c r="C1358" s="1" t="s">
        <v>370</v>
      </c>
      <c r="D1358" s="1" t="s">
        <v>224</v>
      </c>
      <c r="E1358" s="1" t="s">
        <v>33</v>
      </c>
      <c r="F1358" s="1" t="s">
        <v>224</v>
      </c>
      <c r="G1358" s="1">
        <v>2</v>
      </c>
      <c r="H1358" s="1">
        <v>1108</v>
      </c>
      <c r="I1358" s="1">
        <v>0.2</v>
      </c>
      <c r="J1358" s="1">
        <v>1772.8</v>
      </c>
      <c r="K1358" s="1">
        <v>488.64</v>
      </c>
      <c r="L1358" s="1" t="s">
        <v>17</v>
      </c>
      <c r="M1358" s="1" t="str">
        <f>TEXT(Table1[[#This Row],[Order Date]],"mmm")</f>
        <v>Jan</v>
      </c>
      <c r="N1358" s="1">
        <f>YEAR(Table1[[#This Row],[Order Date]])</f>
        <v>2023</v>
      </c>
    </row>
    <row r="1359" spans="1:14" x14ac:dyDescent="0.35">
      <c r="A1359" s="1" t="s">
        <v>2057</v>
      </c>
      <c r="B1359" s="1" t="s">
        <v>1570</v>
      </c>
      <c r="C1359" s="1" t="s">
        <v>120</v>
      </c>
      <c r="D1359" s="1" t="s">
        <v>41</v>
      </c>
      <c r="E1359" s="1" t="s">
        <v>16</v>
      </c>
      <c r="F1359" s="1" t="s">
        <v>41</v>
      </c>
      <c r="G1359" s="1">
        <v>6</v>
      </c>
      <c r="H1359" s="1">
        <v>32776</v>
      </c>
      <c r="I1359" s="1">
        <v>0</v>
      </c>
      <c r="J1359" s="1">
        <v>196656</v>
      </c>
      <c r="K1359" s="1">
        <v>17424.66</v>
      </c>
      <c r="L1359" s="1" t="s">
        <v>17</v>
      </c>
      <c r="M1359" s="1" t="str">
        <f>TEXT(Table1[[#This Row],[Order Date]],"mmm")</f>
        <v>Apr</v>
      </c>
      <c r="N1359" s="1">
        <f>YEAR(Table1[[#This Row],[Order Date]])</f>
        <v>2024</v>
      </c>
    </row>
    <row r="1360" spans="1:14" x14ac:dyDescent="0.35">
      <c r="A1360" s="1" t="s">
        <v>2058</v>
      </c>
      <c r="B1360" s="1" t="s">
        <v>2059</v>
      </c>
      <c r="C1360" s="1" t="s">
        <v>208</v>
      </c>
      <c r="D1360" s="1" t="s">
        <v>133</v>
      </c>
      <c r="E1360" s="1" t="s">
        <v>22</v>
      </c>
      <c r="F1360" s="1" t="s">
        <v>133</v>
      </c>
      <c r="G1360" s="1">
        <v>2</v>
      </c>
      <c r="H1360" s="1">
        <v>3367</v>
      </c>
      <c r="I1360" s="1">
        <v>0.2</v>
      </c>
      <c r="J1360" s="1">
        <v>5387.2</v>
      </c>
      <c r="K1360" s="1">
        <v>1602.47</v>
      </c>
      <c r="L1360" s="1" t="s">
        <v>17</v>
      </c>
      <c r="M1360" s="1" t="str">
        <f>TEXT(Table1[[#This Row],[Order Date]],"mmm")</f>
        <v>Nov</v>
      </c>
      <c r="N1360" s="1">
        <f>YEAR(Table1[[#This Row],[Order Date]])</f>
        <v>2023</v>
      </c>
    </row>
    <row r="1361" spans="1:14" x14ac:dyDescent="0.35">
      <c r="A1361" s="1" t="s">
        <v>2060</v>
      </c>
      <c r="B1361" s="1" t="s">
        <v>707</v>
      </c>
      <c r="C1361" s="1" t="s">
        <v>51</v>
      </c>
      <c r="D1361" s="1" t="s">
        <v>48</v>
      </c>
      <c r="E1361" s="1" t="s">
        <v>16</v>
      </c>
      <c r="F1361" s="1" t="s">
        <v>48</v>
      </c>
      <c r="G1361" s="1">
        <v>6</v>
      </c>
      <c r="H1361" s="1">
        <v>57373</v>
      </c>
      <c r="I1361" s="1">
        <v>0</v>
      </c>
      <c r="J1361" s="1">
        <v>344238</v>
      </c>
      <c r="K1361" s="1">
        <v>92539.58</v>
      </c>
      <c r="L1361" s="1" t="s">
        <v>70</v>
      </c>
      <c r="M1361" s="1" t="str">
        <f>TEXT(Table1[[#This Row],[Order Date]],"mmm")</f>
        <v>Oct</v>
      </c>
      <c r="N1361" s="1">
        <f>YEAR(Table1[[#This Row],[Order Date]])</f>
        <v>2024</v>
      </c>
    </row>
    <row r="1362" spans="1:14" x14ac:dyDescent="0.35">
      <c r="A1362" s="1" t="s">
        <v>2061</v>
      </c>
      <c r="B1362" s="1" t="s">
        <v>316</v>
      </c>
      <c r="C1362" s="1" t="s">
        <v>162</v>
      </c>
      <c r="D1362" s="1" t="s">
        <v>41</v>
      </c>
      <c r="E1362" s="1" t="s">
        <v>16</v>
      </c>
      <c r="F1362" s="1" t="s">
        <v>41</v>
      </c>
      <c r="G1362" s="1">
        <v>5</v>
      </c>
      <c r="H1362" s="1">
        <v>54242</v>
      </c>
      <c r="I1362" s="1">
        <v>0</v>
      </c>
      <c r="J1362" s="1">
        <v>271210</v>
      </c>
      <c r="K1362" s="1">
        <v>49466.22</v>
      </c>
      <c r="L1362" s="1" t="s">
        <v>45</v>
      </c>
      <c r="M1362" s="1" t="str">
        <f>TEXT(Table1[[#This Row],[Order Date]],"mmm")</f>
        <v>Nov</v>
      </c>
      <c r="N1362" s="1">
        <f>YEAR(Table1[[#This Row],[Order Date]])</f>
        <v>2023</v>
      </c>
    </row>
    <row r="1363" spans="1:14" x14ac:dyDescent="0.35">
      <c r="A1363" s="1" t="s">
        <v>2062</v>
      </c>
      <c r="B1363" s="1" t="s">
        <v>398</v>
      </c>
      <c r="C1363" s="1" t="s">
        <v>332</v>
      </c>
      <c r="D1363" s="1" t="s">
        <v>21</v>
      </c>
      <c r="E1363" s="1" t="s">
        <v>22</v>
      </c>
      <c r="F1363" s="1" t="s">
        <v>21</v>
      </c>
      <c r="G1363" s="1">
        <v>2</v>
      </c>
      <c r="H1363" s="1">
        <v>20228</v>
      </c>
      <c r="I1363" s="1">
        <v>0</v>
      </c>
      <c r="J1363" s="1">
        <v>40456</v>
      </c>
      <c r="K1363" s="1">
        <v>7493.71</v>
      </c>
      <c r="L1363" s="1" t="s">
        <v>23</v>
      </c>
      <c r="M1363" s="1" t="str">
        <f>TEXT(Table1[[#This Row],[Order Date]],"mmm")</f>
        <v>Sep</v>
      </c>
      <c r="N1363" s="1">
        <f>YEAR(Table1[[#This Row],[Order Date]])</f>
        <v>2023</v>
      </c>
    </row>
    <row r="1364" spans="1:14" x14ac:dyDescent="0.35">
      <c r="A1364" s="1" t="s">
        <v>2063</v>
      </c>
      <c r="B1364" s="1" t="s">
        <v>1729</v>
      </c>
      <c r="C1364" s="1" t="s">
        <v>94</v>
      </c>
      <c r="D1364" s="1" t="s">
        <v>95</v>
      </c>
      <c r="E1364" s="1" t="s">
        <v>33</v>
      </c>
      <c r="F1364" s="1" t="s">
        <v>95</v>
      </c>
      <c r="G1364" s="1">
        <v>2</v>
      </c>
      <c r="H1364" s="1">
        <v>1630</v>
      </c>
      <c r="I1364" s="1">
        <v>0.05</v>
      </c>
      <c r="J1364" s="1">
        <v>3097</v>
      </c>
      <c r="K1364" s="1">
        <v>778.87</v>
      </c>
      <c r="L1364" s="1" t="s">
        <v>23</v>
      </c>
      <c r="M1364" s="1" t="str">
        <f>TEXT(Table1[[#This Row],[Order Date]],"mmm")</f>
        <v>Jul</v>
      </c>
      <c r="N1364" s="1">
        <f>YEAR(Table1[[#This Row],[Order Date]])</f>
        <v>2024</v>
      </c>
    </row>
    <row r="1365" spans="1:14" x14ac:dyDescent="0.35">
      <c r="A1365" s="1" t="s">
        <v>2064</v>
      </c>
      <c r="B1365" s="1" t="s">
        <v>348</v>
      </c>
      <c r="C1365" s="1" t="s">
        <v>175</v>
      </c>
      <c r="D1365" s="1" t="s">
        <v>41</v>
      </c>
      <c r="E1365" s="1" t="s">
        <v>16</v>
      </c>
      <c r="F1365" s="1" t="s">
        <v>41</v>
      </c>
      <c r="G1365" s="1">
        <v>10</v>
      </c>
      <c r="H1365" s="1">
        <v>56360</v>
      </c>
      <c r="I1365" s="1">
        <v>0</v>
      </c>
      <c r="J1365" s="1">
        <v>563600</v>
      </c>
      <c r="K1365" s="1">
        <v>163169.14000000001</v>
      </c>
      <c r="L1365" s="1" t="s">
        <v>23</v>
      </c>
      <c r="M1365" s="1" t="str">
        <f>TEXT(Table1[[#This Row],[Order Date]],"mmm")</f>
        <v>May</v>
      </c>
      <c r="N1365" s="1">
        <f>YEAR(Table1[[#This Row],[Order Date]])</f>
        <v>2024</v>
      </c>
    </row>
    <row r="1366" spans="1:14" x14ac:dyDescent="0.35">
      <c r="A1366" s="1" t="s">
        <v>2065</v>
      </c>
      <c r="B1366" s="1" t="s">
        <v>2066</v>
      </c>
      <c r="C1366" s="1" t="s">
        <v>349</v>
      </c>
      <c r="D1366" s="1" t="s">
        <v>41</v>
      </c>
      <c r="E1366" s="1" t="s">
        <v>16</v>
      </c>
      <c r="F1366" s="1" t="s">
        <v>41</v>
      </c>
      <c r="G1366" s="1">
        <v>2</v>
      </c>
      <c r="H1366" s="1">
        <v>12999</v>
      </c>
      <c r="I1366" s="1">
        <v>0.2</v>
      </c>
      <c r="J1366" s="1">
        <v>20798.400000000001</v>
      </c>
      <c r="K1366" s="1">
        <v>5202.57</v>
      </c>
      <c r="L1366" s="1" t="s">
        <v>17</v>
      </c>
      <c r="M1366" s="1" t="str">
        <f>TEXT(Table1[[#This Row],[Order Date]],"mmm")</f>
        <v>Sep</v>
      </c>
      <c r="N1366" s="1">
        <f>YEAR(Table1[[#This Row],[Order Date]])</f>
        <v>2024</v>
      </c>
    </row>
    <row r="1367" spans="1:14" x14ac:dyDescent="0.35">
      <c r="A1367" s="1" t="s">
        <v>2067</v>
      </c>
      <c r="B1367" s="1" t="s">
        <v>2068</v>
      </c>
      <c r="C1367" s="1" t="s">
        <v>31</v>
      </c>
      <c r="D1367" s="1" t="s">
        <v>74</v>
      </c>
      <c r="E1367" s="1" t="s">
        <v>22</v>
      </c>
      <c r="F1367" s="1" t="s">
        <v>74</v>
      </c>
      <c r="G1367" s="1">
        <v>1</v>
      </c>
      <c r="H1367" s="1">
        <v>59298</v>
      </c>
      <c r="I1367" s="1">
        <v>0.1</v>
      </c>
      <c r="J1367" s="1">
        <v>53368.2</v>
      </c>
      <c r="K1367" s="1">
        <v>10237.02</v>
      </c>
      <c r="L1367" s="1" t="s">
        <v>17</v>
      </c>
      <c r="M1367" s="1" t="str">
        <f>TEXT(Table1[[#This Row],[Order Date]],"mmm")</f>
        <v>Oct</v>
      </c>
      <c r="N1367" s="1">
        <f>YEAR(Table1[[#This Row],[Order Date]])</f>
        <v>2023</v>
      </c>
    </row>
    <row r="1368" spans="1:14" x14ac:dyDescent="0.35">
      <c r="A1368" s="1" t="s">
        <v>2069</v>
      </c>
      <c r="B1368" s="1" t="s">
        <v>2070</v>
      </c>
      <c r="C1368" s="1" t="s">
        <v>73</v>
      </c>
      <c r="D1368" s="1" t="s">
        <v>78</v>
      </c>
      <c r="E1368" s="1" t="s">
        <v>28</v>
      </c>
      <c r="F1368" s="1" t="s">
        <v>78</v>
      </c>
      <c r="G1368" s="1">
        <v>7</v>
      </c>
      <c r="H1368" s="1">
        <v>22710</v>
      </c>
      <c r="I1368" s="1">
        <v>0.05</v>
      </c>
      <c r="J1368" s="1">
        <v>151021.5</v>
      </c>
      <c r="K1368" s="1">
        <v>36364.47</v>
      </c>
      <c r="L1368" s="1" t="s">
        <v>17</v>
      </c>
      <c r="M1368" s="1" t="str">
        <f>TEXT(Table1[[#This Row],[Order Date]],"mmm")</f>
        <v>Apr</v>
      </c>
      <c r="N1368" s="1">
        <f>YEAR(Table1[[#This Row],[Order Date]])</f>
        <v>2024</v>
      </c>
    </row>
    <row r="1369" spans="1:14" x14ac:dyDescent="0.35">
      <c r="A1369" s="1" t="s">
        <v>2071</v>
      </c>
      <c r="B1369" s="1" t="s">
        <v>489</v>
      </c>
      <c r="C1369" s="1" t="s">
        <v>140</v>
      </c>
      <c r="D1369" s="1" t="s">
        <v>27</v>
      </c>
      <c r="E1369" s="1" t="s">
        <v>28</v>
      </c>
      <c r="F1369" s="1" t="s">
        <v>27</v>
      </c>
      <c r="G1369" s="1">
        <v>3</v>
      </c>
      <c r="H1369" s="1">
        <v>32334</v>
      </c>
      <c r="I1369" s="1">
        <v>0.2</v>
      </c>
      <c r="J1369" s="1">
        <v>77601.600000000006</v>
      </c>
      <c r="K1369" s="1">
        <v>22305.439999999999</v>
      </c>
      <c r="L1369" s="1" t="s">
        <v>17</v>
      </c>
      <c r="M1369" s="1" t="str">
        <f>TEXT(Table1[[#This Row],[Order Date]],"mmm")</f>
        <v>Aug</v>
      </c>
      <c r="N1369" s="1">
        <f>YEAR(Table1[[#This Row],[Order Date]])</f>
        <v>2023</v>
      </c>
    </row>
    <row r="1370" spans="1:14" x14ac:dyDescent="0.35">
      <c r="A1370" s="1" t="s">
        <v>2072</v>
      </c>
      <c r="B1370" s="1" t="s">
        <v>592</v>
      </c>
      <c r="C1370" s="1" t="s">
        <v>370</v>
      </c>
      <c r="D1370" s="1" t="s">
        <v>60</v>
      </c>
      <c r="E1370" s="1" t="s">
        <v>33</v>
      </c>
      <c r="F1370" s="1" t="s">
        <v>60</v>
      </c>
      <c r="G1370" s="1">
        <v>12</v>
      </c>
      <c r="H1370" s="1">
        <v>28833</v>
      </c>
      <c r="I1370" s="1">
        <v>0.1</v>
      </c>
      <c r="J1370" s="1">
        <v>311396.40000000002</v>
      </c>
      <c r="K1370" s="1">
        <v>27861.25</v>
      </c>
      <c r="L1370" s="1" t="s">
        <v>70</v>
      </c>
      <c r="M1370" s="1" t="str">
        <f>TEXT(Table1[[#This Row],[Order Date]],"mmm")</f>
        <v>Mar</v>
      </c>
      <c r="N1370" s="1">
        <f>YEAR(Table1[[#This Row],[Order Date]])</f>
        <v>2023</v>
      </c>
    </row>
    <row r="1371" spans="1:14" x14ac:dyDescent="0.35">
      <c r="A1371" s="1" t="s">
        <v>2073</v>
      </c>
      <c r="B1371" s="1" t="s">
        <v>650</v>
      </c>
      <c r="C1371" s="1" t="s">
        <v>88</v>
      </c>
      <c r="D1371" s="1" t="s">
        <v>108</v>
      </c>
      <c r="E1371" s="1" t="s">
        <v>22</v>
      </c>
      <c r="F1371" s="1" t="s">
        <v>108</v>
      </c>
      <c r="G1371" s="1">
        <v>4</v>
      </c>
      <c r="H1371" s="1">
        <v>32512</v>
      </c>
      <c r="I1371" s="1">
        <v>0.15</v>
      </c>
      <c r="J1371" s="1">
        <v>110540.8</v>
      </c>
      <c r="K1371" s="1">
        <v>32250.69</v>
      </c>
      <c r="L1371" s="1" t="s">
        <v>45</v>
      </c>
      <c r="M1371" s="1" t="str">
        <f>TEXT(Table1[[#This Row],[Order Date]],"mmm")</f>
        <v>Jun</v>
      </c>
      <c r="N1371" s="1">
        <f>YEAR(Table1[[#This Row],[Order Date]])</f>
        <v>2023</v>
      </c>
    </row>
    <row r="1372" spans="1:14" x14ac:dyDescent="0.35">
      <c r="A1372" s="1" t="s">
        <v>2074</v>
      </c>
      <c r="B1372" s="1" t="s">
        <v>1741</v>
      </c>
      <c r="C1372" s="1" t="s">
        <v>507</v>
      </c>
      <c r="D1372" s="1" t="s">
        <v>74</v>
      </c>
      <c r="E1372" s="1" t="s">
        <v>22</v>
      </c>
      <c r="F1372" s="1" t="s">
        <v>74</v>
      </c>
      <c r="G1372" s="1">
        <v>4</v>
      </c>
      <c r="H1372" s="1">
        <v>533</v>
      </c>
      <c r="I1372" s="1">
        <v>0.15</v>
      </c>
      <c r="J1372" s="1">
        <v>1812.2</v>
      </c>
      <c r="K1372" s="1">
        <v>217.01</v>
      </c>
      <c r="L1372" s="1" t="s">
        <v>45</v>
      </c>
      <c r="M1372" s="1" t="str">
        <f>TEXT(Table1[[#This Row],[Order Date]],"mmm")</f>
        <v>Apr</v>
      </c>
      <c r="N1372" s="1">
        <f>YEAR(Table1[[#This Row],[Order Date]])</f>
        <v>2024</v>
      </c>
    </row>
    <row r="1373" spans="1:14" x14ac:dyDescent="0.35">
      <c r="A1373" s="1" t="s">
        <v>2075</v>
      </c>
      <c r="B1373" s="1" t="s">
        <v>2076</v>
      </c>
      <c r="C1373" s="1" t="s">
        <v>362</v>
      </c>
      <c r="D1373" s="1" t="s">
        <v>141</v>
      </c>
      <c r="E1373" s="1" t="s">
        <v>22</v>
      </c>
      <c r="F1373" s="1" t="s">
        <v>141</v>
      </c>
      <c r="G1373" s="1">
        <v>4</v>
      </c>
      <c r="H1373" s="1">
        <v>38356</v>
      </c>
      <c r="I1373" s="1">
        <v>0.15</v>
      </c>
      <c r="J1373" s="1">
        <v>130410.4</v>
      </c>
      <c r="K1373" s="1">
        <v>20077.169999999998</v>
      </c>
      <c r="L1373" s="1" t="s">
        <v>70</v>
      </c>
      <c r="M1373" s="1" t="str">
        <f>TEXT(Table1[[#This Row],[Order Date]],"mmm")</f>
        <v>Jun</v>
      </c>
      <c r="N1373" s="1">
        <f>YEAR(Table1[[#This Row],[Order Date]])</f>
        <v>2024</v>
      </c>
    </row>
    <row r="1374" spans="1:14" x14ac:dyDescent="0.35">
      <c r="A1374" s="1" t="s">
        <v>2077</v>
      </c>
      <c r="B1374" s="1" t="s">
        <v>853</v>
      </c>
      <c r="C1374" s="1" t="s">
        <v>88</v>
      </c>
      <c r="D1374" s="1" t="s">
        <v>114</v>
      </c>
      <c r="E1374" s="1" t="s">
        <v>16</v>
      </c>
      <c r="F1374" s="1" t="s">
        <v>114</v>
      </c>
      <c r="G1374" s="1">
        <v>6</v>
      </c>
      <c r="H1374" s="1">
        <v>37323</v>
      </c>
      <c r="I1374" s="1">
        <v>0</v>
      </c>
      <c r="J1374" s="1">
        <v>223938</v>
      </c>
      <c r="K1374" s="1">
        <v>22179.23</v>
      </c>
      <c r="L1374" s="1" t="s">
        <v>45</v>
      </c>
      <c r="M1374" s="1" t="str">
        <f>TEXT(Table1[[#This Row],[Order Date]],"mmm")</f>
        <v>Jun</v>
      </c>
      <c r="N1374" s="1">
        <f>YEAR(Table1[[#This Row],[Order Date]])</f>
        <v>2024</v>
      </c>
    </row>
    <row r="1375" spans="1:14" x14ac:dyDescent="0.35">
      <c r="A1375" s="1" t="s">
        <v>2078</v>
      </c>
      <c r="B1375" s="1" t="s">
        <v>846</v>
      </c>
      <c r="C1375" s="1" t="s">
        <v>77</v>
      </c>
      <c r="D1375" s="1" t="s">
        <v>323</v>
      </c>
      <c r="E1375" s="1" t="s">
        <v>33</v>
      </c>
      <c r="F1375" s="1" t="s">
        <v>323</v>
      </c>
      <c r="G1375" s="1">
        <v>7</v>
      </c>
      <c r="H1375" s="1">
        <v>52892</v>
      </c>
      <c r="I1375" s="1">
        <v>0.2</v>
      </c>
      <c r="J1375" s="1">
        <v>296195.20000000001</v>
      </c>
      <c r="K1375" s="1">
        <v>35750.629999999997</v>
      </c>
      <c r="L1375" s="1" t="s">
        <v>70</v>
      </c>
      <c r="M1375" s="1" t="str">
        <f>TEXT(Table1[[#This Row],[Order Date]],"mmm")</f>
        <v>Aug</v>
      </c>
      <c r="N1375" s="1">
        <f>YEAR(Table1[[#This Row],[Order Date]])</f>
        <v>2024</v>
      </c>
    </row>
    <row r="1376" spans="1:14" x14ac:dyDescent="0.35">
      <c r="A1376" s="1" t="s">
        <v>2079</v>
      </c>
      <c r="B1376" s="1" t="s">
        <v>1918</v>
      </c>
      <c r="C1376" s="1" t="s">
        <v>84</v>
      </c>
      <c r="D1376" s="1" t="s">
        <v>179</v>
      </c>
      <c r="E1376" s="1" t="s">
        <v>28</v>
      </c>
      <c r="F1376" s="1" t="s">
        <v>179</v>
      </c>
      <c r="G1376" s="1">
        <v>4</v>
      </c>
      <c r="H1376" s="1">
        <v>28832</v>
      </c>
      <c r="I1376" s="1">
        <v>0.15</v>
      </c>
      <c r="J1376" s="1">
        <v>98028.800000000003</v>
      </c>
      <c r="K1376" s="1">
        <v>13097.41</v>
      </c>
      <c r="L1376" s="1" t="s">
        <v>70</v>
      </c>
      <c r="M1376" s="1" t="str">
        <f>TEXT(Table1[[#This Row],[Order Date]],"mmm")</f>
        <v>Aug</v>
      </c>
      <c r="N1376" s="1">
        <f>YEAR(Table1[[#This Row],[Order Date]])</f>
        <v>2023</v>
      </c>
    </row>
    <row r="1377" spans="1:14" x14ac:dyDescent="0.35">
      <c r="A1377" s="1" t="s">
        <v>2080</v>
      </c>
      <c r="B1377" s="1" t="s">
        <v>334</v>
      </c>
      <c r="C1377" s="1" t="s">
        <v>146</v>
      </c>
      <c r="D1377" s="1" t="s">
        <v>74</v>
      </c>
      <c r="E1377" s="1" t="s">
        <v>22</v>
      </c>
      <c r="F1377" s="1" t="s">
        <v>74</v>
      </c>
      <c r="G1377" s="1">
        <v>12</v>
      </c>
      <c r="H1377" s="1">
        <v>27502</v>
      </c>
      <c r="I1377" s="1">
        <v>0.15</v>
      </c>
      <c r="J1377" s="1">
        <v>280520.40000000002</v>
      </c>
      <c r="K1377" s="1">
        <v>77776.990000000005</v>
      </c>
      <c r="L1377" s="1" t="s">
        <v>17</v>
      </c>
      <c r="M1377" s="1" t="str">
        <f>TEXT(Table1[[#This Row],[Order Date]],"mmm")</f>
        <v>Sep</v>
      </c>
      <c r="N1377" s="1">
        <f>YEAR(Table1[[#This Row],[Order Date]])</f>
        <v>2023</v>
      </c>
    </row>
    <row r="1378" spans="1:14" x14ac:dyDescent="0.35">
      <c r="A1378" s="1" t="s">
        <v>2081</v>
      </c>
      <c r="B1378" s="1" t="s">
        <v>1153</v>
      </c>
      <c r="C1378" s="1" t="s">
        <v>191</v>
      </c>
      <c r="D1378" s="1" t="s">
        <v>78</v>
      </c>
      <c r="E1378" s="1" t="s">
        <v>28</v>
      </c>
      <c r="F1378" s="1" t="s">
        <v>78</v>
      </c>
      <c r="G1378" s="1">
        <v>9</v>
      </c>
      <c r="H1378" s="1">
        <v>12165</v>
      </c>
      <c r="I1378" s="1">
        <v>0.2</v>
      </c>
      <c r="J1378" s="1">
        <v>87588</v>
      </c>
      <c r="K1378" s="1">
        <v>22409.32</v>
      </c>
      <c r="L1378" s="1" t="s">
        <v>70</v>
      </c>
      <c r="M1378" s="1" t="str">
        <f>TEXT(Table1[[#This Row],[Order Date]],"mmm")</f>
        <v>Feb</v>
      </c>
      <c r="N1378" s="1">
        <f>YEAR(Table1[[#This Row],[Order Date]])</f>
        <v>2024</v>
      </c>
    </row>
    <row r="1379" spans="1:14" x14ac:dyDescent="0.35">
      <c r="A1379" s="1" t="s">
        <v>2082</v>
      </c>
      <c r="B1379" s="1" t="s">
        <v>567</v>
      </c>
      <c r="C1379" s="1" t="s">
        <v>31</v>
      </c>
      <c r="D1379" s="1" t="s">
        <v>15</v>
      </c>
      <c r="E1379" s="1" t="s">
        <v>16</v>
      </c>
      <c r="F1379" s="1" t="s">
        <v>15</v>
      </c>
      <c r="G1379" s="1">
        <v>9</v>
      </c>
      <c r="H1379" s="1">
        <v>54563</v>
      </c>
      <c r="I1379" s="1">
        <v>0</v>
      </c>
      <c r="J1379" s="1">
        <v>491067</v>
      </c>
      <c r="K1379" s="1">
        <v>52367.08</v>
      </c>
      <c r="L1379" s="1" t="s">
        <v>45</v>
      </c>
      <c r="M1379" s="1" t="str">
        <f>TEXT(Table1[[#This Row],[Order Date]],"mmm")</f>
        <v>May</v>
      </c>
      <c r="N1379" s="1">
        <f>YEAR(Table1[[#This Row],[Order Date]])</f>
        <v>2023</v>
      </c>
    </row>
    <row r="1380" spans="1:14" x14ac:dyDescent="0.35">
      <c r="A1380" s="1" t="s">
        <v>2083</v>
      </c>
      <c r="B1380" s="1" t="s">
        <v>1133</v>
      </c>
      <c r="C1380" s="1" t="s">
        <v>59</v>
      </c>
      <c r="D1380" s="1" t="s">
        <v>323</v>
      </c>
      <c r="E1380" s="1" t="s">
        <v>33</v>
      </c>
      <c r="F1380" s="1" t="s">
        <v>323</v>
      </c>
      <c r="G1380" s="1">
        <v>11</v>
      </c>
      <c r="H1380" s="1">
        <v>10075</v>
      </c>
      <c r="I1380" s="1">
        <v>0.2</v>
      </c>
      <c r="J1380" s="1">
        <v>88660</v>
      </c>
      <c r="K1380" s="1">
        <v>16168.29</v>
      </c>
      <c r="L1380" s="1" t="s">
        <v>45</v>
      </c>
      <c r="M1380" s="1" t="str">
        <f>TEXT(Table1[[#This Row],[Order Date]],"mmm")</f>
        <v>Nov</v>
      </c>
      <c r="N1380" s="1">
        <f>YEAR(Table1[[#This Row],[Order Date]])</f>
        <v>2024</v>
      </c>
    </row>
    <row r="1381" spans="1:14" x14ac:dyDescent="0.35">
      <c r="A1381" s="1" t="s">
        <v>2084</v>
      </c>
      <c r="B1381" s="1" t="s">
        <v>1604</v>
      </c>
      <c r="C1381" s="1" t="s">
        <v>208</v>
      </c>
      <c r="D1381" s="1" t="s">
        <v>224</v>
      </c>
      <c r="E1381" s="1" t="s">
        <v>33</v>
      </c>
      <c r="F1381" s="1" t="s">
        <v>224</v>
      </c>
      <c r="G1381" s="1">
        <v>8</v>
      </c>
      <c r="H1381" s="1">
        <v>29721</v>
      </c>
      <c r="I1381" s="1">
        <v>0.2</v>
      </c>
      <c r="J1381" s="1">
        <v>190214.39999999999</v>
      </c>
      <c r="K1381" s="1">
        <v>41489.17</v>
      </c>
      <c r="L1381" s="1" t="s">
        <v>23</v>
      </c>
      <c r="M1381" s="1" t="str">
        <f>TEXT(Table1[[#This Row],[Order Date]],"mmm")</f>
        <v>May</v>
      </c>
      <c r="N1381" s="1">
        <f>YEAR(Table1[[#This Row],[Order Date]])</f>
        <v>2024</v>
      </c>
    </row>
    <row r="1382" spans="1:14" x14ac:dyDescent="0.35">
      <c r="A1382" s="1" t="s">
        <v>2085</v>
      </c>
      <c r="B1382" s="1" t="s">
        <v>901</v>
      </c>
      <c r="C1382" s="1" t="s">
        <v>155</v>
      </c>
      <c r="D1382" s="1" t="s">
        <v>114</v>
      </c>
      <c r="E1382" s="1" t="s">
        <v>16</v>
      </c>
      <c r="F1382" s="1" t="s">
        <v>114</v>
      </c>
      <c r="G1382" s="1">
        <v>14</v>
      </c>
      <c r="H1382" s="1">
        <v>15226</v>
      </c>
      <c r="I1382" s="1">
        <v>0.2</v>
      </c>
      <c r="J1382" s="1">
        <v>170531.20000000001</v>
      </c>
      <c r="K1382" s="1">
        <v>40470.800000000003</v>
      </c>
      <c r="L1382" s="1" t="s">
        <v>70</v>
      </c>
      <c r="M1382" s="1" t="str">
        <f>TEXT(Table1[[#This Row],[Order Date]],"mmm")</f>
        <v>May</v>
      </c>
      <c r="N1382" s="1">
        <f>YEAR(Table1[[#This Row],[Order Date]])</f>
        <v>2023</v>
      </c>
    </row>
    <row r="1383" spans="1:14" x14ac:dyDescent="0.35">
      <c r="A1383" s="1" t="s">
        <v>2086</v>
      </c>
      <c r="B1383" s="1" t="s">
        <v>417</v>
      </c>
      <c r="C1383" s="1" t="s">
        <v>81</v>
      </c>
      <c r="D1383" s="1" t="s">
        <v>56</v>
      </c>
      <c r="E1383" s="1" t="s">
        <v>22</v>
      </c>
      <c r="F1383" s="1" t="s">
        <v>56</v>
      </c>
      <c r="G1383" s="1">
        <v>10</v>
      </c>
      <c r="H1383" s="1">
        <v>20562</v>
      </c>
      <c r="I1383" s="1">
        <v>0.15</v>
      </c>
      <c r="J1383" s="1">
        <v>174777</v>
      </c>
      <c r="K1383" s="1">
        <v>22926.38</v>
      </c>
      <c r="L1383" s="1" t="s">
        <v>45</v>
      </c>
      <c r="M1383" s="1" t="str">
        <f>TEXT(Table1[[#This Row],[Order Date]],"mmm")</f>
        <v>Jul</v>
      </c>
      <c r="N1383" s="1">
        <f>YEAR(Table1[[#This Row],[Order Date]])</f>
        <v>2024</v>
      </c>
    </row>
    <row r="1384" spans="1:14" x14ac:dyDescent="0.35">
      <c r="A1384" s="1" t="s">
        <v>2087</v>
      </c>
      <c r="B1384" s="1" t="s">
        <v>660</v>
      </c>
      <c r="C1384" s="1" t="s">
        <v>208</v>
      </c>
      <c r="D1384" s="1" t="s">
        <v>224</v>
      </c>
      <c r="E1384" s="1" t="s">
        <v>33</v>
      </c>
      <c r="F1384" s="1" t="s">
        <v>224</v>
      </c>
      <c r="G1384" s="1">
        <v>10</v>
      </c>
      <c r="H1384" s="1">
        <v>1280</v>
      </c>
      <c r="I1384" s="1">
        <v>0.2</v>
      </c>
      <c r="J1384" s="1">
        <v>10240</v>
      </c>
      <c r="K1384" s="1">
        <v>1524.3</v>
      </c>
      <c r="L1384" s="1" t="s">
        <v>70</v>
      </c>
      <c r="M1384" s="1" t="str">
        <f>TEXT(Table1[[#This Row],[Order Date]],"mmm")</f>
        <v>May</v>
      </c>
      <c r="N1384" s="1">
        <f>YEAR(Table1[[#This Row],[Order Date]])</f>
        <v>2023</v>
      </c>
    </row>
    <row r="1385" spans="1:14" x14ac:dyDescent="0.35">
      <c r="A1385" s="1" t="s">
        <v>2088</v>
      </c>
      <c r="B1385" s="1" t="s">
        <v>2089</v>
      </c>
      <c r="C1385" s="1" t="s">
        <v>94</v>
      </c>
      <c r="D1385" s="1" t="s">
        <v>78</v>
      </c>
      <c r="E1385" s="1" t="s">
        <v>28</v>
      </c>
      <c r="F1385" s="1" t="s">
        <v>78</v>
      </c>
      <c r="G1385" s="1">
        <v>9</v>
      </c>
      <c r="H1385" s="1">
        <v>19318</v>
      </c>
      <c r="I1385" s="1">
        <v>0</v>
      </c>
      <c r="J1385" s="1">
        <v>173862</v>
      </c>
      <c r="K1385" s="1">
        <v>27935.77</v>
      </c>
      <c r="L1385" s="1" t="s">
        <v>45</v>
      </c>
      <c r="M1385" s="1" t="str">
        <f>TEXT(Table1[[#This Row],[Order Date]],"mmm")</f>
        <v>Nov</v>
      </c>
      <c r="N1385" s="1">
        <f>YEAR(Table1[[#This Row],[Order Date]])</f>
        <v>2024</v>
      </c>
    </row>
    <row r="1386" spans="1:14" x14ac:dyDescent="0.35">
      <c r="A1386" s="1" t="s">
        <v>2090</v>
      </c>
      <c r="B1386" s="1" t="s">
        <v>1984</v>
      </c>
      <c r="C1386" s="1" t="s">
        <v>26</v>
      </c>
      <c r="D1386" s="1" t="s">
        <v>21</v>
      </c>
      <c r="E1386" s="1" t="s">
        <v>22</v>
      </c>
      <c r="F1386" s="1" t="s">
        <v>21</v>
      </c>
      <c r="G1386" s="1">
        <v>11</v>
      </c>
      <c r="H1386" s="1">
        <v>36988</v>
      </c>
      <c r="I1386" s="1">
        <v>0.1</v>
      </c>
      <c r="J1386" s="1">
        <v>366181.2</v>
      </c>
      <c r="K1386" s="1">
        <v>32191.75</v>
      </c>
      <c r="L1386" s="1" t="s">
        <v>17</v>
      </c>
      <c r="M1386" s="1" t="str">
        <f>TEXT(Table1[[#This Row],[Order Date]],"mmm")</f>
        <v>May</v>
      </c>
      <c r="N1386" s="1">
        <f>YEAR(Table1[[#This Row],[Order Date]])</f>
        <v>2024</v>
      </c>
    </row>
    <row r="1387" spans="1:14" x14ac:dyDescent="0.35">
      <c r="A1387" s="1" t="s">
        <v>2091</v>
      </c>
      <c r="B1387" s="1" t="s">
        <v>2092</v>
      </c>
      <c r="C1387" s="1" t="s">
        <v>36</v>
      </c>
      <c r="D1387" s="1" t="s">
        <v>108</v>
      </c>
      <c r="E1387" s="1" t="s">
        <v>22</v>
      </c>
      <c r="F1387" s="1" t="s">
        <v>108</v>
      </c>
      <c r="G1387" s="1">
        <v>2</v>
      </c>
      <c r="H1387" s="1">
        <v>42311</v>
      </c>
      <c r="I1387" s="1">
        <v>0.05</v>
      </c>
      <c r="J1387" s="1">
        <v>80390.899999999994</v>
      </c>
      <c r="K1387" s="1">
        <v>22439.14</v>
      </c>
      <c r="L1387" s="1" t="s">
        <v>70</v>
      </c>
      <c r="M1387" s="1" t="str">
        <f>TEXT(Table1[[#This Row],[Order Date]],"mmm")</f>
        <v>Feb</v>
      </c>
      <c r="N1387" s="1">
        <f>YEAR(Table1[[#This Row],[Order Date]])</f>
        <v>2024</v>
      </c>
    </row>
    <row r="1388" spans="1:14" x14ac:dyDescent="0.35">
      <c r="A1388" s="1" t="s">
        <v>2093</v>
      </c>
      <c r="B1388" s="1" t="s">
        <v>934</v>
      </c>
      <c r="C1388" s="1" t="s">
        <v>31</v>
      </c>
      <c r="D1388" s="1" t="s">
        <v>167</v>
      </c>
      <c r="E1388" s="1" t="s">
        <v>16</v>
      </c>
      <c r="F1388" s="1" t="s">
        <v>167</v>
      </c>
      <c r="G1388" s="1">
        <v>7</v>
      </c>
      <c r="H1388" s="1">
        <v>12542</v>
      </c>
      <c r="I1388" s="1">
        <v>0.2</v>
      </c>
      <c r="J1388" s="1">
        <v>70235.199999999997</v>
      </c>
      <c r="K1388" s="1">
        <v>9219.1200000000008</v>
      </c>
      <c r="L1388" s="1" t="s">
        <v>23</v>
      </c>
      <c r="M1388" s="1" t="str">
        <f>TEXT(Table1[[#This Row],[Order Date]],"mmm")</f>
        <v>Jun</v>
      </c>
      <c r="N1388" s="1">
        <f>YEAR(Table1[[#This Row],[Order Date]])</f>
        <v>2023</v>
      </c>
    </row>
    <row r="1389" spans="1:14" x14ac:dyDescent="0.35">
      <c r="A1389" s="1" t="s">
        <v>2094</v>
      </c>
      <c r="B1389" s="1" t="s">
        <v>1032</v>
      </c>
      <c r="C1389" s="1" t="s">
        <v>362</v>
      </c>
      <c r="D1389" s="1" t="s">
        <v>95</v>
      </c>
      <c r="E1389" s="1" t="s">
        <v>33</v>
      </c>
      <c r="F1389" s="1" t="s">
        <v>95</v>
      </c>
      <c r="G1389" s="1">
        <v>1</v>
      </c>
      <c r="H1389" s="1">
        <v>4868</v>
      </c>
      <c r="I1389" s="1">
        <v>0.2</v>
      </c>
      <c r="J1389" s="1">
        <v>3894.4</v>
      </c>
      <c r="K1389" s="1">
        <v>1038.73</v>
      </c>
      <c r="L1389" s="1" t="s">
        <v>45</v>
      </c>
      <c r="M1389" s="1" t="str">
        <f>TEXT(Table1[[#This Row],[Order Date]],"mmm")</f>
        <v>May</v>
      </c>
      <c r="N1389" s="1">
        <f>YEAR(Table1[[#This Row],[Order Date]])</f>
        <v>2024</v>
      </c>
    </row>
    <row r="1390" spans="1:14" x14ac:dyDescent="0.35">
      <c r="A1390" s="1" t="s">
        <v>2095</v>
      </c>
      <c r="B1390" s="1" t="s">
        <v>223</v>
      </c>
      <c r="C1390" s="1" t="s">
        <v>260</v>
      </c>
      <c r="D1390" s="1" t="s">
        <v>21</v>
      </c>
      <c r="E1390" s="1" t="s">
        <v>22</v>
      </c>
      <c r="F1390" s="1" t="s">
        <v>21</v>
      </c>
      <c r="G1390" s="1">
        <v>9</v>
      </c>
      <c r="H1390" s="1">
        <v>27994</v>
      </c>
      <c r="I1390" s="1">
        <v>0</v>
      </c>
      <c r="J1390" s="1">
        <v>251946</v>
      </c>
      <c r="K1390" s="1">
        <v>71878.649999999994</v>
      </c>
      <c r="L1390" s="1" t="s">
        <v>23</v>
      </c>
      <c r="M1390" s="1" t="str">
        <f>TEXT(Table1[[#This Row],[Order Date]],"mmm")</f>
        <v>Jan</v>
      </c>
      <c r="N1390" s="1">
        <f>YEAR(Table1[[#This Row],[Order Date]])</f>
        <v>2024</v>
      </c>
    </row>
    <row r="1391" spans="1:14" x14ac:dyDescent="0.35">
      <c r="A1391" s="1" t="s">
        <v>2096</v>
      </c>
      <c r="B1391" s="1" t="s">
        <v>513</v>
      </c>
      <c r="C1391" s="1" t="s">
        <v>77</v>
      </c>
      <c r="D1391" s="1" t="s">
        <v>56</v>
      </c>
      <c r="E1391" s="1" t="s">
        <v>22</v>
      </c>
      <c r="F1391" s="1" t="s">
        <v>56</v>
      </c>
      <c r="G1391" s="1">
        <v>15</v>
      </c>
      <c r="H1391" s="1">
        <v>45661</v>
      </c>
      <c r="I1391" s="1">
        <v>0.15</v>
      </c>
      <c r="J1391" s="1">
        <v>582177.75</v>
      </c>
      <c r="K1391" s="1">
        <v>79173.22</v>
      </c>
      <c r="L1391" s="1" t="s">
        <v>70</v>
      </c>
      <c r="M1391" s="1" t="str">
        <f>TEXT(Table1[[#This Row],[Order Date]],"mmm")</f>
        <v>Sep</v>
      </c>
      <c r="N1391" s="1">
        <f>YEAR(Table1[[#This Row],[Order Date]])</f>
        <v>2023</v>
      </c>
    </row>
    <row r="1392" spans="1:14" x14ac:dyDescent="0.35">
      <c r="A1392" s="1" t="s">
        <v>2097</v>
      </c>
      <c r="B1392" s="1" t="s">
        <v>2068</v>
      </c>
      <c r="C1392" s="1" t="s">
        <v>59</v>
      </c>
      <c r="D1392" s="1" t="s">
        <v>179</v>
      </c>
      <c r="E1392" s="1" t="s">
        <v>28</v>
      </c>
      <c r="F1392" s="1" t="s">
        <v>179</v>
      </c>
      <c r="G1392" s="1">
        <v>8</v>
      </c>
      <c r="H1392" s="1">
        <v>50621</v>
      </c>
      <c r="I1392" s="1">
        <v>0.2</v>
      </c>
      <c r="J1392" s="1">
        <v>323974.40000000002</v>
      </c>
      <c r="K1392" s="1">
        <v>44387</v>
      </c>
      <c r="L1392" s="1" t="s">
        <v>23</v>
      </c>
      <c r="M1392" s="1" t="str">
        <f>TEXT(Table1[[#This Row],[Order Date]],"mmm")</f>
        <v>Oct</v>
      </c>
      <c r="N1392" s="1">
        <f>YEAR(Table1[[#This Row],[Order Date]])</f>
        <v>2023</v>
      </c>
    </row>
    <row r="1393" spans="1:14" x14ac:dyDescent="0.35">
      <c r="A1393" s="1" t="s">
        <v>2098</v>
      </c>
      <c r="B1393" s="1" t="s">
        <v>2099</v>
      </c>
      <c r="C1393" s="1" t="s">
        <v>40</v>
      </c>
      <c r="D1393" s="1" t="s">
        <v>48</v>
      </c>
      <c r="E1393" s="1" t="s">
        <v>16</v>
      </c>
      <c r="F1393" s="1" t="s">
        <v>48</v>
      </c>
      <c r="G1393" s="1">
        <v>14</v>
      </c>
      <c r="H1393" s="1">
        <v>51332</v>
      </c>
      <c r="I1393" s="1">
        <v>0.05</v>
      </c>
      <c r="J1393" s="1">
        <v>682715.6</v>
      </c>
      <c r="K1393" s="1">
        <v>105804.62</v>
      </c>
      <c r="L1393" s="1" t="s">
        <v>17</v>
      </c>
      <c r="M1393" s="1" t="str">
        <f>TEXT(Table1[[#This Row],[Order Date]],"mmm")</f>
        <v>Jan</v>
      </c>
      <c r="N1393" s="1">
        <f>YEAR(Table1[[#This Row],[Order Date]])</f>
        <v>2024</v>
      </c>
    </row>
    <row r="1394" spans="1:14" x14ac:dyDescent="0.35">
      <c r="A1394" s="1" t="s">
        <v>2100</v>
      </c>
      <c r="B1394" s="1" t="s">
        <v>2101</v>
      </c>
      <c r="C1394" s="1" t="s">
        <v>117</v>
      </c>
      <c r="D1394" s="1" t="s">
        <v>114</v>
      </c>
      <c r="E1394" s="1" t="s">
        <v>16</v>
      </c>
      <c r="F1394" s="1" t="s">
        <v>114</v>
      </c>
      <c r="G1394" s="1">
        <v>7</v>
      </c>
      <c r="H1394" s="1">
        <v>5093</v>
      </c>
      <c r="I1394" s="1">
        <v>0</v>
      </c>
      <c r="J1394" s="1">
        <v>35651</v>
      </c>
      <c r="K1394" s="1">
        <v>7898.46</v>
      </c>
      <c r="L1394" s="1" t="s">
        <v>45</v>
      </c>
      <c r="M1394" s="1" t="str">
        <f>TEXT(Table1[[#This Row],[Order Date]],"mmm")</f>
        <v>Oct</v>
      </c>
      <c r="N1394" s="1">
        <f>YEAR(Table1[[#This Row],[Order Date]])</f>
        <v>2024</v>
      </c>
    </row>
    <row r="1395" spans="1:14" x14ac:dyDescent="0.35">
      <c r="A1395" s="1" t="s">
        <v>2102</v>
      </c>
      <c r="B1395" s="1" t="s">
        <v>930</v>
      </c>
      <c r="C1395" s="1" t="s">
        <v>55</v>
      </c>
      <c r="D1395" s="1" t="s">
        <v>133</v>
      </c>
      <c r="E1395" s="1" t="s">
        <v>22</v>
      </c>
      <c r="F1395" s="1" t="s">
        <v>133</v>
      </c>
      <c r="G1395" s="1">
        <v>7</v>
      </c>
      <c r="H1395" s="1">
        <v>56768</v>
      </c>
      <c r="I1395" s="1">
        <v>0</v>
      </c>
      <c r="J1395" s="1">
        <v>397376</v>
      </c>
      <c r="K1395" s="1">
        <v>55464.63</v>
      </c>
      <c r="L1395" s="1" t="s">
        <v>45</v>
      </c>
      <c r="M1395" s="1" t="str">
        <f>TEXT(Table1[[#This Row],[Order Date]],"mmm")</f>
        <v>Apr</v>
      </c>
      <c r="N1395" s="1">
        <f>YEAR(Table1[[#This Row],[Order Date]])</f>
        <v>2024</v>
      </c>
    </row>
    <row r="1396" spans="1:14" x14ac:dyDescent="0.35">
      <c r="A1396" s="1" t="s">
        <v>2103</v>
      </c>
      <c r="B1396" s="1" t="s">
        <v>455</v>
      </c>
      <c r="C1396" s="1" t="s">
        <v>362</v>
      </c>
      <c r="D1396" s="1" t="s">
        <v>293</v>
      </c>
      <c r="E1396" s="1" t="s">
        <v>33</v>
      </c>
      <c r="F1396" s="1" t="s">
        <v>293</v>
      </c>
      <c r="G1396" s="1">
        <v>2</v>
      </c>
      <c r="H1396" s="1">
        <v>19624</v>
      </c>
      <c r="I1396" s="1">
        <v>0</v>
      </c>
      <c r="J1396" s="1">
        <v>39248</v>
      </c>
      <c r="K1396" s="1">
        <v>8043.36</v>
      </c>
      <c r="L1396" s="1" t="s">
        <v>45</v>
      </c>
      <c r="M1396" s="1" t="str">
        <f>TEXT(Table1[[#This Row],[Order Date]],"mmm")</f>
        <v>Mar</v>
      </c>
      <c r="N1396" s="1">
        <f>YEAR(Table1[[#This Row],[Order Date]])</f>
        <v>2024</v>
      </c>
    </row>
    <row r="1397" spans="1:14" x14ac:dyDescent="0.35">
      <c r="A1397" s="1" t="s">
        <v>2104</v>
      </c>
      <c r="B1397" s="1" t="s">
        <v>87</v>
      </c>
      <c r="C1397" s="1" t="s">
        <v>203</v>
      </c>
      <c r="D1397" s="1" t="s">
        <v>64</v>
      </c>
      <c r="E1397" s="1" t="s">
        <v>33</v>
      </c>
      <c r="F1397" s="1" t="s">
        <v>64</v>
      </c>
      <c r="G1397" s="1">
        <v>7</v>
      </c>
      <c r="H1397" s="1">
        <v>38633</v>
      </c>
      <c r="I1397" s="1">
        <v>0.05</v>
      </c>
      <c r="J1397" s="1">
        <v>256909.45</v>
      </c>
      <c r="K1397" s="1">
        <v>34849.86</v>
      </c>
      <c r="L1397" s="1" t="s">
        <v>23</v>
      </c>
      <c r="M1397" s="1" t="str">
        <f>TEXT(Table1[[#This Row],[Order Date]],"mmm")</f>
        <v>Nov</v>
      </c>
      <c r="N1397" s="1">
        <f>YEAR(Table1[[#This Row],[Order Date]])</f>
        <v>2024</v>
      </c>
    </row>
    <row r="1398" spans="1:14" x14ac:dyDescent="0.35">
      <c r="A1398" s="1" t="s">
        <v>2105</v>
      </c>
      <c r="B1398" s="1" t="s">
        <v>569</v>
      </c>
      <c r="C1398" s="1" t="s">
        <v>77</v>
      </c>
      <c r="D1398" s="1" t="s">
        <v>78</v>
      </c>
      <c r="E1398" s="1" t="s">
        <v>28</v>
      </c>
      <c r="F1398" s="1" t="s">
        <v>78</v>
      </c>
      <c r="G1398" s="1">
        <v>3</v>
      </c>
      <c r="H1398" s="1">
        <v>34200</v>
      </c>
      <c r="I1398" s="1">
        <v>0.1</v>
      </c>
      <c r="J1398" s="1">
        <v>92340</v>
      </c>
      <c r="K1398" s="1">
        <v>9952.23</v>
      </c>
      <c r="L1398" s="1" t="s">
        <v>17</v>
      </c>
      <c r="M1398" s="1" t="str">
        <f>TEXT(Table1[[#This Row],[Order Date]],"mmm")</f>
        <v>Sep</v>
      </c>
      <c r="N1398" s="1">
        <f>YEAR(Table1[[#This Row],[Order Date]])</f>
        <v>2024</v>
      </c>
    </row>
    <row r="1399" spans="1:14" x14ac:dyDescent="0.35">
      <c r="A1399" s="1" t="s">
        <v>2106</v>
      </c>
      <c r="B1399" s="1" t="s">
        <v>447</v>
      </c>
      <c r="C1399" s="1" t="s">
        <v>255</v>
      </c>
      <c r="D1399" s="1" t="s">
        <v>27</v>
      </c>
      <c r="E1399" s="1" t="s">
        <v>28</v>
      </c>
      <c r="F1399" s="1" t="s">
        <v>27</v>
      </c>
      <c r="G1399" s="1">
        <v>12</v>
      </c>
      <c r="H1399" s="1">
        <v>56296</v>
      </c>
      <c r="I1399" s="1">
        <v>0.2</v>
      </c>
      <c r="J1399" s="1">
        <v>540441.59999999998</v>
      </c>
      <c r="K1399" s="1">
        <v>58698.5</v>
      </c>
      <c r="L1399" s="1" t="s">
        <v>23</v>
      </c>
      <c r="M1399" s="1" t="str">
        <f>TEXT(Table1[[#This Row],[Order Date]],"mmm")</f>
        <v>Dec</v>
      </c>
      <c r="N1399" s="1">
        <f>YEAR(Table1[[#This Row],[Order Date]])</f>
        <v>2023</v>
      </c>
    </row>
    <row r="1400" spans="1:14" x14ac:dyDescent="0.35">
      <c r="A1400" s="1" t="s">
        <v>2107</v>
      </c>
      <c r="B1400" s="1" t="s">
        <v>2108</v>
      </c>
      <c r="C1400" s="1" t="s">
        <v>26</v>
      </c>
      <c r="D1400" s="1" t="s">
        <v>85</v>
      </c>
      <c r="E1400" s="1" t="s">
        <v>28</v>
      </c>
      <c r="F1400" s="1" t="s">
        <v>85</v>
      </c>
      <c r="G1400" s="1">
        <v>14</v>
      </c>
      <c r="H1400" s="1">
        <v>41956</v>
      </c>
      <c r="I1400" s="1">
        <v>0.05</v>
      </c>
      <c r="J1400" s="1">
        <v>558014.80000000005</v>
      </c>
      <c r="K1400" s="1">
        <v>144279.21</v>
      </c>
      <c r="L1400" s="1" t="s">
        <v>17</v>
      </c>
      <c r="M1400" s="1" t="str">
        <f>TEXT(Table1[[#This Row],[Order Date]],"mmm")</f>
        <v>Jun</v>
      </c>
      <c r="N1400" s="1">
        <f>YEAR(Table1[[#This Row],[Order Date]])</f>
        <v>2023</v>
      </c>
    </row>
    <row r="1401" spans="1:14" x14ac:dyDescent="0.35">
      <c r="A1401" s="1" t="s">
        <v>2109</v>
      </c>
      <c r="B1401" s="1" t="s">
        <v>684</v>
      </c>
      <c r="C1401" s="1" t="s">
        <v>67</v>
      </c>
      <c r="D1401" s="1" t="s">
        <v>56</v>
      </c>
      <c r="E1401" s="1" t="s">
        <v>22</v>
      </c>
      <c r="F1401" s="1" t="s">
        <v>56</v>
      </c>
      <c r="G1401" s="1">
        <v>6</v>
      </c>
      <c r="H1401" s="1">
        <v>10519</v>
      </c>
      <c r="I1401" s="1">
        <v>0.05</v>
      </c>
      <c r="J1401" s="1">
        <v>59958.3</v>
      </c>
      <c r="K1401" s="1">
        <v>12194.99</v>
      </c>
      <c r="L1401" s="1" t="s">
        <v>17</v>
      </c>
      <c r="M1401" s="1" t="str">
        <f>TEXT(Table1[[#This Row],[Order Date]],"mmm")</f>
        <v>May</v>
      </c>
      <c r="N1401" s="1">
        <f>YEAR(Table1[[#This Row],[Order Date]])</f>
        <v>2024</v>
      </c>
    </row>
    <row r="1402" spans="1:14" x14ac:dyDescent="0.35">
      <c r="A1402" s="1" t="s">
        <v>2110</v>
      </c>
      <c r="B1402" s="1" t="s">
        <v>2111</v>
      </c>
      <c r="C1402" s="1" t="s">
        <v>227</v>
      </c>
      <c r="D1402" s="1" t="s">
        <v>167</v>
      </c>
      <c r="E1402" s="1" t="s">
        <v>16</v>
      </c>
      <c r="F1402" s="1" t="s">
        <v>167</v>
      </c>
      <c r="G1402" s="1">
        <v>10</v>
      </c>
      <c r="H1402" s="1">
        <v>41312</v>
      </c>
      <c r="I1402" s="1">
        <v>0.15</v>
      </c>
      <c r="J1402" s="1">
        <v>351152</v>
      </c>
      <c r="K1402" s="1">
        <v>63606.81</v>
      </c>
      <c r="L1402" s="1" t="s">
        <v>70</v>
      </c>
      <c r="M1402" s="1" t="str">
        <f>TEXT(Table1[[#This Row],[Order Date]],"mmm")</f>
        <v>May</v>
      </c>
      <c r="N1402" s="1">
        <f>YEAR(Table1[[#This Row],[Order Date]])</f>
        <v>2024</v>
      </c>
    </row>
    <row r="1403" spans="1:14" x14ac:dyDescent="0.35">
      <c r="A1403" s="1" t="s">
        <v>2112</v>
      </c>
      <c r="B1403" s="1" t="s">
        <v>1333</v>
      </c>
      <c r="C1403" s="1" t="s">
        <v>88</v>
      </c>
      <c r="D1403" s="1" t="s">
        <v>141</v>
      </c>
      <c r="E1403" s="1" t="s">
        <v>22</v>
      </c>
      <c r="F1403" s="1" t="s">
        <v>141</v>
      </c>
      <c r="G1403" s="1">
        <v>9</v>
      </c>
      <c r="H1403" s="1">
        <v>16529</v>
      </c>
      <c r="I1403" s="1">
        <v>0.1</v>
      </c>
      <c r="J1403" s="1">
        <v>133884.9</v>
      </c>
      <c r="K1403" s="1">
        <v>24614.82</v>
      </c>
      <c r="L1403" s="1" t="s">
        <v>45</v>
      </c>
      <c r="M1403" s="1" t="str">
        <f>TEXT(Table1[[#This Row],[Order Date]],"mmm")</f>
        <v>Jan</v>
      </c>
      <c r="N1403" s="1">
        <f>YEAR(Table1[[#This Row],[Order Date]])</f>
        <v>2024</v>
      </c>
    </row>
    <row r="1404" spans="1:14" x14ac:dyDescent="0.35">
      <c r="A1404" s="1" t="s">
        <v>2113</v>
      </c>
      <c r="B1404" s="1" t="s">
        <v>299</v>
      </c>
      <c r="C1404" s="1" t="s">
        <v>125</v>
      </c>
      <c r="D1404" s="1" t="s">
        <v>60</v>
      </c>
      <c r="E1404" s="1" t="s">
        <v>33</v>
      </c>
      <c r="F1404" s="1" t="s">
        <v>60</v>
      </c>
      <c r="G1404" s="1">
        <v>15</v>
      </c>
      <c r="H1404" s="1">
        <v>37233</v>
      </c>
      <c r="I1404" s="1">
        <v>0.2</v>
      </c>
      <c r="J1404" s="1">
        <v>446796</v>
      </c>
      <c r="K1404" s="1">
        <v>112130.03</v>
      </c>
      <c r="L1404" s="1" t="s">
        <v>23</v>
      </c>
      <c r="M1404" s="1" t="str">
        <f>TEXT(Table1[[#This Row],[Order Date]],"mmm")</f>
        <v>May</v>
      </c>
      <c r="N1404" s="1">
        <f>YEAR(Table1[[#This Row],[Order Date]])</f>
        <v>2023</v>
      </c>
    </row>
    <row r="1405" spans="1:14" x14ac:dyDescent="0.35">
      <c r="A1405" s="1" t="s">
        <v>2114</v>
      </c>
      <c r="B1405" s="1" t="s">
        <v>839</v>
      </c>
      <c r="C1405" s="1" t="s">
        <v>155</v>
      </c>
      <c r="D1405" s="1" t="s">
        <v>133</v>
      </c>
      <c r="E1405" s="1" t="s">
        <v>22</v>
      </c>
      <c r="F1405" s="1" t="s">
        <v>133</v>
      </c>
      <c r="G1405" s="1">
        <v>6</v>
      </c>
      <c r="H1405" s="1">
        <v>52273</v>
      </c>
      <c r="I1405" s="1">
        <v>0.1</v>
      </c>
      <c r="J1405" s="1">
        <v>282274.2</v>
      </c>
      <c r="K1405" s="1">
        <v>60473.88</v>
      </c>
      <c r="L1405" s="1" t="s">
        <v>45</v>
      </c>
      <c r="M1405" s="1" t="str">
        <f>TEXT(Table1[[#This Row],[Order Date]],"mmm")</f>
        <v>Aug</v>
      </c>
      <c r="N1405" s="1">
        <f>YEAR(Table1[[#This Row],[Order Date]])</f>
        <v>2024</v>
      </c>
    </row>
    <row r="1406" spans="1:14" x14ac:dyDescent="0.35">
      <c r="A1406" s="1" t="s">
        <v>2115</v>
      </c>
      <c r="B1406" s="1" t="s">
        <v>1232</v>
      </c>
      <c r="C1406" s="1" t="s">
        <v>55</v>
      </c>
      <c r="D1406" s="1" t="s">
        <v>44</v>
      </c>
      <c r="E1406" s="1" t="s">
        <v>28</v>
      </c>
      <c r="F1406" s="1" t="s">
        <v>44</v>
      </c>
      <c r="G1406" s="1">
        <v>6</v>
      </c>
      <c r="H1406" s="1">
        <v>36249</v>
      </c>
      <c r="I1406" s="1">
        <v>0.1</v>
      </c>
      <c r="J1406" s="1">
        <v>195744.6</v>
      </c>
      <c r="K1406" s="1">
        <v>25924.29</v>
      </c>
      <c r="L1406" s="1" t="s">
        <v>70</v>
      </c>
      <c r="M1406" s="1" t="str">
        <f>TEXT(Table1[[#This Row],[Order Date]],"mmm")</f>
        <v>Sep</v>
      </c>
      <c r="N1406" s="1">
        <f>YEAR(Table1[[#This Row],[Order Date]])</f>
        <v>2023</v>
      </c>
    </row>
    <row r="1407" spans="1:14" x14ac:dyDescent="0.35">
      <c r="A1407" s="1" t="s">
        <v>2116</v>
      </c>
      <c r="B1407" s="1" t="s">
        <v>1161</v>
      </c>
      <c r="C1407" s="1" t="s">
        <v>335</v>
      </c>
      <c r="D1407" s="1" t="s">
        <v>137</v>
      </c>
      <c r="E1407" s="1" t="s">
        <v>22</v>
      </c>
      <c r="F1407" s="1" t="s">
        <v>137</v>
      </c>
      <c r="G1407" s="1">
        <v>12</v>
      </c>
      <c r="H1407" s="1">
        <v>14451</v>
      </c>
      <c r="I1407" s="1">
        <v>0.1</v>
      </c>
      <c r="J1407" s="1">
        <v>156070.79999999999</v>
      </c>
      <c r="K1407" s="1">
        <v>24324.15</v>
      </c>
      <c r="L1407" s="1" t="s">
        <v>45</v>
      </c>
      <c r="M1407" s="1" t="str">
        <f>TEXT(Table1[[#This Row],[Order Date]],"mmm")</f>
        <v>Mar</v>
      </c>
      <c r="N1407" s="1">
        <f>YEAR(Table1[[#This Row],[Order Date]])</f>
        <v>2024</v>
      </c>
    </row>
    <row r="1408" spans="1:14" x14ac:dyDescent="0.35">
      <c r="A1408" s="1" t="s">
        <v>2117</v>
      </c>
      <c r="B1408" s="1" t="s">
        <v>989</v>
      </c>
      <c r="C1408" s="1" t="s">
        <v>104</v>
      </c>
      <c r="D1408" s="1" t="s">
        <v>15</v>
      </c>
      <c r="E1408" s="1" t="s">
        <v>16</v>
      </c>
      <c r="F1408" s="1" t="s">
        <v>15</v>
      </c>
      <c r="G1408" s="1">
        <v>11</v>
      </c>
      <c r="H1408" s="1">
        <v>28154</v>
      </c>
      <c r="I1408" s="1">
        <v>0.1</v>
      </c>
      <c r="J1408" s="1">
        <v>278724.59999999998</v>
      </c>
      <c r="K1408" s="1">
        <v>31154.94</v>
      </c>
      <c r="L1408" s="1" t="s">
        <v>17</v>
      </c>
      <c r="M1408" s="1" t="str">
        <f>TEXT(Table1[[#This Row],[Order Date]],"mmm")</f>
        <v>Oct</v>
      </c>
      <c r="N1408" s="1">
        <f>YEAR(Table1[[#This Row],[Order Date]])</f>
        <v>2024</v>
      </c>
    </row>
    <row r="1409" spans="1:14" x14ac:dyDescent="0.35">
      <c r="A1409" s="1" t="s">
        <v>2118</v>
      </c>
      <c r="B1409" s="1" t="s">
        <v>1324</v>
      </c>
      <c r="C1409" s="1" t="s">
        <v>146</v>
      </c>
      <c r="D1409" s="1" t="s">
        <v>37</v>
      </c>
      <c r="E1409" s="1" t="s">
        <v>16</v>
      </c>
      <c r="F1409" s="1" t="s">
        <v>37</v>
      </c>
      <c r="G1409" s="1">
        <v>13</v>
      </c>
      <c r="H1409" s="1">
        <v>55440</v>
      </c>
      <c r="I1409" s="1">
        <v>0.05</v>
      </c>
      <c r="J1409" s="1">
        <v>684684</v>
      </c>
      <c r="K1409" s="1">
        <v>204902.65</v>
      </c>
      <c r="L1409" s="1" t="s">
        <v>70</v>
      </c>
      <c r="M1409" s="1" t="str">
        <f>TEXT(Table1[[#This Row],[Order Date]],"mmm")</f>
        <v>Aug</v>
      </c>
      <c r="N1409" s="1">
        <f>YEAR(Table1[[#This Row],[Order Date]])</f>
        <v>2024</v>
      </c>
    </row>
    <row r="1410" spans="1:14" x14ac:dyDescent="0.35">
      <c r="A1410" s="1" t="s">
        <v>2119</v>
      </c>
      <c r="B1410" s="1" t="s">
        <v>1559</v>
      </c>
      <c r="C1410" s="1" t="s">
        <v>158</v>
      </c>
      <c r="D1410" s="1" t="s">
        <v>52</v>
      </c>
      <c r="E1410" s="1" t="s">
        <v>28</v>
      </c>
      <c r="F1410" s="1" t="s">
        <v>52</v>
      </c>
      <c r="G1410" s="1">
        <v>8</v>
      </c>
      <c r="H1410" s="1">
        <v>24813</v>
      </c>
      <c r="I1410" s="1">
        <v>0.1</v>
      </c>
      <c r="J1410" s="1">
        <v>178653.6</v>
      </c>
      <c r="K1410" s="1">
        <v>38030.870000000003</v>
      </c>
      <c r="L1410" s="1" t="s">
        <v>23</v>
      </c>
      <c r="M1410" s="1" t="str">
        <f>TEXT(Table1[[#This Row],[Order Date]],"mmm")</f>
        <v>Jan</v>
      </c>
      <c r="N1410" s="1">
        <f>YEAR(Table1[[#This Row],[Order Date]])</f>
        <v>2023</v>
      </c>
    </row>
    <row r="1411" spans="1:14" x14ac:dyDescent="0.35">
      <c r="A1411" s="1" t="s">
        <v>2120</v>
      </c>
      <c r="B1411" s="1" t="s">
        <v>2045</v>
      </c>
      <c r="C1411" s="1" t="s">
        <v>188</v>
      </c>
      <c r="D1411" s="1" t="s">
        <v>32</v>
      </c>
      <c r="E1411" s="1" t="s">
        <v>33</v>
      </c>
      <c r="F1411" s="1" t="s">
        <v>32</v>
      </c>
      <c r="G1411" s="1">
        <v>11</v>
      </c>
      <c r="H1411" s="1">
        <v>22403</v>
      </c>
      <c r="I1411" s="1">
        <v>0.15</v>
      </c>
      <c r="J1411" s="1">
        <v>209468.05</v>
      </c>
      <c r="K1411" s="1">
        <v>57156.36</v>
      </c>
      <c r="L1411" s="1" t="s">
        <v>23</v>
      </c>
      <c r="M1411" s="1" t="str">
        <f>TEXT(Table1[[#This Row],[Order Date]],"mmm")</f>
        <v>Sep</v>
      </c>
      <c r="N1411" s="1">
        <f>YEAR(Table1[[#This Row],[Order Date]])</f>
        <v>2024</v>
      </c>
    </row>
    <row r="1412" spans="1:14" x14ac:dyDescent="0.35">
      <c r="A1412" s="1" t="s">
        <v>2121</v>
      </c>
      <c r="B1412" s="1" t="s">
        <v>381</v>
      </c>
      <c r="C1412" s="1" t="s">
        <v>26</v>
      </c>
      <c r="D1412" s="1" t="s">
        <v>95</v>
      </c>
      <c r="E1412" s="1" t="s">
        <v>33</v>
      </c>
      <c r="F1412" s="1" t="s">
        <v>95</v>
      </c>
      <c r="G1412" s="1">
        <v>10</v>
      </c>
      <c r="H1412" s="1">
        <v>55612</v>
      </c>
      <c r="I1412" s="1">
        <v>0.1</v>
      </c>
      <c r="J1412" s="1">
        <v>500508</v>
      </c>
      <c r="K1412" s="1">
        <v>124449.81</v>
      </c>
      <c r="L1412" s="1" t="s">
        <v>45</v>
      </c>
      <c r="M1412" s="1" t="str">
        <f>TEXT(Table1[[#This Row],[Order Date]],"mmm")</f>
        <v>Dec</v>
      </c>
      <c r="N1412" s="1">
        <f>YEAR(Table1[[#This Row],[Order Date]])</f>
        <v>2023</v>
      </c>
    </row>
    <row r="1413" spans="1:14" x14ac:dyDescent="0.35">
      <c r="A1413" s="1" t="s">
        <v>2122</v>
      </c>
      <c r="B1413" s="1" t="s">
        <v>2123</v>
      </c>
      <c r="C1413" s="1" t="s">
        <v>63</v>
      </c>
      <c r="D1413" s="1" t="s">
        <v>41</v>
      </c>
      <c r="E1413" s="1" t="s">
        <v>16</v>
      </c>
      <c r="F1413" s="1" t="s">
        <v>41</v>
      </c>
      <c r="G1413" s="1">
        <v>10</v>
      </c>
      <c r="H1413" s="1">
        <v>949</v>
      </c>
      <c r="I1413" s="1">
        <v>0.1</v>
      </c>
      <c r="J1413" s="1">
        <v>8541</v>
      </c>
      <c r="K1413" s="1">
        <v>1216.29</v>
      </c>
      <c r="L1413" s="1" t="s">
        <v>17</v>
      </c>
      <c r="M1413" s="1" t="str">
        <f>TEXT(Table1[[#This Row],[Order Date]],"mmm")</f>
        <v>Oct</v>
      </c>
      <c r="N1413" s="1">
        <f>YEAR(Table1[[#This Row],[Order Date]])</f>
        <v>2023</v>
      </c>
    </row>
    <row r="1414" spans="1:14" x14ac:dyDescent="0.35">
      <c r="A1414" s="1" t="s">
        <v>2124</v>
      </c>
      <c r="B1414" s="1" t="s">
        <v>469</v>
      </c>
      <c r="C1414" s="1" t="s">
        <v>136</v>
      </c>
      <c r="D1414" s="1" t="s">
        <v>151</v>
      </c>
      <c r="E1414" s="1" t="s">
        <v>22</v>
      </c>
      <c r="F1414" s="1" t="s">
        <v>151</v>
      </c>
      <c r="G1414" s="1">
        <v>13</v>
      </c>
      <c r="H1414" s="1">
        <v>28814</v>
      </c>
      <c r="I1414" s="1">
        <v>0</v>
      </c>
      <c r="J1414" s="1">
        <v>374582</v>
      </c>
      <c r="K1414" s="1">
        <v>72162.740000000005</v>
      </c>
      <c r="L1414" s="1" t="s">
        <v>17</v>
      </c>
      <c r="M1414" s="1" t="str">
        <f>TEXT(Table1[[#This Row],[Order Date]],"mmm")</f>
        <v>Apr</v>
      </c>
      <c r="N1414" s="1">
        <f>YEAR(Table1[[#This Row],[Order Date]])</f>
        <v>2023</v>
      </c>
    </row>
    <row r="1415" spans="1:14" x14ac:dyDescent="0.35">
      <c r="A1415" s="1" t="s">
        <v>2125</v>
      </c>
      <c r="B1415" s="1" t="s">
        <v>952</v>
      </c>
      <c r="C1415" s="1" t="s">
        <v>146</v>
      </c>
      <c r="D1415" s="1" t="s">
        <v>74</v>
      </c>
      <c r="E1415" s="1" t="s">
        <v>22</v>
      </c>
      <c r="F1415" s="1" t="s">
        <v>74</v>
      </c>
      <c r="G1415" s="1">
        <v>11</v>
      </c>
      <c r="H1415" s="1">
        <v>23326</v>
      </c>
      <c r="I1415" s="1">
        <v>0.15</v>
      </c>
      <c r="J1415" s="1">
        <v>218098.1</v>
      </c>
      <c r="K1415" s="1">
        <v>30617.54</v>
      </c>
      <c r="L1415" s="1" t="s">
        <v>45</v>
      </c>
      <c r="M1415" s="1" t="str">
        <f>TEXT(Table1[[#This Row],[Order Date]],"mmm")</f>
        <v>Oct</v>
      </c>
      <c r="N1415" s="1">
        <f>YEAR(Table1[[#This Row],[Order Date]])</f>
        <v>2023</v>
      </c>
    </row>
    <row r="1416" spans="1:14" x14ac:dyDescent="0.35">
      <c r="A1416" s="1" t="s">
        <v>2126</v>
      </c>
      <c r="B1416" s="1" t="s">
        <v>684</v>
      </c>
      <c r="C1416" s="1" t="s">
        <v>51</v>
      </c>
      <c r="D1416" s="1" t="s">
        <v>141</v>
      </c>
      <c r="E1416" s="1" t="s">
        <v>22</v>
      </c>
      <c r="F1416" s="1" t="s">
        <v>141</v>
      </c>
      <c r="G1416" s="1">
        <v>2</v>
      </c>
      <c r="H1416" s="1">
        <v>8840</v>
      </c>
      <c r="I1416" s="1">
        <v>0.05</v>
      </c>
      <c r="J1416" s="1">
        <v>16796</v>
      </c>
      <c r="K1416" s="1">
        <v>1928.22</v>
      </c>
      <c r="L1416" s="1" t="s">
        <v>17</v>
      </c>
      <c r="M1416" s="1" t="str">
        <f>TEXT(Table1[[#This Row],[Order Date]],"mmm")</f>
        <v>May</v>
      </c>
      <c r="N1416" s="1">
        <f>YEAR(Table1[[#This Row],[Order Date]])</f>
        <v>2024</v>
      </c>
    </row>
    <row r="1417" spans="1:14" x14ac:dyDescent="0.35">
      <c r="A1417" s="1" t="s">
        <v>2127</v>
      </c>
      <c r="B1417" s="1" t="s">
        <v>1038</v>
      </c>
      <c r="C1417" s="1" t="s">
        <v>162</v>
      </c>
      <c r="D1417" s="1" t="s">
        <v>32</v>
      </c>
      <c r="E1417" s="1" t="s">
        <v>33</v>
      </c>
      <c r="F1417" s="1" t="s">
        <v>32</v>
      </c>
      <c r="G1417" s="1">
        <v>8</v>
      </c>
      <c r="H1417" s="1">
        <v>38895</v>
      </c>
      <c r="I1417" s="1">
        <v>0.15</v>
      </c>
      <c r="J1417" s="1">
        <v>264486</v>
      </c>
      <c r="K1417" s="1">
        <v>43859.62</v>
      </c>
      <c r="L1417" s="1" t="s">
        <v>70</v>
      </c>
      <c r="M1417" s="1" t="str">
        <f>TEXT(Table1[[#This Row],[Order Date]],"mmm")</f>
        <v>Feb</v>
      </c>
      <c r="N1417" s="1">
        <f>YEAR(Table1[[#This Row],[Order Date]])</f>
        <v>2024</v>
      </c>
    </row>
    <row r="1418" spans="1:14" x14ac:dyDescent="0.35">
      <c r="A1418" s="1" t="s">
        <v>2128</v>
      </c>
      <c r="B1418" s="1" t="s">
        <v>667</v>
      </c>
      <c r="C1418" s="1" t="s">
        <v>128</v>
      </c>
      <c r="D1418" s="1" t="s">
        <v>74</v>
      </c>
      <c r="E1418" s="1" t="s">
        <v>22</v>
      </c>
      <c r="F1418" s="1" t="s">
        <v>74</v>
      </c>
      <c r="G1418" s="1">
        <v>1</v>
      </c>
      <c r="H1418" s="1">
        <v>34610</v>
      </c>
      <c r="I1418" s="1">
        <v>0.05</v>
      </c>
      <c r="J1418" s="1">
        <v>32879.5</v>
      </c>
      <c r="K1418" s="1">
        <v>8026.97</v>
      </c>
      <c r="L1418" s="1" t="s">
        <v>45</v>
      </c>
      <c r="M1418" s="1" t="str">
        <f>TEXT(Table1[[#This Row],[Order Date]],"mmm")</f>
        <v>Jun</v>
      </c>
      <c r="N1418" s="1">
        <f>YEAR(Table1[[#This Row],[Order Date]])</f>
        <v>2024</v>
      </c>
    </row>
    <row r="1419" spans="1:14" x14ac:dyDescent="0.35">
      <c r="A1419" s="1" t="s">
        <v>2129</v>
      </c>
      <c r="B1419" s="1" t="s">
        <v>54</v>
      </c>
      <c r="C1419" s="1" t="s">
        <v>640</v>
      </c>
      <c r="D1419" s="1" t="s">
        <v>44</v>
      </c>
      <c r="E1419" s="1" t="s">
        <v>28</v>
      </c>
      <c r="F1419" s="1" t="s">
        <v>44</v>
      </c>
      <c r="G1419" s="1">
        <v>2</v>
      </c>
      <c r="H1419" s="1">
        <v>2600</v>
      </c>
      <c r="I1419" s="1">
        <v>0.15</v>
      </c>
      <c r="J1419" s="1">
        <v>4420</v>
      </c>
      <c r="K1419" s="1">
        <v>519.92999999999995</v>
      </c>
      <c r="L1419" s="1" t="s">
        <v>23</v>
      </c>
      <c r="M1419" s="1" t="str">
        <f>TEXT(Table1[[#This Row],[Order Date]],"mmm")</f>
        <v>Mar</v>
      </c>
      <c r="N1419" s="1">
        <f>YEAR(Table1[[#This Row],[Order Date]])</f>
        <v>2023</v>
      </c>
    </row>
    <row r="1420" spans="1:14" x14ac:dyDescent="0.35">
      <c r="A1420" s="1" t="s">
        <v>2130</v>
      </c>
      <c r="B1420" s="1" t="s">
        <v>236</v>
      </c>
      <c r="C1420" s="1" t="s">
        <v>255</v>
      </c>
      <c r="D1420" s="1" t="s">
        <v>52</v>
      </c>
      <c r="E1420" s="1" t="s">
        <v>28</v>
      </c>
      <c r="F1420" s="1" t="s">
        <v>52</v>
      </c>
      <c r="G1420" s="1">
        <v>4</v>
      </c>
      <c r="H1420" s="1">
        <v>25159</v>
      </c>
      <c r="I1420" s="1">
        <v>0.05</v>
      </c>
      <c r="J1420" s="1">
        <v>95604.2</v>
      </c>
      <c r="K1420" s="1">
        <v>16978.22</v>
      </c>
      <c r="L1420" s="1" t="s">
        <v>23</v>
      </c>
      <c r="M1420" s="1" t="str">
        <f>TEXT(Table1[[#This Row],[Order Date]],"mmm")</f>
        <v>May</v>
      </c>
      <c r="N1420" s="1">
        <f>YEAR(Table1[[#This Row],[Order Date]])</f>
        <v>2024</v>
      </c>
    </row>
    <row r="1421" spans="1:14" x14ac:dyDescent="0.35">
      <c r="A1421" s="1" t="s">
        <v>2131</v>
      </c>
      <c r="B1421" s="1" t="s">
        <v>314</v>
      </c>
      <c r="C1421" s="1" t="s">
        <v>370</v>
      </c>
      <c r="D1421" s="1" t="s">
        <v>27</v>
      </c>
      <c r="E1421" s="1" t="s">
        <v>28</v>
      </c>
      <c r="F1421" s="1" t="s">
        <v>27</v>
      </c>
      <c r="G1421" s="1">
        <v>13</v>
      </c>
      <c r="H1421" s="1">
        <v>1303</v>
      </c>
      <c r="I1421" s="1">
        <v>0.15</v>
      </c>
      <c r="J1421" s="1">
        <v>14398.15</v>
      </c>
      <c r="K1421" s="1">
        <v>1551.81</v>
      </c>
      <c r="L1421" s="1" t="s">
        <v>70</v>
      </c>
      <c r="M1421" s="1" t="str">
        <f>TEXT(Table1[[#This Row],[Order Date]],"mmm")</f>
        <v>Nov</v>
      </c>
      <c r="N1421" s="1">
        <f>YEAR(Table1[[#This Row],[Order Date]])</f>
        <v>2024</v>
      </c>
    </row>
    <row r="1422" spans="1:14" x14ac:dyDescent="0.35">
      <c r="A1422" s="1" t="s">
        <v>2132</v>
      </c>
      <c r="B1422" s="1" t="s">
        <v>1113</v>
      </c>
      <c r="C1422" s="1" t="s">
        <v>362</v>
      </c>
      <c r="D1422" s="1" t="s">
        <v>114</v>
      </c>
      <c r="E1422" s="1" t="s">
        <v>16</v>
      </c>
      <c r="F1422" s="1" t="s">
        <v>114</v>
      </c>
      <c r="G1422" s="1">
        <v>8</v>
      </c>
      <c r="H1422" s="1">
        <v>8652</v>
      </c>
      <c r="I1422" s="1">
        <v>0.15</v>
      </c>
      <c r="J1422" s="1">
        <v>58833.599999999999</v>
      </c>
      <c r="K1422" s="1">
        <v>5661.83</v>
      </c>
      <c r="L1422" s="1" t="s">
        <v>70</v>
      </c>
      <c r="M1422" s="1" t="str">
        <f>TEXT(Table1[[#This Row],[Order Date]],"mmm")</f>
        <v>Feb</v>
      </c>
      <c r="N1422" s="1">
        <f>YEAR(Table1[[#This Row],[Order Date]])</f>
        <v>2023</v>
      </c>
    </row>
    <row r="1423" spans="1:14" x14ac:dyDescent="0.35">
      <c r="A1423" s="1" t="s">
        <v>2133</v>
      </c>
      <c r="B1423" s="1" t="s">
        <v>1068</v>
      </c>
      <c r="C1423" s="1" t="s">
        <v>370</v>
      </c>
      <c r="D1423" s="1" t="s">
        <v>108</v>
      </c>
      <c r="E1423" s="1" t="s">
        <v>22</v>
      </c>
      <c r="F1423" s="1" t="s">
        <v>108</v>
      </c>
      <c r="G1423" s="1">
        <v>13</v>
      </c>
      <c r="H1423" s="1">
        <v>46138</v>
      </c>
      <c r="I1423" s="1">
        <v>0.15</v>
      </c>
      <c r="J1423" s="1">
        <v>509824.9</v>
      </c>
      <c r="K1423" s="1">
        <v>50001.43</v>
      </c>
      <c r="L1423" s="1" t="s">
        <v>23</v>
      </c>
      <c r="M1423" s="1" t="str">
        <f>TEXT(Table1[[#This Row],[Order Date]],"mmm")</f>
        <v>Apr</v>
      </c>
      <c r="N1423" s="1">
        <f>YEAR(Table1[[#This Row],[Order Date]])</f>
        <v>2023</v>
      </c>
    </row>
    <row r="1424" spans="1:14" x14ac:dyDescent="0.35">
      <c r="A1424" s="1" t="s">
        <v>2134</v>
      </c>
      <c r="B1424" s="1" t="s">
        <v>1254</v>
      </c>
      <c r="C1424" s="1" t="s">
        <v>335</v>
      </c>
      <c r="D1424" s="1" t="s">
        <v>167</v>
      </c>
      <c r="E1424" s="1" t="s">
        <v>16</v>
      </c>
      <c r="F1424" s="1" t="s">
        <v>167</v>
      </c>
      <c r="G1424" s="1">
        <v>7</v>
      </c>
      <c r="H1424" s="1">
        <v>15476</v>
      </c>
      <c r="I1424" s="1">
        <v>0.1</v>
      </c>
      <c r="J1424" s="1">
        <v>97498.8</v>
      </c>
      <c r="K1424" s="1">
        <v>16604.849999999999</v>
      </c>
      <c r="L1424" s="1" t="s">
        <v>45</v>
      </c>
      <c r="M1424" s="1" t="str">
        <f>TEXT(Table1[[#This Row],[Order Date]],"mmm")</f>
        <v>Jul</v>
      </c>
      <c r="N1424" s="1">
        <f>YEAR(Table1[[#This Row],[Order Date]])</f>
        <v>2023</v>
      </c>
    </row>
    <row r="1425" spans="1:14" x14ac:dyDescent="0.35">
      <c r="A1425" s="1" t="s">
        <v>2135</v>
      </c>
      <c r="B1425" s="1" t="s">
        <v>721</v>
      </c>
      <c r="C1425" s="1" t="s">
        <v>94</v>
      </c>
      <c r="D1425" s="1" t="s">
        <v>323</v>
      </c>
      <c r="E1425" s="1" t="s">
        <v>33</v>
      </c>
      <c r="F1425" s="1" t="s">
        <v>323</v>
      </c>
      <c r="G1425" s="1">
        <v>3</v>
      </c>
      <c r="H1425" s="1">
        <v>43632</v>
      </c>
      <c r="I1425" s="1">
        <v>0.05</v>
      </c>
      <c r="J1425" s="1">
        <v>124351.2</v>
      </c>
      <c r="K1425" s="1">
        <v>24507.89</v>
      </c>
      <c r="L1425" s="1" t="s">
        <v>70</v>
      </c>
      <c r="M1425" s="1" t="str">
        <f>TEXT(Table1[[#This Row],[Order Date]],"mmm")</f>
        <v>Sep</v>
      </c>
      <c r="N1425" s="1">
        <f>YEAR(Table1[[#This Row],[Order Date]])</f>
        <v>2023</v>
      </c>
    </row>
    <row r="1426" spans="1:14" x14ac:dyDescent="0.35">
      <c r="A1426" s="1" t="s">
        <v>2136</v>
      </c>
      <c r="B1426" s="1" t="s">
        <v>451</v>
      </c>
      <c r="C1426" s="1" t="s">
        <v>73</v>
      </c>
      <c r="D1426" s="1" t="s">
        <v>60</v>
      </c>
      <c r="E1426" s="1" t="s">
        <v>33</v>
      </c>
      <c r="F1426" s="1" t="s">
        <v>60</v>
      </c>
      <c r="G1426" s="1">
        <v>10</v>
      </c>
      <c r="H1426" s="1">
        <v>38775</v>
      </c>
      <c r="I1426" s="1">
        <v>0</v>
      </c>
      <c r="J1426" s="1">
        <v>387750</v>
      </c>
      <c r="K1426" s="1">
        <v>96399.89</v>
      </c>
      <c r="L1426" s="1" t="s">
        <v>23</v>
      </c>
      <c r="M1426" s="1" t="str">
        <f>TEXT(Table1[[#This Row],[Order Date]],"mmm")</f>
        <v>Nov</v>
      </c>
      <c r="N1426" s="1">
        <f>YEAR(Table1[[#This Row],[Order Date]])</f>
        <v>2024</v>
      </c>
    </row>
    <row r="1427" spans="1:14" x14ac:dyDescent="0.35">
      <c r="A1427" s="1" t="s">
        <v>2137</v>
      </c>
      <c r="B1427" s="1" t="s">
        <v>1792</v>
      </c>
      <c r="C1427" s="1" t="s">
        <v>77</v>
      </c>
      <c r="D1427" s="1" t="s">
        <v>85</v>
      </c>
      <c r="E1427" s="1" t="s">
        <v>28</v>
      </c>
      <c r="F1427" s="1" t="s">
        <v>85</v>
      </c>
      <c r="G1427" s="1">
        <v>1</v>
      </c>
      <c r="H1427" s="1">
        <v>675</v>
      </c>
      <c r="I1427" s="1">
        <v>0.15</v>
      </c>
      <c r="J1427" s="1">
        <v>573.75</v>
      </c>
      <c r="K1427" s="1">
        <v>47.92</v>
      </c>
      <c r="L1427" s="1" t="s">
        <v>23</v>
      </c>
      <c r="M1427" s="1" t="str">
        <f>TEXT(Table1[[#This Row],[Order Date]],"mmm")</f>
        <v>Apr</v>
      </c>
      <c r="N1427" s="1">
        <f>YEAR(Table1[[#This Row],[Order Date]])</f>
        <v>2023</v>
      </c>
    </row>
    <row r="1428" spans="1:14" x14ac:dyDescent="0.35">
      <c r="A1428" s="1" t="s">
        <v>2138</v>
      </c>
      <c r="B1428" s="1" t="s">
        <v>833</v>
      </c>
      <c r="C1428" s="1" t="s">
        <v>117</v>
      </c>
      <c r="D1428" s="1" t="s">
        <v>114</v>
      </c>
      <c r="E1428" s="1" t="s">
        <v>16</v>
      </c>
      <c r="F1428" s="1" t="s">
        <v>114</v>
      </c>
      <c r="G1428" s="1">
        <v>9</v>
      </c>
      <c r="H1428" s="1">
        <v>24303</v>
      </c>
      <c r="I1428" s="1">
        <v>0.1</v>
      </c>
      <c r="J1428" s="1">
        <v>196854.3</v>
      </c>
      <c r="K1428" s="1">
        <v>25848.080000000002</v>
      </c>
      <c r="L1428" s="1" t="s">
        <v>45</v>
      </c>
      <c r="M1428" s="1" t="str">
        <f>TEXT(Table1[[#This Row],[Order Date]],"mmm")</f>
        <v>Apr</v>
      </c>
      <c r="N1428" s="1">
        <f>YEAR(Table1[[#This Row],[Order Date]])</f>
        <v>2023</v>
      </c>
    </row>
    <row r="1429" spans="1:14" x14ac:dyDescent="0.35">
      <c r="A1429" s="1" t="s">
        <v>2139</v>
      </c>
      <c r="B1429" s="1" t="s">
        <v>881</v>
      </c>
      <c r="C1429" s="1" t="s">
        <v>31</v>
      </c>
      <c r="D1429" s="1" t="s">
        <v>74</v>
      </c>
      <c r="E1429" s="1" t="s">
        <v>22</v>
      </c>
      <c r="F1429" s="1" t="s">
        <v>74</v>
      </c>
      <c r="G1429" s="1">
        <v>7</v>
      </c>
      <c r="H1429" s="1">
        <v>36488</v>
      </c>
      <c r="I1429" s="1">
        <v>0.15</v>
      </c>
      <c r="J1429" s="1">
        <v>217103.6</v>
      </c>
      <c r="K1429" s="1">
        <v>49276.54</v>
      </c>
      <c r="L1429" s="1" t="s">
        <v>23</v>
      </c>
      <c r="M1429" s="1" t="str">
        <f>TEXT(Table1[[#This Row],[Order Date]],"mmm")</f>
        <v>Oct</v>
      </c>
      <c r="N1429" s="1">
        <f>YEAR(Table1[[#This Row],[Order Date]])</f>
        <v>2024</v>
      </c>
    </row>
    <row r="1430" spans="1:14" x14ac:dyDescent="0.35">
      <c r="A1430" s="1" t="s">
        <v>2140</v>
      </c>
      <c r="B1430" s="1" t="s">
        <v>1109</v>
      </c>
      <c r="C1430" s="1" t="s">
        <v>77</v>
      </c>
      <c r="D1430" s="1" t="s">
        <v>15</v>
      </c>
      <c r="E1430" s="1" t="s">
        <v>16</v>
      </c>
      <c r="F1430" s="1" t="s">
        <v>15</v>
      </c>
      <c r="G1430" s="1">
        <v>11</v>
      </c>
      <c r="H1430" s="1">
        <v>8182</v>
      </c>
      <c r="I1430" s="1">
        <v>0.1</v>
      </c>
      <c r="J1430" s="1">
        <v>81001.8</v>
      </c>
      <c r="K1430" s="1">
        <v>11072.23</v>
      </c>
      <c r="L1430" s="1" t="s">
        <v>45</v>
      </c>
      <c r="M1430" s="1" t="str">
        <f>TEXT(Table1[[#This Row],[Order Date]],"mmm")</f>
        <v>Nov</v>
      </c>
      <c r="N1430" s="1">
        <f>YEAR(Table1[[#This Row],[Order Date]])</f>
        <v>2023</v>
      </c>
    </row>
    <row r="1431" spans="1:14" x14ac:dyDescent="0.35">
      <c r="A1431" s="1" t="s">
        <v>2141</v>
      </c>
      <c r="B1431" s="1" t="s">
        <v>2142</v>
      </c>
      <c r="C1431" s="1" t="s">
        <v>255</v>
      </c>
      <c r="D1431" s="1" t="s">
        <v>151</v>
      </c>
      <c r="E1431" s="1" t="s">
        <v>22</v>
      </c>
      <c r="F1431" s="1" t="s">
        <v>151</v>
      </c>
      <c r="G1431" s="1">
        <v>15</v>
      </c>
      <c r="H1431" s="1">
        <v>18069</v>
      </c>
      <c r="I1431" s="1">
        <v>0.15</v>
      </c>
      <c r="J1431" s="1">
        <v>230379.75</v>
      </c>
      <c r="K1431" s="1">
        <v>26175.49</v>
      </c>
      <c r="L1431" s="1" t="s">
        <v>23</v>
      </c>
      <c r="M1431" s="1" t="str">
        <f>TEXT(Table1[[#This Row],[Order Date]],"mmm")</f>
        <v>Jan</v>
      </c>
      <c r="N1431" s="1">
        <f>YEAR(Table1[[#This Row],[Order Date]])</f>
        <v>2024</v>
      </c>
    </row>
    <row r="1432" spans="1:14" x14ac:dyDescent="0.35">
      <c r="A1432" s="1" t="s">
        <v>2143</v>
      </c>
      <c r="B1432" s="1" t="s">
        <v>930</v>
      </c>
      <c r="C1432" s="1" t="s">
        <v>111</v>
      </c>
      <c r="D1432" s="1" t="s">
        <v>151</v>
      </c>
      <c r="E1432" s="1" t="s">
        <v>22</v>
      </c>
      <c r="F1432" s="1" t="s">
        <v>151</v>
      </c>
      <c r="G1432" s="1">
        <v>1</v>
      </c>
      <c r="H1432" s="1">
        <v>26388</v>
      </c>
      <c r="I1432" s="1">
        <v>0.05</v>
      </c>
      <c r="J1432" s="1">
        <v>25068.6</v>
      </c>
      <c r="K1432" s="1">
        <v>5448</v>
      </c>
      <c r="L1432" s="1" t="s">
        <v>70</v>
      </c>
      <c r="M1432" s="1" t="str">
        <f>TEXT(Table1[[#This Row],[Order Date]],"mmm")</f>
        <v>Apr</v>
      </c>
      <c r="N1432" s="1">
        <f>YEAR(Table1[[#This Row],[Order Date]])</f>
        <v>2024</v>
      </c>
    </row>
    <row r="1433" spans="1:14" x14ac:dyDescent="0.35">
      <c r="A1433" s="1" t="s">
        <v>2144</v>
      </c>
      <c r="B1433" s="1" t="s">
        <v>1464</v>
      </c>
      <c r="C1433" s="1" t="s">
        <v>640</v>
      </c>
      <c r="D1433" s="1" t="s">
        <v>27</v>
      </c>
      <c r="E1433" s="1" t="s">
        <v>28</v>
      </c>
      <c r="F1433" s="1" t="s">
        <v>27</v>
      </c>
      <c r="G1433" s="1">
        <v>9</v>
      </c>
      <c r="H1433" s="1">
        <v>48842</v>
      </c>
      <c r="I1433" s="1">
        <v>0</v>
      </c>
      <c r="J1433" s="1">
        <v>439578</v>
      </c>
      <c r="K1433" s="1">
        <v>47358.58</v>
      </c>
      <c r="L1433" s="1" t="s">
        <v>17</v>
      </c>
      <c r="M1433" s="1" t="str">
        <f>TEXT(Table1[[#This Row],[Order Date]],"mmm")</f>
        <v>May</v>
      </c>
      <c r="N1433" s="1">
        <f>YEAR(Table1[[#This Row],[Order Date]])</f>
        <v>2023</v>
      </c>
    </row>
    <row r="1434" spans="1:14" x14ac:dyDescent="0.35">
      <c r="A1434" s="1" t="s">
        <v>2145</v>
      </c>
      <c r="B1434" s="1" t="s">
        <v>1886</v>
      </c>
      <c r="C1434" s="1" t="s">
        <v>349</v>
      </c>
      <c r="D1434" s="1" t="s">
        <v>64</v>
      </c>
      <c r="E1434" s="1" t="s">
        <v>33</v>
      </c>
      <c r="F1434" s="1" t="s">
        <v>64</v>
      </c>
      <c r="G1434" s="1">
        <v>5</v>
      </c>
      <c r="H1434" s="1">
        <v>6290</v>
      </c>
      <c r="I1434" s="1">
        <v>0.2</v>
      </c>
      <c r="J1434" s="1">
        <v>25160</v>
      </c>
      <c r="K1434" s="1">
        <v>5786.96</v>
      </c>
      <c r="L1434" s="1" t="s">
        <v>45</v>
      </c>
      <c r="M1434" s="1" t="str">
        <f>TEXT(Table1[[#This Row],[Order Date]],"mmm")</f>
        <v>Apr</v>
      </c>
      <c r="N1434" s="1">
        <f>YEAR(Table1[[#This Row],[Order Date]])</f>
        <v>2024</v>
      </c>
    </row>
    <row r="1435" spans="1:14" x14ac:dyDescent="0.35">
      <c r="A1435" s="1" t="s">
        <v>2146</v>
      </c>
      <c r="B1435" s="1" t="s">
        <v>455</v>
      </c>
      <c r="C1435" s="1" t="s">
        <v>120</v>
      </c>
      <c r="D1435" s="1" t="s">
        <v>95</v>
      </c>
      <c r="E1435" s="1" t="s">
        <v>33</v>
      </c>
      <c r="F1435" s="1" t="s">
        <v>95</v>
      </c>
      <c r="G1435" s="1">
        <v>13</v>
      </c>
      <c r="H1435" s="1">
        <v>28133</v>
      </c>
      <c r="I1435" s="1">
        <v>0</v>
      </c>
      <c r="J1435" s="1">
        <v>365729</v>
      </c>
      <c r="K1435" s="1">
        <v>80494.02</v>
      </c>
      <c r="L1435" s="1" t="s">
        <v>23</v>
      </c>
      <c r="M1435" s="1" t="str">
        <f>TEXT(Table1[[#This Row],[Order Date]],"mmm")</f>
        <v>Mar</v>
      </c>
      <c r="N1435" s="1">
        <f>YEAR(Table1[[#This Row],[Order Date]])</f>
        <v>2024</v>
      </c>
    </row>
    <row r="1436" spans="1:14" x14ac:dyDescent="0.35">
      <c r="A1436" s="1" t="s">
        <v>2147</v>
      </c>
      <c r="B1436" s="1" t="s">
        <v>2148</v>
      </c>
      <c r="C1436" s="1" t="s">
        <v>107</v>
      </c>
      <c r="D1436" s="1" t="s">
        <v>37</v>
      </c>
      <c r="E1436" s="1" t="s">
        <v>16</v>
      </c>
      <c r="F1436" s="1" t="s">
        <v>37</v>
      </c>
      <c r="G1436" s="1">
        <v>5</v>
      </c>
      <c r="H1436" s="1">
        <v>58442</v>
      </c>
      <c r="I1436" s="1">
        <v>0.1</v>
      </c>
      <c r="J1436" s="1">
        <v>262989</v>
      </c>
      <c r="K1436" s="1">
        <v>56639.11</v>
      </c>
      <c r="L1436" s="1" t="s">
        <v>70</v>
      </c>
      <c r="M1436" s="1" t="str">
        <f>TEXT(Table1[[#This Row],[Order Date]],"mmm")</f>
        <v>Aug</v>
      </c>
      <c r="N1436" s="1">
        <f>YEAR(Table1[[#This Row],[Order Date]])</f>
        <v>2024</v>
      </c>
    </row>
    <row r="1437" spans="1:14" x14ac:dyDescent="0.35">
      <c r="A1437" s="1" t="s">
        <v>2149</v>
      </c>
      <c r="B1437" s="1" t="s">
        <v>501</v>
      </c>
      <c r="C1437" s="1" t="s">
        <v>155</v>
      </c>
      <c r="D1437" s="1" t="s">
        <v>27</v>
      </c>
      <c r="E1437" s="1" t="s">
        <v>28</v>
      </c>
      <c r="F1437" s="1" t="s">
        <v>27</v>
      </c>
      <c r="G1437" s="1">
        <v>15</v>
      </c>
      <c r="H1437" s="1">
        <v>2253</v>
      </c>
      <c r="I1437" s="1">
        <v>0.15</v>
      </c>
      <c r="J1437" s="1">
        <v>28725.75</v>
      </c>
      <c r="K1437" s="1">
        <v>4910.59</v>
      </c>
      <c r="L1437" s="1" t="s">
        <v>70</v>
      </c>
      <c r="M1437" s="1" t="str">
        <f>TEXT(Table1[[#This Row],[Order Date]],"mmm")</f>
        <v>Nov</v>
      </c>
      <c r="N1437" s="1">
        <f>YEAR(Table1[[#This Row],[Order Date]])</f>
        <v>2024</v>
      </c>
    </row>
    <row r="1438" spans="1:14" x14ac:dyDescent="0.35">
      <c r="A1438" s="1" t="s">
        <v>2150</v>
      </c>
      <c r="B1438" s="1" t="s">
        <v>2151</v>
      </c>
      <c r="C1438" s="1" t="s">
        <v>332</v>
      </c>
      <c r="D1438" s="1" t="s">
        <v>74</v>
      </c>
      <c r="E1438" s="1" t="s">
        <v>22</v>
      </c>
      <c r="F1438" s="1" t="s">
        <v>74</v>
      </c>
      <c r="G1438" s="1">
        <v>7</v>
      </c>
      <c r="H1438" s="1">
        <v>42535</v>
      </c>
      <c r="I1438" s="1">
        <v>0</v>
      </c>
      <c r="J1438" s="1">
        <v>297745</v>
      </c>
      <c r="K1438" s="1">
        <v>24515.78</v>
      </c>
      <c r="L1438" s="1" t="s">
        <v>17</v>
      </c>
      <c r="M1438" s="1" t="str">
        <f>TEXT(Table1[[#This Row],[Order Date]],"mmm")</f>
        <v>Jun</v>
      </c>
      <c r="N1438" s="1">
        <f>YEAR(Table1[[#This Row],[Order Date]])</f>
        <v>2024</v>
      </c>
    </row>
    <row r="1439" spans="1:14" x14ac:dyDescent="0.35">
      <c r="A1439" s="1" t="s">
        <v>2152</v>
      </c>
      <c r="B1439" s="1" t="s">
        <v>164</v>
      </c>
      <c r="C1439" s="1" t="s">
        <v>188</v>
      </c>
      <c r="D1439" s="1" t="s">
        <v>60</v>
      </c>
      <c r="E1439" s="1" t="s">
        <v>33</v>
      </c>
      <c r="F1439" s="1" t="s">
        <v>60</v>
      </c>
      <c r="G1439" s="1">
        <v>9</v>
      </c>
      <c r="H1439" s="1">
        <v>12295</v>
      </c>
      <c r="I1439" s="1">
        <v>0.1</v>
      </c>
      <c r="J1439" s="1">
        <v>99589.5</v>
      </c>
      <c r="K1439" s="1">
        <v>23303.26</v>
      </c>
      <c r="L1439" s="1" t="s">
        <v>17</v>
      </c>
      <c r="M1439" s="1" t="str">
        <f>TEXT(Table1[[#This Row],[Order Date]],"mmm")</f>
        <v>May</v>
      </c>
      <c r="N1439" s="1">
        <f>YEAR(Table1[[#This Row],[Order Date]])</f>
        <v>2023</v>
      </c>
    </row>
    <row r="1440" spans="1:14" x14ac:dyDescent="0.35">
      <c r="A1440" s="1" t="s">
        <v>2153</v>
      </c>
      <c r="B1440" s="1" t="s">
        <v>2154</v>
      </c>
      <c r="C1440" s="1" t="s">
        <v>36</v>
      </c>
      <c r="D1440" s="1" t="s">
        <v>114</v>
      </c>
      <c r="E1440" s="1" t="s">
        <v>16</v>
      </c>
      <c r="F1440" s="1" t="s">
        <v>114</v>
      </c>
      <c r="G1440" s="1">
        <v>10</v>
      </c>
      <c r="H1440" s="1">
        <v>32401</v>
      </c>
      <c r="I1440" s="1">
        <v>0.05</v>
      </c>
      <c r="J1440" s="1">
        <v>307809.5</v>
      </c>
      <c r="K1440" s="1">
        <v>45471.98</v>
      </c>
      <c r="L1440" s="1" t="s">
        <v>45</v>
      </c>
      <c r="M1440" s="1" t="str">
        <f>TEXT(Table1[[#This Row],[Order Date]],"mmm")</f>
        <v>Oct</v>
      </c>
      <c r="N1440" s="1">
        <f>YEAR(Table1[[#This Row],[Order Date]])</f>
        <v>2024</v>
      </c>
    </row>
    <row r="1441" spans="1:14" x14ac:dyDescent="0.35">
      <c r="A1441" s="1" t="s">
        <v>2155</v>
      </c>
      <c r="B1441" s="1" t="s">
        <v>700</v>
      </c>
      <c r="C1441" s="1" t="s">
        <v>335</v>
      </c>
      <c r="D1441" s="1" t="s">
        <v>21</v>
      </c>
      <c r="E1441" s="1" t="s">
        <v>22</v>
      </c>
      <c r="F1441" s="1" t="s">
        <v>21</v>
      </c>
      <c r="G1441" s="1">
        <v>13</v>
      </c>
      <c r="H1441" s="1">
        <v>16204</v>
      </c>
      <c r="I1441" s="1">
        <v>0.15</v>
      </c>
      <c r="J1441" s="1">
        <v>179054.2</v>
      </c>
      <c r="K1441" s="1">
        <v>16493.52</v>
      </c>
      <c r="L1441" s="1" t="s">
        <v>45</v>
      </c>
      <c r="M1441" s="1" t="str">
        <f>TEXT(Table1[[#This Row],[Order Date]],"mmm")</f>
        <v>Feb</v>
      </c>
      <c r="N1441" s="1">
        <f>YEAR(Table1[[#This Row],[Order Date]])</f>
        <v>2024</v>
      </c>
    </row>
    <row r="1442" spans="1:14" x14ac:dyDescent="0.35">
      <c r="A1442" s="1" t="s">
        <v>2156</v>
      </c>
      <c r="B1442" s="1" t="s">
        <v>1232</v>
      </c>
      <c r="C1442" s="1" t="s">
        <v>77</v>
      </c>
      <c r="D1442" s="1" t="s">
        <v>74</v>
      </c>
      <c r="E1442" s="1" t="s">
        <v>22</v>
      </c>
      <c r="F1442" s="1" t="s">
        <v>74</v>
      </c>
      <c r="G1442" s="1">
        <v>11</v>
      </c>
      <c r="H1442" s="1">
        <v>20777</v>
      </c>
      <c r="I1442" s="1">
        <v>0</v>
      </c>
      <c r="J1442" s="1">
        <v>228547</v>
      </c>
      <c r="K1442" s="1">
        <v>28747.11</v>
      </c>
      <c r="L1442" s="1" t="s">
        <v>23</v>
      </c>
      <c r="M1442" s="1" t="str">
        <f>TEXT(Table1[[#This Row],[Order Date]],"mmm")</f>
        <v>Sep</v>
      </c>
      <c r="N1442" s="1">
        <f>YEAR(Table1[[#This Row],[Order Date]])</f>
        <v>2023</v>
      </c>
    </row>
    <row r="1443" spans="1:14" x14ac:dyDescent="0.35">
      <c r="A1443" s="1" t="s">
        <v>2157</v>
      </c>
      <c r="B1443" s="1" t="s">
        <v>569</v>
      </c>
      <c r="C1443" s="1" t="s">
        <v>107</v>
      </c>
      <c r="D1443" s="1" t="s">
        <v>151</v>
      </c>
      <c r="E1443" s="1" t="s">
        <v>22</v>
      </c>
      <c r="F1443" s="1" t="s">
        <v>151</v>
      </c>
      <c r="G1443" s="1">
        <v>13</v>
      </c>
      <c r="H1443" s="1">
        <v>12102</v>
      </c>
      <c r="I1443" s="1">
        <v>0.15</v>
      </c>
      <c r="J1443" s="1">
        <v>133727.1</v>
      </c>
      <c r="K1443" s="1">
        <v>20630.68</v>
      </c>
      <c r="L1443" s="1" t="s">
        <v>17</v>
      </c>
      <c r="M1443" s="1" t="str">
        <f>TEXT(Table1[[#This Row],[Order Date]],"mmm")</f>
        <v>Sep</v>
      </c>
      <c r="N1443" s="1">
        <f>YEAR(Table1[[#This Row],[Order Date]])</f>
        <v>2024</v>
      </c>
    </row>
    <row r="1444" spans="1:14" x14ac:dyDescent="0.35">
      <c r="A1444" s="1" t="s">
        <v>2158</v>
      </c>
      <c r="B1444" s="1" t="s">
        <v>956</v>
      </c>
      <c r="C1444" s="1" t="s">
        <v>20</v>
      </c>
      <c r="D1444" s="1" t="s">
        <v>293</v>
      </c>
      <c r="E1444" s="1" t="s">
        <v>33</v>
      </c>
      <c r="F1444" s="1" t="s">
        <v>293</v>
      </c>
      <c r="G1444" s="1">
        <v>12</v>
      </c>
      <c r="H1444" s="1">
        <v>58322</v>
      </c>
      <c r="I1444" s="1">
        <v>0</v>
      </c>
      <c r="J1444" s="1">
        <v>699864</v>
      </c>
      <c r="K1444" s="1">
        <v>135778.69</v>
      </c>
      <c r="L1444" s="1" t="s">
        <v>23</v>
      </c>
      <c r="M1444" s="1" t="str">
        <f>TEXT(Table1[[#This Row],[Order Date]],"mmm")</f>
        <v>Aug</v>
      </c>
      <c r="N1444" s="1">
        <f>YEAR(Table1[[#This Row],[Order Date]])</f>
        <v>2024</v>
      </c>
    </row>
    <row r="1445" spans="1:14" x14ac:dyDescent="0.35">
      <c r="A1445" s="1" t="s">
        <v>2159</v>
      </c>
      <c r="B1445" s="1" t="s">
        <v>1212</v>
      </c>
      <c r="C1445" s="1" t="s">
        <v>26</v>
      </c>
      <c r="D1445" s="1" t="s">
        <v>60</v>
      </c>
      <c r="E1445" s="1" t="s">
        <v>33</v>
      </c>
      <c r="F1445" s="1" t="s">
        <v>60</v>
      </c>
      <c r="G1445" s="1">
        <v>2</v>
      </c>
      <c r="H1445" s="1">
        <v>42198</v>
      </c>
      <c r="I1445" s="1">
        <v>0.1</v>
      </c>
      <c r="J1445" s="1">
        <v>75956.399999999994</v>
      </c>
      <c r="K1445" s="1">
        <v>10557.2</v>
      </c>
      <c r="L1445" s="1" t="s">
        <v>70</v>
      </c>
      <c r="M1445" s="1" t="str">
        <f>TEXT(Table1[[#This Row],[Order Date]],"mmm")</f>
        <v>Dec</v>
      </c>
      <c r="N1445" s="1">
        <f>YEAR(Table1[[#This Row],[Order Date]])</f>
        <v>2023</v>
      </c>
    </row>
    <row r="1446" spans="1:14" x14ac:dyDescent="0.35">
      <c r="A1446" s="1" t="s">
        <v>2160</v>
      </c>
      <c r="B1446" s="1" t="s">
        <v>2161</v>
      </c>
      <c r="C1446" s="1" t="s">
        <v>162</v>
      </c>
      <c r="D1446" s="1" t="s">
        <v>323</v>
      </c>
      <c r="E1446" s="1" t="s">
        <v>33</v>
      </c>
      <c r="F1446" s="1" t="s">
        <v>323</v>
      </c>
      <c r="G1446" s="1">
        <v>2</v>
      </c>
      <c r="H1446" s="1">
        <v>38046</v>
      </c>
      <c r="I1446" s="1">
        <v>0.05</v>
      </c>
      <c r="J1446" s="1">
        <v>72287.399999999994</v>
      </c>
      <c r="K1446" s="1">
        <v>20645.28</v>
      </c>
      <c r="L1446" s="1" t="s">
        <v>17</v>
      </c>
      <c r="M1446" s="1" t="str">
        <f>TEXT(Table1[[#This Row],[Order Date]],"mmm")</f>
        <v>Sep</v>
      </c>
      <c r="N1446" s="1">
        <f>YEAR(Table1[[#This Row],[Order Date]])</f>
        <v>2023</v>
      </c>
    </row>
    <row r="1447" spans="1:14" x14ac:dyDescent="0.35">
      <c r="A1447" s="1" t="s">
        <v>2162</v>
      </c>
      <c r="B1447" s="1" t="s">
        <v>1361</v>
      </c>
      <c r="C1447" s="1" t="s">
        <v>59</v>
      </c>
      <c r="D1447" s="1" t="s">
        <v>151</v>
      </c>
      <c r="E1447" s="1" t="s">
        <v>22</v>
      </c>
      <c r="F1447" s="1" t="s">
        <v>151</v>
      </c>
      <c r="G1447" s="1">
        <v>5</v>
      </c>
      <c r="H1447" s="1">
        <v>11049</v>
      </c>
      <c r="I1447" s="1">
        <v>0.15</v>
      </c>
      <c r="J1447" s="1">
        <v>46958.25</v>
      </c>
      <c r="K1447" s="1">
        <v>4964.47</v>
      </c>
      <c r="L1447" s="1" t="s">
        <v>23</v>
      </c>
      <c r="M1447" s="1" t="str">
        <f>TEXT(Table1[[#This Row],[Order Date]],"mmm")</f>
        <v>Apr</v>
      </c>
      <c r="N1447" s="1">
        <f>YEAR(Table1[[#This Row],[Order Date]])</f>
        <v>2023</v>
      </c>
    </row>
    <row r="1448" spans="1:14" x14ac:dyDescent="0.35">
      <c r="A1448" s="1" t="s">
        <v>2163</v>
      </c>
      <c r="B1448" s="1" t="s">
        <v>571</v>
      </c>
      <c r="C1448" s="1" t="s">
        <v>175</v>
      </c>
      <c r="D1448" s="1" t="s">
        <v>108</v>
      </c>
      <c r="E1448" s="1" t="s">
        <v>22</v>
      </c>
      <c r="F1448" s="1" t="s">
        <v>108</v>
      </c>
      <c r="G1448" s="1">
        <v>9</v>
      </c>
      <c r="H1448" s="1">
        <v>56117</v>
      </c>
      <c r="I1448" s="1">
        <v>0.05</v>
      </c>
      <c r="J1448" s="1">
        <v>479800.35</v>
      </c>
      <c r="K1448" s="1">
        <v>137035.9</v>
      </c>
      <c r="L1448" s="1" t="s">
        <v>17</v>
      </c>
      <c r="M1448" s="1" t="str">
        <f>TEXT(Table1[[#This Row],[Order Date]],"mmm")</f>
        <v>Dec</v>
      </c>
      <c r="N1448" s="1">
        <f>YEAR(Table1[[#This Row],[Order Date]])</f>
        <v>2023</v>
      </c>
    </row>
    <row r="1449" spans="1:14" x14ac:dyDescent="0.35">
      <c r="A1449" s="1" t="s">
        <v>2164</v>
      </c>
      <c r="B1449" s="1" t="s">
        <v>1492</v>
      </c>
      <c r="C1449" s="1" t="s">
        <v>349</v>
      </c>
      <c r="D1449" s="1" t="s">
        <v>74</v>
      </c>
      <c r="E1449" s="1" t="s">
        <v>22</v>
      </c>
      <c r="F1449" s="1" t="s">
        <v>74</v>
      </c>
      <c r="G1449" s="1">
        <v>3</v>
      </c>
      <c r="H1449" s="1">
        <v>43091</v>
      </c>
      <c r="I1449" s="1">
        <v>0.1</v>
      </c>
      <c r="J1449" s="1">
        <v>116345.7</v>
      </c>
      <c r="K1449" s="1">
        <v>12188.18</v>
      </c>
      <c r="L1449" s="1" t="s">
        <v>17</v>
      </c>
      <c r="M1449" s="1" t="str">
        <f>TEXT(Table1[[#This Row],[Order Date]],"mmm")</f>
        <v>Mar</v>
      </c>
      <c r="N1449" s="1">
        <f>YEAR(Table1[[#This Row],[Order Date]])</f>
        <v>2024</v>
      </c>
    </row>
    <row r="1450" spans="1:14" x14ac:dyDescent="0.35">
      <c r="A1450" s="1" t="s">
        <v>2165</v>
      </c>
      <c r="B1450" s="1" t="s">
        <v>577</v>
      </c>
      <c r="C1450" s="1" t="s">
        <v>117</v>
      </c>
      <c r="D1450" s="1" t="s">
        <v>108</v>
      </c>
      <c r="E1450" s="1" t="s">
        <v>22</v>
      </c>
      <c r="F1450" s="1" t="s">
        <v>108</v>
      </c>
      <c r="G1450" s="1">
        <v>7</v>
      </c>
      <c r="H1450" s="1">
        <v>38217</v>
      </c>
      <c r="I1450" s="1">
        <v>0.05</v>
      </c>
      <c r="J1450" s="1">
        <v>254143.05</v>
      </c>
      <c r="K1450" s="1">
        <v>60503.21</v>
      </c>
      <c r="L1450" s="1" t="s">
        <v>23</v>
      </c>
      <c r="M1450" s="1" t="str">
        <f>TEXT(Table1[[#This Row],[Order Date]],"mmm")</f>
        <v>Mar</v>
      </c>
      <c r="N1450" s="1">
        <f>YEAR(Table1[[#This Row],[Order Date]])</f>
        <v>2024</v>
      </c>
    </row>
    <row r="1451" spans="1:14" x14ac:dyDescent="0.35">
      <c r="A1451" s="1" t="s">
        <v>2166</v>
      </c>
      <c r="B1451" s="1" t="s">
        <v>2167</v>
      </c>
      <c r="C1451" s="1" t="s">
        <v>146</v>
      </c>
      <c r="D1451" s="1" t="s">
        <v>21</v>
      </c>
      <c r="E1451" s="1" t="s">
        <v>22</v>
      </c>
      <c r="F1451" s="1" t="s">
        <v>21</v>
      </c>
      <c r="G1451" s="1">
        <v>1</v>
      </c>
      <c r="H1451" s="1">
        <v>29602</v>
      </c>
      <c r="I1451" s="1">
        <v>0</v>
      </c>
      <c r="J1451" s="1">
        <v>29602</v>
      </c>
      <c r="K1451" s="1">
        <v>2374.5100000000002</v>
      </c>
      <c r="L1451" s="1" t="s">
        <v>45</v>
      </c>
      <c r="M1451" s="1" t="str">
        <f>TEXT(Table1[[#This Row],[Order Date]],"mmm")</f>
        <v>Aug</v>
      </c>
      <c r="N1451" s="1">
        <f>YEAR(Table1[[#This Row],[Order Date]])</f>
        <v>2024</v>
      </c>
    </row>
    <row r="1452" spans="1:14" x14ac:dyDescent="0.35">
      <c r="A1452" s="1" t="s">
        <v>2168</v>
      </c>
      <c r="B1452" s="1" t="s">
        <v>2169</v>
      </c>
      <c r="C1452" s="1" t="s">
        <v>507</v>
      </c>
      <c r="D1452" s="1" t="s">
        <v>27</v>
      </c>
      <c r="E1452" s="1" t="s">
        <v>28</v>
      </c>
      <c r="F1452" s="1" t="s">
        <v>27</v>
      </c>
      <c r="G1452" s="1">
        <v>14</v>
      </c>
      <c r="H1452" s="1">
        <v>7036</v>
      </c>
      <c r="I1452" s="1">
        <v>0.15</v>
      </c>
      <c r="J1452" s="1">
        <v>83728.399999999994</v>
      </c>
      <c r="K1452" s="1">
        <v>9093</v>
      </c>
      <c r="L1452" s="1" t="s">
        <v>23</v>
      </c>
      <c r="M1452" s="1" t="str">
        <f>TEXT(Table1[[#This Row],[Order Date]],"mmm")</f>
        <v>Jul</v>
      </c>
      <c r="N1452" s="1">
        <f>YEAR(Table1[[#This Row],[Order Date]])</f>
        <v>2024</v>
      </c>
    </row>
    <row r="1453" spans="1:14" x14ac:dyDescent="0.35">
      <c r="A1453" s="1" t="s">
        <v>2170</v>
      </c>
      <c r="B1453" s="1" t="s">
        <v>776</v>
      </c>
      <c r="C1453" s="1" t="s">
        <v>507</v>
      </c>
      <c r="D1453" s="1" t="s">
        <v>179</v>
      </c>
      <c r="E1453" s="1" t="s">
        <v>28</v>
      </c>
      <c r="F1453" s="1" t="s">
        <v>179</v>
      </c>
      <c r="G1453" s="1">
        <v>9</v>
      </c>
      <c r="H1453" s="1">
        <v>41258</v>
      </c>
      <c r="I1453" s="1">
        <v>0.05</v>
      </c>
      <c r="J1453" s="1">
        <v>352755.9</v>
      </c>
      <c r="K1453" s="1">
        <v>62190.64</v>
      </c>
      <c r="L1453" s="1" t="s">
        <v>70</v>
      </c>
      <c r="M1453" s="1" t="str">
        <f>TEXT(Table1[[#This Row],[Order Date]],"mmm")</f>
        <v>Feb</v>
      </c>
      <c r="N1453" s="1">
        <f>YEAR(Table1[[#This Row],[Order Date]])</f>
        <v>2024</v>
      </c>
    </row>
    <row r="1454" spans="1:14" x14ac:dyDescent="0.35">
      <c r="A1454" s="1" t="s">
        <v>2171</v>
      </c>
      <c r="B1454" s="1" t="s">
        <v>1507</v>
      </c>
      <c r="C1454" s="1" t="s">
        <v>370</v>
      </c>
      <c r="D1454" s="1" t="s">
        <v>293</v>
      </c>
      <c r="E1454" s="1" t="s">
        <v>33</v>
      </c>
      <c r="F1454" s="1" t="s">
        <v>293</v>
      </c>
      <c r="G1454" s="1">
        <v>14</v>
      </c>
      <c r="H1454" s="1">
        <v>39808</v>
      </c>
      <c r="I1454" s="1">
        <v>0.15</v>
      </c>
      <c r="J1454" s="1">
        <v>473715.20000000001</v>
      </c>
      <c r="K1454" s="1">
        <v>68982.710000000006</v>
      </c>
      <c r="L1454" s="1" t="s">
        <v>45</v>
      </c>
      <c r="M1454" s="1" t="str">
        <f>TEXT(Table1[[#This Row],[Order Date]],"mmm")</f>
        <v>Nov</v>
      </c>
      <c r="N1454" s="1">
        <f>YEAR(Table1[[#This Row],[Order Date]])</f>
        <v>2023</v>
      </c>
    </row>
    <row r="1455" spans="1:14" x14ac:dyDescent="0.35">
      <c r="A1455" s="1" t="s">
        <v>2172</v>
      </c>
      <c r="B1455" s="1" t="s">
        <v>1149</v>
      </c>
      <c r="C1455" s="1" t="s">
        <v>59</v>
      </c>
      <c r="D1455" s="1" t="s">
        <v>293</v>
      </c>
      <c r="E1455" s="1" t="s">
        <v>33</v>
      </c>
      <c r="F1455" s="1" t="s">
        <v>293</v>
      </c>
      <c r="G1455" s="1">
        <v>8</v>
      </c>
      <c r="H1455" s="1">
        <v>44958</v>
      </c>
      <c r="I1455" s="1">
        <v>0.15</v>
      </c>
      <c r="J1455" s="1">
        <v>305714.40000000002</v>
      </c>
      <c r="K1455" s="1">
        <v>35814.22</v>
      </c>
      <c r="L1455" s="1" t="s">
        <v>70</v>
      </c>
      <c r="M1455" s="1" t="str">
        <f>TEXT(Table1[[#This Row],[Order Date]],"mmm")</f>
        <v>Jul</v>
      </c>
      <c r="N1455" s="1">
        <f>YEAR(Table1[[#This Row],[Order Date]])</f>
        <v>2024</v>
      </c>
    </row>
    <row r="1456" spans="1:14" x14ac:dyDescent="0.35">
      <c r="A1456" s="1" t="s">
        <v>2173</v>
      </c>
      <c r="B1456" s="1" t="s">
        <v>87</v>
      </c>
      <c r="C1456" s="1" t="s">
        <v>120</v>
      </c>
      <c r="D1456" s="1" t="s">
        <v>15</v>
      </c>
      <c r="E1456" s="1" t="s">
        <v>16</v>
      </c>
      <c r="F1456" s="1" t="s">
        <v>15</v>
      </c>
      <c r="G1456" s="1">
        <v>5</v>
      </c>
      <c r="H1456" s="1">
        <v>10470</v>
      </c>
      <c r="I1456" s="1">
        <v>0.2</v>
      </c>
      <c r="J1456" s="1">
        <v>41880</v>
      </c>
      <c r="K1456" s="1">
        <v>12363.86</v>
      </c>
      <c r="L1456" s="1" t="s">
        <v>23</v>
      </c>
      <c r="M1456" s="1" t="str">
        <f>TEXT(Table1[[#This Row],[Order Date]],"mmm")</f>
        <v>Nov</v>
      </c>
      <c r="N1456" s="1">
        <f>YEAR(Table1[[#This Row],[Order Date]])</f>
        <v>2024</v>
      </c>
    </row>
    <row r="1457" spans="1:14" x14ac:dyDescent="0.35">
      <c r="A1457" s="1" t="s">
        <v>2174</v>
      </c>
      <c r="B1457" s="1" t="s">
        <v>694</v>
      </c>
      <c r="C1457" s="1" t="s">
        <v>332</v>
      </c>
      <c r="D1457" s="1" t="s">
        <v>27</v>
      </c>
      <c r="E1457" s="1" t="s">
        <v>28</v>
      </c>
      <c r="F1457" s="1" t="s">
        <v>27</v>
      </c>
      <c r="G1457" s="1">
        <v>2</v>
      </c>
      <c r="H1457" s="1">
        <v>40017</v>
      </c>
      <c r="I1457" s="1">
        <v>0.15</v>
      </c>
      <c r="J1457" s="1">
        <v>68028.899999999994</v>
      </c>
      <c r="K1457" s="1">
        <v>11163.66</v>
      </c>
      <c r="L1457" s="1" t="s">
        <v>23</v>
      </c>
      <c r="M1457" s="1" t="str">
        <f>TEXT(Table1[[#This Row],[Order Date]],"mmm")</f>
        <v>Aug</v>
      </c>
      <c r="N1457" s="1">
        <f>YEAR(Table1[[#This Row],[Order Date]])</f>
        <v>2023</v>
      </c>
    </row>
    <row r="1458" spans="1:14" x14ac:dyDescent="0.35">
      <c r="A1458" s="1" t="s">
        <v>2175</v>
      </c>
      <c r="B1458" s="1" t="s">
        <v>2176</v>
      </c>
      <c r="C1458" s="1" t="s">
        <v>227</v>
      </c>
      <c r="D1458" s="1" t="s">
        <v>41</v>
      </c>
      <c r="E1458" s="1" t="s">
        <v>16</v>
      </c>
      <c r="F1458" s="1" t="s">
        <v>41</v>
      </c>
      <c r="G1458" s="1">
        <v>3</v>
      </c>
      <c r="H1458" s="1">
        <v>36365</v>
      </c>
      <c r="I1458" s="1">
        <v>0.05</v>
      </c>
      <c r="J1458" s="1">
        <v>103640.25</v>
      </c>
      <c r="K1458" s="1">
        <v>20091.39</v>
      </c>
      <c r="L1458" s="1" t="s">
        <v>23</v>
      </c>
      <c r="M1458" s="1" t="str">
        <f>TEXT(Table1[[#This Row],[Order Date]],"mmm")</f>
        <v>Sep</v>
      </c>
      <c r="N1458" s="1">
        <f>YEAR(Table1[[#This Row],[Order Date]])</f>
        <v>2024</v>
      </c>
    </row>
    <row r="1459" spans="1:14" x14ac:dyDescent="0.35">
      <c r="A1459" s="1" t="s">
        <v>2177</v>
      </c>
      <c r="B1459" s="1" t="s">
        <v>2178</v>
      </c>
      <c r="C1459" s="1" t="s">
        <v>188</v>
      </c>
      <c r="D1459" s="1" t="s">
        <v>179</v>
      </c>
      <c r="E1459" s="1" t="s">
        <v>28</v>
      </c>
      <c r="F1459" s="1" t="s">
        <v>179</v>
      </c>
      <c r="G1459" s="1">
        <v>12</v>
      </c>
      <c r="H1459" s="1">
        <v>11320</v>
      </c>
      <c r="I1459" s="1">
        <v>0.05</v>
      </c>
      <c r="J1459" s="1">
        <v>129048</v>
      </c>
      <c r="K1459" s="1">
        <v>16332.64</v>
      </c>
      <c r="L1459" s="1" t="s">
        <v>70</v>
      </c>
      <c r="M1459" s="1" t="str">
        <f>TEXT(Table1[[#This Row],[Order Date]],"mmm")</f>
        <v>Jul</v>
      </c>
      <c r="N1459" s="1">
        <f>YEAR(Table1[[#This Row],[Order Date]])</f>
        <v>2023</v>
      </c>
    </row>
    <row r="1460" spans="1:14" x14ac:dyDescent="0.35">
      <c r="A1460" s="1" t="s">
        <v>2179</v>
      </c>
      <c r="B1460" s="1" t="s">
        <v>1068</v>
      </c>
      <c r="C1460" s="1" t="s">
        <v>77</v>
      </c>
      <c r="D1460" s="1" t="s">
        <v>44</v>
      </c>
      <c r="E1460" s="1" t="s">
        <v>28</v>
      </c>
      <c r="F1460" s="1" t="s">
        <v>44</v>
      </c>
      <c r="G1460" s="1">
        <v>13</v>
      </c>
      <c r="H1460" s="1">
        <v>25315</v>
      </c>
      <c r="I1460" s="1">
        <v>0.05</v>
      </c>
      <c r="J1460" s="1">
        <v>312640.25</v>
      </c>
      <c r="K1460" s="1">
        <v>48195.65</v>
      </c>
      <c r="L1460" s="1" t="s">
        <v>70</v>
      </c>
      <c r="M1460" s="1" t="str">
        <f>TEXT(Table1[[#This Row],[Order Date]],"mmm")</f>
        <v>Apr</v>
      </c>
      <c r="N1460" s="1">
        <f>YEAR(Table1[[#This Row],[Order Date]])</f>
        <v>2023</v>
      </c>
    </row>
    <row r="1461" spans="1:14" x14ac:dyDescent="0.35">
      <c r="A1461" s="1" t="s">
        <v>2180</v>
      </c>
      <c r="B1461" s="1" t="s">
        <v>276</v>
      </c>
      <c r="C1461" s="1" t="s">
        <v>260</v>
      </c>
      <c r="D1461" s="1" t="s">
        <v>15</v>
      </c>
      <c r="E1461" s="1" t="s">
        <v>16</v>
      </c>
      <c r="F1461" s="1" t="s">
        <v>15</v>
      </c>
      <c r="G1461" s="1">
        <v>1</v>
      </c>
      <c r="H1461" s="1">
        <v>59570</v>
      </c>
      <c r="I1461" s="1">
        <v>0.1</v>
      </c>
      <c r="J1461" s="1">
        <v>53613</v>
      </c>
      <c r="K1461" s="1">
        <v>12972.77</v>
      </c>
      <c r="L1461" s="1" t="s">
        <v>17</v>
      </c>
      <c r="M1461" s="1" t="str">
        <f>TEXT(Table1[[#This Row],[Order Date]],"mmm")</f>
        <v>Apr</v>
      </c>
      <c r="N1461" s="1">
        <f>YEAR(Table1[[#This Row],[Order Date]])</f>
        <v>2024</v>
      </c>
    </row>
    <row r="1462" spans="1:14" x14ac:dyDescent="0.35">
      <c r="A1462" s="1" t="s">
        <v>2181</v>
      </c>
      <c r="B1462" s="1" t="s">
        <v>284</v>
      </c>
      <c r="C1462" s="1" t="s">
        <v>14</v>
      </c>
      <c r="D1462" s="1" t="s">
        <v>224</v>
      </c>
      <c r="E1462" s="1" t="s">
        <v>33</v>
      </c>
      <c r="F1462" s="1" t="s">
        <v>224</v>
      </c>
      <c r="G1462" s="1">
        <v>13</v>
      </c>
      <c r="H1462" s="1">
        <v>24284</v>
      </c>
      <c r="I1462" s="1">
        <v>0.15</v>
      </c>
      <c r="J1462" s="1">
        <v>268338.2</v>
      </c>
      <c r="K1462" s="1">
        <v>62643.26</v>
      </c>
      <c r="L1462" s="1" t="s">
        <v>23</v>
      </c>
      <c r="M1462" s="1" t="str">
        <f>TEXT(Table1[[#This Row],[Order Date]],"mmm")</f>
        <v>Nov</v>
      </c>
      <c r="N1462" s="1">
        <f>YEAR(Table1[[#This Row],[Order Date]])</f>
        <v>2023</v>
      </c>
    </row>
    <row r="1463" spans="1:14" x14ac:dyDescent="0.35">
      <c r="A1463" s="1" t="s">
        <v>2182</v>
      </c>
      <c r="B1463" s="1" t="s">
        <v>76</v>
      </c>
      <c r="C1463" s="1" t="s">
        <v>55</v>
      </c>
      <c r="D1463" s="1" t="s">
        <v>56</v>
      </c>
      <c r="E1463" s="1" t="s">
        <v>22</v>
      </c>
      <c r="F1463" s="1" t="s">
        <v>56</v>
      </c>
      <c r="G1463" s="1">
        <v>6</v>
      </c>
      <c r="H1463" s="1">
        <v>23556</v>
      </c>
      <c r="I1463" s="1">
        <v>0.1</v>
      </c>
      <c r="J1463" s="1">
        <v>127202.4</v>
      </c>
      <c r="K1463" s="1">
        <v>15004.99</v>
      </c>
      <c r="L1463" s="1" t="s">
        <v>23</v>
      </c>
      <c r="M1463" s="1" t="str">
        <f>TEXT(Table1[[#This Row],[Order Date]],"mmm")</f>
        <v>Sep</v>
      </c>
      <c r="N1463" s="1">
        <f>YEAR(Table1[[#This Row],[Order Date]])</f>
        <v>2024</v>
      </c>
    </row>
    <row r="1464" spans="1:14" x14ac:dyDescent="0.35">
      <c r="A1464" s="1" t="s">
        <v>2183</v>
      </c>
      <c r="B1464" s="1" t="s">
        <v>1604</v>
      </c>
      <c r="C1464" s="1" t="s">
        <v>94</v>
      </c>
      <c r="D1464" s="1" t="s">
        <v>27</v>
      </c>
      <c r="E1464" s="1" t="s">
        <v>28</v>
      </c>
      <c r="F1464" s="1" t="s">
        <v>27</v>
      </c>
      <c r="G1464" s="1">
        <v>9</v>
      </c>
      <c r="H1464" s="1">
        <v>11703</v>
      </c>
      <c r="I1464" s="1">
        <v>0.2</v>
      </c>
      <c r="J1464" s="1">
        <v>84261.6</v>
      </c>
      <c r="K1464" s="1">
        <v>14391.08</v>
      </c>
      <c r="L1464" s="1" t="s">
        <v>17</v>
      </c>
      <c r="M1464" s="1" t="str">
        <f>TEXT(Table1[[#This Row],[Order Date]],"mmm")</f>
        <v>May</v>
      </c>
      <c r="N1464" s="1">
        <f>YEAR(Table1[[#This Row],[Order Date]])</f>
        <v>2024</v>
      </c>
    </row>
    <row r="1465" spans="1:14" x14ac:dyDescent="0.35">
      <c r="A1465" s="1" t="s">
        <v>2184</v>
      </c>
      <c r="B1465" s="1" t="s">
        <v>257</v>
      </c>
      <c r="C1465" s="1" t="s">
        <v>208</v>
      </c>
      <c r="D1465" s="1" t="s">
        <v>48</v>
      </c>
      <c r="E1465" s="1" t="s">
        <v>16</v>
      </c>
      <c r="F1465" s="1" t="s">
        <v>48</v>
      </c>
      <c r="G1465" s="1">
        <v>9</v>
      </c>
      <c r="H1465" s="1">
        <v>46704</v>
      </c>
      <c r="I1465" s="1">
        <v>0.15</v>
      </c>
      <c r="J1465" s="1">
        <v>357285.6</v>
      </c>
      <c r="K1465" s="1">
        <v>64884.83</v>
      </c>
      <c r="L1465" s="1" t="s">
        <v>70</v>
      </c>
      <c r="M1465" s="1" t="str">
        <f>TEXT(Table1[[#This Row],[Order Date]],"mmm")</f>
        <v>Aug</v>
      </c>
      <c r="N1465" s="1">
        <f>YEAR(Table1[[#This Row],[Order Date]])</f>
        <v>2024</v>
      </c>
    </row>
    <row r="1466" spans="1:14" x14ac:dyDescent="0.35">
      <c r="A1466" s="1" t="s">
        <v>2185</v>
      </c>
      <c r="B1466" s="1" t="s">
        <v>513</v>
      </c>
      <c r="C1466" s="1" t="s">
        <v>84</v>
      </c>
      <c r="D1466" s="1" t="s">
        <v>64</v>
      </c>
      <c r="E1466" s="1" t="s">
        <v>33</v>
      </c>
      <c r="F1466" s="1" t="s">
        <v>64</v>
      </c>
      <c r="G1466" s="1">
        <v>11</v>
      </c>
      <c r="H1466" s="1">
        <v>26761</v>
      </c>
      <c r="I1466" s="1">
        <v>0.2</v>
      </c>
      <c r="J1466" s="1">
        <v>235496.8</v>
      </c>
      <c r="K1466" s="1">
        <v>28511.18</v>
      </c>
      <c r="L1466" s="1" t="s">
        <v>17</v>
      </c>
      <c r="M1466" s="1" t="str">
        <f>TEXT(Table1[[#This Row],[Order Date]],"mmm")</f>
        <v>Sep</v>
      </c>
      <c r="N1466" s="1">
        <f>YEAR(Table1[[#This Row],[Order Date]])</f>
        <v>2023</v>
      </c>
    </row>
    <row r="1467" spans="1:14" x14ac:dyDescent="0.35">
      <c r="A1467" s="1" t="s">
        <v>2186</v>
      </c>
      <c r="B1467" s="1" t="s">
        <v>1478</v>
      </c>
      <c r="C1467" s="1" t="s">
        <v>40</v>
      </c>
      <c r="D1467" s="1" t="s">
        <v>141</v>
      </c>
      <c r="E1467" s="1" t="s">
        <v>22</v>
      </c>
      <c r="F1467" s="1" t="s">
        <v>141</v>
      </c>
      <c r="G1467" s="1">
        <v>1</v>
      </c>
      <c r="H1467" s="1">
        <v>42818</v>
      </c>
      <c r="I1467" s="1">
        <v>0</v>
      </c>
      <c r="J1467" s="1">
        <v>42818</v>
      </c>
      <c r="K1467" s="1">
        <v>8717.43</v>
      </c>
      <c r="L1467" s="1" t="s">
        <v>23</v>
      </c>
      <c r="M1467" s="1" t="str">
        <f>TEXT(Table1[[#This Row],[Order Date]],"mmm")</f>
        <v>Jan</v>
      </c>
      <c r="N1467" s="1">
        <f>YEAR(Table1[[#This Row],[Order Date]])</f>
        <v>2024</v>
      </c>
    </row>
    <row r="1468" spans="1:14" x14ac:dyDescent="0.35">
      <c r="A1468" s="1" t="s">
        <v>2187</v>
      </c>
      <c r="B1468" s="1" t="s">
        <v>372</v>
      </c>
      <c r="C1468" s="1" t="s">
        <v>88</v>
      </c>
      <c r="D1468" s="1" t="s">
        <v>151</v>
      </c>
      <c r="E1468" s="1" t="s">
        <v>22</v>
      </c>
      <c r="F1468" s="1" t="s">
        <v>151</v>
      </c>
      <c r="G1468" s="1">
        <v>1</v>
      </c>
      <c r="H1468" s="1">
        <v>54042</v>
      </c>
      <c r="I1468" s="1">
        <v>0.15</v>
      </c>
      <c r="J1468" s="1">
        <v>45935.7</v>
      </c>
      <c r="K1468" s="1">
        <v>9808.7199999999993</v>
      </c>
      <c r="L1468" s="1" t="s">
        <v>23</v>
      </c>
      <c r="M1468" s="1" t="str">
        <f>TEXT(Table1[[#This Row],[Order Date]],"mmm")</f>
        <v>Jan</v>
      </c>
      <c r="N1468" s="1">
        <f>YEAR(Table1[[#This Row],[Order Date]])</f>
        <v>2023</v>
      </c>
    </row>
    <row r="1469" spans="1:14" x14ac:dyDescent="0.35">
      <c r="A1469" s="1" t="s">
        <v>2188</v>
      </c>
      <c r="B1469" s="1" t="s">
        <v>369</v>
      </c>
      <c r="C1469" s="1" t="s">
        <v>125</v>
      </c>
      <c r="D1469" s="1" t="s">
        <v>74</v>
      </c>
      <c r="E1469" s="1" t="s">
        <v>22</v>
      </c>
      <c r="F1469" s="1" t="s">
        <v>74</v>
      </c>
      <c r="G1469" s="1">
        <v>12</v>
      </c>
      <c r="H1469" s="1">
        <v>50378</v>
      </c>
      <c r="I1469" s="1">
        <v>0.15</v>
      </c>
      <c r="J1469" s="1">
        <v>513855.6</v>
      </c>
      <c r="K1469" s="1">
        <v>108560.84</v>
      </c>
      <c r="L1469" s="1" t="s">
        <v>23</v>
      </c>
      <c r="M1469" s="1" t="str">
        <f>TEXT(Table1[[#This Row],[Order Date]],"mmm")</f>
        <v>Sep</v>
      </c>
      <c r="N1469" s="1">
        <f>YEAR(Table1[[#This Row],[Order Date]])</f>
        <v>2024</v>
      </c>
    </row>
    <row r="1470" spans="1:14" x14ac:dyDescent="0.35">
      <c r="A1470" s="1" t="s">
        <v>2189</v>
      </c>
      <c r="B1470" s="1" t="s">
        <v>83</v>
      </c>
      <c r="C1470" s="1" t="s">
        <v>349</v>
      </c>
      <c r="D1470" s="1" t="s">
        <v>52</v>
      </c>
      <c r="E1470" s="1" t="s">
        <v>28</v>
      </c>
      <c r="F1470" s="1" t="s">
        <v>52</v>
      </c>
      <c r="G1470" s="1">
        <v>4</v>
      </c>
      <c r="H1470" s="1">
        <v>29423</v>
      </c>
      <c r="I1470" s="1">
        <v>0.2</v>
      </c>
      <c r="J1470" s="1">
        <v>94153.600000000006</v>
      </c>
      <c r="K1470" s="1">
        <v>24322.639999999999</v>
      </c>
      <c r="L1470" s="1" t="s">
        <v>70</v>
      </c>
      <c r="M1470" s="1" t="str">
        <f>TEXT(Table1[[#This Row],[Order Date]],"mmm")</f>
        <v>Mar</v>
      </c>
      <c r="N1470" s="1">
        <f>YEAR(Table1[[#This Row],[Order Date]])</f>
        <v>2024</v>
      </c>
    </row>
    <row r="1471" spans="1:14" x14ac:dyDescent="0.35">
      <c r="A1471" s="1" t="s">
        <v>2190</v>
      </c>
      <c r="B1471" s="1" t="s">
        <v>242</v>
      </c>
      <c r="C1471" s="1" t="s">
        <v>14</v>
      </c>
      <c r="D1471" s="1" t="s">
        <v>74</v>
      </c>
      <c r="E1471" s="1" t="s">
        <v>22</v>
      </c>
      <c r="F1471" s="1" t="s">
        <v>74</v>
      </c>
      <c r="G1471" s="1">
        <v>13</v>
      </c>
      <c r="H1471" s="1">
        <v>23590</v>
      </c>
      <c r="I1471" s="1">
        <v>0.15</v>
      </c>
      <c r="J1471" s="1">
        <v>260669.5</v>
      </c>
      <c r="K1471" s="1">
        <v>45813.42</v>
      </c>
      <c r="L1471" s="1" t="s">
        <v>45</v>
      </c>
      <c r="M1471" s="1" t="str">
        <f>TEXT(Table1[[#This Row],[Order Date]],"mmm")</f>
        <v>May</v>
      </c>
      <c r="N1471" s="1">
        <f>YEAR(Table1[[#This Row],[Order Date]])</f>
        <v>2023</v>
      </c>
    </row>
    <row r="1472" spans="1:14" x14ac:dyDescent="0.35">
      <c r="A1472" s="1" t="s">
        <v>2191</v>
      </c>
      <c r="B1472" s="1" t="s">
        <v>921</v>
      </c>
      <c r="C1472" s="1" t="s">
        <v>335</v>
      </c>
      <c r="D1472" s="1" t="s">
        <v>133</v>
      </c>
      <c r="E1472" s="1" t="s">
        <v>22</v>
      </c>
      <c r="F1472" s="1" t="s">
        <v>133</v>
      </c>
      <c r="G1472" s="1">
        <v>10</v>
      </c>
      <c r="H1472" s="1">
        <v>7898</v>
      </c>
      <c r="I1472" s="1">
        <v>0.2</v>
      </c>
      <c r="J1472" s="1">
        <v>63184</v>
      </c>
      <c r="K1472" s="1">
        <v>17918.419999999998</v>
      </c>
      <c r="L1472" s="1" t="s">
        <v>17</v>
      </c>
      <c r="M1472" s="1" t="str">
        <f>TEXT(Table1[[#This Row],[Order Date]],"mmm")</f>
        <v>Jul</v>
      </c>
      <c r="N1472" s="1">
        <f>YEAR(Table1[[#This Row],[Order Date]])</f>
        <v>2023</v>
      </c>
    </row>
    <row r="1473" spans="1:14" x14ac:dyDescent="0.35">
      <c r="A1473" s="1" t="s">
        <v>2192</v>
      </c>
      <c r="B1473" s="1" t="s">
        <v>567</v>
      </c>
      <c r="C1473" s="1" t="s">
        <v>178</v>
      </c>
      <c r="D1473" s="1" t="s">
        <v>27</v>
      </c>
      <c r="E1473" s="1" t="s">
        <v>28</v>
      </c>
      <c r="F1473" s="1" t="s">
        <v>27</v>
      </c>
      <c r="G1473" s="1">
        <v>5</v>
      </c>
      <c r="H1473" s="1">
        <v>28733</v>
      </c>
      <c r="I1473" s="1">
        <v>0.1</v>
      </c>
      <c r="J1473" s="1">
        <v>129298.5</v>
      </c>
      <c r="K1473" s="1">
        <v>24358.07</v>
      </c>
      <c r="L1473" s="1" t="s">
        <v>45</v>
      </c>
      <c r="M1473" s="1" t="str">
        <f>TEXT(Table1[[#This Row],[Order Date]],"mmm")</f>
        <v>May</v>
      </c>
      <c r="N1473" s="1">
        <f>YEAR(Table1[[#This Row],[Order Date]])</f>
        <v>2023</v>
      </c>
    </row>
    <row r="1474" spans="1:14" x14ac:dyDescent="0.35">
      <c r="A1474" s="1" t="s">
        <v>2193</v>
      </c>
      <c r="B1474" s="1" t="s">
        <v>2194</v>
      </c>
      <c r="C1474" s="1" t="s">
        <v>73</v>
      </c>
      <c r="D1474" s="1" t="s">
        <v>167</v>
      </c>
      <c r="E1474" s="1" t="s">
        <v>16</v>
      </c>
      <c r="F1474" s="1" t="s">
        <v>167</v>
      </c>
      <c r="G1474" s="1">
        <v>6</v>
      </c>
      <c r="H1474" s="1">
        <v>43368</v>
      </c>
      <c r="I1474" s="1">
        <v>0.15</v>
      </c>
      <c r="J1474" s="1">
        <v>221176.8</v>
      </c>
      <c r="K1474" s="1">
        <v>37975.360000000001</v>
      </c>
      <c r="L1474" s="1" t="s">
        <v>23</v>
      </c>
      <c r="M1474" s="1" t="str">
        <f>TEXT(Table1[[#This Row],[Order Date]],"mmm")</f>
        <v>Oct</v>
      </c>
      <c r="N1474" s="1">
        <f>YEAR(Table1[[#This Row],[Order Date]])</f>
        <v>2024</v>
      </c>
    </row>
    <row r="1475" spans="1:14" x14ac:dyDescent="0.35">
      <c r="A1475" s="1" t="s">
        <v>2195</v>
      </c>
      <c r="B1475" s="1" t="s">
        <v>792</v>
      </c>
      <c r="C1475" s="1" t="s">
        <v>73</v>
      </c>
      <c r="D1475" s="1" t="s">
        <v>32</v>
      </c>
      <c r="E1475" s="1" t="s">
        <v>33</v>
      </c>
      <c r="F1475" s="1" t="s">
        <v>32</v>
      </c>
      <c r="G1475" s="1">
        <v>4</v>
      </c>
      <c r="H1475" s="1">
        <v>58469</v>
      </c>
      <c r="I1475" s="1">
        <v>0.05</v>
      </c>
      <c r="J1475" s="1">
        <v>222182.2</v>
      </c>
      <c r="K1475" s="1">
        <v>30296.69</v>
      </c>
      <c r="L1475" s="1" t="s">
        <v>70</v>
      </c>
      <c r="M1475" s="1" t="str">
        <f>TEXT(Table1[[#This Row],[Order Date]],"mmm")</f>
        <v>Aug</v>
      </c>
      <c r="N1475" s="1">
        <f>YEAR(Table1[[#This Row],[Order Date]])</f>
        <v>2023</v>
      </c>
    </row>
    <row r="1476" spans="1:14" x14ac:dyDescent="0.35">
      <c r="A1476" s="1" t="s">
        <v>2196</v>
      </c>
      <c r="B1476" s="1" t="s">
        <v>2197</v>
      </c>
      <c r="C1476" s="1" t="s">
        <v>260</v>
      </c>
      <c r="D1476" s="1" t="s">
        <v>114</v>
      </c>
      <c r="E1476" s="1" t="s">
        <v>16</v>
      </c>
      <c r="F1476" s="1" t="s">
        <v>114</v>
      </c>
      <c r="G1476" s="1">
        <v>14</v>
      </c>
      <c r="H1476" s="1">
        <v>37250</v>
      </c>
      <c r="I1476" s="1">
        <v>0.05</v>
      </c>
      <c r="J1476" s="1">
        <v>495425</v>
      </c>
      <c r="K1476" s="1">
        <v>110834.38</v>
      </c>
      <c r="L1476" s="1" t="s">
        <v>45</v>
      </c>
      <c r="M1476" s="1" t="str">
        <f>TEXT(Table1[[#This Row],[Order Date]],"mmm")</f>
        <v>Feb</v>
      </c>
      <c r="N1476" s="1">
        <f>YEAR(Table1[[#This Row],[Order Date]])</f>
        <v>2023</v>
      </c>
    </row>
    <row r="1477" spans="1:14" x14ac:dyDescent="0.35">
      <c r="A1477" s="1" t="s">
        <v>2198</v>
      </c>
      <c r="B1477" s="1" t="s">
        <v>2032</v>
      </c>
      <c r="C1477" s="1" t="s">
        <v>170</v>
      </c>
      <c r="D1477" s="1" t="s">
        <v>37</v>
      </c>
      <c r="E1477" s="1" t="s">
        <v>16</v>
      </c>
      <c r="F1477" s="1" t="s">
        <v>37</v>
      </c>
      <c r="G1477" s="1">
        <v>8</v>
      </c>
      <c r="H1477" s="1">
        <v>48142</v>
      </c>
      <c r="I1477" s="1">
        <v>0.05</v>
      </c>
      <c r="J1477" s="1">
        <v>365879.2</v>
      </c>
      <c r="K1477" s="1">
        <v>90460.21</v>
      </c>
      <c r="L1477" s="1" t="s">
        <v>70</v>
      </c>
      <c r="M1477" s="1" t="str">
        <f>TEXT(Table1[[#This Row],[Order Date]],"mmm")</f>
        <v>Nov</v>
      </c>
      <c r="N1477" s="1">
        <f>YEAR(Table1[[#This Row],[Order Date]])</f>
        <v>2024</v>
      </c>
    </row>
    <row r="1478" spans="1:14" x14ac:dyDescent="0.35">
      <c r="A1478" s="1" t="s">
        <v>2199</v>
      </c>
      <c r="B1478" s="1" t="s">
        <v>2111</v>
      </c>
      <c r="C1478" s="1" t="s">
        <v>188</v>
      </c>
      <c r="D1478" s="1" t="s">
        <v>91</v>
      </c>
      <c r="E1478" s="1" t="s">
        <v>16</v>
      </c>
      <c r="F1478" s="1" t="s">
        <v>91</v>
      </c>
      <c r="G1478" s="1">
        <v>4</v>
      </c>
      <c r="H1478" s="1">
        <v>59266</v>
      </c>
      <c r="I1478" s="1">
        <v>0.15</v>
      </c>
      <c r="J1478" s="1">
        <v>201504.4</v>
      </c>
      <c r="K1478" s="1">
        <v>47361.2</v>
      </c>
      <c r="L1478" s="1" t="s">
        <v>70</v>
      </c>
      <c r="M1478" s="1" t="str">
        <f>TEXT(Table1[[#This Row],[Order Date]],"mmm")</f>
        <v>May</v>
      </c>
      <c r="N1478" s="1">
        <f>YEAR(Table1[[#This Row],[Order Date]])</f>
        <v>2024</v>
      </c>
    </row>
    <row r="1479" spans="1:14" x14ac:dyDescent="0.35">
      <c r="A1479" s="1" t="s">
        <v>2200</v>
      </c>
      <c r="B1479" s="1" t="s">
        <v>483</v>
      </c>
      <c r="C1479" s="1" t="s">
        <v>117</v>
      </c>
      <c r="D1479" s="1" t="s">
        <v>64</v>
      </c>
      <c r="E1479" s="1" t="s">
        <v>33</v>
      </c>
      <c r="F1479" s="1" t="s">
        <v>64</v>
      </c>
      <c r="G1479" s="1">
        <v>10</v>
      </c>
      <c r="H1479" s="1">
        <v>55748</v>
      </c>
      <c r="I1479" s="1">
        <v>0.15</v>
      </c>
      <c r="J1479" s="1">
        <v>473858</v>
      </c>
      <c r="K1479" s="1">
        <v>107205.12</v>
      </c>
      <c r="L1479" s="1" t="s">
        <v>23</v>
      </c>
      <c r="M1479" s="1" t="str">
        <f>TEXT(Table1[[#This Row],[Order Date]],"mmm")</f>
        <v>Apr</v>
      </c>
      <c r="N1479" s="1">
        <f>YEAR(Table1[[#This Row],[Order Date]])</f>
        <v>2023</v>
      </c>
    </row>
    <row r="1480" spans="1:14" x14ac:dyDescent="0.35">
      <c r="A1480" s="1" t="s">
        <v>2201</v>
      </c>
      <c r="B1480" s="1" t="s">
        <v>1361</v>
      </c>
      <c r="C1480" s="1" t="s">
        <v>59</v>
      </c>
      <c r="D1480" s="1" t="s">
        <v>15</v>
      </c>
      <c r="E1480" s="1" t="s">
        <v>16</v>
      </c>
      <c r="F1480" s="1" t="s">
        <v>15</v>
      </c>
      <c r="G1480" s="1">
        <v>14</v>
      </c>
      <c r="H1480" s="1">
        <v>50041</v>
      </c>
      <c r="I1480" s="1">
        <v>0</v>
      </c>
      <c r="J1480" s="1">
        <v>700574</v>
      </c>
      <c r="K1480" s="1">
        <v>179197.49</v>
      </c>
      <c r="L1480" s="1" t="s">
        <v>70</v>
      </c>
      <c r="M1480" s="1" t="str">
        <f>TEXT(Table1[[#This Row],[Order Date]],"mmm")</f>
        <v>Apr</v>
      </c>
      <c r="N1480" s="1">
        <f>YEAR(Table1[[#This Row],[Order Date]])</f>
        <v>2023</v>
      </c>
    </row>
    <row r="1481" spans="1:14" x14ac:dyDescent="0.35">
      <c r="A1481" s="1" t="s">
        <v>2202</v>
      </c>
      <c r="B1481" s="1" t="s">
        <v>284</v>
      </c>
      <c r="C1481" s="1" t="s">
        <v>260</v>
      </c>
      <c r="D1481" s="1" t="s">
        <v>48</v>
      </c>
      <c r="E1481" s="1" t="s">
        <v>16</v>
      </c>
      <c r="F1481" s="1" t="s">
        <v>48</v>
      </c>
      <c r="G1481" s="1">
        <v>8</v>
      </c>
      <c r="H1481" s="1">
        <v>54617</v>
      </c>
      <c r="I1481" s="1">
        <v>0.1</v>
      </c>
      <c r="J1481" s="1">
        <v>393242.4</v>
      </c>
      <c r="K1481" s="1">
        <v>105575.05</v>
      </c>
      <c r="L1481" s="1" t="s">
        <v>23</v>
      </c>
      <c r="M1481" s="1" t="str">
        <f>TEXT(Table1[[#This Row],[Order Date]],"mmm")</f>
        <v>Nov</v>
      </c>
      <c r="N1481" s="1">
        <f>YEAR(Table1[[#This Row],[Order Date]])</f>
        <v>2023</v>
      </c>
    </row>
    <row r="1482" spans="1:14" x14ac:dyDescent="0.35">
      <c r="A1482" s="1" t="s">
        <v>2203</v>
      </c>
      <c r="B1482" s="1" t="s">
        <v>1414</v>
      </c>
      <c r="C1482" s="1" t="s">
        <v>26</v>
      </c>
      <c r="D1482" s="1" t="s">
        <v>95</v>
      </c>
      <c r="E1482" s="1" t="s">
        <v>33</v>
      </c>
      <c r="F1482" s="1" t="s">
        <v>95</v>
      </c>
      <c r="G1482" s="1">
        <v>6</v>
      </c>
      <c r="H1482" s="1">
        <v>47585</v>
      </c>
      <c r="I1482" s="1">
        <v>0</v>
      </c>
      <c r="J1482" s="1">
        <v>285510</v>
      </c>
      <c r="K1482" s="1">
        <v>72270.27</v>
      </c>
      <c r="L1482" s="1" t="s">
        <v>23</v>
      </c>
      <c r="M1482" s="1" t="str">
        <f>TEXT(Table1[[#This Row],[Order Date]],"mmm")</f>
        <v>Aug</v>
      </c>
      <c r="N1482" s="1">
        <f>YEAR(Table1[[#This Row],[Order Date]])</f>
        <v>2024</v>
      </c>
    </row>
    <row r="1483" spans="1:14" x14ac:dyDescent="0.35">
      <c r="A1483" s="1" t="s">
        <v>2204</v>
      </c>
      <c r="B1483" s="1" t="s">
        <v>690</v>
      </c>
      <c r="C1483" s="1" t="s">
        <v>191</v>
      </c>
      <c r="D1483" s="1" t="s">
        <v>74</v>
      </c>
      <c r="E1483" s="1" t="s">
        <v>22</v>
      </c>
      <c r="F1483" s="1" t="s">
        <v>74</v>
      </c>
      <c r="G1483" s="1">
        <v>8</v>
      </c>
      <c r="H1483" s="1">
        <v>58534</v>
      </c>
      <c r="I1483" s="1">
        <v>0.15</v>
      </c>
      <c r="J1483" s="1">
        <v>398031.2</v>
      </c>
      <c r="K1483" s="1">
        <v>110882.68</v>
      </c>
      <c r="L1483" s="1" t="s">
        <v>70</v>
      </c>
      <c r="M1483" s="1" t="str">
        <f>TEXT(Table1[[#This Row],[Order Date]],"mmm")</f>
        <v>Jun</v>
      </c>
      <c r="N1483" s="1">
        <f>YEAR(Table1[[#This Row],[Order Date]])</f>
        <v>2024</v>
      </c>
    </row>
    <row r="1484" spans="1:14" x14ac:dyDescent="0.35">
      <c r="A1484" s="1" t="s">
        <v>2205</v>
      </c>
      <c r="B1484" s="1" t="s">
        <v>2023</v>
      </c>
      <c r="C1484" s="1" t="s">
        <v>140</v>
      </c>
      <c r="D1484" s="1" t="s">
        <v>133</v>
      </c>
      <c r="E1484" s="1" t="s">
        <v>22</v>
      </c>
      <c r="F1484" s="1" t="s">
        <v>133</v>
      </c>
      <c r="G1484" s="1">
        <v>5</v>
      </c>
      <c r="H1484" s="1">
        <v>59204</v>
      </c>
      <c r="I1484" s="1">
        <v>0.05</v>
      </c>
      <c r="J1484" s="1">
        <v>281219</v>
      </c>
      <c r="K1484" s="1">
        <v>34628.04</v>
      </c>
      <c r="L1484" s="1" t="s">
        <v>70</v>
      </c>
      <c r="M1484" s="1" t="str">
        <f>TEXT(Table1[[#This Row],[Order Date]],"mmm")</f>
        <v>Jul</v>
      </c>
      <c r="N1484" s="1">
        <f>YEAR(Table1[[#This Row],[Order Date]])</f>
        <v>2023</v>
      </c>
    </row>
    <row r="1485" spans="1:14" x14ac:dyDescent="0.35">
      <c r="A1485" s="1" t="s">
        <v>2206</v>
      </c>
      <c r="B1485" s="1" t="s">
        <v>195</v>
      </c>
      <c r="C1485" s="1" t="s">
        <v>59</v>
      </c>
      <c r="D1485" s="1" t="s">
        <v>78</v>
      </c>
      <c r="E1485" s="1" t="s">
        <v>28</v>
      </c>
      <c r="F1485" s="1" t="s">
        <v>78</v>
      </c>
      <c r="G1485" s="1">
        <v>8</v>
      </c>
      <c r="H1485" s="1">
        <v>42337</v>
      </c>
      <c r="I1485" s="1">
        <v>0.15</v>
      </c>
      <c r="J1485" s="1">
        <v>287891.59999999998</v>
      </c>
      <c r="K1485" s="1">
        <v>52741.42</v>
      </c>
      <c r="L1485" s="1" t="s">
        <v>45</v>
      </c>
      <c r="M1485" s="1" t="str">
        <f>TEXT(Table1[[#This Row],[Order Date]],"mmm")</f>
        <v>Mar</v>
      </c>
      <c r="N1485" s="1">
        <f>YEAR(Table1[[#This Row],[Order Date]])</f>
        <v>2024</v>
      </c>
    </row>
    <row r="1486" spans="1:14" x14ac:dyDescent="0.35">
      <c r="A1486" s="1" t="s">
        <v>2207</v>
      </c>
      <c r="B1486" s="1" t="s">
        <v>934</v>
      </c>
      <c r="C1486" s="1" t="s">
        <v>84</v>
      </c>
      <c r="D1486" s="1" t="s">
        <v>56</v>
      </c>
      <c r="E1486" s="1" t="s">
        <v>22</v>
      </c>
      <c r="F1486" s="1" t="s">
        <v>56</v>
      </c>
      <c r="G1486" s="1">
        <v>10</v>
      </c>
      <c r="H1486" s="1">
        <v>12177</v>
      </c>
      <c r="I1486" s="1">
        <v>0.05</v>
      </c>
      <c r="J1486" s="1">
        <v>115681.5</v>
      </c>
      <c r="K1486" s="1">
        <v>18266.14</v>
      </c>
      <c r="L1486" s="1" t="s">
        <v>23</v>
      </c>
      <c r="M1486" s="1" t="str">
        <f>TEXT(Table1[[#This Row],[Order Date]],"mmm")</f>
        <v>Jun</v>
      </c>
      <c r="N1486" s="1">
        <f>YEAR(Table1[[#This Row],[Order Date]])</f>
        <v>2023</v>
      </c>
    </row>
    <row r="1487" spans="1:14" x14ac:dyDescent="0.35">
      <c r="A1487" s="1" t="s">
        <v>2208</v>
      </c>
      <c r="B1487" s="1" t="s">
        <v>1115</v>
      </c>
      <c r="C1487" s="1" t="s">
        <v>335</v>
      </c>
      <c r="D1487" s="1" t="s">
        <v>95</v>
      </c>
      <c r="E1487" s="1" t="s">
        <v>33</v>
      </c>
      <c r="F1487" s="1" t="s">
        <v>95</v>
      </c>
      <c r="G1487" s="1">
        <v>11</v>
      </c>
      <c r="H1487" s="1">
        <v>14870</v>
      </c>
      <c r="I1487" s="1">
        <v>0.1</v>
      </c>
      <c r="J1487" s="1">
        <v>147213</v>
      </c>
      <c r="K1487" s="1">
        <v>35066.089999999997</v>
      </c>
      <c r="L1487" s="1" t="s">
        <v>23</v>
      </c>
      <c r="M1487" s="1" t="str">
        <f>TEXT(Table1[[#This Row],[Order Date]],"mmm")</f>
        <v>Jan</v>
      </c>
      <c r="N1487" s="1">
        <f>YEAR(Table1[[#This Row],[Order Date]])</f>
        <v>2024</v>
      </c>
    </row>
    <row r="1488" spans="1:14" x14ac:dyDescent="0.35">
      <c r="A1488" s="1" t="s">
        <v>2209</v>
      </c>
      <c r="B1488" s="1" t="s">
        <v>827</v>
      </c>
      <c r="C1488" s="1" t="s">
        <v>170</v>
      </c>
      <c r="D1488" s="1" t="s">
        <v>224</v>
      </c>
      <c r="E1488" s="1" t="s">
        <v>33</v>
      </c>
      <c r="F1488" s="1" t="s">
        <v>224</v>
      </c>
      <c r="G1488" s="1">
        <v>15</v>
      </c>
      <c r="H1488" s="1">
        <v>52036</v>
      </c>
      <c r="I1488" s="1">
        <v>0.1</v>
      </c>
      <c r="J1488" s="1">
        <v>702486</v>
      </c>
      <c r="K1488" s="1">
        <v>110721.27</v>
      </c>
      <c r="L1488" s="1" t="s">
        <v>17</v>
      </c>
      <c r="M1488" s="1" t="str">
        <f>TEXT(Table1[[#This Row],[Order Date]],"mmm")</f>
        <v>Jan</v>
      </c>
      <c r="N1488" s="1">
        <f>YEAR(Table1[[#This Row],[Order Date]])</f>
        <v>2023</v>
      </c>
    </row>
    <row r="1489" spans="1:14" x14ac:dyDescent="0.35">
      <c r="A1489" s="1" t="s">
        <v>2210</v>
      </c>
      <c r="B1489" s="1" t="s">
        <v>1845</v>
      </c>
      <c r="C1489" s="1" t="s">
        <v>59</v>
      </c>
      <c r="D1489" s="1" t="s">
        <v>37</v>
      </c>
      <c r="E1489" s="1" t="s">
        <v>16</v>
      </c>
      <c r="F1489" s="1" t="s">
        <v>37</v>
      </c>
      <c r="G1489" s="1">
        <v>1</v>
      </c>
      <c r="H1489" s="1">
        <v>25054</v>
      </c>
      <c r="I1489" s="1">
        <v>0</v>
      </c>
      <c r="J1489" s="1">
        <v>25054</v>
      </c>
      <c r="K1489" s="1">
        <v>2963.28</v>
      </c>
      <c r="L1489" s="1" t="s">
        <v>23</v>
      </c>
      <c r="M1489" s="1" t="str">
        <f>TEXT(Table1[[#This Row],[Order Date]],"mmm")</f>
        <v>Mar</v>
      </c>
      <c r="N1489" s="1">
        <f>YEAR(Table1[[#This Row],[Order Date]])</f>
        <v>2023</v>
      </c>
    </row>
    <row r="1490" spans="1:14" x14ac:dyDescent="0.35">
      <c r="A1490" s="1" t="s">
        <v>2211</v>
      </c>
      <c r="B1490" s="1" t="s">
        <v>835</v>
      </c>
      <c r="C1490" s="1" t="s">
        <v>55</v>
      </c>
      <c r="D1490" s="1" t="s">
        <v>224</v>
      </c>
      <c r="E1490" s="1" t="s">
        <v>33</v>
      </c>
      <c r="F1490" s="1" t="s">
        <v>224</v>
      </c>
      <c r="G1490" s="1">
        <v>11</v>
      </c>
      <c r="H1490" s="1">
        <v>38541</v>
      </c>
      <c r="I1490" s="1">
        <v>0.1</v>
      </c>
      <c r="J1490" s="1">
        <v>381555.9</v>
      </c>
      <c r="K1490" s="1">
        <v>100458.07</v>
      </c>
      <c r="L1490" s="1" t="s">
        <v>17</v>
      </c>
      <c r="M1490" s="1" t="str">
        <f>TEXT(Table1[[#This Row],[Order Date]],"mmm")</f>
        <v>Nov</v>
      </c>
      <c r="N1490" s="1">
        <f>YEAR(Table1[[#This Row],[Order Date]])</f>
        <v>2024</v>
      </c>
    </row>
    <row r="1491" spans="1:14" x14ac:dyDescent="0.35">
      <c r="A1491" s="1" t="s">
        <v>2212</v>
      </c>
      <c r="B1491" s="1" t="s">
        <v>327</v>
      </c>
      <c r="C1491" s="1" t="s">
        <v>178</v>
      </c>
      <c r="D1491" s="1" t="s">
        <v>179</v>
      </c>
      <c r="E1491" s="1" t="s">
        <v>28</v>
      </c>
      <c r="F1491" s="1" t="s">
        <v>179</v>
      </c>
      <c r="G1491" s="1">
        <v>15</v>
      </c>
      <c r="H1491" s="1">
        <v>55088</v>
      </c>
      <c r="I1491" s="1">
        <v>0</v>
      </c>
      <c r="J1491" s="1">
        <v>826320</v>
      </c>
      <c r="K1491" s="1">
        <v>224728.2</v>
      </c>
      <c r="L1491" s="1" t="s">
        <v>23</v>
      </c>
      <c r="M1491" s="1" t="str">
        <f>TEXT(Table1[[#This Row],[Order Date]],"mmm")</f>
        <v>Nov</v>
      </c>
      <c r="N1491" s="1">
        <f>YEAR(Table1[[#This Row],[Order Date]])</f>
        <v>2024</v>
      </c>
    </row>
    <row r="1492" spans="1:14" x14ac:dyDescent="0.35">
      <c r="A1492" s="1" t="s">
        <v>2213</v>
      </c>
      <c r="B1492" s="1" t="s">
        <v>334</v>
      </c>
      <c r="C1492" s="1" t="s">
        <v>507</v>
      </c>
      <c r="D1492" s="1" t="s">
        <v>44</v>
      </c>
      <c r="E1492" s="1" t="s">
        <v>28</v>
      </c>
      <c r="F1492" s="1" t="s">
        <v>44</v>
      </c>
      <c r="G1492" s="1">
        <v>5</v>
      </c>
      <c r="H1492" s="1">
        <v>24602</v>
      </c>
      <c r="I1492" s="1">
        <v>0</v>
      </c>
      <c r="J1492" s="1">
        <v>123010</v>
      </c>
      <c r="K1492" s="1">
        <v>20472.099999999999</v>
      </c>
      <c r="L1492" s="1" t="s">
        <v>23</v>
      </c>
      <c r="M1492" s="1" t="str">
        <f>TEXT(Table1[[#This Row],[Order Date]],"mmm")</f>
        <v>Sep</v>
      </c>
      <c r="N1492" s="1">
        <f>YEAR(Table1[[#This Row],[Order Date]])</f>
        <v>2023</v>
      </c>
    </row>
    <row r="1493" spans="1:14" x14ac:dyDescent="0.35">
      <c r="A1493" s="1" t="s">
        <v>2214</v>
      </c>
      <c r="B1493" s="1" t="s">
        <v>643</v>
      </c>
      <c r="C1493" s="1" t="s">
        <v>107</v>
      </c>
      <c r="D1493" s="1" t="s">
        <v>85</v>
      </c>
      <c r="E1493" s="1" t="s">
        <v>28</v>
      </c>
      <c r="F1493" s="1" t="s">
        <v>85</v>
      </c>
      <c r="G1493" s="1">
        <v>7</v>
      </c>
      <c r="H1493" s="1">
        <v>28096</v>
      </c>
      <c r="I1493" s="1">
        <v>0.05</v>
      </c>
      <c r="J1493" s="1">
        <v>186838.39999999999</v>
      </c>
      <c r="K1493" s="1">
        <v>53193.93</v>
      </c>
      <c r="L1493" s="1" t="s">
        <v>70</v>
      </c>
      <c r="M1493" s="1" t="str">
        <f>TEXT(Table1[[#This Row],[Order Date]],"mmm")</f>
        <v>Aug</v>
      </c>
      <c r="N1493" s="1">
        <f>YEAR(Table1[[#This Row],[Order Date]])</f>
        <v>2024</v>
      </c>
    </row>
    <row r="1494" spans="1:14" x14ac:dyDescent="0.35">
      <c r="A1494" s="1" t="s">
        <v>2215</v>
      </c>
      <c r="B1494" s="1" t="s">
        <v>485</v>
      </c>
      <c r="C1494" s="1" t="s">
        <v>140</v>
      </c>
      <c r="D1494" s="1" t="s">
        <v>323</v>
      </c>
      <c r="E1494" s="1" t="s">
        <v>33</v>
      </c>
      <c r="F1494" s="1" t="s">
        <v>323</v>
      </c>
      <c r="G1494" s="1">
        <v>15</v>
      </c>
      <c r="H1494" s="1">
        <v>12668</v>
      </c>
      <c r="I1494" s="1">
        <v>0.05</v>
      </c>
      <c r="J1494" s="1">
        <v>180519</v>
      </c>
      <c r="K1494" s="1">
        <v>46507.92</v>
      </c>
      <c r="L1494" s="1" t="s">
        <v>17</v>
      </c>
      <c r="M1494" s="1" t="str">
        <f>TEXT(Table1[[#This Row],[Order Date]],"mmm")</f>
        <v>Nov</v>
      </c>
      <c r="N1494" s="1">
        <f>YEAR(Table1[[#This Row],[Order Date]])</f>
        <v>2024</v>
      </c>
    </row>
    <row r="1495" spans="1:14" x14ac:dyDescent="0.35">
      <c r="A1495" s="1" t="s">
        <v>2216</v>
      </c>
      <c r="B1495" s="1" t="s">
        <v>772</v>
      </c>
      <c r="C1495" s="1" t="s">
        <v>59</v>
      </c>
      <c r="D1495" s="1" t="s">
        <v>179</v>
      </c>
      <c r="E1495" s="1" t="s">
        <v>28</v>
      </c>
      <c r="F1495" s="1" t="s">
        <v>179</v>
      </c>
      <c r="G1495" s="1">
        <v>7</v>
      </c>
      <c r="H1495" s="1">
        <v>37364</v>
      </c>
      <c r="I1495" s="1">
        <v>0</v>
      </c>
      <c r="J1495" s="1">
        <v>261548</v>
      </c>
      <c r="K1495" s="1">
        <v>55114.720000000001</v>
      </c>
      <c r="L1495" s="1" t="s">
        <v>45</v>
      </c>
      <c r="M1495" s="1" t="str">
        <f>TEXT(Table1[[#This Row],[Order Date]],"mmm")</f>
        <v>Nov</v>
      </c>
      <c r="N1495" s="1">
        <f>YEAR(Table1[[#This Row],[Order Date]])</f>
        <v>2023</v>
      </c>
    </row>
    <row r="1496" spans="1:14" x14ac:dyDescent="0.35">
      <c r="A1496" s="1" t="s">
        <v>2217</v>
      </c>
      <c r="B1496" s="1" t="s">
        <v>153</v>
      </c>
      <c r="C1496" s="1" t="s">
        <v>208</v>
      </c>
      <c r="D1496" s="1" t="s">
        <v>60</v>
      </c>
      <c r="E1496" s="1" t="s">
        <v>33</v>
      </c>
      <c r="F1496" s="1" t="s">
        <v>60</v>
      </c>
      <c r="G1496" s="1">
        <v>15</v>
      </c>
      <c r="H1496" s="1">
        <v>56376</v>
      </c>
      <c r="I1496" s="1">
        <v>0</v>
      </c>
      <c r="J1496" s="1">
        <v>845640</v>
      </c>
      <c r="K1496" s="1">
        <v>130397.14</v>
      </c>
      <c r="L1496" s="1" t="s">
        <v>23</v>
      </c>
      <c r="M1496" s="1" t="str">
        <f>TEXT(Table1[[#This Row],[Order Date]],"mmm")</f>
        <v>Feb</v>
      </c>
      <c r="N1496" s="1">
        <f>YEAR(Table1[[#This Row],[Order Date]])</f>
        <v>2024</v>
      </c>
    </row>
    <row r="1497" spans="1:14" x14ac:dyDescent="0.35">
      <c r="A1497" s="1" t="s">
        <v>2218</v>
      </c>
      <c r="B1497" s="1" t="s">
        <v>558</v>
      </c>
      <c r="C1497" s="1" t="s">
        <v>136</v>
      </c>
      <c r="D1497" s="1" t="s">
        <v>44</v>
      </c>
      <c r="E1497" s="1" t="s">
        <v>28</v>
      </c>
      <c r="F1497" s="1" t="s">
        <v>44</v>
      </c>
      <c r="G1497" s="1">
        <v>15</v>
      </c>
      <c r="H1497" s="1">
        <v>43384</v>
      </c>
      <c r="I1497" s="1">
        <v>0.15</v>
      </c>
      <c r="J1497" s="1">
        <v>553146</v>
      </c>
      <c r="K1497" s="1">
        <v>51901.61</v>
      </c>
      <c r="L1497" s="1" t="s">
        <v>17</v>
      </c>
      <c r="M1497" s="1" t="str">
        <f>TEXT(Table1[[#This Row],[Order Date]],"mmm")</f>
        <v>Nov</v>
      </c>
      <c r="N1497" s="1">
        <f>YEAR(Table1[[#This Row],[Order Date]])</f>
        <v>2023</v>
      </c>
    </row>
    <row r="1498" spans="1:14" x14ac:dyDescent="0.35">
      <c r="A1498" s="1" t="s">
        <v>2219</v>
      </c>
      <c r="B1498" s="1" t="s">
        <v>797</v>
      </c>
      <c r="C1498" s="1" t="s">
        <v>507</v>
      </c>
      <c r="D1498" s="1" t="s">
        <v>137</v>
      </c>
      <c r="E1498" s="1" t="s">
        <v>22</v>
      </c>
      <c r="F1498" s="1" t="s">
        <v>137</v>
      </c>
      <c r="G1498" s="1">
        <v>15</v>
      </c>
      <c r="H1498" s="1">
        <v>12849</v>
      </c>
      <c r="I1498" s="1">
        <v>0.05</v>
      </c>
      <c r="J1498" s="1">
        <v>183098.25</v>
      </c>
      <c r="K1498" s="1">
        <v>53128.22</v>
      </c>
      <c r="L1498" s="1" t="s">
        <v>70</v>
      </c>
      <c r="M1498" s="1" t="str">
        <f>TEXT(Table1[[#This Row],[Order Date]],"mmm")</f>
        <v>Nov</v>
      </c>
      <c r="N1498" s="1">
        <f>YEAR(Table1[[#This Row],[Order Date]])</f>
        <v>2023</v>
      </c>
    </row>
    <row r="1499" spans="1:14" x14ac:dyDescent="0.35">
      <c r="A1499" s="1" t="s">
        <v>2220</v>
      </c>
      <c r="B1499" s="1" t="s">
        <v>817</v>
      </c>
      <c r="C1499" s="1" t="s">
        <v>155</v>
      </c>
      <c r="D1499" s="1" t="s">
        <v>27</v>
      </c>
      <c r="E1499" s="1" t="s">
        <v>28</v>
      </c>
      <c r="F1499" s="1" t="s">
        <v>27</v>
      </c>
      <c r="G1499" s="1">
        <v>8</v>
      </c>
      <c r="H1499" s="1">
        <v>25199</v>
      </c>
      <c r="I1499" s="1">
        <v>0.1</v>
      </c>
      <c r="J1499" s="1">
        <v>181432.8</v>
      </c>
      <c r="K1499" s="1">
        <v>29298.71</v>
      </c>
      <c r="L1499" s="1" t="s">
        <v>23</v>
      </c>
      <c r="M1499" s="1" t="str">
        <f>TEXT(Table1[[#This Row],[Order Date]],"mmm")</f>
        <v>Jul</v>
      </c>
      <c r="N1499" s="1">
        <f>YEAR(Table1[[#This Row],[Order Date]])</f>
        <v>2024</v>
      </c>
    </row>
    <row r="1500" spans="1:14" x14ac:dyDescent="0.35">
      <c r="A1500" s="1" t="s">
        <v>2221</v>
      </c>
      <c r="B1500" s="1" t="s">
        <v>119</v>
      </c>
      <c r="C1500" s="1" t="s">
        <v>14</v>
      </c>
      <c r="D1500" s="1" t="s">
        <v>48</v>
      </c>
      <c r="E1500" s="1" t="s">
        <v>16</v>
      </c>
      <c r="F1500" s="1" t="s">
        <v>48</v>
      </c>
      <c r="G1500" s="1">
        <v>10</v>
      </c>
      <c r="H1500" s="1">
        <v>1359</v>
      </c>
      <c r="I1500" s="1">
        <v>0.2</v>
      </c>
      <c r="J1500" s="1">
        <v>10872</v>
      </c>
      <c r="K1500" s="1">
        <v>2369.39</v>
      </c>
      <c r="L1500" s="1" t="s">
        <v>70</v>
      </c>
      <c r="M1500" s="1" t="str">
        <f>TEXT(Table1[[#This Row],[Order Date]],"mmm")</f>
        <v>Apr</v>
      </c>
      <c r="N1500" s="1">
        <f>YEAR(Table1[[#This Row],[Order Date]])</f>
        <v>2024</v>
      </c>
    </row>
    <row r="1501" spans="1:14" x14ac:dyDescent="0.35">
      <c r="A1501" s="1" t="s">
        <v>2222</v>
      </c>
      <c r="B1501" s="1" t="s">
        <v>1765</v>
      </c>
      <c r="C1501" s="1" t="s">
        <v>203</v>
      </c>
      <c r="D1501" s="1" t="s">
        <v>91</v>
      </c>
      <c r="E1501" s="1" t="s">
        <v>16</v>
      </c>
      <c r="F1501" s="1" t="s">
        <v>91</v>
      </c>
      <c r="G1501" s="1">
        <v>8</v>
      </c>
      <c r="H1501" s="1">
        <v>3014</v>
      </c>
      <c r="I1501" s="1">
        <v>0.15</v>
      </c>
      <c r="J1501" s="1">
        <v>20495.2</v>
      </c>
      <c r="K1501" s="1">
        <v>4339.12</v>
      </c>
      <c r="L1501" s="1" t="s">
        <v>17</v>
      </c>
      <c r="M1501" s="1" t="str">
        <f>TEXT(Table1[[#This Row],[Order Date]],"mmm")</f>
        <v>May</v>
      </c>
      <c r="N1501" s="1">
        <f>YEAR(Table1[[#This Row],[Order Date]])</f>
        <v>2023</v>
      </c>
    </row>
    <row r="1502" spans="1:14" x14ac:dyDescent="0.35">
      <c r="A1502" s="1" t="s">
        <v>2223</v>
      </c>
      <c r="B1502" s="1" t="s">
        <v>1007</v>
      </c>
      <c r="C1502" s="1" t="s">
        <v>640</v>
      </c>
      <c r="D1502" s="1" t="s">
        <v>224</v>
      </c>
      <c r="E1502" s="1" t="s">
        <v>33</v>
      </c>
      <c r="F1502" s="1" t="s">
        <v>224</v>
      </c>
      <c r="G1502" s="1">
        <v>7</v>
      </c>
      <c r="H1502" s="1">
        <v>59558</v>
      </c>
      <c r="I1502" s="1">
        <v>0.15</v>
      </c>
      <c r="J1502" s="1">
        <v>354370.1</v>
      </c>
      <c r="K1502" s="1">
        <v>105389.18</v>
      </c>
      <c r="L1502" s="1" t="s">
        <v>23</v>
      </c>
      <c r="M1502" s="1" t="str">
        <f>TEXT(Table1[[#This Row],[Order Date]],"mmm")</f>
        <v>Apr</v>
      </c>
      <c r="N1502" s="1">
        <f>YEAR(Table1[[#This Row],[Order Date]])</f>
        <v>2023</v>
      </c>
    </row>
    <row r="1503" spans="1:14" x14ac:dyDescent="0.35">
      <c r="A1503" s="1" t="s">
        <v>2224</v>
      </c>
      <c r="B1503" s="1" t="s">
        <v>2225</v>
      </c>
      <c r="C1503" s="1" t="s">
        <v>155</v>
      </c>
      <c r="D1503" s="1" t="s">
        <v>91</v>
      </c>
      <c r="E1503" s="1" t="s">
        <v>16</v>
      </c>
      <c r="F1503" s="1" t="s">
        <v>91</v>
      </c>
      <c r="G1503" s="1">
        <v>1</v>
      </c>
      <c r="H1503" s="1">
        <v>25636</v>
      </c>
      <c r="I1503" s="1">
        <v>0.2</v>
      </c>
      <c r="J1503" s="1">
        <v>20508.8</v>
      </c>
      <c r="K1503" s="1">
        <v>5070.53</v>
      </c>
      <c r="L1503" s="1" t="s">
        <v>45</v>
      </c>
      <c r="M1503" s="1" t="str">
        <f>TEXT(Table1[[#This Row],[Order Date]],"mmm")</f>
        <v>Nov</v>
      </c>
      <c r="N1503" s="1">
        <f>YEAR(Table1[[#This Row],[Order Date]])</f>
        <v>2023</v>
      </c>
    </row>
    <row r="1504" spans="1:14" x14ac:dyDescent="0.35">
      <c r="A1504" s="1" t="s">
        <v>2226</v>
      </c>
      <c r="B1504" s="1" t="s">
        <v>280</v>
      </c>
      <c r="C1504" s="1" t="s">
        <v>81</v>
      </c>
      <c r="D1504" s="1" t="s">
        <v>141</v>
      </c>
      <c r="E1504" s="1" t="s">
        <v>22</v>
      </c>
      <c r="F1504" s="1" t="s">
        <v>141</v>
      </c>
      <c r="G1504" s="1">
        <v>15</v>
      </c>
      <c r="H1504" s="1">
        <v>36969</v>
      </c>
      <c r="I1504" s="1">
        <v>0</v>
      </c>
      <c r="J1504" s="1">
        <v>554535</v>
      </c>
      <c r="K1504" s="1">
        <v>71908.89</v>
      </c>
      <c r="L1504" s="1" t="s">
        <v>45</v>
      </c>
      <c r="M1504" s="1" t="str">
        <f>TEXT(Table1[[#This Row],[Order Date]],"mmm")</f>
        <v>Oct</v>
      </c>
      <c r="N1504" s="1">
        <f>YEAR(Table1[[#This Row],[Order Date]])</f>
        <v>2024</v>
      </c>
    </row>
    <row r="1505" spans="1:14" x14ac:dyDescent="0.35">
      <c r="A1505" s="1" t="s">
        <v>2227</v>
      </c>
      <c r="B1505" s="1" t="s">
        <v>2108</v>
      </c>
      <c r="C1505" s="1" t="s">
        <v>146</v>
      </c>
      <c r="D1505" s="1" t="s">
        <v>15</v>
      </c>
      <c r="E1505" s="1" t="s">
        <v>16</v>
      </c>
      <c r="F1505" s="1" t="s">
        <v>15</v>
      </c>
      <c r="G1505" s="1">
        <v>4</v>
      </c>
      <c r="H1505" s="1">
        <v>55544</v>
      </c>
      <c r="I1505" s="1">
        <v>0.2</v>
      </c>
      <c r="J1505" s="1">
        <v>177740.79999999999</v>
      </c>
      <c r="K1505" s="1">
        <v>40962.9</v>
      </c>
      <c r="L1505" s="1" t="s">
        <v>45</v>
      </c>
      <c r="M1505" s="1" t="str">
        <f>TEXT(Table1[[#This Row],[Order Date]],"mmm")</f>
        <v>Jun</v>
      </c>
      <c r="N1505" s="1">
        <f>YEAR(Table1[[#This Row],[Order Date]])</f>
        <v>2023</v>
      </c>
    </row>
    <row r="1506" spans="1:14" x14ac:dyDescent="0.35">
      <c r="A1506" s="1" t="s">
        <v>2228</v>
      </c>
      <c r="B1506" s="1" t="s">
        <v>1205</v>
      </c>
      <c r="C1506" s="1" t="s">
        <v>203</v>
      </c>
      <c r="D1506" s="1" t="s">
        <v>15</v>
      </c>
      <c r="E1506" s="1" t="s">
        <v>16</v>
      </c>
      <c r="F1506" s="1" t="s">
        <v>15</v>
      </c>
      <c r="G1506" s="1">
        <v>15</v>
      </c>
      <c r="H1506" s="1">
        <v>55186</v>
      </c>
      <c r="I1506" s="1">
        <v>0.2</v>
      </c>
      <c r="J1506" s="1">
        <v>662232</v>
      </c>
      <c r="K1506" s="1">
        <v>146247.32999999999</v>
      </c>
      <c r="L1506" s="1" t="s">
        <v>70</v>
      </c>
      <c r="M1506" s="1" t="str">
        <f>TEXT(Table1[[#This Row],[Order Date]],"mmm")</f>
        <v>Dec</v>
      </c>
      <c r="N1506" s="1">
        <f>YEAR(Table1[[#This Row],[Order Date]])</f>
        <v>2023</v>
      </c>
    </row>
    <row r="1507" spans="1:14" x14ac:dyDescent="0.35">
      <c r="A1507" s="1" t="s">
        <v>2229</v>
      </c>
      <c r="B1507" s="1" t="s">
        <v>379</v>
      </c>
      <c r="C1507" s="1" t="s">
        <v>178</v>
      </c>
      <c r="D1507" s="1" t="s">
        <v>323</v>
      </c>
      <c r="E1507" s="1" t="s">
        <v>33</v>
      </c>
      <c r="F1507" s="1" t="s">
        <v>323</v>
      </c>
      <c r="G1507" s="1">
        <v>4</v>
      </c>
      <c r="H1507" s="1">
        <v>1565</v>
      </c>
      <c r="I1507" s="1">
        <v>0.05</v>
      </c>
      <c r="J1507" s="1">
        <v>5947</v>
      </c>
      <c r="K1507" s="1">
        <v>812.46</v>
      </c>
      <c r="L1507" s="1" t="s">
        <v>45</v>
      </c>
      <c r="M1507" s="1" t="str">
        <f>TEXT(Table1[[#This Row],[Order Date]],"mmm")</f>
        <v>Feb</v>
      </c>
      <c r="N1507" s="1">
        <f>YEAR(Table1[[#This Row],[Order Date]])</f>
        <v>2023</v>
      </c>
    </row>
    <row r="1508" spans="1:14" x14ac:dyDescent="0.35">
      <c r="A1508" s="1" t="s">
        <v>2230</v>
      </c>
      <c r="B1508" s="1" t="s">
        <v>1359</v>
      </c>
      <c r="C1508" s="1" t="s">
        <v>170</v>
      </c>
      <c r="D1508" s="1" t="s">
        <v>323</v>
      </c>
      <c r="E1508" s="1" t="s">
        <v>33</v>
      </c>
      <c r="F1508" s="1" t="s">
        <v>323</v>
      </c>
      <c r="G1508" s="1">
        <v>11</v>
      </c>
      <c r="H1508" s="1">
        <v>10583</v>
      </c>
      <c r="I1508" s="1">
        <v>0.15</v>
      </c>
      <c r="J1508" s="1">
        <v>98951.05</v>
      </c>
      <c r="K1508" s="1">
        <v>25289.43</v>
      </c>
      <c r="L1508" s="1" t="s">
        <v>23</v>
      </c>
      <c r="M1508" s="1" t="str">
        <f>TEXT(Table1[[#This Row],[Order Date]],"mmm")</f>
        <v>Jul</v>
      </c>
      <c r="N1508" s="1">
        <f>YEAR(Table1[[#This Row],[Order Date]])</f>
        <v>2023</v>
      </c>
    </row>
    <row r="1509" spans="1:14" x14ac:dyDescent="0.35">
      <c r="A1509" s="1" t="s">
        <v>2231</v>
      </c>
      <c r="B1509" s="1" t="s">
        <v>520</v>
      </c>
      <c r="C1509" s="1" t="s">
        <v>51</v>
      </c>
      <c r="D1509" s="1" t="s">
        <v>52</v>
      </c>
      <c r="E1509" s="1" t="s">
        <v>28</v>
      </c>
      <c r="F1509" s="1" t="s">
        <v>52</v>
      </c>
      <c r="G1509" s="1">
        <v>3</v>
      </c>
      <c r="H1509" s="1">
        <v>55039</v>
      </c>
      <c r="I1509" s="1">
        <v>0.05</v>
      </c>
      <c r="J1509" s="1">
        <v>156861.15</v>
      </c>
      <c r="K1509" s="1">
        <v>43824.65</v>
      </c>
      <c r="L1509" s="1" t="s">
        <v>70</v>
      </c>
      <c r="M1509" s="1" t="str">
        <f>TEXT(Table1[[#This Row],[Order Date]],"mmm")</f>
        <v>Mar</v>
      </c>
      <c r="N1509" s="1">
        <f>YEAR(Table1[[#This Row],[Order Date]])</f>
        <v>2023</v>
      </c>
    </row>
    <row r="1510" spans="1:14" x14ac:dyDescent="0.35">
      <c r="A1510" s="1" t="s">
        <v>2232</v>
      </c>
      <c r="B1510" s="1" t="s">
        <v>1254</v>
      </c>
      <c r="C1510" s="1" t="s">
        <v>77</v>
      </c>
      <c r="D1510" s="1" t="s">
        <v>85</v>
      </c>
      <c r="E1510" s="1" t="s">
        <v>28</v>
      </c>
      <c r="F1510" s="1" t="s">
        <v>85</v>
      </c>
      <c r="G1510" s="1">
        <v>3</v>
      </c>
      <c r="H1510" s="1">
        <v>48406</v>
      </c>
      <c r="I1510" s="1">
        <v>0.05</v>
      </c>
      <c r="J1510" s="1">
        <v>137957.1</v>
      </c>
      <c r="K1510" s="1">
        <v>38098.29</v>
      </c>
      <c r="L1510" s="1" t="s">
        <v>17</v>
      </c>
      <c r="M1510" s="1" t="str">
        <f>TEXT(Table1[[#This Row],[Order Date]],"mmm")</f>
        <v>Jul</v>
      </c>
      <c r="N1510" s="1">
        <f>YEAR(Table1[[#This Row],[Order Date]])</f>
        <v>2023</v>
      </c>
    </row>
    <row r="1511" spans="1:14" x14ac:dyDescent="0.35">
      <c r="A1511" s="1" t="s">
        <v>2233</v>
      </c>
      <c r="B1511" s="1" t="s">
        <v>856</v>
      </c>
      <c r="C1511" s="1" t="s">
        <v>77</v>
      </c>
      <c r="D1511" s="1" t="s">
        <v>179</v>
      </c>
      <c r="E1511" s="1" t="s">
        <v>28</v>
      </c>
      <c r="F1511" s="1" t="s">
        <v>179</v>
      </c>
      <c r="G1511" s="1">
        <v>15</v>
      </c>
      <c r="H1511" s="1">
        <v>33126</v>
      </c>
      <c r="I1511" s="1">
        <v>0.1</v>
      </c>
      <c r="J1511" s="1">
        <v>447201</v>
      </c>
      <c r="K1511" s="1">
        <v>96086.69</v>
      </c>
      <c r="L1511" s="1" t="s">
        <v>23</v>
      </c>
      <c r="M1511" s="1" t="str">
        <f>TEXT(Table1[[#This Row],[Order Date]],"mmm")</f>
        <v>Oct</v>
      </c>
      <c r="N1511" s="1">
        <f>YEAR(Table1[[#This Row],[Order Date]])</f>
        <v>2024</v>
      </c>
    </row>
    <row r="1512" spans="1:14" x14ac:dyDescent="0.35">
      <c r="A1512" s="1" t="s">
        <v>2234</v>
      </c>
      <c r="B1512" s="1" t="s">
        <v>195</v>
      </c>
      <c r="C1512" s="1" t="s">
        <v>51</v>
      </c>
      <c r="D1512" s="1" t="s">
        <v>151</v>
      </c>
      <c r="E1512" s="1" t="s">
        <v>22</v>
      </c>
      <c r="F1512" s="1" t="s">
        <v>151</v>
      </c>
      <c r="G1512" s="1">
        <v>14</v>
      </c>
      <c r="H1512" s="1">
        <v>37843</v>
      </c>
      <c r="I1512" s="1">
        <v>0.15</v>
      </c>
      <c r="J1512" s="1">
        <v>450331.7</v>
      </c>
      <c r="K1512" s="1">
        <v>112395.19</v>
      </c>
      <c r="L1512" s="1" t="s">
        <v>23</v>
      </c>
      <c r="M1512" s="1" t="str">
        <f>TEXT(Table1[[#This Row],[Order Date]],"mmm")</f>
        <v>Mar</v>
      </c>
      <c r="N1512" s="1">
        <f>YEAR(Table1[[#This Row],[Order Date]])</f>
        <v>2024</v>
      </c>
    </row>
    <row r="1513" spans="1:14" x14ac:dyDescent="0.35">
      <c r="A1513" s="1" t="s">
        <v>2235</v>
      </c>
      <c r="B1513" s="1" t="s">
        <v>676</v>
      </c>
      <c r="C1513" s="1" t="s">
        <v>335</v>
      </c>
      <c r="D1513" s="1" t="s">
        <v>323</v>
      </c>
      <c r="E1513" s="1" t="s">
        <v>33</v>
      </c>
      <c r="F1513" s="1" t="s">
        <v>323</v>
      </c>
      <c r="G1513" s="1">
        <v>8</v>
      </c>
      <c r="H1513" s="1">
        <v>45177</v>
      </c>
      <c r="I1513" s="1">
        <v>0</v>
      </c>
      <c r="J1513" s="1">
        <v>361416</v>
      </c>
      <c r="K1513" s="1">
        <v>46598.94</v>
      </c>
      <c r="L1513" s="1" t="s">
        <v>23</v>
      </c>
      <c r="M1513" s="1" t="str">
        <f>TEXT(Table1[[#This Row],[Order Date]],"mmm")</f>
        <v>Oct</v>
      </c>
      <c r="N1513" s="1">
        <f>YEAR(Table1[[#This Row],[Order Date]])</f>
        <v>2023</v>
      </c>
    </row>
    <row r="1514" spans="1:14" x14ac:dyDescent="0.35">
      <c r="A1514" s="1" t="s">
        <v>2236</v>
      </c>
      <c r="B1514" s="1" t="s">
        <v>688</v>
      </c>
      <c r="C1514" s="1" t="s">
        <v>203</v>
      </c>
      <c r="D1514" s="1" t="s">
        <v>91</v>
      </c>
      <c r="E1514" s="1" t="s">
        <v>16</v>
      </c>
      <c r="F1514" s="1" t="s">
        <v>91</v>
      </c>
      <c r="G1514" s="1">
        <v>15</v>
      </c>
      <c r="H1514" s="1">
        <v>13502</v>
      </c>
      <c r="I1514" s="1">
        <v>0.2</v>
      </c>
      <c r="J1514" s="1">
        <v>162024</v>
      </c>
      <c r="K1514" s="1">
        <v>40287.410000000003</v>
      </c>
      <c r="L1514" s="1" t="s">
        <v>45</v>
      </c>
      <c r="M1514" s="1" t="str">
        <f>TEXT(Table1[[#This Row],[Order Date]],"mmm")</f>
        <v>Jul</v>
      </c>
      <c r="N1514" s="1">
        <f>YEAR(Table1[[#This Row],[Order Date]])</f>
        <v>2023</v>
      </c>
    </row>
    <row r="1515" spans="1:14" x14ac:dyDescent="0.35">
      <c r="A1515" s="1" t="s">
        <v>2237</v>
      </c>
      <c r="B1515" s="1" t="s">
        <v>1054</v>
      </c>
      <c r="C1515" s="1" t="s">
        <v>260</v>
      </c>
      <c r="D1515" s="1" t="s">
        <v>95</v>
      </c>
      <c r="E1515" s="1" t="s">
        <v>33</v>
      </c>
      <c r="F1515" s="1" t="s">
        <v>95</v>
      </c>
      <c r="G1515" s="1">
        <v>13</v>
      </c>
      <c r="H1515" s="1">
        <v>11563</v>
      </c>
      <c r="I1515" s="1">
        <v>0.2</v>
      </c>
      <c r="J1515" s="1">
        <v>120255.2</v>
      </c>
      <c r="K1515" s="1">
        <v>24723.1</v>
      </c>
      <c r="L1515" s="1" t="s">
        <v>17</v>
      </c>
      <c r="M1515" s="1" t="str">
        <f>TEXT(Table1[[#This Row],[Order Date]],"mmm")</f>
        <v>Nov</v>
      </c>
      <c r="N1515" s="1">
        <f>YEAR(Table1[[#This Row],[Order Date]])</f>
        <v>2023</v>
      </c>
    </row>
    <row r="1516" spans="1:14" x14ac:dyDescent="0.35">
      <c r="A1516" s="1" t="s">
        <v>2238</v>
      </c>
      <c r="B1516" s="1" t="s">
        <v>2239</v>
      </c>
      <c r="C1516" s="1" t="s">
        <v>140</v>
      </c>
      <c r="D1516" s="1" t="s">
        <v>37</v>
      </c>
      <c r="E1516" s="1" t="s">
        <v>16</v>
      </c>
      <c r="F1516" s="1" t="s">
        <v>37</v>
      </c>
      <c r="G1516" s="1">
        <v>5</v>
      </c>
      <c r="H1516" s="1">
        <v>54395</v>
      </c>
      <c r="I1516" s="1">
        <v>0</v>
      </c>
      <c r="J1516" s="1">
        <v>271975</v>
      </c>
      <c r="K1516" s="1">
        <v>80156.34</v>
      </c>
      <c r="L1516" s="1" t="s">
        <v>45</v>
      </c>
      <c r="M1516" s="1" t="str">
        <f>TEXT(Table1[[#This Row],[Order Date]],"mmm")</f>
        <v>Oct</v>
      </c>
      <c r="N1516" s="1">
        <f>YEAR(Table1[[#This Row],[Order Date]])</f>
        <v>2023</v>
      </c>
    </row>
    <row r="1517" spans="1:14" x14ac:dyDescent="0.35">
      <c r="A1517" s="1" t="s">
        <v>2240</v>
      </c>
      <c r="B1517" s="1" t="s">
        <v>2241</v>
      </c>
      <c r="C1517" s="1" t="s">
        <v>59</v>
      </c>
      <c r="D1517" s="1" t="s">
        <v>78</v>
      </c>
      <c r="E1517" s="1" t="s">
        <v>28</v>
      </c>
      <c r="F1517" s="1" t="s">
        <v>78</v>
      </c>
      <c r="G1517" s="1">
        <v>11</v>
      </c>
      <c r="H1517" s="1">
        <v>8476</v>
      </c>
      <c r="I1517" s="1">
        <v>0.1</v>
      </c>
      <c r="J1517" s="1">
        <v>83912.4</v>
      </c>
      <c r="K1517" s="1">
        <v>9502.35</v>
      </c>
      <c r="L1517" s="1" t="s">
        <v>70</v>
      </c>
      <c r="M1517" s="1" t="str">
        <f>TEXT(Table1[[#This Row],[Order Date]],"mmm")</f>
        <v>Feb</v>
      </c>
      <c r="N1517" s="1">
        <f>YEAR(Table1[[#This Row],[Order Date]])</f>
        <v>2024</v>
      </c>
    </row>
    <row r="1518" spans="1:14" x14ac:dyDescent="0.35">
      <c r="A1518" s="1" t="s">
        <v>2242</v>
      </c>
      <c r="B1518" s="1" t="s">
        <v>2243</v>
      </c>
      <c r="C1518" s="1" t="s">
        <v>260</v>
      </c>
      <c r="D1518" s="1" t="s">
        <v>224</v>
      </c>
      <c r="E1518" s="1" t="s">
        <v>33</v>
      </c>
      <c r="F1518" s="1" t="s">
        <v>224</v>
      </c>
      <c r="G1518" s="1">
        <v>8</v>
      </c>
      <c r="H1518" s="1">
        <v>22243</v>
      </c>
      <c r="I1518" s="1">
        <v>0.15</v>
      </c>
      <c r="J1518" s="1">
        <v>151252.4</v>
      </c>
      <c r="K1518" s="1">
        <v>21942.44</v>
      </c>
      <c r="L1518" s="1" t="s">
        <v>70</v>
      </c>
      <c r="M1518" s="1" t="str">
        <f>TEXT(Table1[[#This Row],[Order Date]],"mmm")</f>
        <v>May</v>
      </c>
      <c r="N1518" s="1">
        <f>YEAR(Table1[[#This Row],[Order Date]])</f>
        <v>2023</v>
      </c>
    </row>
    <row r="1519" spans="1:14" x14ac:dyDescent="0.35">
      <c r="A1519" s="1" t="s">
        <v>2244</v>
      </c>
      <c r="B1519" s="1" t="s">
        <v>1681</v>
      </c>
      <c r="C1519" s="1" t="s">
        <v>101</v>
      </c>
      <c r="D1519" s="1" t="s">
        <v>224</v>
      </c>
      <c r="E1519" s="1" t="s">
        <v>33</v>
      </c>
      <c r="F1519" s="1" t="s">
        <v>224</v>
      </c>
      <c r="G1519" s="1">
        <v>3</v>
      </c>
      <c r="H1519" s="1">
        <v>55816</v>
      </c>
      <c r="I1519" s="1">
        <v>0.05</v>
      </c>
      <c r="J1519" s="1">
        <v>159075.6</v>
      </c>
      <c r="K1519" s="1">
        <v>46732.24</v>
      </c>
      <c r="L1519" s="1" t="s">
        <v>45</v>
      </c>
      <c r="M1519" s="1" t="str">
        <f>TEXT(Table1[[#This Row],[Order Date]],"mmm")</f>
        <v>May</v>
      </c>
      <c r="N1519" s="1">
        <f>YEAR(Table1[[#This Row],[Order Date]])</f>
        <v>2023</v>
      </c>
    </row>
    <row r="1520" spans="1:14" x14ac:dyDescent="0.35">
      <c r="A1520" s="1" t="s">
        <v>2245</v>
      </c>
      <c r="B1520" s="1" t="s">
        <v>1383</v>
      </c>
      <c r="C1520" s="1" t="s">
        <v>120</v>
      </c>
      <c r="D1520" s="1" t="s">
        <v>179</v>
      </c>
      <c r="E1520" s="1" t="s">
        <v>28</v>
      </c>
      <c r="F1520" s="1" t="s">
        <v>179</v>
      </c>
      <c r="G1520" s="1">
        <v>8</v>
      </c>
      <c r="H1520" s="1">
        <v>49352</v>
      </c>
      <c r="I1520" s="1">
        <v>0.1</v>
      </c>
      <c r="J1520" s="1">
        <v>355334.40000000002</v>
      </c>
      <c r="K1520" s="1">
        <v>69593.009999999995</v>
      </c>
      <c r="L1520" s="1" t="s">
        <v>17</v>
      </c>
      <c r="M1520" s="1" t="str">
        <f>TEXT(Table1[[#This Row],[Order Date]],"mmm")</f>
        <v>Apr</v>
      </c>
      <c r="N1520" s="1">
        <f>YEAR(Table1[[#This Row],[Order Date]])</f>
        <v>2024</v>
      </c>
    </row>
    <row r="1521" spans="1:14" x14ac:dyDescent="0.35">
      <c r="A1521" s="1" t="s">
        <v>2246</v>
      </c>
      <c r="B1521" s="1" t="s">
        <v>2247</v>
      </c>
      <c r="C1521" s="1" t="s">
        <v>170</v>
      </c>
      <c r="D1521" s="1" t="s">
        <v>108</v>
      </c>
      <c r="E1521" s="1" t="s">
        <v>22</v>
      </c>
      <c r="F1521" s="1" t="s">
        <v>108</v>
      </c>
      <c r="G1521" s="1">
        <v>7</v>
      </c>
      <c r="H1521" s="1">
        <v>52129</v>
      </c>
      <c r="I1521" s="1">
        <v>0</v>
      </c>
      <c r="J1521" s="1">
        <v>364903</v>
      </c>
      <c r="K1521" s="1">
        <v>93071.46</v>
      </c>
      <c r="L1521" s="1" t="s">
        <v>17</v>
      </c>
      <c r="M1521" s="1" t="str">
        <f>TEXT(Table1[[#This Row],[Order Date]],"mmm")</f>
        <v>Apr</v>
      </c>
      <c r="N1521" s="1">
        <f>YEAR(Table1[[#This Row],[Order Date]])</f>
        <v>2024</v>
      </c>
    </row>
    <row r="1522" spans="1:14" x14ac:dyDescent="0.35">
      <c r="A1522" s="1" t="s">
        <v>2248</v>
      </c>
      <c r="B1522" s="1" t="s">
        <v>1104</v>
      </c>
      <c r="C1522" s="1" t="s">
        <v>227</v>
      </c>
      <c r="D1522" s="1" t="s">
        <v>37</v>
      </c>
      <c r="E1522" s="1" t="s">
        <v>16</v>
      </c>
      <c r="F1522" s="1" t="s">
        <v>37</v>
      </c>
      <c r="G1522" s="1">
        <v>1</v>
      </c>
      <c r="H1522" s="1">
        <v>6755</v>
      </c>
      <c r="I1522" s="1">
        <v>0</v>
      </c>
      <c r="J1522" s="1">
        <v>6755</v>
      </c>
      <c r="K1522" s="1">
        <v>2019.42</v>
      </c>
      <c r="L1522" s="1" t="s">
        <v>23</v>
      </c>
      <c r="M1522" s="1" t="str">
        <f>TEXT(Table1[[#This Row],[Order Date]],"mmm")</f>
        <v>Oct</v>
      </c>
      <c r="N1522" s="1">
        <f>YEAR(Table1[[#This Row],[Order Date]])</f>
        <v>2023</v>
      </c>
    </row>
    <row r="1523" spans="1:14" x14ac:dyDescent="0.35">
      <c r="A1523" s="1" t="s">
        <v>2249</v>
      </c>
      <c r="B1523" s="1" t="s">
        <v>160</v>
      </c>
      <c r="C1523" s="1" t="s">
        <v>260</v>
      </c>
      <c r="D1523" s="1" t="s">
        <v>141</v>
      </c>
      <c r="E1523" s="1" t="s">
        <v>22</v>
      </c>
      <c r="F1523" s="1" t="s">
        <v>141</v>
      </c>
      <c r="G1523" s="1">
        <v>4</v>
      </c>
      <c r="H1523" s="1">
        <v>11347</v>
      </c>
      <c r="I1523" s="1">
        <v>0.2</v>
      </c>
      <c r="J1523" s="1">
        <v>36310.400000000001</v>
      </c>
      <c r="K1523" s="1">
        <v>8700.91</v>
      </c>
      <c r="L1523" s="1" t="s">
        <v>23</v>
      </c>
      <c r="M1523" s="1" t="str">
        <f>TEXT(Table1[[#This Row],[Order Date]],"mmm")</f>
        <v>Feb</v>
      </c>
      <c r="N1523" s="1">
        <f>YEAR(Table1[[#This Row],[Order Date]])</f>
        <v>2023</v>
      </c>
    </row>
    <row r="1524" spans="1:14" x14ac:dyDescent="0.35">
      <c r="A1524" s="1" t="s">
        <v>2250</v>
      </c>
      <c r="B1524" s="1" t="s">
        <v>466</v>
      </c>
      <c r="C1524" s="1" t="s">
        <v>59</v>
      </c>
      <c r="D1524" s="1" t="s">
        <v>133</v>
      </c>
      <c r="E1524" s="1" t="s">
        <v>22</v>
      </c>
      <c r="F1524" s="1" t="s">
        <v>133</v>
      </c>
      <c r="G1524" s="1">
        <v>6</v>
      </c>
      <c r="H1524" s="1">
        <v>51411</v>
      </c>
      <c r="I1524" s="1">
        <v>0.15</v>
      </c>
      <c r="J1524" s="1">
        <v>262196.09999999998</v>
      </c>
      <c r="K1524" s="1">
        <v>26084.1</v>
      </c>
      <c r="L1524" s="1" t="s">
        <v>45</v>
      </c>
      <c r="M1524" s="1" t="str">
        <f>TEXT(Table1[[#This Row],[Order Date]],"mmm")</f>
        <v>Feb</v>
      </c>
      <c r="N1524" s="1">
        <f>YEAR(Table1[[#This Row],[Order Date]])</f>
        <v>2024</v>
      </c>
    </row>
    <row r="1525" spans="1:14" x14ac:dyDescent="0.35">
      <c r="A1525" s="1" t="s">
        <v>2251</v>
      </c>
      <c r="B1525" s="1" t="s">
        <v>2009</v>
      </c>
      <c r="C1525" s="1" t="s">
        <v>111</v>
      </c>
      <c r="D1525" s="1" t="s">
        <v>56</v>
      </c>
      <c r="E1525" s="1" t="s">
        <v>22</v>
      </c>
      <c r="F1525" s="1" t="s">
        <v>56</v>
      </c>
      <c r="G1525" s="1">
        <v>2</v>
      </c>
      <c r="H1525" s="1">
        <v>39082</v>
      </c>
      <c r="I1525" s="1">
        <v>0</v>
      </c>
      <c r="J1525" s="1">
        <v>78164</v>
      </c>
      <c r="K1525" s="1">
        <v>16335.64</v>
      </c>
      <c r="L1525" s="1" t="s">
        <v>23</v>
      </c>
      <c r="M1525" s="1" t="str">
        <f>TEXT(Table1[[#This Row],[Order Date]],"mmm")</f>
        <v>Jun</v>
      </c>
      <c r="N1525" s="1">
        <f>YEAR(Table1[[#This Row],[Order Date]])</f>
        <v>2024</v>
      </c>
    </row>
    <row r="1526" spans="1:14" x14ac:dyDescent="0.35">
      <c r="A1526" s="1" t="s">
        <v>2252</v>
      </c>
      <c r="B1526" s="1" t="s">
        <v>1735</v>
      </c>
      <c r="C1526" s="1" t="s">
        <v>55</v>
      </c>
      <c r="D1526" s="1" t="s">
        <v>56</v>
      </c>
      <c r="E1526" s="1" t="s">
        <v>22</v>
      </c>
      <c r="F1526" s="1" t="s">
        <v>56</v>
      </c>
      <c r="G1526" s="1">
        <v>12</v>
      </c>
      <c r="H1526" s="1">
        <v>29591</v>
      </c>
      <c r="I1526" s="1">
        <v>0.05</v>
      </c>
      <c r="J1526" s="1">
        <v>337337.4</v>
      </c>
      <c r="K1526" s="1">
        <v>41107.300000000003</v>
      </c>
      <c r="L1526" s="1" t="s">
        <v>70</v>
      </c>
      <c r="M1526" s="1" t="str">
        <f>TEXT(Table1[[#This Row],[Order Date]],"mmm")</f>
        <v>Sep</v>
      </c>
      <c r="N1526" s="1">
        <f>YEAR(Table1[[#This Row],[Order Date]])</f>
        <v>2023</v>
      </c>
    </row>
    <row r="1527" spans="1:14" x14ac:dyDescent="0.35">
      <c r="A1527" s="1" t="s">
        <v>2253</v>
      </c>
      <c r="B1527" s="1" t="s">
        <v>2254</v>
      </c>
      <c r="C1527" s="1" t="s">
        <v>260</v>
      </c>
      <c r="D1527" s="1" t="s">
        <v>91</v>
      </c>
      <c r="E1527" s="1" t="s">
        <v>16</v>
      </c>
      <c r="F1527" s="1" t="s">
        <v>91</v>
      </c>
      <c r="G1527" s="1">
        <v>5</v>
      </c>
      <c r="H1527" s="1">
        <v>10822</v>
      </c>
      <c r="I1527" s="1">
        <v>0.15</v>
      </c>
      <c r="J1527" s="1">
        <v>45993.5</v>
      </c>
      <c r="K1527" s="1">
        <v>8038.13</v>
      </c>
      <c r="L1527" s="1" t="s">
        <v>17</v>
      </c>
      <c r="M1527" s="1" t="str">
        <f>TEXT(Table1[[#This Row],[Order Date]],"mmm")</f>
        <v>May</v>
      </c>
      <c r="N1527" s="1">
        <f>YEAR(Table1[[#This Row],[Order Date]])</f>
        <v>2024</v>
      </c>
    </row>
    <row r="1528" spans="1:14" x14ac:dyDescent="0.35">
      <c r="A1528" s="1" t="s">
        <v>2255</v>
      </c>
      <c r="B1528" s="1" t="s">
        <v>1460</v>
      </c>
      <c r="C1528" s="1" t="s">
        <v>120</v>
      </c>
      <c r="D1528" s="1" t="s">
        <v>48</v>
      </c>
      <c r="E1528" s="1" t="s">
        <v>16</v>
      </c>
      <c r="F1528" s="1" t="s">
        <v>48</v>
      </c>
      <c r="G1528" s="1">
        <v>2</v>
      </c>
      <c r="H1528" s="1">
        <v>39953</v>
      </c>
      <c r="I1528" s="1">
        <v>0.1</v>
      </c>
      <c r="J1528" s="1">
        <v>71915.399999999994</v>
      </c>
      <c r="K1528" s="1">
        <v>16365.92</v>
      </c>
      <c r="L1528" s="1" t="s">
        <v>17</v>
      </c>
      <c r="M1528" s="1" t="str">
        <f>TEXT(Table1[[#This Row],[Order Date]],"mmm")</f>
        <v>Feb</v>
      </c>
      <c r="N1528" s="1">
        <f>YEAR(Table1[[#This Row],[Order Date]])</f>
        <v>2023</v>
      </c>
    </row>
    <row r="1529" spans="1:14" x14ac:dyDescent="0.35">
      <c r="A1529" s="1" t="s">
        <v>2256</v>
      </c>
      <c r="B1529" s="1" t="s">
        <v>1760</v>
      </c>
      <c r="C1529" s="1" t="s">
        <v>26</v>
      </c>
      <c r="D1529" s="1" t="s">
        <v>41</v>
      </c>
      <c r="E1529" s="1" t="s">
        <v>16</v>
      </c>
      <c r="F1529" s="1" t="s">
        <v>41</v>
      </c>
      <c r="G1529" s="1">
        <v>1</v>
      </c>
      <c r="H1529" s="1">
        <v>29609</v>
      </c>
      <c r="I1529" s="1">
        <v>0.05</v>
      </c>
      <c r="J1529" s="1">
        <v>28128.55</v>
      </c>
      <c r="K1529" s="1">
        <v>4535.54</v>
      </c>
      <c r="L1529" s="1" t="s">
        <v>23</v>
      </c>
      <c r="M1529" s="1" t="str">
        <f>TEXT(Table1[[#This Row],[Order Date]],"mmm")</f>
        <v>Aug</v>
      </c>
      <c r="N1529" s="1">
        <f>YEAR(Table1[[#This Row],[Order Date]])</f>
        <v>2024</v>
      </c>
    </row>
    <row r="1530" spans="1:14" x14ac:dyDescent="0.35">
      <c r="A1530" s="1" t="s">
        <v>2257</v>
      </c>
      <c r="B1530" s="1" t="s">
        <v>499</v>
      </c>
      <c r="C1530" s="1" t="s">
        <v>98</v>
      </c>
      <c r="D1530" s="1" t="s">
        <v>27</v>
      </c>
      <c r="E1530" s="1" t="s">
        <v>28</v>
      </c>
      <c r="F1530" s="1" t="s">
        <v>27</v>
      </c>
      <c r="G1530" s="1">
        <v>7</v>
      </c>
      <c r="H1530" s="1">
        <v>51284</v>
      </c>
      <c r="I1530" s="1">
        <v>0.05</v>
      </c>
      <c r="J1530" s="1">
        <v>341038.6</v>
      </c>
      <c r="K1530" s="1">
        <v>37894.14</v>
      </c>
      <c r="L1530" s="1" t="s">
        <v>70</v>
      </c>
      <c r="M1530" s="1" t="str">
        <f>TEXT(Table1[[#This Row],[Order Date]],"mmm")</f>
        <v>May</v>
      </c>
      <c r="N1530" s="1">
        <f>YEAR(Table1[[#This Row],[Order Date]])</f>
        <v>2024</v>
      </c>
    </row>
    <row r="1531" spans="1:14" x14ac:dyDescent="0.35">
      <c r="A1531" s="1" t="s">
        <v>2258</v>
      </c>
      <c r="B1531" s="1" t="s">
        <v>530</v>
      </c>
      <c r="C1531" s="1" t="s">
        <v>120</v>
      </c>
      <c r="D1531" s="1" t="s">
        <v>27</v>
      </c>
      <c r="E1531" s="1" t="s">
        <v>28</v>
      </c>
      <c r="F1531" s="1" t="s">
        <v>27</v>
      </c>
      <c r="G1531" s="1">
        <v>3</v>
      </c>
      <c r="H1531" s="1">
        <v>22923</v>
      </c>
      <c r="I1531" s="1">
        <v>0</v>
      </c>
      <c r="J1531" s="1">
        <v>68769</v>
      </c>
      <c r="K1531" s="1">
        <v>6145.59</v>
      </c>
      <c r="L1531" s="1" t="s">
        <v>70</v>
      </c>
      <c r="M1531" s="1" t="str">
        <f>TEXT(Table1[[#This Row],[Order Date]],"mmm")</f>
        <v>Jul</v>
      </c>
      <c r="N1531" s="1">
        <f>YEAR(Table1[[#This Row],[Order Date]])</f>
        <v>2024</v>
      </c>
    </row>
    <row r="1532" spans="1:14" x14ac:dyDescent="0.35">
      <c r="A1532" s="1" t="s">
        <v>2259</v>
      </c>
      <c r="B1532" s="1" t="s">
        <v>100</v>
      </c>
      <c r="C1532" s="1" t="s">
        <v>175</v>
      </c>
      <c r="D1532" s="1" t="s">
        <v>133</v>
      </c>
      <c r="E1532" s="1" t="s">
        <v>22</v>
      </c>
      <c r="F1532" s="1" t="s">
        <v>133</v>
      </c>
      <c r="G1532" s="1">
        <v>9</v>
      </c>
      <c r="H1532" s="1">
        <v>33085</v>
      </c>
      <c r="I1532" s="1">
        <v>0.2</v>
      </c>
      <c r="J1532" s="1">
        <v>238212</v>
      </c>
      <c r="K1532" s="1">
        <v>48782.64</v>
      </c>
      <c r="L1532" s="1" t="s">
        <v>45</v>
      </c>
      <c r="M1532" s="1" t="str">
        <f>TEXT(Table1[[#This Row],[Order Date]],"mmm")</f>
        <v>Nov</v>
      </c>
      <c r="N1532" s="1">
        <f>YEAR(Table1[[#This Row],[Order Date]])</f>
        <v>2023</v>
      </c>
    </row>
    <row r="1533" spans="1:14" x14ac:dyDescent="0.35">
      <c r="A1533" s="1" t="s">
        <v>2260</v>
      </c>
      <c r="B1533" s="1" t="s">
        <v>2089</v>
      </c>
      <c r="C1533" s="1" t="s">
        <v>507</v>
      </c>
      <c r="D1533" s="1" t="s">
        <v>114</v>
      </c>
      <c r="E1533" s="1" t="s">
        <v>16</v>
      </c>
      <c r="F1533" s="1" t="s">
        <v>114</v>
      </c>
      <c r="G1533" s="1">
        <v>4</v>
      </c>
      <c r="H1533" s="1">
        <v>9773</v>
      </c>
      <c r="I1533" s="1">
        <v>0</v>
      </c>
      <c r="J1533" s="1">
        <v>39092</v>
      </c>
      <c r="K1533" s="1">
        <v>3715.03</v>
      </c>
      <c r="L1533" s="1" t="s">
        <v>70</v>
      </c>
      <c r="M1533" s="1" t="str">
        <f>TEXT(Table1[[#This Row],[Order Date]],"mmm")</f>
        <v>Nov</v>
      </c>
      <c r="N1533" s="1">
        <f>YEAR(Table1[[#This Row],[Order Date]])</f>
        <v>2024</v>
      </c>
    </row>
    <row r="1534" spans="1:14" x14ac:dyDescent="0.35">
      <c r="A1534" s="1" t="s">
        <v>2261</v>
      </c>
      <c r="B1534" s="1" t="s">
        <v>2262</v>
      </c>
      <c r="C1534" s="1" t="s">
        <v>140</v>
      </c>
      <c r="D1534" s="1" t="s">
        <v>293</v>
      </c>
      <c r="E1534" s="1" t="s">
        <v>33</v>
      </c>
      <c r="F1534" s="1" t="s">
        <v>293</v>
      </c>
      <c r="G1534" s="1">
        <v>7</v>
      </c>
      <c r="H1534" s="1">
        <v>59143</v>
      </c>
      <c r="I1534" s="1">
        <v>0.05</v>
      </c>
      <c r="J1534" s="1">
        <v>393300.95</v>
      </c>
      <c r="K1534" s="1">
        <v>67020.289999999994</v>
      </c>
      <c r="L1534" s="1" t="s">
        <v>17</v>
      </c>
      <c r="M1534" s="1" t="str">
        <f>TEXT(Table1[[#This Row],[Order Date]],"mmm")</f>
        <v>Aug</v>
      </c>
      <c r="N1534" s="1">
        <f>YEAR(Table1[[#This Row],[Order Date]])</f>
        <v>2024</v>
      </c>
    </row>
    <row r="1535" spans="1:14" x14ac:dyDescent="0.35">
      <c r="A1535" s="1" t="s">
        <v>2263</v>
      </c>
      <c r="B1535" s="1" t="s">
        <v>650</v>
      </c>
      <c r="C1535" s="1" t="s">
        <v>59</v>
      </c>
      <c r="D1535" s="1" t="s">
        <v>48</v>
      </c>
      <c r="E1535" s="1" t="s">
        <v>16</v>
      </c>
      <c r="F1535" s="1" t="s">
        <v>48</v>
      </c>
      <c r="G1535" s="1">
        <v>12</v>
      </c>
      <c r="H1535" s="1">
        <v>53784</v>
      </c>
      <c r="I1535" s="1">
        <v>0.05</v>
      </c>
      <c r="J1535" s="1">
        <v>613137.6</v>
      </c>
      <c r="K1535" s="1">
        <v>103071.14</v>
      </c>
      <c r="L1535" s="1" t="s">
        <v>70</v>
      </c>
      <c r="M1535" s="1" t="str">
        <f>TEXT(Table1[[#This Row],[Order Date]],"mmm")</f>
        <v>Jun</v>
      </c>
      <c r="N1535" s="1">
        <f>YEAR(Table1[[#This Row],[Order Date]])</f>
        <v>2023</v>
      </c>
    </row>
    <row r="1536" spans="1:14" x14ac:dyDescent="0.35">
      <c r="A1536" s="1" t="s">
        <v>2264</v>
      </c>
      <c r="B1536" s="1" t="s">
        <v>1201</v>
      </c>
      <c r="C1536" s="1" t="s">
        <v>84</v>
      </c>
      <c r="D1536" s="1" t="s">
        <v>27</v>
      </c>
      <c r="E1536" s="1" t="s">
        <v>28</v>
      </c>
      <c r="F1536" s="1" t="s">
        <v>27</v>
      </c>
      <c r="G1536" s="1">
        <v>10</v>
      </c>
      <c r="H1536" s="1">
        <v>32291</v>
      </c>
      <c r="I1536" s="1">
        <v>0.15</v>
      </c>
      <c r="J1536" s="1">
        <v>274473.5</v>
      </c>
      <c r="K1536" s="1">
        <v>70711.960000000006</v>
      </c>
      <c r="L1536" s="1" t="s">
        <v>70</v>
      </c>
      <c r="M1536" s="1" t="str">
        <f>TEXT(Table1[[#This Row],[Order Date]],"mmm")</f>
        <v>Nov</v>
      </c>
      <c r="N1536" s="1">
        <f>YEAR(Table1[[#This Row],[Order Date]])</f>
        <v>2024</v>
      </c>
    </row>
    <row r="1537" spans="1:14" x14ac:dyDescent="0.35">
      <c r="A1537" s="1" t="s">
        <v>2265</v>
      </c>
      <c r="B1537" s="1" t="s">
        <v>240</v>
      </c>
      <c r="C1537" s="1" t="s">
        <v>203</v>
      </c>
      <c r="D1537" s="1" t="s">
        <v>224</v>
      </c>
      <c r="E1537" s="1" t="s">
        <v>33</v>
      </c>
      <c r="F1537" s="1" t="s">
        <v>224</v>
      </c>
      <c r="G1537" s="1">
        <v>1</v>
      </c>
      <c r="H1537" s="1">
        <v>7486</v>
      </c>
      <c r="I1537" s="1">
        <v>0</v>
      </c>
      <c r="J1537" s="1">
        <v>7486</v>
      </c>
      <c r="K1537" s="1">
        <v>1979.67</v>
      </c>
      <c r="L1537" s="1" t="s">
        <v>70</v>
      </c>
      <c r="M1537" s="1" t="str">
        <f>TEXT(Table1[[#This Row],[Order Date]],"mmm")</f>
        <v>Sep</v>
      </c>
      <c r="N1537" s="1">
        <f>YEAR(Table1[[#This Row],[Order Date]])</f>
        <v>2024</v>
      </c>
    </row>
    <row r="1538" spans="1:14" x14ac:dyDescent="0.35">
      <c r="A1538" s="1" t="s">
        <v>2266</v>
      </c>
      <c r="B1538" s="1" t="s">
        <v>688</v>
      </c>
      <c r="C1538" s="1" t="s">
        <v>191</v>
      </c>
      <c r="D1538" s="1" t="s">
        <v>167</v>
      </c>
      <c r="E1538" s="1" t="s">
        <v>16</v>
      </c>
      <c r="F1538" s="1" t="s">
        <v>167</v>
      </c>
      <c r="G1538" s="1">
        <v>5</v>
      </c>
      <c r="H1538" s="1">
        <v>47953</v>
      </c>
      <c r="I1538" s="1">
        <v>0.15</v>
      </c>
      <c r="J1538" s="1">
        <v>203800.25</v>
      </c>
      <c r="K1538" s="1">
        <v>54177.120000000003</v>
      </c>
      <c r="L1538" s="1" t="s">
        <v>23</v>
      </c>
      <c r="M1538" s="1" t="str">
        <f>TEXT(Table1[[#This Row],[Order Date]],"mmm")</f>
        <v>Jul</v>
      </c>
      <c r="N1538" s="1">
        <f>YEAR(Table1[[#This Row],[Order Date]])</f>
        <v>2023</v>
      </c>
    </row>
    <row r="1539" spans="1:14" x14ac:dyDescent="0.35">
      <c r="A1539" s="1" t="s">
        <v>2267</v>
      </c>
      <c r="B1539" s="1" t="s">
        <v>2004</v>
      </c>
      <c r="C1539" s="1" t="s">
        <v>332</v>
      </c>
      <c r="D1539" s="1" t="s">
        <v>37</v>
      </c>
      <c r="E1539" s="1" t="s">
        <v>16</v>
      </c>
      <c r="F1539" s="1" t="s">
        <v>37</v>
      </c>
      <c r="G1539" s="1">
        <v>11</v>
      </c>
      <c r="H1539" s="1">
        <v>36545</v>
      </c>
      <c r="I1539" s="1">
        <v>0.15</v>
      </c>
      <c r="J1539" s="1">
        <v>341695.75</v>
      </c>
      <c r="K1539" s="1">
        <v>85672.1</v>
      </c>
      <c r="L1539" s="1" t="s">
        <v>70</v>
      </c>
      <c r="M1539" s="1" t="str">
        <f>TEXT(Table1[[#This Row],[Order Date]],"mmm")</f>
        <v>May</v>
      </c>
      <c r="N1539" s="1">
        <f>YEAR(Table1[[#This Row],[Order Date]])</f>
        <v>2023</v>
      </c>
    </row>
    <row r="1540" spans="1:14" x14ac:dyDescent="0.35">
      <c r="A1540" s="1" t="s">
        <v>2268</v>
      </c>
      <c r="B1540" s="1" t="s">
        <v>1747</v>
      </c>
      <c r="C1540" s="1" t="s">
        <v>640</v>
      </c>
      <c r="D1540" s="1" t="s">
        <v>108</v>
      </c>
      <c r="E1540" s="1" t="s">
        <v>22</v>
      </c>
      <c r="F1540" s="1" t="s">
        <v>108</v>
      </c>
      <c r="G1540" s="1">
        <v>10</v>
      </c>
      <c r="H1540" s="1">
        <v>4234</v>
      </c>
      <c r="I1540" s="1">
        <v>0.05</v>
      </c>
      <c r="J1540" s="1">
        <v>40223</v>
      </c>
      <c r="K1540" s="1">
        <v>3355.63</v>
      </c>
      <c r="L1540" s="1" t="s">
        <v>17</v>
      </c>
      <c r="M1540" s="1" t="str">
        <f>TEXT(Table1[[#This Row],[Order Date]],"mmm")</f>
        <v>Mar</v>
      </c>
      <c r="N1540" s="1">
        <f>YEAR(Table1[[#This Row],[Order Date]])</f>
        <v>2023</v>
      </c>
    </row>
    <row r="1541" spans="1:14" x14ac:dyDescent="0.35">
      <c r="A1541" s="1" t="s">
        <v>2269</v>
      </c>
      <c r="B1541" s="1" t="s">
        <v>1452</v>
      </c>
      <c r="C1541" s="1" t="s">
        <v>107</v>
      </c>
      <c r="D1541" s="1" t="s">
        <v>141</v>
      </c>
      <c r="E1541" s="1" t="s">
        <v>22</v>
      </c>
      <c r="F1541" s="1" t="s">
        <v>141</v>
      </c>
      <c r="G1541" s="1">
        <v>1</v>
      </c>
      <c r="H1541" s="1">
        <v>5843</v>
      </c>
      <c r="I1541" s="1">
        <v>0.2</v>
      </c>
      <c r="J1541" s="1">
        <v>4674.3999999999996</v>
      </c>
      <c r="K1541" s="1">
        <v>522.28</v>
      </c>
      <c r="L1541" s="1" t="s">
        <v>23</v>
      </c>
      <c r="M1541" s="1" t="str">
        <f>TEXT(Table1[[#This Row],[Order Date]],"mmm")</f>
        <v>Apr</v>
      </c>
      <c r="N1541" s="1">
        <f>YEAR(Table1[[#This Row],[Order Date]])</f>
        <v>2024</v>
      </c>
    </row>
    <row r="1542" spans="1:14" x14ac:dyDescent="0.35">
      <c r="A1542" s="1" t="s">
        <v>2270</v>
      </c>
      <c r="B1542" s="1" t="s">
        <v>2271</v>
      </c>
      <c r="C1542" s="1" t="s">
        <v>98</v>
      </c>
      <c r="D1542" s="1" t="s">
        <v>108</v>
      </c>
      <c r="E1542" s="1" t="s">
        <v>22</v>
      </c>
      <c r="F1542" s="1" t="s">
        <v>108</v>
      </c>
      <c r="G1542" s="1">
        <v>9</v>
      </c>
      <c r="H1542" s="1">
        <v>51611</v>
      </c>
      <c r="I1542" s="1">
        <v>0.05</v>
      </c>
      <c r="J1542" s="1">
        <v>441274.05</v>
      </c>
      <c r="K1542" s="1">
        <v>121935.45</v>
      </c>
      <c r="L1542" s="1" t="s">
        <v>17</v>
      </c>
      <c r="M1542" s="1" t="str">
        <f>TEXT(Table1[[#This Row],[Order Date]],"mmm")</f>
        <v>Mar</v>
      </c>
      <c r="N1542" s="1">
        <f>YEAR(Table1[[#This Row],[Order Date]])</f>
        <v>2023</v>
      </c>
    </row>
    <row r="1543" spans="1:14" x14ac:dyDescent="0.35">
      <c r="A1543" s="1" t="s">
        <v>2272</v>
      </c>
      <c r="B1543" s="1" t="s">
        <v>259</v>
      </c>
      <c r="C1543" s="1" t="s">
        <v>507</v>
      </c>
      <c r="D1543" s="1" t="s">
        <v>27</v>
      </c>
      <c r="E1543" s="1" t="s">
        <v>28</v>
      </c>
      <c r="F1543" s="1" t="s">
        <v>27</v>
      </c>
      <c r="G1543" s="1">
        <v>10</v>
      </c>
      <c r="H1543" s="1">
        <v>32851</v>
      </c>
      <c r="I1543" s="1">
        <v>0.1</v>
      </c>
      <c r="J1543" s="1">
        <v>295659</v>
      </c>
      <c r="K1543" s="1">
        <v>43621.87</v>
      </c>
      <c r="L1543" s="1" t="s">
        <v>23</v>
      </c>
      <c r="M1543" s="1" t="str">
        <f>TEXT(Table1[[#This Row],[Order Date]],"mmm")</f>
        <v>Oct</v>
      </c>
      <c r="N1543" s="1">
        <f>YEAR(Table1[[#This Row],[Order Date]])</f>
        <v>2024</v>
      </c>
    </row>
    <row r="1544" spans="1:14" x14ac:dyDescent="0.35">
      <c r="A1544" s="1" t="s">
        <v>2273</v>
      </c>
      <c r="B1544" s="1" t="s">
        <v>2274</v>
      </c>
      <c r="C1544" s="1" t="s">
        <v>67</v>
      </c>
      <c r="D1544" s="1" t="s">
        <v>114</v>
      </c>
      <c r="E1544" s="1" t="s">
        <v>16</v>
      </c>
      <c r="F1544" s="1" t="s">
        <v>114</v>
      </c>
      <c r="G1544" s="1">
        <v>7</v>
      </c>
      <c r="H1544" s="1">
        <v>2163</v>
      </c>
      <c r="I1544" s="1">
        <v>0.1</v>
      </c>
      <c r="J1544" s="1">
        <v>13626.9</v>
      </c>
      <c r="K1544" s="1">
        <v>2062.9299999999998</v>
      </c>
      <c r="L1544" s="1" t="s">
        <v>23</v>
      </c>
      <c r="M1544" s="1" t="str">
        <f>TEXT(Table1[[#This Row],[Order Date]],"mmm")</f>
        <v>Jan</v>
      </c>
      <c r="N1544" s="1">
        <f>YEAR(Table1[[#This Row],[Order Date]])</f>
        <v>2024</v>
      </c>
    </row>
    <row r="1545" spans="1:14" x14ac:dyDescent="0.35">
      <c r="A1545" s="1" t="s">
        <v>2275</v>
      </c>
      <c r="B1545" s="1" t="s">
        <v>106</v>
      </c>
      <c r="C1545" s="1" t="s">
        <v>104</v>
      </c>
      <c r="D1545" s="1" t="s">
        <v>293</v>
      </c>
      <c r="E1545" s="1" t="s">
        <v>33</v>
      </c>
      <c r="F1545" s="1" t="s">
        <v>293</v>
      </c>
      <c r="G1545" s="1">
        <v>1</v>
      </c>
      <c r="H1545" s="1">
        <v>35211</v>
      </c>
      <c r="I1545" s="1">
        <v>0.05</v>
      </c>
      <c r="J1545" s="1">
        <v>33450.449999999997</v>
      </c>
      <c r="K1545" s="1">
        <v>9680.3799999999992</v>
      </c>
      <c r="L1545" s="1" t="s">
        <v>23</v>
      </c>
      <c r="M1545" s="1" t="str">
        <f>TEXT(Table1[[#This Row],[Order Date]],"mmm")</f>
        <v>Jun</v>
      </c>
      <c r="N1545" s="1">
        <f>YEAR(Table1[[#This Row],[Order Date]])</f>
        <v>2023</v>
      </c>
    </row>
    <row r="1546" spans="1:14" x14ac:dyDescent="0.35">
      <c r="A1546" s="1" t="s">
        <v>2276</v>
      </c>
      <c r="B1546" s="1" t="s">
        <v>58</v>
      </c>
      <c r="C1546" s="1" t="s">
        <v>349</v>
      </c>
      <c r="D1546" s="1" t="s">
        <v>224</v>
      </c>
      <c r="E1546" s="1" t="s">
        <v>33</v>
      </c>
      <c r="F1546" s="1" t="s">
        <v>224</v>
      </c>
      <c r="G1546" s="1">
        <v>12</v>
      </c>
      <c r="H1546" s="1">
        <v>28014</v>
      </c>
      <c r="I1546" s="1">
        <v>0.1</v>
      </c>
      <c r="J1546" s="1">
        <v>302551.2</v>
      </c>
      <c r="K1546" s="1">
        <v>82877.5</v>
      </c>
      <c r="L1546" s="1" t="s">
        <v>70</v>
      </c>
      <c r="M1546" s="1" t="str">
        <f>TEXT(Table1[[#This Row],[Order Date]],"mmm")</f>
        <v>Aug</v>
      </c>
      <c r="N1546" s="1">
        <f>YEAR(Table1[[#This Row],[Order Date]])</f>
        <v>2024</v>
      </c>
    </row>
    <row r="1547" spans="1:14" x14ac:dyDescent="0.35">
      <c r="A1547" s="1" t="s">
        <v>2277</v>
      </c>
      <c r="B1547" s="1" t="s">
        <v>30</v>
      </c>
      <c r="C1547" s="1" t="s">
        <v>140</v>
      </c>
      <c r="D1547" s="1" t="s">
        <v>114</v>
      </c>
      <c r="E1547" s="1" t="s">
        <v>16</v>
      </c>
      <c r="F1547" s="1" t="s">
        <v>114</v>
      </c>
      <c r="G1547" s="1">
        <v>13</v>
      </c>
      <c r="H1547" s="1">
        <v>22405</v>
      </c>
      <c r="I1547" s="1">
        <v>0</v>
      </c>
      <c r="J1547" s="1">
        <v>291265</v>
      </c>
      <c r="K1547" s="1">
        <v>32283.03</v>
      </c>
      <c r="L1547" s="1" t="s">
        <v>17</v>
      </c>
      <c r="M1547" s="1" t="str">
        <f>TEXT(Table1[[#This Row],[Order Date]],"mmm")</f>
        <v>Apr</v>
      </c>
      <c r="N1547" s="1">
        <f>YEAR(Table1[[#This Row],[Order Date]])</f>
        <v>2023</v>
      </c>
    </row>
    <row r="1548" spans="1:14" x14ac:dyDescent="0.35">
      <c r="A1548" s="1" t="s">
        <v>2278</v>
      </c>
      <c r="B1548" s="1" t="s">
        <v>1146</v>
      </c>
      <c r="C1548" s="1" t="s">
        <v>188</v>
      </c>
      <c r="D1548" s="1" t="s">
        <v>44</v>
      </c>
      <c r="E1548" s="1" t="s">
        <v>28</v>
      </c>
      <c r="F1548" s="1" t="s">
        <v>44</v>
      </c>
      <c r="G1548" s="1">
        <v>8</v>
      </c>
      <c r="H1548" s="1">
        <v>23856</v>
      </c>
      <c r="I1548" s="1">
        <v>0.15</v>
      </c>
      <c r="J1548" s="1">
        <v>162220.79999999999</v>
      </c>
      <c r="K1548" s="1">
        <v>40586.720000000001</v>
      </c>
      <c r="L1548" s="1" t="s">
        <v>45</v>
      </c>
      <c r="M1548" s="1" t="str">
        <f>TEXT(Table1[[#This Row],[Order Date]],"mmm")</f>
        <v>Apr</v>
      </c>
      <c r="N1548" s="1">
        <f>YEAR(Table1[[#This Row],[Order Date]])</f>
        <v>2024</v>
      </c>
    </row>
    <row r="1549" spans="1:14" x14ac:dyDescent="0.35">
      <c r="A1549" s="1" t="s">
        <v>2279</v>
      </c>
      <c r="B1549" s="1" t="s">
        <v>318</v>
      </c>
      <c r="C1549" s="1" t="s">
        <v>260</v>
      </c>
      <c r="D1549" s="1" t="s">
        <v>108</v>
      </c>
      <c r="E1549" s="1" t="s">
        <v>22</v>
      </c>
      <c r="F1549" s="1" t="s">
        <v>108</v>
      </c>
      <c r="G1549" s="1">
        <v>2</v>
      </c>
      <c r="H1549" s="1">
        <v>10287</v>
      </c>
      <c r="I1549" s="1">
        <v>0.1</v>
      </c>
      <c r="J1549" s="1">
        <v>18516.599999999999</v>
      </c>
      <c r="K1549" s="1">
        <v>3610.97</v>
      </c>
      <c r="L1549" s="1" t="s">
        <v>70</v>
      </c>
      <c r="M1549" s="1" t="str">
        <f>TEXT(Table1[[#This Row],[Order Date]],"mmm")</f>
        <v>Aug</v>
      </c>
      <c r="N1549" s="1">
        <f>YEAR(Table1[[#This Row],[Order Date]])</f>
        <v>2023</v>
      </c>
    </row>
    <row r="1550" spans="1:14" x14ac:dyDescent="0.35">
      <c r="A1550" s="1" t="s">
        <v>2280</v>
      </c>
      <c r="B1550" s="1" t="s">
        <v>1705</v>
      </c>
      <c r="C1550" s="1" t="s">
        <v>117</v>
      </c>
      <c r="D1550" s="1" t="s">
        <v>141</v>
      </c>
      <c r="E1550" s="1" t="s">
        <v>22</v>
      </c>
      <c r="F1550" s="1" t="s">
        <v>141</v>
      </c>
      <c r="G1550" s="1">
        <v>13</v>
      </c>
      <c r="H1550" s="1">
        <v>50960</v>
      </c>
      <c r="I1550" s="1">
        <v>0.2</v>
      </c>
      <c r="J1550" s="1">
        <v>529984</v>
      </c>
      <c r="K1550" s="1">
        <v>57129.23</v>
      </c>
      <c r="L1550" s="1" t="s">
        <v>45</v>
      </c>
      <c r="M1550" s="1" t="str">
        <f>TEXT(Table1[[#This Row],[Order Date]],"mmm")</f>
        <v>Oct</v>
      </c>
      <c r="N1550" s="1">
        <f>YEAR(Table1[[#This Row],[Order Date]])</f>
        <v>2024</v>
      </c>
    </row>
    <row r="1551" spans="1:14" x14ac:dyDescent="0.35">
      <c r="A1551" s="1" t="s">
        <v>2281</v>
      </c>
      <c r="B1551" s="1" t="s">
        <v>322</v>
      </c>
      <c r="C1551" s="1" t="s">
        <v>136</v>
      </c>
      <c r="D1551" s="1" t="s">
        <v>27</v>
      </c>
      <c r="E1551" s="1" t="s">
        <v>28</v>
      </c>
      <c r="F1551" s="1" t="s">
        <v>27</v>
      </c>
      <c r="G1551" s="1">
        <v>15</v>
      </c>
      <c r="H1551" s="1">
        <v>12752</v>
      </c>
      <c r="I1551" s="1">
        <v>0.05</v>
      </c>
      <c r="J1551" s="1">
        <v>181716</v>
      </c>
      <c r="K1551" s="1">
        <v>35956.58</v>
      </c>
      <c r="L1551" s="1" t="s">
        <v>23</v>
      </c>
      <c r="M1551" s="1" t="str">
        <f>TEXT(Table1[[#This Row],[Order Date]],"mmm")</f>
        <v>Sep</v>
      </c>
      <c r="N1551" s="1">
        <f>YEAR(Table1[[#This Row],[Order Date]])</f>
        <v>2023</v>
      </c>
    </row>
    <row r="1552" spans="1:14" x14ac:dyDescent="0.35">
      <c r="A1552" s="1" t="s">
        <v>2282</v>
      </c>
      <c r="B1552" s="1" t="s">
        <v>630</v>
      </c>
      <c r="C1552" s="1" t="s">
        <v>178</v>
      </c>
      <c r="D1552" s="1" t="s">
        <v>27</v>
      </c>
      <c r="E1552" s="1" t="s">
        <v>28</v>
      </c>
      <c r="F1552" s="1" t="s">
        <v>27</v>
      </c>
      <c r="G1552" s="1">
        <v>1</v>
      </c>
      <c r="H1552" s="1">
        <v>24843</v>
      </c>
      <c r="I1552" s="1">
        <v>0.2</v>
      </c>
      <c r="J1552" s="1">
        <v>19874.400000000001</v>
      </c>
      <c r="K1552" s="1">
        <v>4351.5</v>
      </c>
      <c r="L1552" s="1" t="s">
        <v>45</v>
      </c>
      <c r="M1552" s="1" t="str">
        <f>TEXT(Table1[[#This Row],[Order Date]],"mmm")</f>
        <v>Aug</v>
      </c>
      <c r="N1552" s="1">
        <f>YEAR(Table1[[#This Row],[Order Date]])</f>
        <v>2023</v>
      </c>
    </row>
    <row r="1553" spans="1:14" x14ac:dyDescent="0.35">
      <c r="A1553" s="1" t="s">
        <v>2283</v>
      </c>
      <c r="B1553" s="1" t="s">
        <v>657</v>
      </c>
      <c r="C1553" s="1" t="s">
        <v>84</v>
      </c>
      <c r="D1553" s="1" t="s">
        <v>21</v>
      </c>
      <c r="E1553" s="1" t="s">
        <v>22</v>
      </c>
      <c r="F1553" s="1" t="s">
        <v>21</v>
      </c>
      <c r="G1553" s="1">
        <v>8</v>
      </c>
      <c r="H1553" s="1">
        <v>14067</v>
      </c>
      <c r="I1553" s="1">
        <v>0.15</v>
      </c>
      <c r="J1553" s="1">
        <v>95655.6</v>
      </c>
      <c r="K1553" s="1">
        <v>11641.29</v>
      </c>
      <c r="L1553" s="1" t="s">
        <v>45</v>
      </c>
      <c r="M1553" s="1" t="str">
        <f>TEXT(Table1[[#This Row],[Order Date]],"mmm")</f>
        <v>Jan</v>
      </c>
      <c r="N1553" s="1">
        <f>YEAR(Table1[[#This Row],[Order Date]])</f>
        <v>2024</v>
      </c>
    </row>
    <row r="1554" spans="1:14" x14ac:dyDescent="0.35">
      <c r="A1554" s="1" t="s">
        <v>2284</v>
      </c>
      <c r="B1554" s="1" t="s">
        <v>1054</v>
      </c>
      <c r="C1554" s="1" t="s">
        <v>188</v>
      </c>
      <c r="D1554" s="1" t="s">
        <v>151</v>
      </c>
      <c r="E1554" s="1" t="s">
        <v>22</v>
      </c>
      <c r="F1554" s="1" t="s">
        <v>151</v>
      </c>
      <c r="G1554" s="1">
        <v>1</v>
      </c>
      <c r="H1554" s="1">
        <v>31583</v>
      </c>
      <c r="I1554" s="1">
        <v>0.05</v>
      </c>
      <c r="J1554" s="1">
        <v>30003.85</v>
      </c>
      <c r="K1554" s="1">
        <v>8588.41</v>
      </c>
      <c r="L1554" s="1" t="s">
        <v>45</v>
      </c>
      <c r="M1554" s="1" t="str">
        <f>TEXT(Table1[[#This Row],[Order Date]],"mmm")</f>
        <v>Nov</v>
      </c>
      <c r="N1554" s="1">
        <f>YEAR(Table1[[#This Row],[Order Date]])</f>
        <v>2023</v>
      </c>
    </row>
    <row r="1555" spans="1:14" x14ac:dyDescent="0.35">
      <c r="A1555" s="1" t="s">
        <v>2285</v>
      </c>
      <c r="B1555" s="1" t="s">
        <v>1005</v>
      </c>
      <c r="C1555" s="1" t="s">
        <v>507</v>
      </c>
      <c r="D1555" s="1" t="s">
        <v>133</v>
      </c>
      <c r="E1555" s="1" t="s">
        <v>22</v>
      </c>
      <c r="F1555" s="1" t="s">
        <v>133</v>
      </c>
      <c r="G1555" s="1">
        <v>13</v>
      </c>
      <c r="H1555" s="1">
        <v>28632</v>
      </c>
      <c r="I1555" s="1">
        <v>0.05</v>
      </c>
      <c r="J1555" s="1">
        <v>353605.2</v>
      </c>
      <c r="K1555" s="1">
        <v>54989.45</v>
      </c>
      <c r="L1555" s="1" t="s">
        <v>23</v>
      </c>
      <c r="M1555" s="1" t="str">
        <f>TEXT(Table1[[#This Row],[Order Date]],"mmm")</f>
        <v>Aug</v>
      </c>
      <c r="N1555" s="1">
        <f>YEAR(Table1[[#This Row],[Order Date]])</f>
        <v>2023</v>
      </c>
    </row>
    <row r="1556" spans="1:14" x14ac:dyDescent="0.35">
      <c r="A1556" s="1" t="s">
        <v>2286</v>
      </c>
      <c r="B1556" s="1" t="s">
        <v>1496</v>
      </c>
      <c r="C1556" s="1" t="s">
        <v>370</v>
      </c>
      <c r="D1556" s="1" t="s">
        <v>108</v>
      </c>
      <c r="E1556" s="1" t="s">
        <v>22</v>
      </c>
      <c r="F1556" s="1" t="s">
        <v>108</v>
      </c>
      <c r="G1556" s="1">
        <v>14</v>
      </c>
      <c r="H1556" s="1">
        <v>57351</v>
      </c>
      <c r="I1556" s="1">
        <v>0.2</v>
      </c>
      <c r="J1556" s="1">
        <v>642331.19999999995</v>
      </c>
      <c r="K1556" s="1">
        <v>98640.34</v>
      </c>
      <c r="L1556" s="1" t="s">
        <v>70</v>
      </c>
      <c r="M1556" s="1" t="str">
        <f>TEXT(Table1[[#This Row],[Order Date]],"mmm")</f>
        <v>Jan</v>
      </c>
      <c r="N1556" s="1">
        <f>YEAR(Table1[[#This Row],[Order Date]])</f>
        <v>2024</v>
      </c>
    </row>
    <row r="1557" spans="1:14" x14ac:dyDescent="0.35">
      <c r="A1557" s="1" t="s">
        <v>2287</v>
      </c>
      <c r="B1557" s="1" t="s">
        <v>1254</v>
      </c>
      <c r="C1557" s="1" t="s">
        <v>117</v>
      </c>
      <c r="D1557" s="1" t="s">
        <v>167</v>
      </c>
      <c r="E1557" s="1" t="s">
        <v>16</v>
      </c>
      <c r="F1557" s="1" t="s">
        <v>167</v>
      </c>
      <c r="G1557" s="1">
        <v>1</v>
      </c>
      <c r="H1557" s="1">
        <v>35210</v>
      </c>
      <c r="I1557" s="1">
        <v>0.2</v>
      </c>
      <c r="J1557" s="1">
        <v>28168</v>
      </c>
      <c r="K1557" s="1">
        <v>3276.63</v>
      </c>
      <c r="L1557" s="1" t="s">
        <v>17</v>
      </c>
      <c r="M1557" s="1" t="str">
        <f>TEXT(Table1[[#This Row],[Order Date]],"mmm")</f>
        <v>Jul</v>
      </c>
      <c r="N1557" s="1">
        <f>YEAR(Table1[[#This Row],[Order Date]])</f>
        <v>2023</v>
      </c>
    </row>
    <row r="1558" spans="1:14" x14ac:dyDescent="0.35">
      <c r="A1558" s="1" t="s">
        <v>2288</v>
      </c>
      <c r="B1558" s="1" t="s">
        <v>481</v>
      </c>
      <c r="C1558" s="1" t="s">
        <v>128</v>
      </c>
      <c r="D1558" s="1" t="s">
        <v>114</v>
      </c>
      <c r="E1558" s="1" t="s">
        <v>16</v>
      </c>
      <c r="F1558" s="1" t="s">
        <v>114</v>
      </c>
      <c r="G1558" s="1">
        <v>9</v>
      </c>
      <c r="H1558" s="1">
        <v>6366</v>
      </c>
      <c r="I1558" s="1">
        <v>0.05</v>
      </c>
      <c r="J1558" s="1">
        <v>54429.3</v>
      </c>
      <c r="K1558" s="1">
        <v>6629.58</v>
      </c>
      <c r="L1558" s="1" t="s">
        <v>17</v>
      </c>
      <c r="M1558" s="1" t="str">
        <f>TEXT(Table1[[#This Row],[Order Date]],"mmm")</f>
        <v>Oct</v>
      </c>
      <c r="N1558" s="1">
        <f>YEAR(Table1[[#This Row],[Order Date]])</f>
        <v>2024</v>
      </c>
    </row>
    <row r="1559" spans="1:14" x14ac:dyDescent="0.35">
      <c r="A1559" s="1" t="s">
        <v>2289</v>
      </c>
      <c r="B1559" s="1" t="s">
        <v>707</v>
      </c>
      <c r="C1559" s="1" t="s">
        <v>77</v>
      </c>
      <c r="D1559" s="1" t="s">
        <v>44</v>
      </c>
      <c r="E1559" s="1" t="s">
        <v>28</v>
      </c>
      <c r="F1559" s="1" t="s">
        <v>44</v>
      </c>
      <c r="G1559" s="1">
        <v>7</v>
      </c>
      <c r="H1559" s="1">
        <v>48629</v>
      </c>
      <c r="I1559" s="1">
        <v>0.05</v>
      </c>
      <c r="J1559" s="1">
        <v>323382.84999999998</v>
      </c>
      <c r="K1559" s="1">
        <v>73404.47</v>
      </c>
      <c r="L1559" s="1" t="s">
        <v>17</v>
      </c>
      <c r="M1559" s="1" t="str">
        <f>TEXT(Table1[[#This Row],[Order Date]],"mmm")</f>
        <v>Oct</v>
      </c>
      <c r="N1559" s="1">
        <f>YEAR(Table1[[#This Row],[Order Date]])</f>
        <v>2024</v>
      </c>
    </row>
    <row r="1560" spans="1:14" x14ac:dyDescent="0.35">
      <c r="A1560" s="1" t="s">
        <v>2290</v>
      </c>
      <c r="B1560" s="1" t="s">
        <v>2291</v>
      </c>
      <c r="C1560" s="1" t="s">
        <v>370</v>
      </c>
      <c r="D1560" s="1" t="s">
        <v>141</v>
      </c>
      <c r="E1560" s="1" t="s">
        <v>22</v>
      </c>
      <c r="F1560" s="1" t="s">
        <v>141</v>
      </c>
      <c r="G1560" s="1">
        <v>11</v>
      </c>
      <c r="H1560" s="1">
        <v>56908</v>
      </c>
      <c r="I1560" s="1">
        <v>0.05</v>
      </c>
      <c r="J1560" s="1">
        <v>594688.6</v>
      </c>
      <c r="K1560" s="1">
        <v>62647.72</v>
      </c>
      <c r="L1560" s="1" t="s">
        <v>17</v>
      </c>
      <c r="M1560" s="1" t="str">
        <f>TEXT(Table1[[#This Row],[Order Date]],"mmm")</f>
        <v>Sep</v>
      </c>
      <c r="N1560" s="1">
        <f>YEAR(Table1[[#This Row],[Order Date]])</f>
        <v>2023</v>
      </c>
    </row>
    <row r="1561" spans="1:14" x14ac:dyDescent="0.35">
      <c r="A1561" s="1" t="s">
        <v>2292</v>
      </c>
      <c r="B1561" s="1" t="s">
        <v>478</v>
      </c>
      <c r="C1561" s="1" t="s">
        <v>67</v>
      </c>
      <c r="D1561" s="1" t="s">
        <v>167</v>
      </c>
      <c r="E1561" s="1" t="s">
        <v>16</v>
      </c>
      <c r="F1561" s="1" t="s">
        <v>167</v>
      </c>
      <c r="G1561" s="1">
        <v>11</v>
      </c>
      <c r="H1561" s="1">
        <v>35352</v>
      </c>
      <c r="I1561" s="1">
        <v>0.1</v>
      </c>
      <c r="J1561" s="1">
        <v>349984.8</v>
      </c>
      <c r="K1561" s="1">
        <v>42070.93</v>
      </c>
      <c r="L1561" s="1" t="s">
        <v>45</v>
      </c>
      <c r="M1561" s="1" t="str">
        <f>TEXT(Table1[[#This Row],[Order Date]],"mmm")</f>
        <v>May</v>
      </c>
      <c r="N1561" s="1">
        <f>YEAR(Table1[[#This Row],[Order Date]])</f>
        <v>2024</v>
      </c>
    </row>
    <row r="1562" spans="1:14" x14ac:dyDescent="0.35">
      <c r="A1562" s="1" t="s">
        <v>2293</v>
      </c>
      <c r="B1562" s="1" t="s">
        <v>2243</v>
      </c>
      <c r="C1562" s="1" t="s">
        <v>111</v>
      </c>
      <c r="D1562" s="1" t="s">
        <v>141</v>
      </c>
      <c r="E1562" s="1" t="s">
        <v>22</v>
      </c>
      <c r="F1562" s="1" t="s">
        <v>141</v>
      </c>
      <c r="G1562" s="1">
        <v>13</v>
      </c>
      <c r="H1562" s="1">
        <v>8232</v>
      </c>
      <c r="I1562" s="1">
        <v>0.15</v>
      </c>
      <c r="J1562" s="1">
        <v>90963.6</v>
      </c>
      <c r="K1562" s="1">
        <v>17275</v>
      </c>
      <c r="L1562" s="1" t="s">
        <v>45</v>
      </c>
      <c r="M1562" s="1" t="str">
        <f>TEXT(Table1[[#This Row],[Order Date]],"mmm")</f>
        <v>May</v>
      </c>
      <c r="N1562" s="1">
        <f>YEAR(Table1[[#This Row],[Order Date]])</f>
        <v>2023</v>
      </c>
    </row>
    <row r="1563" spans="1:14" x14ac:dyDescent="0.35">
      <c r="A1563" s="1" t="s">
        <v>2294</v>
      </c>
      <c r="B1563" s="1" t="s">
        <v>655</v>
      </c>
      <c r="C1563" s="1" t="s">
        <v>14</v>
      </c>
      <c r="D1563" s="1" t="s">
        <v>44</v>
      </c>
      <c r="E1563" s="1" t="s">
        <v>28</v>
      </c>
      <c r="F1563" s="1" t="s">
        <v>44</v>
      </c>
      <c r="G1563" s="1">
        <v>7</v>
      </c>
      <c r="H1563" s="1">
        <v>55354</v>
      </c>
      <c r="I1563" s="1">
        <v>0.15</v>
      </c>
      <c r="J1563" s="1">
        <v>329356.3</v>
      </c>
      <c r="K1563" s="1">
        <v>36283.879999999997</v>
      </c>
      <c r="L1563" s="1" t="s">
        <v>17</v>
      </c>
      <c r="M1563" s="1" t="str">
        <f>TEXT(Table1[[#This Row],[Order Date]],"mmm")</f>
        <v>Jul</v>
      </c>
      <c r="N1563" s="1">
        <f>YEAR(Table1[[#This Row],[Order Date]])</f>
        <v>2023</v>
      </c>
    </row>
    <row r="1564" spans="1:14" x14ac:dyDescent="0.35">
      <c r="A1564" s="1" t="s">
        <v>2295</v>
      </c>
      <c r="B1564" s="1" t="s">
        <v>1755</v>
      </c>
      <c r="C1564" s="1" t="s">
        <v>59</v>
      </c>
      <c r="D1564" s="1" t="s">
        <v>137</v>
      </c>
      <c r="E1564" s="1" t="s">
        <v>22</v>
      </c>
      <c r="F1564" s="1" t="s">
        <v>137</v>
      </c>
      <c r="G1564" s="1">
        <v>14</v>
      </c>
      <c r="H1564" s="1">
        <v>14382</v>
      </c>
      <c r="I1564" s="1">
        <v>0.05</v>
      </c>
      <c r="J1564" s="1">
        <v>191280.6</v>
      </c>
      <c r="K1564" s="1">
        <v>52997.599999999999</v>
      </c>
      <c r="L1564" s="1" t="s">
        <v>23</v>
      </c>
      <c r="M1564" s="1" t="str">
        <f>TEXT(Table1[[#This Row],[Order Date]],"mmm")</f>
        <v>May</v>
      </c>
      <c r="N1564" s="1">
        <f>YEAR(Table1[[#This Row],[Order Date]])</f>
        <v>2024</v>
      </c>
    </row>
    <row r="1565" spans="1:14" x14ac:dyDescent="0.35">
      <c r="A1565" s="1" t="s">
        <v>2296</v>
      </c>
      <c r="B1565" s="1" t="s">
        <v>339</v>
      </c>
      <c r="C1565" s="1" t="s">
        <v>117</v>
      </c>
      <c r="D1565" s="1" t="s">
        <v>74</v>
      </c>
      <c r="E1565" s="1" t="s">
        <v>22</v>
      </c>
      <c r="F1565" s="1" t="s">
        <v>74</v>
      </c>
      <c r="G1565" s="1">
        <v>11</v>
      </c>
      <c r="H1565" s="1">
        <v>39217</v>
      </c>
      <c r="I1565" s="1">
        <v>0.15</v>
      </c>
      <c r="J1565" s="1">
        <v>366678.95</v>
      </c>
      <c r="K1565" s="1">
        <v>85103.4</v>
      </c>
      <c r="L1565" s="1" t="s">
        <v>23</v>
      </c>
      <c r="M1565" s="1" t="str">
        <f>TEXT(Table1[[#This Row],[Order Date]],"mmm")</f>
        <v>Jun</v>
      </c>
      <c r="N1565" s="1">
        <f>YEAR(Table1[[#This Row],[Order Date]])</f>
        <v>2024</v>
      </c>
    </row>
    <row r="1566" spans="1:14" x14ac:dyDescent="0.35">
      <c r="A1566" s="1" t="s">
        <v>2297</v>
      </c>
      <c r="B1566" s="1" t="s">
        <v>1267</v>
      </c>
      <c r="C1566" s="1" t="s">
        <v>26</v>
      </c>
      <c r="D1566" s="1" t="s">
        <v>323</v>
      </c>
      <c r="E1566" s="1" t="s">
        <v>33</v>
      </c>
      <c r="F1566" s="1" t="s">
        <v>323</v>
      </c>
      <c r="G1566" s="1">
        <v>9</v>
      </c>
      <c r="H1566" s="1">
        <v>37457</v>
      </c>
      <c r="I1566" s="1">
        <v>0.05</v>
      </c>
      <c r="J1566" s="1">
        <v>320257.34999999998</v>
      </c>
      <c r="K1566" s="1">
        <v>81556.800000000003</v>
      </c>
      <c r="L1566" s="1" t="s">
        <v>23</v>
      </c>
      <c r="M1566" s="1" t="str">
        <f>TEXT(Table1[[#This Row],[Order Date]],"mmm")</f>
        <v>Jan</v>
      </c>
      <c r="N1566" s="1">
        <f>YEAR(Table1[[#This Row],[Order Date]])</f>
        <v>2023</v>
      </c>
    </row>
    <row r="1567" spans="1:14" x14ac:dyDescent="0.35">
      <c r="A1567" s="1" t="s">
        <v>2298</v>
      </c>
      <c r="B1567" s="1" t="s">
        <v>792</v>
      </c>
      <c r="C1567" s="1" t="s">
        <v>335</v>
      </c>
      <c r="D1567" s="1" t="s">
        <v>64</v>
      </c>
      <c r="E1567" s="1" t="s">
        <v>33</v>
      </c>
      <c r="F1567" s="1" t="s">
        <v>64</v>
      </c>
      <c r="G1567" s="1">
        <v>13</v>
      </c>
      <c r="H1567" s="1">
        <v>26906</v>
      </c>
      <c r="I1567" s="1">
        <v>0.05</v>
      </c>
      <c r="J1567" s="1">
        <v>332289.09999999998</v>
      </c>
      <c r="K1567" s="1">
        <v>64324.81</v>
      </c>
      <c r="L1567" s="1" t="s">
        <v>45</v>
      </c>
      <c r="M1567" s="1" t="str">
        <f>TEXT(Table1[[#This Row],[Order Date]],"mmm")</f>
        <v>Aug</v>
      </c>
      <c r="N1567" s="1">
        <f>YEAR(Table1[[#This Row],[Order Date]])</f>
        <v>2023</v>
      </c>
    </row>
    <row r="1568" spans="1:14" x14ac:dyDescent="0.35">
      <c r="A1568" s="1" t="s">
        <v>2299</v>
      </c>
      <c r="B1568" s="1" t="s">
        <v>462</v>
      </c>
      <c r="C1568" s="1" t="s">
        <v>94</v>
      </c>
      <c r="D1568" s="1" t="s">
        <v>133</v>
      </c>
      <c r="E1568" s="1" t="s">
        <v>22</v>
      </c>
      <c r="F1568" s="1" t="s">
        <v>133</v>
      </c>
      <c r="G1568" s="1">
        <v>15</v>
      </c>
      <c r="H1568" s="1">
        <v>19002</v>
      </c>
      <c r="I1568" s="1">
        <v>0.15</v>
      </c>
      <c r="J1568" s="1">
        <v>242275.5</v>
      </c>
      <c r="K1568" s="1">
        <v>35796.11</v>
      </c>
      <c r="L1568" s="1" t="s">
        <v>23</v>
      </c>
      <c r="M1568" s="1" t="str">
        <f>TEXT(Table1[[#This Row],[Order Date]],"mmm")</f>
        <v>Jul</v>
      </c>
      <c r="N1568" s="1">
        <f>YEAR(Table1[[#This Row],[Order Date]])</f>
        <v>2024</v>
      </c>
    </row>
    <row r="1569" spans="1:14" x14ac:dyDescent="0.35">
      <c r="A1569" s="1" t="s">
        <v>2300</v>
      </c>
      <c r="B1569" s="1" t="s">
        <v>2301</v>
      </c>
      <c r="C1569" s="1" t="s">
        <v>73</v>
      </c>
      <c r="D1569" s="1" t="s">
        <v>27</v>
      </c>
      <c r="E1569" s="1" t="s">
        <v>28</v>
      </c>
      <c r="F1569" s="1" t="s">
        <v>27</v>
      </c>
      <c r="G1569" s="1">
        <v>4</v>
      </c>
      <c r="H1569" s="1">
        <v>5376</v>
      </c>
      <c r="I1569" s="1">
        <v>0.2</v>
      </c>
      <c r="J1569" s="1">
        <v>17203.2</v>
      </c>
      <c r="K1569" s="1">
        <v>1617.11</v>
      </c>
      <c r="L1569" s="1" t="s">
        <v>70</v>
      </c>
      <c r="M1569" s="1" t="str">
        <f>TEXT(Table1[[#This Row],[Order Date]],"mmm")</f>
        <v>Jan</v>
      </c>
      <c r="N1569" s="1">
        <f>YEAR(Table1[[#This Row],[Order Date]])</f>
        <v>2023</v>
      </c>
    </row>
    <row r="1570" spans="1:14" x14ac:dyDescent="0.35">
      <c r="A1570" s="1" t="s">
        <v>2302</v>
      </c>
      <c r="B1570" s="1" t="s">
        <v>327</v>
      </c>
      <c r="C1570" s="1" t="s">
        <v>31</v>
      </c>
      <c r="D1570" s="1" t="s">
        <v>41</v>
      </c>
      <c r="E1570" s="1" t="s">
        <v>16</v>
      </c>
      <c r="F1570" s="1" t="s">
        <v>41</v>
      </c>
      <c r="G1570" s="1">
        <v>2</v>
      </c>
      <c r="H1570" s="1">
        <v>1000</v>
      </c>
      <c r="I1570" s="1">
        <v>0</v>
      </c>
      <c r="J1570" s="1">
        <v>2000</v>
      </c>
      <c r="K1570" s="1">
        <v>283.54000000000002</v>
      </c>
      <c r="L1570" s="1" t="s">
        <v>45</v>
      </c>
      <c r="M1570" s="1" t="str">
        <f>TEXT(Table1[[#This Row],[Order Date]],"mmm")</f>
        <v>Nov</v>
      </c>
      <c r="N1570" s="1">
        <f>YEAR(Table1[[#This Row],[Order Date]])</f>
        <v>2024</v>
      </c>
    </row>
    <row r="1571" spans="1:14" x14ac:dyDescent="0.35">
      <c r="A1571" s="1" t="s">
        <v>2303</v>
      </c>
      <c r="B1571" s="1" t="s">
        <v>316</v>
      </c>
      <c r="C1571" s="1" t="s">
        <v>26</v>
      </c>
      <c r="D1571" s="1" t="s">
        <v>91</v>
      </c>
      <c r="E1571" s="1" t="s">
        <v>16</v>
      </c>
      <c r="F1571" s="1" t="s">
        <v>91</v>
      </c>
      <c r="G1571" s="1">
        <v>8</v>
      </c>
      <c r="H1571" s="1">
        <v>30239</v>
      </c>
      <c r="I1571" s="1">
        <v>0.15</v>
      </c>
      <c r="J1571" s="1">
        <v>205625.2</v>
      </c>
      <c r="K1571" s="1">
        <v>49146.19</v>
      </c>
      <c r="L1571" s="1" t="s">
        <v>70</v>
      </c>
      <c r="M1571" s="1" t="str">
        <f>TEXT(Table1[[#This Row],[Order Date]],"mmm")</f>
        <v>Nov</v>
      </c>
      <c r="N1571" s="1">
        <f>YEAR(Table1[[#This Row],[Order Date]])</f>
        <v>2023</v>
      </c>
    </row>
    <row r="1572" spans="1:14" x14ac:dyDescent="0.35">
      <c r="A1572" s="1" t="s">
        <v>2304</v>
      </c>
      <c r="B1572" s="1" t="s">
        <v>1023</v>
      </c>
      <c r="C1572" s="1" t="s">
        <v>36</v>
      </c>
      <c r="D1572" s="1" t="s">
        <v>137</v>
      </c>
      <c r="E1572" s="1" t="s">
        <v>22</v>
      </c>
      <c r="F1572" s="1" t="s">
        <v>137</v>
      </c>
      <c r="G1572" s="1">
        <v>12</v>
      </c>
      <c r="H1572" s="1">
        <v>2123</v>
      </c>
      <c r="I1572" s="1">
        <v>0.05</v>
      </c>
      <c r="J1572" s="1">
        <v>24202.2</v>
      </c>
      <c r="K1572" s="1">
        <v>5039.9399999999996</v>
      </c>
      <c r="L1572" s="1" t="s">
        <v>45</v>
      </c>
      <c r="M1572" s="1" t="str">
        <f>TEXT(Table1[[#This Row],[Order Date]],"mmm")</f>
        <v>May</v>
      </c>
      <c r="N1572" s="1">
        <f>YEAR(Table1[[#This Row],[Order Date]])</f>
        <v>2023</v>
      </c>
    </row>
    <row r="1573" spans="1:14" x14ac:dyDescent="0.35">
      <c r="A1573" s="1" t="s">
        <v>2305</v>
      </c>
      <c r="B1573" s="1" t="s">
        <v>1286</v>
      </c>
      <c r="C1573" s="1" t="s">
        <v>178</v>
      </c>
      <c r="D1573" s="1" t="s">
        <v>323</v>
      </c>
      <c r="E1573" s="1" t="s">
        <v>33</v>
      </c>
      <c r="F1573" s="1" t="s">
        <v>323</v>
      </c>
      <c r="G1573" s="1">
        <v>7</v>
      </c>
      <c r="H1573" s="1">
        <v>56094</v>
      </c>
      <c r="I1573" s="1">
        <v>0.05</v>
      </c>
      <c r="J1573" s="1">
        <v>373025.1</v>
      </c>
      <c r="K1573" s="1">
        <v>39937.160000000003</v>
      </c>
      <c r="L1573" s="1" t="s">
        <v>45</v>
      </c>
      <c r="M1573" s="1" t="str">
        <f>TEXT(Table1[[#This Row],[Order Date]],"mmm")</f>
        <v>Mar</v>
      </c>
      <c r="N1573" s="1">
        <f>YEAR(Table1[[#This Row],[Order Date]])</f>
        <v>2023</v>
      </c>
    </row>
    <row r="1574" spans="1:14" x14ac:dyDescent="0.35">
      <c r="A1574" s="1" t="s">
        <v>2306</v>
      </c>
      <c r="B1574" s="1" t="s">
        <v>1997</v>
      </c>
      <c r="C1574" s="1" t="s">
        <v>40</v>
      </c>
      <c r="D1574" s="1" t="s">
        <v>224</v>
      </c>
      <c r="E1574" s="1" t="s">
        <v>33</v>
      </c>
      <c r="F1574" s="1" t="s">
        <v>224</v>
      </c>
      <c r="G1574" s="1">
        <v>13</v>
      </c>
      <c r="H1574" s="1">
        <v>9478</v>
      </c>
      <c r="I1574" s="1">
        <v>0.1</v>
      </c>
      <c r="J1574" s="1">
        <v>110892.6</v>
      </c>
      <c r="K1574" s="1">
        <v>16196.76</v>
      </c>
      <c r="L1574" s="1" t="s">
        <v>45</v>
      </c>
      <c r="M1574" s="1" t="str">
        <f>TEXT(Table1[[#This Row],[Order Date]],"mmm")</f>
        <v>Jul</v>
      </c>
      <c r="N1574" s="1">
        <f>YEAR(Table1[[#This Row],[Order Date]])</f>
        <v>2023</v>
      </c>
    </row>
    <row r="1575" spans="1:14" x14ac:dyDescent="0.35">
      <c r="A1575" s="1" t="s">
        <v>2307</v>
      </c>
      <c r="B1575" s="1" t="s">
        <v>1324</v>
      </c>
      <c r="C1575" s="1" t="s">
        <v>107</v>
      </c>
      <c r="D1575" s="1" t="s">
        <v>64</v>
      </c>
      <c r="E1575" s="1" t="s">
        <v>33</v>
      </c>
      <c r="F1575" s="1" t="s">
        <v>64</v>
      </c>
      <c r="G1575" s="1">
        <v>10</v>
      </c>
      <c r="H1575" s="1">
        <v>53805</v>
      </c>
      <c r="I1575" s="1">
        <v>0.15</v>
      </c>
      <c r="J1575" s="1">
        <v>457342.5</v>
      </c>
      <c r="K1575" s="1">
        <v>117803.31</v>
      </c>
      <c r="L1575" s="1" t="s">
        <v>70</v>
      </c>
      <c r="M1575" s="1" t="str">
        <f>TEXT(Table1[[#This Row],[Order Date]],"mmm")</f>
        <v>Aug</v>
      </c>
      <c r="N1575" s="1">
        <f>YEAR(Table1[[#This Row],[Order Date]])</f>
        <v>2024</v>
      </c>
    </row>
    <row r="1576" spans="1:14" x14ac:dyDescent="0.35">
      <c r="A1576" s="1" t="s">
        <v>2308</v>
      </c>
      <c r="B1576" s="1" t="s">
        <v>630</v>
      </c>
      <c r="C1576" s="1" t="s">
        <v>88</v>
      </c>
      <c r="D1576" s="1" t="s">
        <v>52</v>
      </c>
      <c r="E1576" s="1" t="s">
        <v>28</v>
      </c>
      <c r="F1576" s="1" t="s">
        <v>52</v>
      </c>
      <c r="G1576" s="1">
        <v>5</v>
      </c>
      <c r="H1576" s="1">
        <v>19353</v>
      </c>
      <c r="I1576" s="1">
        <v>0.05</v>
      </c>
      <c r="J1576" s="1">
        <v>91926.75</v>
      </c>
      <c r="K1576" s="1">
        <v>14726.33</v>
      </c>
      <c r="L1576" s="1" t="s">
        <v>17</v>
      </c>
      <c r="M1576" s="1" t="str">
        <f>TEXT(Table1[[#This Row],[Order Date]],"mmm")</f>
        <v>Aug</v>
      </c>
      <c r="N1576" s="1">
        <f>YEAR(Table1[[#This Row],[Order Date]])</f>
        <v>2023</v>
      </c>
    </row>
    <row r="1577" spans="1:14" x14ac:dyDescent="0.35">
      <c r="A1577" s="1" t="s">
        <v>2309</v>
      </c>
      <c r="B1577" s="1" t="s">
        <v>1531</v>
      </c>
      <c r="C1577" s="1" t="s">
        <v>335</v>
      </c>
      <c r="D1577" s="1" t="s">
        <v>78</v>
      </c>
      <c r="E1577" s="1" t="s">
        <v>28</v>
      </c>
      <c r="F1577" s="1" t="s">
        <v>78</v>
      </c>
      <c r="G1577" s="1">
        <v>1</v>
      </c>
      <c r="H1577" s="1">
        <v>12422</v>
      </c>
      <c r="I1577" s="1">
        <v>0.15</v>
      </c>
      <c r="J1577" s="1">
        <v>10558.7</v>
      </c>
      <c r="K1577" s="1">
        <v>880.43</v>
      </c>
      <c r="L1577" s="1" t="s">
        <v>23</v>
      </c>
      <c r="M1577" s="1" t="str">
        <f>TEXT(Table1[[#This Row],[Order Date]],"mmm")</f>
        <v>Aug</v>
      </c>
      <c r="N1577" s="1">
        <f>YEAR(Table1[[#This Row],[Order Date]])</f>
        <v>2023</v>
      </c>
    </row>
    <row r="1578" spans="1:14" x14ac:dyDescent="0.35">
      <c r="A1578" s="1" t="s">
        <v>2310</v>
      </c>
      <c r="B1578" s="1" t="s">
        <v>825</v>
      </c>
      <c r="C1578" s="1" t="s">
        <v>111</v>
      </c>
      <c r="D1578" s="1" t="s">
        <v>27</v>
      </c>
      <c r="E1578" s="1" t="s">
        <v>28</v>
      </c>
      <c r="F1578" s="1" t="s">
        <v>27</v>
      </c>
      <c r="G1578" s="1">
        <v>10</v>
      </c>
      <c r="H1578" s="1">
        <v>55579</v>
      </c>
      <c r="I1578" s="1">
        <v>0.2</v>
      </c>
      <c r="J1578" s="1">
        <v>444632</v>
      </c>
      <c r="K1578" s="1">
        <v>66609.23</v>
      </c>
      <c r="L1578" s="1" t="s">
        <v>70</v>
      </c>
      <c r="M1578" s="1" t="str">
        <f>TEXT(Table1[[#This Row],[Order Date]],"mmm")</f>
        <v>Oct</v>
      </c>
      <c r="N1578" s="1">
        <f>YEAR(Table1[[#This Row],[Order Date]])</f>
        <v>2023</v>
      </c>
    </row>
    <row r="1579" spans="1:14" x14ac:dyDescent="0.35">
      <c r="A1579" s="1" t="s">
        <v>2311</v>
      </c>
      <c r="B1579" s="1" t="s">
        <v>1389</v>
      </c>
      <c r="C1579" s="1" t="s">
        <v>140</v>
      </c>
      <c r="D1579" s="1" t="s">
        <v>15</v>
      </c>
      <c r="E1579" s="1" t="s">
        <v>16</v>
      </c>
      <c r="F1579" s="1" t="s">
        <v>15</v>
      </c>
      <c r="G1579" s="1">
        <v>6</v>
      </c>
      <c r="H1579" s="1">
        <v>18449</v>
      </c>
      <c r="I1579" s="1">
        <v>0.15</v>
      </c>
      <c r="J1579" s="1">
        <v>94089.9</v>
      </c>
      <c r="K1579" s="1">
        <v>27403.7</v>
      </c>
      <c r="L1579" s="1" t="s">
        <v>70</v>
      </c>
      <c r="M1579" s="1" t="str">
        <f>TEXT(Table1[[#This Row],[Order Date]],"mmm")</f>
        <v>Apr</v>
      </c>
      <c r="N1579" s="1">
        <f>YEAR(Table1[[#This Row],[Order Date]])</f>
        <v>2023</v>
      </c>
    </row>
    <row r="1580" spans="1:14" x14ac:dyDescent="0.35">
      <c r="A1580" s="1" t="s">
        <v>2312</v>
      </c>
      <c r="B1580" s="1" t="s">
        <v>608</v>
      </c>
      <c r="C1580" s="1" t="s">
        <v>117</v>
      </c>
      <c r="D1580" s="1" t="s">
        <v>52</v>
      </c>
      <c r="E1580" s="1" t="s">
        <v>28</v>
      </c>
      <c r="F1580" s="1" t="s">
        <v>52</v>
      </c>
      <c r="G1580" s="1">
        <v>9</v>
      </c>
      <c r="H1580" s="1">
        <v>28221</v>
      </c>
      <c r="I1580" s="1">
        <v>0.05</v>
      </c>
      <c r="J1580" s="1">
        <v>241289.55</v>
      </c>
      <c r="K1580" s="1">
        <v>42347.26</v>
      </c>
      <c r="L1580" s="1" t="s">
        <v>45</v>
      </c>
      <c r="M1580" s="1" t="str">
        <f>TEXT(Table1[[#This Row],[Order Date]],"mmm")</f>
        <v>May</v>
      </c>
      <c r="N1580" s="1">
        <f>YEAR(Table1[[#This Row],[Order Date]])</f>
        <v>2024</v>
      </c>
    </row>
    <row r="1581" spans="1:14" x14ac:dyDescent="0.35">
      <c r="A1581" s="1" t="s">
        <v>2313</v>
      </c>
      <c r="B1581" s="1" t="s">
        <v>240</v>
      </c>
      <c r="C1581" s="1" t="s">
        <v>111</v>
      </c>
      <c r="D1581" s="1" t="s">
        <v>293</v>
      </c>
      <c r="E1581" s="1" t="s">
        <v>33</v>
      </c>
      <c r="F1581" s="1" t="s">
        <v>293</v>
      </c>
      <c r="G1581" s="1">
        <v>6</v>
      </c>
      <c r="H1581" s="1">
        <v>23569</v>
      </c>
      <c r="I1581" s="1">
        <v>0.2</v>
      </c>
      <c r="J1581" s="1">
        <v>113131.2</v>
      </c>
      <c r="K1581" s="1">
        <v>21330.93</v>
      </c>
      <c r="L1581" s="1" t="s">
        <v>70</v>
      </c>
      <c r="M1581" s="1" t="str">
        <f>TEXT(Table1[[#This Row],[Order Date]],"mmm")</f>
        <v>Sep</v>
      </c>
      <c r="N1581" s="1">
        <f>YEAR(Table1[[#This Row],[Order Date]])</f>
        <v>2024</v>
      </c>
    </row>
    <row r="1582" spans="1:14" x14ac:dyDescent="0.35">
      <c r="A1582" s="1" t="s">
        <v>2314</v>
      </c>
      <c r="B1582" s="1" t="s">
        <v>272</v>
      </c>
      <c r="C1582" s="1" t="s">
        <v>117</v>
      </c>
      <c r="D1582" s="1" t="s">
        <v>48</v>
      </c>
      <c r="E1582" s="1" t="s">
        <v>16</v>
      </c>
      <c r="F1582" s="1" t="s">
        <v>48</v>
      </c>
      <c r="G1582" s="1">
        <v>12</v>
      </c>
      <c r="H1582" s="1">
        <v>39531</v>
      </c>
      <c r="I1582" s="1">
        <v>0.15</v>
      </c>
      <c r="J1582" s="1">
        <v>403216.2</v>
      </c>
      <c r="K1582" s="1">
        <v>89656.82</v>
      </c>
      <c r="L1582" s="1" t="s">
        <v>70</v>
      </c>
      <c r="M1582" s="1" t="str">
        <f>TEXT(Table1[[#This Row],[Order Date]],"mmm")</f>
        <v>Jun</v>
      </c>
      <c r="N1582" s="1">
        <f>YEAR(Table1[[#This Row],[Order Date]])</f>
        <v>2023</v>
      </c>
    </row>
    <row r="1583" spans="1:14" x14ac:dyDescent="0.35">
      <c r="A1583" s="1" t="s">
        <v>2315</v>
      </c>
      <c r="B1583" s="1" t="s">
        <v>886</v>
      </c>
      <c r="C1583" s="1" t="s">
        <v>73</v>
      </c>
      <c r="D1583" s="1" t="s">
        <v>52</v>
      </c>
      <c r="E1583" s="1" t="s">
        <v>28</v>
      </c>
      <c r="F1583" s="1" t="s">
        <v>52</v>
      </c>
      <c r="G1583" s="1">
        <v>14</v>
      </c>
      <c r="H1583" s="1">
        <v>49766</v>
      </c>
      <c r="I1583" s="1">
        <v>0.1</v>
      </c>
      <c r="J1583" s="1">
        <v>627051.6</v>
      </c>
      <c r="K1583" s="1">
        <v>138597.03</v>
      </c>
      <c r="L1583" s="1" t="s">
        <v>45</v>
      </c>
      <c r="M1583" s="1" t="str">
        <f>TEXT(Table1[[#This Row],[Order Date]],"mmm")</f>
        <v>Apr</v>
      </c>
      <c r="N1583" s="1">
        <f>YEAR(Table1[[#This Row],[Order Date]])</f>
        <v>2023</v>
      </c>
    </row>
    <row r="1584" spans="1:14" x14ac:dyDescent="0.35">
      <c r="A1584" s="1" t="s">
        <v>2316</v>
      </c>
      <c r="B1584" s="1" t="s">
        <v>1104</v>
      </c>
      <c r="C1584" s="1" t="s">
        <v>31</v>
      </c>
      <c r="D1584" s="1" t="s">
        <v>15</v>
      </c>
      <c r="E1584" s="1" t="s">
        <v>16</v>
      </c>
      <c r="F1584" s="1" t="s">
        <v>15</v>
      </c>
      <c r="G1584" s="1">
        <v>7</v>
      </c>
      <c r="H1584" s="1">
        <v>50451</v>
      </c>
      <c r="I1584" s="1">
        <v>0</v>
      </c>
      <c r="J1584" s="1">
        <v>353157</v>
      </c>
      <c r="K1584" s="1">
        <v>29227.55</v>
      </c>
      <c r="L1584" s="1" t="s">
        <v>70</v>
      </c>
      <c r="M1584" s="1" t="str">
        <f>TEXT(Table1[[#This Row],[Order Date]],"mmm")</f>
        <v>Oct</v>
      </c>
      <c r="N1584" s="1">
        <f>YEAR(Table1[[#This Row],[Order Date]])</f>
        <v>2023</v>
      </c>
    </row>
    <row r="1585" spans="1:14" x14ac:dyDescent="0.35">
      <c r="A1585" s="1" t="s">
        <v>2317</v>
      </c>
      <c r="B1585" s="1" t="s">
        <v>1502</v>
      </c>
      <c r="C1585" s="1" t="s">
        <v>203</v>
      </c>
      <c r="D1585" s="1" t="s">
        <v>78</v>
      </c>
      <c r="E1585" s="1" t="s">
        <v>28</v>
      </c>
      <c r="F1585" s="1" t="s">
        <v>78</v>
      </c>
      <c r="G1585" s="1">
        <v>4</v>
      </c>
      <c r="H1585" s="1">
        <v>52711</v>
      </c>
      <c r="I1585" s="1">
        <v>0.05</v>
      </c>
      <c r="J1585" s="1">
        <v>200301.8</v>
      </c>
      <c r="K1585" s="1">
        <v>23586.22</v>
      </c>
      <c r="L1585" s="1" t="s">
        <v>70</v>
      </c>
      <c r="M1585" s="1" t="str">
        <f>TEXT(Table1[[#This Row],[Order Date]],"mmm")</f>
        <v>Jul</v>
      </c>
      <c r="N1585" s="1">
        <f>YEAR(Table1[[#This Row],[Order Date]])</f>
        <v>2023</v>
      </c>
    </row>
    <row r="1586" spans="1:14" x14ac:dyDescent="0.35">
      <c r="A1586" s="1" t="s">
        <v>2318</v>
      </c>
      <c r="B1586" s="1" t="s">
        <v>306</v>
      </c>
      <c r="C1586" s="1" t="s">
        <v>117</v>
      </c>
      <c r="D1586" s="1" t="s">
        <v>21</v>
      </c>
      <c r="E1586" s="1" t="s">
        <v>22</v>
      </c>
      <c r="F1586" s="1" t="s">
        <v>21</v>
      </c>
      <c r="G1586" s="1">
        <v>9</v>
      </c>
      <c r="H1586" s="1">
        <v>21218</v>
      </c>
      <c r="I1586" s="1">
        <v>0.2</v>
      </c>
      <c r="J1586" s="1">
        <v>152769.60000000001</v>
      </c>
      <c r="K1586" s="1">
        <v>19701.439999999999</v>
      </c>
      <c r="L1586" s="1" t="s">
        <v>45</v>
      </c>
      <c r="M1586" s="1" t="str">
        <f>TEXT(Table1[[#This Row],[Order Date]],"mmm")</f>
        <v>Jul</v>
      </c>
      <c r="N1586" s="1">
        <f>YEAR(Table1[[#This Row],[Order Date]])</f>
        <v>2024</v>
      </c>
    </row>
    <row r="1587" spans="1:14" x14ac:dyDescent="0.35">
      <c r="A1587" s="1" t="s">
        <v>2319</v>
      </c>
      <c r="B1587" s="1" t="s">
        <v>856</v>
      </c>
      <c r="C1587" s="1" t="s">
        <v>335</v>
      </c>
      <c r="D1587" s="1" t="s">
        <v>224</v>
      </c>
      <c r="E1587" s="1" t="s">
        <v>33</v>
      </c>
      <c r="F1587" s="1" t="s">
        <v>224</v>
      </c>
      <c r="G1587" s="1">
        <v>1</v>
      </c>
      <c r="H1587" s="1">
        <v>26349</v>
      </c>
      <c r="I1587" s="1">
        <v>0.1</v>
      </c>
      <c r="J1587" s="1">
        <v>23714.1</v>
      </c>
      <c r="K1587" s="1">
        <v>6569.09</v>
      </c>
      <c r="L1587" s="1" t="s">
        <v>17</v>
      </c>
      <c r="M1587" s="1" t="str">
        <f>TEXT(Table1[[#This Row],[Order Date]],"mmm")</f>
        <v>Oct</v>
      </c>
      <c r="N1587" s="1">
        <f>YEAR(Table1[[#This Row],[Order Date]])</f>
        <v>2024</v>
      </c>
    </row>
    <row r="1588" spans="1:14" x14ac:dyDescent="0.35">
      <c r="A1588" s="1" t="s">
        <v>2320</v>
      </c>
      <c r="B1588" s="1" t="s">
        <v>2321</v>
      </c>
      <c r="C1588" s="1" t="s">
        <v>191</v>
      </c>
      <c r="D1588" s="1" t="s">
        <v>133</v>
      </c>
      <c r="E1588" s="1" t="s">
        <v>22</v>
      </c>
      <c r="F1588" s="1" t="s">
        <v>133</v>
      </c>
      <c r="G1588" s="1">
        <v>5</v>
      </c>
      <c r="H1588" s="1">
        <v>21124</v>
      </c>
      <c r="I1588" s="1">
        <v>0.05</v>
      </c>
      <c r="J1588" s="1">
        <v>100339</v>
      </c>
      <c r="K1588" s="1">
        <v>16679.45</v>
      </c>
      <c r="L1588" s="1" t="s">
        <v>70</v>
      </c>
      <c r="M1588" s="1" t="str">
        <f>TEXT(Table1[[#This Row],[Order Date]],"mmm")</f>
        <v>Feb</v>
      </c>
      <c r="N1588" s="1">
        <f>YEAR(Table1[[#This Row],[Order Date]])</f>
        <v>2023</v>
      </c>
    </row>
    <row r="1589" spans="1:14" x14ac:dyDescent="0.35">
      <c r="A1589" s="1" t="s">
        <v>2322</v>
      </c>
      <c r="B1589" s="1" t="s">
        <v>327</v>
      </c>
      <c r="C1589" s="1" t="s">
        <v>20</v>
      </c>
      <c r="D1589" s="1" t="s">
        <v>64</v>
      </c>
      <c r="E1589" s="1" t="s">
        <v>33</v>
      </c>
      <c r="F1589" s="1" t="s">
        <v>64</v>
      </c>
      <c r="G1589" s="1">
        <v>12</v>
      </c>
      <c r="H1589" s="1">
        <v>44808</v>
      </c>
      <c r="I1589" s="1">
        <v>0.1</v>
      </c>
      <c r="J1589" s="1">
        <v>483926.4</v>
      </c>
      <c r="K1589" s="1">
        <v>65401.11</v>
      </c>
      <c r="L1589" s="1" t="s">
        <v>17</v>
      </c>
      <c r="M1589" s="1" t="str">
        <f>TEXT(Table1[[#This Row],[Order Date]],"mmm")</f>
        <v>Nov</v>
      </c>
      <c r="N1589" s="1">
        <f>YEAR(Table1[[#This Row],[Order Date]])</f>
        <v>2024</v>
      </c>
    </row>
    <row r="1590" spans="1:14" x14ac:dyDescent="0.35">
      <c r="A1590" s="1" t="s">
        <v>2323</v>
      </c>
      <c r="B1590" s="1" t="s">
        <v>1427</v>
      </c>
      <c r="C1590" s="1" t="s">
        <v>640</v>
      </c>
      <c r="D1590" s="1" t="s">
        <v>32</v>
      </c>
      <c r="E1590" s="1" t="s">
        <v>33</v>
      </c>
      <c r="F1590" s="1" t="s">
        <v>32</v>
      </c>
      <c r="G1590" s="1">
        <v>12</v>
      </c>
      <c r="H1590" s="1">
        <v>13837</v>
      </c>
      <c r="I1590" s="1">
        <v>0.05</v>
      </c>
      <c r="J1590" s="1">
        <v>157741.79999999999</v>
      </c>
      <c r="K1590" s="1">
        <v>45252.11</v>
      </c>
      <c r="L1590" s="1" t="s">
        <v>17</v>
      </c>
      <c r="M1590" s="1" t="str">
        <f>TEXT(Table1[[#This Row],[Order Date]],"mmm")</f>
        <v>Oct</v>
      </c>
      <c r="N1590" s="1">
        <f>YEAR(Table1[[#This Row],[Order Date]])</f>
        <v>2024</v>
      </c>
    </row>
    <row r="1591" spans="1:14" x14ac:dyDescent="0.35">
      <c r="A1591" s="1" t="s">
        <v>2324</v>
      </c>
      <c r="B1591" s="1" t="s">
        <v>1354</v>
      </c>
      <c r="C1591" s="1" t="s">
        <v>63</v>
      </c>
      <c r="D1591" s="1" t="s">
        <v>137</v>
      </c>
      <c r="E1591" s="1" t="s">
        <v>22</v>
      </c>
      <c r="F1591" s="1" t="s">
        <v>137</v>
      </c>
      <c r="G1591" s="1">
        <v>5</v>
      </c>
      <c r="H1591" s="1">
        <v>19264</v>
      </c>
      <c r="I1591" s="1">
        <v>0.2</v>
      </c>
      <c r="J1591" s="1">
        <v>77056</v>
      </c>
      <c r="K1591" s="1">
        <v>14231.65</v>
      </c>
      <c r="L1591" s="1" t="s">
        <v>70</v>
      </c>
      <c r="M1591" s="1" t="str">
        <f>TEXT(Table1[[#This Row],[Order Date]],"mmm")</f>
        <v>Aug</v>
      </c>
      <c r="N1591" s="1">
        <f>YEAR(Table1[[#This Row],[Order Date]])</f>
        <v>2024</v>
      </c>
    </row>
    <row r="1592" spans="1:14" x14ac:dyDescent="0.35">
      <c r="A1592" s="1" t="s">
        <v>2325</v>
      </c>
      <c r="B1592" s="1" t="s">
        <v>1517</v>
      </c>
      <c r="C1592" s="1" t="s">
        <v>88</v>
      </c>
      <c r="D1592" s="1" t="s">
        <v>21</v>
      </c>
      <c r="E1592" s="1" t="s">
        <v>22</v>
      </c>
      <c r="F1592" s="1" t="s">
        <v>21</v>
      </c>
      <c r="G1592" s="1">
        <v>5</v>
      </c>
      <c r="H1592" s="1">
        <v>47616</v>
      </c>
      <c r="I1592" s="1">
        <v>0</v>
      </c>
      <c r="J1592" s="1">
        <v>238080</v>
      </c>
      <c r="K1592" s="1">
        <v>25576.18</v>
      </c>
      <c r="L1592" s="1" t="s">
        <v>23</v>
      </c>
      <c r="M1592" s="1" t="str">
        <f>TEXT(Table1[[#This Row],[Order Date]],"mmm")</f>
        <v>Mar</v>
      </c>
      <c r="N1592" s="1">
        <f>YEAR(Table1[[#This Row],[Order Date]])</f>
        <v>2023</v>
      </c>
    </row>
    <row r="1593" spans="1:14" x14ac:dyDescent="0.35">
      <c r="A1593" s="1" t="s">
        <v>2326</v>
      </c>
      <c r="B1593" s="1" t="s">
        <v>246</v>
      </c>
      <c r="C1593" s="1" t="s">
        <v>136</v>
      </c>
      <c r="D1593" s="1" t="s">
        <v>114</v>
      </c>
      <c r="E1593" s="1" t="s">
        <v>16</v>
      </c>
      <c r="F1593" s="1" t="s">
        <v>114</v>
      </c>
      <c r="G1593" s="1">
        <v>4</v>
      </c>
      <c r="H1593" s="1">
        <v>31721</v>
      </c>
      <c r="I1593" s="1">
        <v>0.1</v>
      </c>
      <c r="J1593" s="1">
        <v>114195.6</v>
      </c>
      <c r="K1593" s="1">
        <v>12692.78</v>
      </c>
      <c r="L1593" s="1" t="s">
        <v>45</v>
      </c>
      <c r="M1593" s="1" t="str">
        <f>TEXT(Table1[[#This Row],[Order Date]],"mmm")</f>
        <v>Feb</v>
      </c>
      <c r="N1593" s="1">
        <f>YEAR(Table1[[#This Row],[Order Date]])</f>
        <v>2023</v>
      </c>
    </row>
    <row r="1594" spans="1:14" x14ac:dyDescent="0.35">
      <c r="A1594" s="1" t="s">
        <v>2327</v>
      </c>
      <c r="B1594" s="1" t="s">
        <v>2328</v>
      </c>
      <c r="C1594" s="1" t="s">
        <v>101</v>
      </c>
      <c r="D1594" s="1" t="s">
        <v>137</v>
      </c>
      <c r="E1594" s="1" t="s">
        <v>22</v>
      </c>
      <c r="F1594" s="1" t="s">
        <v>137</v>
      </c>
      <c r="G1594" s="1">
        <v>14</v>
      </c>
      <c r="H1594" s="1">
        <v>26555</v>
      </c>
      <c r="I1594" s="1">
        <v>0.1</v>
      </c>
      <c r="J1594" s="1">
        <v>334593</v>
      </c>
      <c r="K1594" s="1">
        <v>62247.87</v>
      </c>
      <c r="L1594" s="1" t="s">
        <v>70</v>
      </c>
      <c r="M1594" s="1" t="str">
        <f>TEXT(Table1[[#This Row],[Order Date]],"mmm")</f>
        <v>Dec</v>
      </c>
      <c r="N1594" s="1">
        <f>YEAR(Table1[[#This Row],[Order Date]])</f>
        <v>2023</v>
      </c>
    </row>
    <row r="1595" spans="1:14" x14ac:dyDescent="0.35">
      <c r="A1595" s="1" t="s">
        <v>2329</v>
      </c>
      <c r="B1595" s="1" t="s">
        <v>1322</v>
      </c>
      <c r="C1595" s="1" t="s">
        <v>640</v>
      </c>
      <c r="D1595" s="1" t="s">
        <v>141</v>
      </c>
      <c r="E1595" s="1" t="s">
        <v>22</v>
      </c>
      <c r="F1595" s="1" t="s">
        <v>141</v>
      </c>
      <c r="G1595" s="1">
        <v>14</v>
      </c>
      <c r="H1595" s="1">
        <v>19467</v>
      </c>
      <c r="I1595" s="1">
        <v>0.05</v>
      </c>
      <c r="J1595" s="1">
        <v>258911.1</v>
      </c>
      <c r="K1595" s="1">
        <v>66494.509999999995</v>
      </c>
      <c r="L1595" s="1" t="s">
        <v>17</v>
      </c>
      <c r="M1595" s="1" t="str">
        <f>TEXT(Table1[[#This Row],[Order Date]],"mmm")</f>
        <v>Sep</v>
      </c>
      <c r="N1595" s="1">
        <f>YEAR(Table1[[#This Row],[Order Date]])</f>
        <v>2023</v>
      </c>
    </row>
    <row r="1596" spans="1:14" x14ac:dyDescent="0.35">
      <c r="A1596" s="1" t="s">
        <v>2330</v>
      </c>
      <c r="B1596" s="1" t="s">
        <v>499</v>
      </c>
      <c r="C1596" s="1" t="s">
        <v>84</v>
      </c>
      <c r="D1596" s="1" t="s">
        <v>78</v>
      </c>
      <c r="E1596" s="1" t="s">
        <v>28</v>
      </c>
      <c r="F1596" s="1" t="s">
        <v>78</v>
      </c>
      <c r="G1596" s="1">
        <v>14</v>
      </c>
      <c r="H1596" s="1">
        <v>39364</v>
      </c>
      <c r="I1596" s="1">
        <v>0</v>
      </c>
      <c r="J1596" s="1">
        <v>551096</v>
      </c>
      <c r="K1596" s="1">
        <v>153701.85</v>
      </c>
      <c r="L1596" s="1" t="s">
        <v>23</v>
      </c>
      <c r="M1596" s="1" t="str">
        <f>TEXT(Table1[[#This Row],[Order Date]],"mmm")</f>
        <v>May</v>
      </c>
      <c r="N1596" s="1">
        <f>YEAR(Table1[[#This Row],[Order Date]])</f>
        <v>2024</v>
      </c>
    </row>
    <row r="1597" spans="1:14" x14ac:dyDescent="0.35">
      <c r="A1597" s="1" t="s">
        <v>2331</v>
      </c>
      <c r="B1597" s="1" t="s">
        <v>1431</v>
      </c>
      <c r="C1597" s="1" t="s">
        <v>188</v>
      </c>
      <c r="D1597" s="1" t="s">
        <v>44</v>
      </c>
      <c r="E1597" s="1" t="s">
        <v>28</v>
      </c>
      <c r="F1597" s="1" t="s">
        <v>44</v>
      </c>
      <c r="G1597" s="1">
        <v>10</v>
      </c>
      <c r="H1597" s="1">
        <v>45681</v>
      </c>
      <c r="I1597" s="1">
        <v>0.2</v>
      </c>
      <c r="J1597" s="1">
        <v>365448</v>
      </c>
      <c r="K1597" s="1">
        <v>99910.14</v>
      </c>
      <c r="L1597" s="1" t="s">
        <v>23</v>
      </c>
      <c r="M1597" s="1" t="str">
        <f>TEXT(Table1[[#This Row],[Order Date]],"mmm")</f>
        <v>Feb</v>
      </c>
      <c r="N1597" s="1">
        <f>YEAR(Table1[[#This Row],[Order Date]])</f>
        <v>2023</v>
      </c>
    </row>
    <row r="1598" spans="1:14" x14ac:dyDescent="0.35">
      <c r="A1598" s="1" t="s">
        <v>2332</v>
      </c>
      <c r="B1598" s="1" t="s">
        <v>1598</v>
      </c>
      <c r="C1598" s="1" t="s">
        <v>26</v>
      </c>
      <c r="D1598" s="1" t="s">
        <v>60</v>
      </c>
      <c r="E1598" s="1" t="s">
        <v>33</v>
      </c>
      <c r="F1598" s="1" t="s">
        <v>60</v>
      </c>
      <c r="G1598" s="1">
        <v>5</v>
      </c>
      <c r="H1598" s="1">
        <v>36099</v>
      </c>
      <c r="I1598" s="1">
        <v>0.15</v>
      </c>
      <c r="J1598" s="1">
        <v>153420.75</v>
      </c>
      <c r="K1598" s="1">
        <v>21842.42</v>
      </c>
      <c r="L1598" s="1" t="s">
        <v>45</v>
      </c>
      <c r="M1598" s="1" t="str">
        <f>TEXT(Table1[[#This Row],[Order Date]],"mmm")</f>
        <v>Sep</v>
      </c>
      <c r="N1598" s="1">
        <f>YEAR(Table1[[#This Row],[Order Date]])</f>
        <v>2023</v>
      </c>
    </row>
    <row r="1599" spans="1:14" x14ac:dyDescent="0.35">
      <c r="A1599" s="1" t="s">
        <v>2333</v>
      </c>
      <c r="B1599" s="1" t="s">
        <v>698</v>
      </c>
      <c r="C1599" s="1" t="s">
        <v>640</v>
      </c>
      <c r="D1599" s="1" t="s">
        <v>108</v>
      </c>
      <c r="E1599" s="1" t="s">
        <v>22</v>
      </c>
      <c r="F1599" s="1" t="s">
        <v>108</v>
      </c>
      <c r="G1599" s="1">
        <v>14</v>
      </c>
      <c r="H1599" s="1">
        <v>51893</v>
      </c>
      <c r="I1599" s="1">
        <v>0</v>
      </c>
      <c r="J1599" s="1">
        <v>726502</v>
      </c>
      <c r="K1599" s="1">
        <v>64867.23</v>
      </c>
      <c r="L1599" s="1" t="s">
        <v>45</v>
      </c>
      <c r="M1599" s="1" t="str">
        <f>TEXT(Table1[[#This Row],[Order Date]],"mmm")</f>
        <v>Mar</v>
      </c>
      <c r="N1599" s="1">
        <f>YEAR(Table1[[#This Row],[Order Date]])</f>
        <v>2023</v>
      </c>
    </row>
    <row r="1600" spans="1:14" x14ac:dyDescent="0.35">
      <c r="A1600" s="1" t="s">
        <v>2334</v>
      </c>
      <c r="B1600" s="1" t="s">
        <v>1379</v>
      </c>
      <c r="C1600" s="1" t="s">
        <v>120</v>
      </c>
      <c r="D1600" s="1" t="s">
        <v>60</v>
      </c>
      <c r="E1600" s="1" t="s">
        <v>33</v>
      </c>
      <c r="F1600" s="1" t="s">
        <v>60</v>
      </c>
      <c r="G1600" s="1">
        <v>13</v>
      </c>
      <c r="H1600" s="1">
        <v>23830</v>
      </c>
      <c r="I1600" s="1">
        <v>0.2</v>
      </c>
      <c r="J1600" s="1">
        <v>247832</v>
      </c>
      <c r="K1600" s="1">
        <v>51389.51</v>
      </c>
      <c r="L1600" s="1" t="s">
        <v>45</v>
      </c>
      <c r="M1600" s="1" t="str">
        <f>TEXT(Table1[[#This Row],[Order Date]],"mmm")</f>
        <v>Mar</v>
      </c>
      <c r="N1600" s="1">
        <f>YEAR(Table1[[#This Row],[Order Date]])</f>
        <v>2023</v>
      </c>
    </row>
    <row r="1601" spans="1:14" x14ac:dyDescent="0.35">
      <c r="A1601" s="1" t="s">
        <v>2335</v>
      </c>
      <c r="B1601" s="1" t="s">
        <v>653</v>
      </c>
      <c r="C1601" s="1" t="s">
        <v>120</v>
      </c>
      <c r="D1601" s="1" t="s">
        <v>91</v>
      </c>
      <c r="E1601" s="1" t="s">
        <v>16</v>
      </c>
      <c r="F1601" s="1" t="s">
        <v>91</v>
      </c>
      <c r="G1601" s="1">
        <v>7</v>
      </c>
      <c r="H1601" s="1">
        <v>43488</v>
      </c>
      <c r="I1601" s="1">
        <v>0.1</v>
      </c>
      <c r="J1601" s="1">
        <v>273974.40000000002</v>
      </c>
      <c r="K1601" s="1">
        <v>30595.49</v>
      </c>
      <c r="L1601" s="1" t="s">
        <v>23</v>
      </c>
      <c r="M1601" s="1" t="str">
        <f>TEXT(Table1[[#This Row],[Order Date]],"mmm")</f>
        <v>Nov</v>
      </c>
      <c r="N1601" s="1">
        <f>YEAR(Table1[[#This Row],[Order Date]])</f>
        <v>2024</v>
      </c>
    </row>
    <row r="1602" spans="1:14" x14ac:dyDescent="0.35">
      <c r="A1602" s="1" t="s">
        <v>2336</v>
      </c>
      <c r="B1602" s="1" t="s">
        <v>846</v>
      </c>
      <c r="C1602" s="1" t="s">
        <v>51</v>
      </c>
      <c r="D1602" s="1" t="s">
        <v>179</v>
      </c>
      <c r="E1602" s="1" t="s">
        <v>28</v>
      </c>
      <c r="F1602" s="1" t="s">
        <v>179</v>
      </c>
      <c r="G1602" s="1">
        <v>13</v>
      </c>
      <c r="H1602" s="1">
        <v>22183</v>
      </c>
      <c r="I1602" s="1">
        <v>0.1</v>
      </c>
      <c r="J1602" s="1">
        <v>259541.1</v>
      </c>
      <c r="K1602" s="1">
        <v>73997.740000000005</v>
      </c>
      <c r="L1602" s="1" t="s">
        <v>70</v>
      </c>
      <c r="M1602" s="1" t="str">
        <f>TEXT(Table1[[#This Row],[Order Date]],"mmm")</f>
        <v>Aug</v>
      </c>
      <c r="N1602" s="1">
        <f>YEAR(Table1[[#This Row],[Order Date]])</f>
        <v>2024</v>
      </c>
    </row>
    <row r="1603" spans="1:14" x14ac:dyDescent="0.35">
      <c r="A1603" s="1" t="s">
        <v>2337</v>
      </c>
      <c r="B1603" s="1" t="s">
        <v>927</v>
      </c>
      <c r="C1603" s="1" t="s">
        <v>101</v>
      </c>
      <c r="D1603" s="1" t="s">
        <v>151</v>
      </c>
      <c r="E1603" s="1" t="s">
        <v>22</v>
      </c>
      <c r="F1603" s="1" t="s">
        <v>151</v>
      </c>
      <c r="G1603" s="1">
        <v>1</v>
      </c>
      <c r="H1603" s="1">
        <v>53090</v>
      </c>
      <c r="I1603" s="1">
        <v>0.15</v>
      </c>
      <c r="J1603" s="1">
        <v>45126.5</v>
      </c>
      <c r="K1603" s="1">
        <v>6870.12</v>
      </c>
      <c r="L1603" s="1" t="s">
        <v>45</v>
      </c>
      <c r="M1603" s="1" t="str">
        <f>TEXT(Table1[[#This Row],[Order Date]],"mmm")</f>
        <v>May</v>
      </c>
      <c r="N1603" s="1">
        <f>YEAR(Table1[[#This Row],[Order Date]])</f>
        <v>2024</v>
      </c>
    </row>
    <row r="1604" spans="1:14" x14ac:dyDescent="0.35">
      <c r="A1604" s="1" t="s">
        <v>2338</v>
      </c>
      <c r="B1604" s="1" t="s">
        <v>770</v>
      </c>
      <c r="C1604" s="1" t="s">
        <v>349</v>
      </c>
      <c r="D1604" s="1" t="s">
        <v>151</v>
      </c>
      <c r="E1604" s="1" t="s">
        <v>22</v>
      </c>
      <c r="F1604" s="1" t="s">
        <v>151</v>
      </c>
      <c r="G1604" s="1">
        <v>7</v>
      </c>
      <c r="H1604" s="1">
        <v>11334</v>
      </c>
      <c r="I1604" s="1">
        <v>0.15</v>
      </c>
      <c r="J1604" s="1">
        <v>67437.3</v>
      </c>
      <c r="K1604" s="1">
        <v>12441.85</v>
      </c>
      <c r="L1604" s="1" t="s">
        <v>70</v>
      </c>
      <c r="M1604" s="1" t="str">
        <f>TEXT(Table1[[#This Row],[Order Date]],"mmm")</f>
        <v>Feb</v>
      </c>
      <c r="N1604" s="1">
        <f>YEAR(Table1[[#This Row],[Order Date]])</f>
        <v>2024</v>
      </c>
    </row>
    <row r="1605" spans="1:14" x14ac:dyDescent="0.35">
      <c r="A1605" s="1" t="s">
        <v>2339</v>
      </c>
      <c r="B1605" s="1" t="s">
        <v>2340</v>
      </c>
      <c r="C1605" s="1" t="s">
        <v>120</v>
      </c>
      <c r="D1605" s="1" t="s">
        <v>137</v>
      </c>
      <c r="E1605" s="1" t="s">
        <v>22</v>
      </c>
      <c r="F1605" s="1" t="s">
        <v>137</v>
      </c>
      <c r="G1605" s="1">
        <v>11</v>
      </c>
      <c r="H1605" s="1">
        <v>27812</v>
      </c>
      <c r="I1605" s="1">
        <v>0</v>
      </c>
      <c r="J1605" s="1">
        <v>305932</v>
      </c>
      <c r="K1605" s="1">
        <v>64953.49</v>
      </c>
      <c r="L1605" s="1" t="s">
        <v>23</v>
      </c>
      <c r="M1605" s="1" t="str">
        <f>TEXT(Table1[[#This Row],[Order Date]],"mmm")</f>
        <v>Sep</v>
      </c>
      <c r="N1605" s="1">
        <f>YEAR(Table1[[#This Row],[Order Date]])</f>
        <v>2023</v>
      </c>
    </row>
    <row r="1606" spans="1:14" x14ac:dyDescent="0.35">
      <c r="A1606" s="1" t="s">
        <v>2341</v>
      </c>
      <c r="B1606" s="1" t="s">
        <v>2342</v>
      </c>
      <c r="C1606" s="1" t="s">
        <v>77</v>
      </c>
      <c r="D1606" s="1" t="s">
        <v>95</v>
      </c>
      <c r="E1606" s="1" t="s">
        <v>33</v>
      </c>
      <c r="F1606" s="1" t="s">
        <v>95</v>
      </c>
      <c r="G1606" s="1">
        <v>11</v>
      </c>
      <c r="H1606" s="1">
        <v>36059</v>
      </c>
      <c r="I1606" s="1">
        <v>0.2</v>
      </c>
      <c r="J1606" s="1">
        <v>317319.2</v>
      </c>
      <c r="K1606" s="1">
        <v>79999.59</v>
      </c>
      <c r="L1606" s="1" t="s">
        <v>70</v>
      </c>
      <c r="M1606" s="1" t="str">
        <f>TEXT(Table1[[#This Row],[Order Date]],"mmm")</f>
        <v>Mar</v>
      </c>
      <c r="N1606" s="1">
        <f>YEAR(Table1[[#This Row],[Order Date]])</f>
        <v>2023</v>
      </c>
    </row>
    <row r="1607" spans="1:14" x14ac:dyDescent="0.35">
      <c r="A1607" s="1" t="s">
        <v>2343</v>
      </c>
      <c r="B1607" s="1" t="s">
        <v>1750</v>
      </c>
      <c r="C1607" s="1" t="s">
        <v>146</v>
      </c>
      <c r="D1607" s="1" t="s">
        <v>56</v>
      </c>
      <c r="E1607" s="1" t="s">
        <v>22</v>
      </c>
      <c r="F1607" s="1" t="s">
        <v>56</v>
      </c>
      <c r="G1607" s="1">
        <v>11</v>
      </c>
      <c r="H1607" s="1">
        <v>58552</v>
      </c>
      <c r="I1607" s="1">
        <v>0.2</v>
      </c>
      <c r="J1607" s="1">
        <v>515257.59999999998</v>
      </c>
      <c r="K1607" s="1">
        <v>107509.52</v>
      </c>
      <c r="L1607" s="1" t="s">
        <v>17</v>
      </c>
      <c r="M1607" s="1" t="str">
        <f>TEXT(Table1[[#This Row],[Order Date]],"mmm")</f>
        <v>Jul</v>
      </c>
      <c r="N1607" s="1">
        <f>YEAR(Table1[[#This Row],[Order Date]])</f>
        <v>2024</v>
      </c>
    </row>
    <row r="1608" spans="1:14" x14ac:dyDescent="0.35">
      <c r="A1608" s="1" t="s">
        <v>2344</v>
      </c>
      <c r="B1608" s="1" t="s">
        <v>2345</v>
      </c>
      <c r="C1608" s="1" t="s">
        <v>88</v>
      </c>
      <c r="D1608" s="1" t="s">
        <v>85</v>
      </c>
      <c r="E1608" s="1" t="s">
        <v>28</v>
      </c>
      <c r="F1608" s="1" t="s">
        <v>85</v>
      </c>
      <c r="G1608" s="1">
        <v>15</v>
      </c>
      <c r="H1608" s="1">
        <v>47433</v>
      </c>
      <c r="I1608" s="1">
        <v>0.05</v>
      </c>
      <c r="J1608" s="1">
        <v>675920.25</v>
      </c>
      <c r="K1608" s="1">
        <v>124388.75</v>
      </c>
      <c r="L1608" s="1" t="s">
        <v>17</v>
      </c>
      <c r="M1608" s="1" t="str">
        <f>TEXT(Table1[[#This Row],[Order Date]],"mmm")</f>
        <v>Oct</v>
      </c>
      <c r="N1608" s="1">
        <f>YEAR(Table1[[#This Row],[Order Date]])</f>
        <v>2023</v>
      </c>
    </row>
    <row r="1609" spans="1:14" x14ac:dyDescent="0.35">
      <c r="A1609" s="1" t="s">
        <v>2346</v>
      </c>
      <c r="B1609" s="1" t="s">
        <v>30</v>
      </c>
      <c r="C1609" s="1" t="s">
        <v>73</v>
      </c>
      <c r="D1609" s="1" t="s">
        <v>95</v>
      </c>
      <c r="E1609" s="1" t="s">
        <v>33</v>
      </c>
      <c r="F1609" s="1" t="s">
        <v>95</v>
      </c>
      <c r="G1609" s="1">
        <v>2</v>
      </c>
      <c r="H1609" s="1">
        <v>46498</v>
      </c>
      <c r="I1609" s="1">
        <v>0.1</v>
      </c>
      <c r="J1609" s="1">
        <v>83696.399999999994</v>
      </c>
      <c r="K1609" s="1">
        <v>9039.93</v>
      </c>
      <c r="L1609" s="1" t="s">
        <v>70</v>
      </c>
      <c r="M1609" s="1" t="str">
        <f>TEXT(Table1[[#This Row],[Order Date]],"mmm")</f>
        <v>Apr</v>
      </c>
      <c r="N1609" s="1">
        <f>YEAR(Table1[[#This Row],[Order Date]])</f>
        <v>2023</v>
      </c>
    </row>
    <row r="1610" spans="1:14" x14ac:dyDescent="0.35">
      <c r="A1610" s="1" t="s">
        <v>2347</v>
      </c>
      <c r="B1610" s="1" t="s">
        <v>1032</v>
      </c>
      <c r="C1610" s="1" t="s">
        <v>77</v>
      </c>
      <c r="D1610" s="1" t="s">
        <v>114</v>
      </c>
      <c r="E1610" s="1" t="s">
        <v>16</v>
      </c>
      <c r="F1610" s="1" t="s">
        <v>114</v>
      </c>
      <c r="G1610" s="1">
        <v>15</v>
      </c>
      <c r="H1610" s="1">
        <v>5204</v>
      </c>
      <c r="I1610" s="1">
        <v>0.1</v>
      </c>
      <c r="J1610" s="1">
        <v>70254</v>
      </c>
      <c r="K1610" s="1">
        <v>5689.69</v>
      </c>
      <c r="L1610" s="1" t="s">
        <v>17</v>
      </c>
      <c r="M1610" s="1" t="str">
        <f>TEXT(Table1[[#This Row],[Order Date]],"mmm")</f>
        <v>May</v>
      </c>
      <c r="N1610" s="1">
        <f>YEAR(Table1[[#This Row],[Order Date]])</f>
        <v>2024</v>
      </c>
    </row>
    <row r="1611" spans="1:14" x14ac:dyDescent="0.35">
      <c r="A1611" s="1" t="s">
        <v>2348</v>
      </c>
      <c r="B1611" s="1" t="s">
        <v>1658</v>
      </c>
      <c r="C1611" s="1" t="s">
        <v>51</v>
      </c>
      <c r="D1611" s="1" t="s">
        <v>151</v>
      </c>
      <c r="E1611" s="1" t="s">
        <v>22</v>
      </c>
      <c r="F1611" s="1" t="s">
        <v>151</v>
      </c>
      <c r="G1611" s="1">
        <v>15</v>
      </c>
      <c r="H1611" s="1">
        <v>8031</v>
      </c>
      <c r="I1611" s="1">
        <v>0</v>
      </c>
      <c r="J1611" s="1">
        <v>120465</v>
      </c>
      <c r="K1611" s="1">
        <v>23816.639999999999</v>
      </c>
      <c r="L1611" s="1" t="s">
        <v>70</v>
      </c>
      <c r="M1611" s="1" t="str">
        <f>TEXT(Table1[[#This Row],[Order Date]],"mmm")</f>
        <v>Sep</v>
      </c>
      <c r="N1611" s="1">
        <f>YEAR(Table1[[#This Row],[Order Date]])</f>
        <v>2024</v>
      </c>
    </row>
    <row r="1612" spans="1:14" x14ac:dyDescent="0.35">
      <c r="A1612" s="1" t="s">
        <v>2349</v>
      </c>
      <c r="B1612" s="1" t="s">
        <v>1478</v>
      </c>
      <c r="C1612" s="1" t="s">
        <v>170</v>
      </c>
      <c r="D1612" s="1" t="s">
        <v>137</v>
      </c>
      <c r="E1612" s="1" t="s">
        <v>22</v>
      </c>
      <c r="F1612" s="1" t="s">
        <v>137</v>
      </c>
      <c r="G1612" s="1">
        <v>2</v>
      </c>
      <c r="H1612" s="1">
        <v>40972</v>
      </c>
      <c r="I1612" s="1">
        <v>0.2</v>
      </c>
      <c r="J1612" s="1">
        <v>65555.199999999997</v>
      </c>
      <c r="K1612" s="1">
        <v>8946.0499999999993</v>
      </c>
      <c r="L1612" s="1" t="s">
        <v>23</v>
      </c>
      <c r="M1612" s="1" t="str">
        <f>TEXT(Table1[[#This Row],[Order Date]],"mmm")</f>
        <v>Jan</v>
      </c>
      <c r="N1612" s="1">
        <f>YEAR(Table1[[#This Row],[Order Date]])</f>
        <v>2024</v>
      </c>
    </row>
    <row r="1613" spans="1:14" x14ac:dyDescent="0.35">
      <c r="A1613" s="1" t="s">
        <v>2350</v>
      </c>
      <c r="B1613" s="1" t="s">
        <v>517</v>
      </c>
      <c r="C1613" s="1" t="s">
        <v>170</v>
      </c>
      <c r="D1613" s="1" t="s">
        <v>293</v>
      </c>
      <c r="E1613" s="1" t="s">
        <v>33</v>
      </c>
      <c r="F1613" s="1" t="s">
        <v>293</v>
      </c>
      <c r="G1613" s="1">
        <v>13</v>
      </c>
      <c r="H1613" s="1">
        <v>26427</v>
      </c>
      <c r="I1613" s="1">
        <v>0.05</v>
      </c>
      <c r="J1613" s="1">
        <v>326373.45</v>
      </c>
      <c r="K1613" s="1">
        <v>66347.44</v>
      </c>
      <c r="L1613" s="1" t="s">
        <v>70</v>
      </c>
      <c r="M1613" s="1" t="str">
        <f>TEXT(Table1[[#This Row],[Order Date]],"mmm")</f>
        <v>Jun</v>
      </c>
      <c r="N1613" s="1">
        <f>YEAR(Table1[[#This Row],[Order Date]])</f>
        <v>2024</v>
      </c>
    </row>
    <row r="1614" spans="1:14" x14ac:dyDescent="0.35">
      <c r="A1614" s="1" t="s">
        <v>2351</v>
      </c>
      <c r="B1614" s="1" t="s">
        <v>712</v>
      </c>
      <c r="C1614" s="1" t="s">
        <v>128</v>
      </c>
      <c r="D1614" s="1" t="s">
        <v>78</v>
      </c>
      <c r="E1614" s="1" t="s">
        <v>28</v>
      </c>
      <c r="F1614" s="1" t="s">
        <v>78</v>
      </c>
      <c r="G1614" s="1">
        <v>14</v>
      </c>
      <c r="H1614" s="1">
        <v>45742</v>
      </c>
      <c r="I1614" s="1">
        <v>0.1</v>
      </c>
      <c r="J1614" s="1">
        <v>576349.19999999995</v>
      </c>
      <c r="K1614" s="1">
        <v>52023.05</v>
      </c>
      <c r="L1614" s="1" t="s">
        <v>23</v>
      </c>
      <c r="M1614" s="1" t="str">
        <f>TEXT(Table1[[#This Row],[Order Date]],"mmm")</f>
        <v>Sep</v>
      </c>
      <c r="N1614" s="1">
        <f>YEAR(Table1[[#This Row],[Order Date]])</f>
        <v>2023</v>
      </c>
    </row>
    <row r="1615" spans="1:14" x14ac:dyDescent="0.35">
      <c r="A1615" s="1" t="s">
        <v>2352</v>
      </c>
      <c r="B1615" s="1" t="s">
        <v>325</v>
      </c>
      <c r="C1615" s="1" t="s">
        <v>63</v>
      </c>
      <c r="D1615" s="1" t="s">
        <v>44</v>
      </c>
      <c r="E1615" s="1" t="s">
        <v>28</v>
      </c>
      <c r="F1615" s="1" t="s">
        <v>44</v>
      </c>
      <c r="G1615" s="1">
        <v>9</v>
      </c>
      <c r="H1615" s="1">
        <v>19037</v>
      </c>
      <c r="I1615" s="1">
        <v>0.1</v>
      </c>
      <c r="J1615" s="1">
        <v>154199.70000000001</v>
      </c>
      <c r="K1615" s="1">
        <v>16856.16</v>
      </c>
      <c r="L1615" s="1" t="s">
        <v>70</v>
      </c>
      <c r="M1615" s="1" t="str">
        <f>TEXT(Table1[[#This Row],[Order Date]],"mmm")</f>
        <v>Aug</v>
      </c>
      <c r="N1615" s="1">
        <f>YEAR(Table1[[#This Row],[Order Date]])</f>
        <v>2023</v>
      </c>
    </row>
    <row r="1616" spans="1:14" x14ac:dyDescent="0.35">
      <c r="A1616" s="1" t="s">
        <v>2353</v>
      </c>
      <c r="B1616" s="1" t="s">
        <v>164</v>
      </c>
      <c r="C1616" s="1" t="s">
        <v>20</v>
      </c>
      <c r="D1616" s="1" t="s">
        <v>137</v>
      </c>
      <c r="E1616" s="1" t="s">
        <v>22</v>
      </c>
      <c r="F1616" s="1" t="s">
        <v>137</v>
      </c>
      <c r="G1616" s="1">
        <v>1</v>
      </c>
      <c r="H1616" s="1">
        <v>26121</v>
      </c>
      <c r="I1616" s="1">
        <v>0</v>
      </c>
      <c r="J1616" s="1">
        <v>26121</v>
      </c>
      <c r="K1616" s="1">
        <v>2215.9299999999998</v>
      </c>
      <c r="L1616" s="1" t="s">
        <v>45</v>
      </c>
      <c r="M1616" s="1" t="str">
        <f>TEXT(Table1[[#This Row],[Order Date]],"mmm")</f>
        <v>May</v>
      </c>
      <c r="N1616" s="1">
        <f>YEAR(Table1[[#This Row],[Order Date]])</f>
        <v>2023</v>
      </c>
    </row>
    <row r="1617" spans="1:14" x14ac:dyDescent="0.35">
      <c r="A1617" s="1" t="s">
        <v>2354</v>
      </c>
      <c r="B1617" s="1" t="s">
        <v>2355</v>
      </c>
      <c r="C1617" s="1" t="s">
        <v>136</v>
      </c>
      <c r="D1617" s="1" t="s">
        <v>167</v>
      </c>
      <c r="E1617" s="1" t="s">
        <v>16</v>
      </c>
      <c r="F1617" s="1" t="s">
        <v>167</v>
      </c>
      <c r="G1617" s="1">
        <v>1</v>
      </c>
      <c r="H1617" s="1">
        <v>12698</v>
      </c>
      <c r="I1617" s="1">
        <v>0.05</v>
      </c>
      <c r="J1617" s="1">
        <v>12063.1</v>
      </c>
      <c r="K1617" s="1">
        <v>1092.25</v>
      </c>
      <c r="L1617" s="1" t="s">
        <v>17</v>
      </c>
      <c r="M1617" s="1" t="str">
        <f>TEXT(Table1[[#This Row],[Order Date]],"mmm")</f>
        <v>Oct</v>
      </c>
      <c r="N1617" s="1">
        <f>YEAR(Table1[[#This Row],[Order Date]])</f>
        <v>2023</v>
      </c>
    </row>
    <row r="1618" spans="1:14" x14ac:dyDescent="0.35">
      <c r="A1618" s="1" t="s">
        <v>2356</v>
      </c>
      <c r="B1618" s="1" t="s">
        <v>497</v>
      </c>
      <c r="C1618" s="1" t="s">
        <v>31</v>
      </c>
      <c r="D1618" s="1" t="s">
        <v>56</v>
      </c>
      <c r="E1618" s="1" t="s">
        <v>22</v>
      </c>
      <c r="F1618" s="1" t="s">
        <v>56</v>
      </c>
      <c r="G1618" s="1">
        <v>3</v>
      </c>
      <c r="H1618" s="1">
        <v>7435</v>
      </c>
      <c r="I1618" s="1">
        <v>0.1</v>
      </c>
      <c r="J1618" s="1">
        <v>20074.5</v>
      </c>
      <c r="K1618" s="1">
        <v>4233.3</v>
      </c>
      <c r="L1618" s="1" t="s">
        <v>45</v>
      </c>
      <c r="M1618" s="1" t="str">
        <f>TEXT(Table1[[#This Row],[Order Date]],"mmm")</f>
        <v>Jul</v>
      </c>
      <c r="N1618" s="1">
        <f>YEAR(Table1[[#This Row],[Order Date]])</f>
        <v>2024</v>
      </c>
    </row>
    <row r="1619" spans="1:14" x14ac:dyDescent="0.35">
      <c r="A1619" s="1" t="s">
        <v>2357</v>
      </c>
      <c r="B1619" s="1" t="s">
        <v>1168</v>
      </c>
      <c r="C1619" s="1" t="s">
        <v>36</v>
      </c>
      <c r="D1619" s="1" t="s">
        <v>114</v>
      </c>
      <c r="E1619" s="1" t="s">
        <v>16</v>
      </c>
      <c r="F1619" s="1" t="s">
        <v>114</v>
      </c>
      <c r="G1619" s="1">
        <v>12</v>
      </c>
      <c r="H1619" s="1">
        <v>30815</v>
      </c>
      <c r="I1619" s="1">
        <v>0.2</v>
      </c>
      <c r="J1619" s="1">
        <v>295824</v>
      </c>
      <c r="K1619" s="1">
        <v>73350.960000000006</v>
      </c>
      <c r="L1619" s="1" t="s">
        <v>23</v>
      </c>
      <c r="M1619" s="1" t="str">
        <f>TEXT(Table1[[#This Row],[Order Date]],"mmm")</f>
        <v>Sep</v>
      </c>
      <c r="N1619" s="1">
        <f>YEAR(Table1[[#This Row],[Order Date]])</f>
        <v>2024</v>
      </c>
    </row>
    <row r="1620" spans="1:14" x14ac:dyDescent="0.35">
      <c r="A1620" s="1" t="s">
        <v>2358</v>
      </c>
      <c r="B1620" s="1" t="s">
        <v>1324</v>
      </c>
      <c r="C1620" s="1" t="s">
        <v>20</v>
      </c>
      <c r="D1620" s="1" t="s">
        <v>74</v>
      </c>
      <c r="E1620" s="1" t="s">
        <v>22</v>
      </c>
      <c r="F1620" s="1" t="s">
        <v>74</v>
      </c>
      <c r="G1620" s="1">
        <v>3</v>
      </c>
      <c r="H1620" s="1">
        <v>18043</v>
      </c>
      <c r="I1620" s="1">
        <v>0</v>
      </c>
      <c r="J1620" s="1">
        <v>54129</v>
      </c>
      <c r="K1620" s="1">
        <v>4572.16</v>
      </c>
      <c r="L1620" s="1" t="s">
        <v>70</v>
      </c>
      <c r="M1620" s="1" t="str">
        <f>TEXT(Table1[[#This Row],[Order Date]],"mmm")</f>
        <v>Aug</v>
      </c>
      <c r="N1620" s="1">
        <f>YEAR(Table1[[#This Row],[Order Date]])</f>
        <v>2024</v>
      </c>
    </row>
    <row r="1621" spans="1:14" x14ac:dyDescent="0.35">
      <c r="A1621" s="1" t="s">
        <v>2359</v>
      </c>
      <c r="B1621" s="1" t="s">
        <v>569</v>
      </c>
      <c r="C1621" s="1" t="s">
        <v>98</v>
      </c>
      <c r="D1621" s="1" t="s">
        <v>108</v>
      </c>
      <c r="E1621" s="1" t="s">
        <v>22</v>
      </c>
      <c r="F1621" s="1" t="s">
        <v>108</v>
      </c>
      <c r="G1621" s="1">
        <v>4</v>
      </c>
      <c r="H1621" s="1">
        <v>12084</v>
      </c>
      <c r="I1621" s="1">
        <v>0.1</v>
      </c>
      <c r="J1621" s="1">
        <v>43502.400000000001</v>
      </c>
      <c r="K1621" s="1">
        <v>9236.9</v>
      </c>
      <c r="L1621" s="1" t="s">
        <v>17</v>
      </c>
      <c r="M1621" s="1" t="str">
        <f>TEXT(Table1[[#This Row],[Order Date]],"mmm")</f>
        <v>Sep</v>
      </c>
      <c r="N1621" s="1">
        <f>YEAR(Table1[[#This Row],[Order Date]])</f>
        <v>2024</v>
      </c>
    </row>
    <row r="1622" spans="1:14" x14ac:dyDescent="0.35">
      <c r="A1622" s="1" t="s">
        <v>2360</v>
      </c>
      <c r="B1622" s="1" t="s">
        <v>1997</v>
      </c>
      <c r="C1622" s="1" t="s">
        <v>111</v>
      </c>
      <c r="D1622" s="1" t="s">
        <v>91</v>
      </c>
      <c r="E1622" s="1" t="s">
        <v>16</v>
      </c>
      <c r="F1622" s="1" t="s">
        <v>91</v>
      </c>
      <c r="G1622" s="1">
        <v>2</v>
      </c>
      <c r="H1622" s="1">
        <v>33610</v>
      </c>
      <c r="I1622" s="1">
        <v>0</v>
      </c>
      <c r="J1622" s="1">
        <v>67220</v>
      </c>
      <c r="K1622" s="1">
        <v>12532.4</v>
      </c>
      <c r="L1622" s="1" t="s">
        <v>17</v>
      </c>
      <c r="M1622" s="1" t="str">
        <f>TEXT(Table1[[#This Row],[Order Date]],"mmm")</f>
        <v>Jul</v>
      </c>
      <c r="N1622" s="1">
        <f>YEAR(Table1[[#This Row],[Order Date]])</f>
        <v>2023</v>
      </c>
    </row>
    <row r="1623" spans="1:14" x14ac:dyDescent="0.35">
      <c r="A1623" s="1" t="s">
        <v>2361</v>
      </c>
      <c r="B1623" s="1" t="s">
        <v>821</v>
      </c>
      <c r="C1623" s="1" t="s">
        <v>14</v>
      </c>
      <c r="D1623" s="1" t="s">
        <v>41</v>
      </c>
      <c r="E1623" s="1" t="s">
        <v>16</v>
      </c>
      <c r="F1623" s="1" t="s">
        <v>41</v>
      </c>
      <c r="G1623" s="1">
        <v>14</v>
      </c>
      <c r="H1623" s="1">
        <v>41037</v>
      </c>
      <c r="I1623" s="1">
        <v>0.15</v>
      </c>
      <c r="J1623" s="1">
        <v>488340.3</v>
      </c>
      <c r="K1623" s="1">
        <v>79276.11</v>
      </c>
      <c r="L1623" s="1" t="s">
        <v>70</v>
      </c>
      <c r="M1623" s="1" t="str">
        <f>TEXT(Table1[[#This Row],[Order Date]],"mmm")</f>
        <v>Aug</v>
      </c>
      <c r="N1623" s="1">
        <f>YEAR(Table1[[#This Row],[Order Date]])</f>
        <v>2024</v>
      </c>
    </row>
    <row r="1624" spans="1:14" x14ac:dyDescent="0.35">
      <c r="A1624" s="1" t="s">
        <v>2362</v>
      </c>
      <c r="B1624" s="1" t="s">
        <v>1624</v>
      </c>
      <c r="C1624" s="1" t="s">
        <v>349</v>
      </c>
      <c r="D1624" s="1" t="s">
        <v>60</v>
      </c>
      <c r="E1624" s="1" t="s">
        <v>33</v>
      </c>
      <c r="F1624" s="1" t="s">
        <v>60</v>
      </c>
      <c r="G1624" s="1">
        <v>8</v>
      </c>
      <c r="H1624" s="1">
        <v>24312</v>
      </c>
      <c r="I1624" s="1">
        <v>0.15</v>
      </c>
      <c r="J1624" s="1">
        <v>165321.60000000001</v>
      </c>
      <c r="K1624" s="1">
        <v>39239.29</v>
      </c>
      <c r="L1624" s="1" t="s">
        <v>70</v>
      </c>
      <c r="M1624" s="1" t="str">
        <f>TEXT(Table1[[#This Row],[Order Date]],"mmm")</f>
        <v>Apr</v>
      </c>
      <c r="N1624" s="1">
        <f>YEAR(Table1[[#This Row],[Order Date]])</f>
        <v>2023</v>
      </c>
    </row>
    <row r="1625" spans="1:14" x14ac:dyDescent="0.35">
      <c r="A1625" s="1" t="s">
        <v>2363</v>
      </c>
      <c r="B1625" s="1" t="s">
        <v>819</v>
      </c>
      <c r="C1625" s="1" t="s">
        <v>260</v>
      </c>
      <c r="D1625" s="1" t="s">
        <v>64</v>
      </c>
      <c r="E1625" s="1" t="s">
        <v>33</v>
      </c>
      <c r="F1625" s="1" t="s">
        <v>64</v>
      </c>
      <c r="G1625" s="1">
        <v>7</v>
      </c>
      <c r="H1625" s="1">
        <v>20575</v>
      </c>
      <c r="I1625" s="1">
        <v>0.1</v>
      </c>
      <c r="J1625" s="1">
        <v>129622.5</v>
      </c>
      <c r="K1625" s="1">
        <v>36606.35</v>
      </c>
      <c r="L1625" s="1" t="s">
        <v>17</v>
      </c>
      <c r="M1625" s="1" t="str">
        <f>TEXT(Table1[[#This Row],[Order Date]],"mmm")</f>
        <v>Sep</v>
      </c>
      <c r="N1625" s="1">
        <f>YEAR(Table1[[#This Row],[Order Date]])</f>
        <v>2024</v>
      </c>
    </row>
    <row r="1626" spans="1:14" x14ac:dyDescent="0.35">
      <c r="A1626" s="1" t="s">
        <v>2364</v>
      </c>
      <c r="B1626" s="1" t="s">
        <v>2345</v>
      </c>
      <c r="C1626" s="1" t="s">
        <v>88</v>
      </c>
      <c r="D1626" s="1" t="s">
        <v>133</v>
      </c>
      <c r="E1626" s="1" t="s">
        <v>22</v>
      </c>
      <c r="F1626" s="1" t="s">
        <v>133</v>
      </c>
      <c r="G1626" s="1">
        <v>9</v>
      </c>
      <c r="H1626" s="1">
        <v>40267</v>
      </c>
      <c r="I1626" s="1">
        <v>0.2</v>
      </c>
      <c r="J1626" s="1">
        <v>289922.40000000002</v>
      </c>
      <c r="K1626" s="1">
        <v>39899.49</v>
      </c>
      <c r="L1626" s="1" t="s">
        <v>23</v>
      </c>
      <c r="M1626" s="1" t="str">
        <f>TEXT(Table1[[#This Row],[Order Date]],"mmm")</f>
        <v>Oct</v>
      </c>
      <c r="N1626" s="1">
        <f>YEAR(Table1[[#This Row],[Order Date]])</f>
        <v>2023</v>
      </c>
    </row>
    <row r="1627" spans="1:14" x14ac:dyDescent="0.35">
      <c r="A1627" s="1" t="s">
        <v>2365</v>
      </c>
      <c r="B1627" s="1" t="s">
        <v>406</v>
      </c>
      <c r="C1627" s="1" t="s">
        <v>349</v>
      </c>
      <c r="D1627" s="1" t="s">
        <v>37</v>
      </c>
      <c r="E1627" s="1" t="s">
        <v>16</v>
      </c>
      <c r="F1627" s="1" t="s">
        <v>37</v>
      </c>
      <c r="G1627" s="1">
        <v>3</v>
      </c>
      <c r="H1627" s="1">
        <v>37854</v>
      </c>
      <c r="I1627" s="1">
        <v>0.15</v>
      </c>
      <c r="J1627" s="1">
        <v>96527.7</v>
      </c>
      <c r="K1627" s="1">
        <v>9009.85</v>
      </c>
      <c r="L1627" s="1" t="s">
        <v>45</v>
      </c>
      <c r="M1627" s="1" t="str">
        <f>TEXT(Table1[[#This Row],[Order Date]],"mmm")</f>
        <v>Mar</v>
      </c>
      <c r="N1627" s="1">
        <f>YEAR(Table1[[#This Row],[Order Date]])</f>
        <v>2023</v>
      </c>
    </row>
    <row r="1628" spans="1:14" x14ac:dyDescent="0.35">
      <c r="A1628" s="1" t="s">
        <v>2366</v>
      </c>
      <c r="B1628" s="1" t="s">
        <v>90</v>
      </c>
      <c r="C1628" s="1" t="s">
        <v>255</v>
      </c>
      <c r="D1628" s="1" t="s">
        <v>52</v>
      </c>
      <c r="E1628" s="1" t="s">
        <v>28</v>
      </c>
      <c r="F1628" s="1" t="s">
        <v>52</v>
      </c>
      <c r="G1628" s="1">
        <v>13</v>
      </c>
      <c r="H1628" s="1">
        <v>30026</v>
      </c>
      <c r="I1628" s="1">
        <v>0.1</v>
      </c>
      <c r="J1628" s="1">
        <v>351304.2</v>
      </c>
      <c r="K1628" s="1">
        <v>57502.22</v>
      </c>
      <c r="L1628" s="1" t="s">
        <v>23</v>
      </c>
      <c r="M1628" s="1" t="str">
        <f>TEXT(Table1[[#This Row],[Order Date]],"mmm")</f>
        <v>Sep</v>
      </c>
      <c r="N1628" s="1">
        <f>YEAR(Table1[[#This Row],[Order Date]])</f>
        <v>2023</v>
      </c>
    </row>
    <row r="1629" spans="1:14" x14ac:dyDescent="0.35">
      <c r="A1629" s="1" t="s">
        <v>2367</v>
      </c>
      <c r="B1629" s="1" t="s">
        <v>103</v>
      </c>
      <c r="C1629" s="1" t="s">
        <v>255</v>
      </c>
      <c r="D1629" s="1" t="s">
        <v>293</v>
      </c>
      <c r="E1629" s="1" t="s">
        <v>33</v>
      </c>
      <c r="F1629" s="1" t="s">
        <v>293</v>
      </c>
      <c r="G1629" s="1">
        <v>2</v>
      </c>
      <c r="H1629" s="1">
        <v>56942</v>
      </c>
      <c r="I1629" s="1">
        <v>0.2</v>
      </c>
      <c r="J1629" s="1">
        <v>91107.199999999997</v>
      </c>
      <c r="K1629" s="1">
        <v>15501.23</v>
      </c>
      <c r="L1629" s="1" t="s">
        <v>17</v>
      </c>
      <c r="M1629" s="1" t="str">
        <f>TEXT(Table1[[#This Row],[Order Date]],"mmm")</f>
        <v>Nov</v>
      </c>
      <c r="N1629" s="1">
        <f>YEAR(Table1[[#This Row],[Order Date]])</f>
        <v>2023</v>
      </c>
    </row>
    <row r="1630" spans="1:14" x14ac:dyDescent="0.35">
      <c r="A1630" s="1" t="s">
        <v>2368</v>
      </c>
      <c r="B1630" s="1" t="s">
        <v>80</v>
      </c>
      <c r="C1630" s="1" t="s">
        <v>208</v>
      </c>
      <c r="D1630" s="1" t="s">
        <v>108</v>
      </c>
      <c r="E1630" s="1" t="s">
        <v>22</v>
      </c>
      <c r="F1630" s="1" t="s">
        <v>108</v>
      </c>
      <c r="G1630" s="1">
        <v>12</v>
      </c>
      <c r="H1630" s="1">
        <v>15832</v>
      </c>
      <c r="I1630" s="1">
        <v>0</v>
      </c>
      <c r="J1630" s="1">
        <v>189984</v>
      </c>
      <c r="K1630" s="1">
        <v>18566.080000000002</v>
      </c>
      <c r="L1630" s="1" t="s">
        <v>17</v>
      </c>
      <c r="M1630" s="1" t="str">
        <f>TEXT(Table1[[#This Row],[Order Date]],"mmm")</f>
        <v>Jan</v>
      </c>
      <c r="N1630" s="1">
        <f>YEAR(Table1[[#This Row],[Order Date]])</f>
        <v>2023</v>
      </c>
    </row>
    <row r="1631" spans="1:14" x14ac:dyDescent="0.35">
      <c r="A1631" s="1" t="s">
        <v>2369</v>
      </c>
      <c r="B1631" s="1" t="s">
        <v>389</v>
      </c>
      <c r="C1631" s="1" t="s">
        <v>51</v>
      </c>
      <c r="D1631" s="1" t="s">
        <v>108</v>
      </c>
      <c r="E1631" s="1" t="s">
        <v>22</v>
      </c>
      <c r="F1631" s="1" t="s">
        <v>108</v>
      </c>
      <c r="G1631" s="1">
        <v>13</v>
      </c>
      <c r="H1631" s="1">
        <v>54479</v>
      </c>
      <c r="I1631" s="1">
        <v>0.15</v>
      </c>
      <c r="J1631" s="1">
        <v>601992.94999999995</v>
      </c>
      <c r="K1631" s="1">
        <v>126170.93</v>
      </c>
      <c r="L1631" s="1" t="s">
        <v>17</v>
      </c>
      <c r="M1631" s="1" t="str">
        <f>TEXT(Table1[[#This Row],[Order Date]],"mmm")</f>
        <v>May</v>
      </c>
      <c r="N1631" s="1">
        <f>YEAR(Table1[[#This Row],[Order Date]])</f>
        <v>2023</v>
      </c>
    </row>
    <row r="1632" spans="1:14" x14ac:dyDescent="0.35">
      <c r="A1632" s="1" t="s">
        <v>2370</v>
      </c>
      <c r="B1632" s="1" t="s">
        <v>177</v>
      </c>
      <c r="C1632" s="1" t="s">
        <v>200</v>
      </c>
      <c r="D1632" s="1" t="s">
        <v>167</v>
      </c>
      <c r="E1632" s="1" t="s">
        <v>16</v>
      </c>
      <c r="F1632" s="1" t="s">
        <v>167</v>
      </c>
      <c r="G1632" s="1">
        <v>8</v>
      </c>
      <c r="H1632" s="1">
        <v>6075</v>
      </c>
      <c r="I1632" s="1">
        <v>0</v>
      </c>
      <c r="J1632" s="1">
        <v>48600</v>
      </c>
      <c r="K1632" s="1">
        <v>5353.67</v>
      </c>
      <c r="L1632" s="1" t="s">
        <v>17</v>
      </c>
      <c r="M1632" s="1" t="str">
        <f>TEXT(Table1[[#This Row],[Order Date]],"mmm")</f>
        <v>Jun</v>
      </c>
      <c r="N1632" s="1">
        <f>YEAR(Table1[[#This Row],[Order Date]])</f>
        <v>2023</v>
      </c>
    </row>
    <row r="1633" spans="1:14" x14ac:dyDescent="0.35">
      <c r="A1633" s="1" t="s">
        <v>2371</v>
      </c>
      <c r="B1633" s="1" t="s">
        <v>1556</v>
      </c>
      <c r="C1633" s="1" t="s">
        <v>84</v>
      </c>
      <c r="D1633" s="1" t="s">
        <v>27</v>
      </c>
      <c r="E1633" s="1" t="s">
        <v>28</v>
      </c>
      <c r="F1633" s="1" t="s">
        <v>27</v>
      </c>
      <c r="G1633" s="1">
        <v>12</v>
      </c>
      <c r="H1633" s="1">
        <v>8902</v>
      </c>
      <c r="I1633" s="1">
        <v>0.15</v>
      </c>
      <c r="J1633" s="1">
        <v>90800.4</v>
      </c>
      <c r="K1633" s="1">
        <v>20256.080000000002</v>
      </c>
      <c r="L1633" s="1" t="s">
        <v>70</v>
      </c>
      <c r="M1633" s="1" t="str">
        <f>TEXT(Table1[[#This Row],[Order Date]],"mmm")</f>
        <v>May</v>
      </c>
      <c r="N1633" s="1">
        <f>YEAR(Table1[[#This Row],[Order Date]])</f>
        <v>2023</v>
      </c>
    </row>
    <row r="1634" spans="1:14" x14ac:dyDescent="0.35">
      <c r="A1634" s="1" t="s">
        <v>2372</v>
      </c>
      <c r="B1634" s="1" t="s">
        <v>1673</v>
      </c>
      <c r="C1634" s="1" t="s">
        <v>26</v>
      </c>
      <c r="D1634" s="1" t="s">
        <v>60</v>
      </c>
      <c r="E1634" s="1" t="s">
        <v>33</v>
      </c>
      <c r="F1634" s="1" t="s">
        <v>60</v>
      </c>
      <c r="G1634" s="1">
        <v>15</v>
      </c>
      <c r="H1634" s="1">
        <v>38591</v>
      </c>
      <c r="I1634" s="1">
        <v>0.15</v>
      </c>
      <c r="J1634" s="1">
        <v>492035.25</v>
      </c>
      <c r="K1634" s="1">
        <v>111116.06</v>
      </c>
      <c r="L1634" s="1" t="s">
        <v>23</v>
      </c>
      <c r="M1634" s="1" t="str">
        <f>TEXT(Table1[[#This Row],[Order Date]],"mmm")</f>
        <v>Jan</v>
      </c>
      <c r="N1634" s="1">
        <f>YEAR(Table1[[#This Row],[Order Date]])</f>
        <v>2024</v>
      </c>
    </row>
    <row r="1635" spans="1:14" x14ac:dyDescent="0.35">
      <c r="A1635" s="1" t="s">
        <v>2373</v>
      </c>
      <c r="B1635" s="1" t="s">
        <v>69</v>
      </c>
      <c r="C1635" s="1" t="s">
        <v>136</v>
      </c>
      <c r="D1635" s="1" t="s">
        <v>151</v>
      </c>
      <c r="E1635" s="1" t="s">
        <v>22</v>
      </c>
      <c r="F1635" s="1" t="s">
        <v>151</v>
      </c>
      <c r="G1635" s="1">
        <v>4</v>
      </c>
      <c r="H1635" s="1">
        <v>11856</v>
      </c>
      <c r="I1635" s="1">
        <v>0.05</v>
      </c>
      <c r="J1635" s="1">
        <v>45052.800000000003</v>
      </c>
      <c r="K1635" s="1">
        <v>5518.86</v>
      </c>
      <c r="L1635" s="1" t="s">
        <v>70</v>
      </c>
      <c r="M1635" s="1" t="str">
        <f>TEXT(Table1[[#This Row],[Order Date]],"mmm")</f>
        <v>Mar</v>
      </c>
      <c r="N1635" s="1">
        <f>YEAR(Table1[[#This Row],[Order Date]])</f>
        <v>2023</v>
      </c>
    </row>
    <row r="1636" spans="1:14" x14ac:dyDescent="0.35">
      <c r="A1636" s="1" t="s">
        <v>2374</v>
      </c>
      <c r="B1636" s="1" t="s">
        <v>2375</v>
      </c>
      <c r="C1636" s="1" t="s">
        <v>77</v>
      </c>
      <c r="D1636" s="1" t="s">
        <v>52</v>
      </c>
      <c r="E1636" s="1" t="s">
        <v>28</v>
      </c>
      <c r="F1636" s="1" t="s">
        <v>52</v>
      </c>
      <c r="G1636" s="1">
        <v>5</v>
      </c>
      <c r="H1636" s="1">
        <v>15608</v>
      </c>
      <c r="I1636" s="1">
        <v>0.2</v>
      </c>
      <c r="J1636" s="1">
        <v>62432</v>
      </c>
      <c r="K1636" s="1">
        <v>5445.55</v>
      </c>
      <c r="L1636" s="1" t="s">
        <v>23</v>
      </c>
      <c r="M1636" s="1" t="str">
        <f>TEXT(Table1[[#This Row],[Order Date]],"mmm")</f>
        <v>Apr</v>
      </c>
      <c r="N1636" s="1">
        <f>YEAR(Table1[[#This Row],[Order Date]])</f>
        <v>2024</v>
      </c>
    </row>
    <row r="1637" spans="1:14" x14ac:dyDescent="0.35">
      <c r="A1637" s="1" t="s">
        <v>2376</v>
      </c>
      <c r="B1637" s="1" t="s">
        <v>25</v>
      </c>
      <c r="C1637" s="1" t="s">
        <v>162</v>
      </c>
      <c r="D1637" s="1" t="s">
        <v>137</v>
      </c>
      <c r="E1637" s="1" t="s">
        <v>22</v>
      </c>
      <c r="F1637" s="1" t="s">
        <v>137</v>
      </c>
      <c r="G1637" s="1">
        <v>4</v>
      </c>
      <c r="H1637" s="1">
        <v>57294</v>
      </c>
      <c r="I1637" s="1">
        <v>0</v>
      </c>
      <c r="J1637" s="1">
        <v>229176</v>
      </c>
      <c r="K1637" s="1">
        <v>23842.42</v>
      </c>
      <c r="L1637" s="1" t="s">
        <v>45</v>
      </c>
      <c r="M1637" s="1" t="str">
        <f>TEXT(Table1[[#This Row],[Order Date]],"mmm")</f>
        <v>Apr</v>
      </c>
      <c r="N1637" s="1">
        <f>YEAR(Table1[[#This Row],[Order Date]])</f>
        <v>2023</v>
      </c>
    </row>
    <row r="1638" spans="1:14" x14ac:dyDescent="0.35">
      <c r="A1638" s="1" t="s">
        <v>2377</v>
      </c>
      <c r="B1638" s="1" t="s">
        <v>1198</v>
      </c>
      <c r="C1638" s="1" t="s">
        <v>507</v>
      </c>
      <c r="D1638" s="1" t="s">
        <v>48</v>
      </c>
      <c r="E1638" s="1" t="s">
        <v>16</v>
      </c>
      <c r="F1638" s="1" t="s">
        <v>48</v>
      </c>
      <c r="G1638" s="1">
        <v>2</v>
      </c>
      <c r="H1638" s="1">
        <v>49516</v>
      </c>
      <c r="I1638" s="1">
        <v>0.2</v>
      </c>
      <c r="J1638" s="1">
        <v>79225.600000000006</v>
      </c>
      <c r="K1638" s="1">
        <v>16284.47</v>
      </c>
      <c r="L1638" s="1" t="s">
        <v>45</v>
      </c>
      <c r="M1638" s="1" t="str">
        <f>TEXT(Table1[[#This Row],[Order Date]],"mmm")</f>
        <v>Mar</v>
      </c>
      <c r="N1638" s="1">
        <f>YEAR(Table1[[#This Row],[Order Date]])</f>
        <v>2023</v>
      </c>
    </row>
    <row r="1639" spans="1:14" x14ac:dyDescent="0.35">
      <c r="A1639" s="1" t="s">
        <v>2378</v>
      </c>
      <c r="B1639" s="1" t="s">
        <v>724</v>
      </c>
      <c r="C1639" s="1" t="s">
        <v>59</v>
      </c>
      <c r="D1639" s="1" t="s">
        <v>48</v>
      </c>
      <c r="E1639" s="1" t="s">
        <v>16</v>
      </c>
      <c r="F1639" s="1" t="s">
        <v>48</v>
      </c>
      <c r="G1639" s="1">
        <v>15</v>
      </c>
      <c r="H1639" s="1">
        <v>12320</v>
      </c>
      <c r="I1639" s="1">
        <v>0.05</v>
      </c>
      <c r="J1639" s="1">
        <v>175560</v>
      </c>
      <c r="K1639" s="1">
        <v>42179.12</v>
      </c>
      <c r="L1639" s="1" t="s">
        <v>17</v>
      </c>
      <c r="M1639" s="1" t="str">
        <f>TEXT(Table1[[#This Row],[Order Date]],"mmm")</f>
        <v>Feb</v>
      </c>
      <c r="N1639" s="1">
        <f>YEAR(Table1[[#This Row],[Order Date]])</f>
        <v>2023</v>
      </c>
    </row>
    <row r="1640" spans="1:14" x14ac:dyDescent="0.35">
      <c r="A1640" s="1" t="s">
        <v>2379</v>
      </c>
      <c r="B1640" s="1" t="s">
        <v>466</v>
      </c>
      <c r="C1640" s="1" t="s">
        <v>140</v>
      </c>
      <c r="D1640" s="1" t="s">
        <v>85</v>
      </c>
      <c r="E1640" s="1" t="s">
        <v>28</v>
      </c>
      <c r="F1640" s="1" t="s">
        <v>85</v>
      </c>
      <c r="G1640" s="1">
        <v>11</v>
      </c>
      <c r="H1640" s="1">
        <v>31195</v>
      </c>
      <c r="I1640" s="1">
        <v>0.05</v>
      </c>
      <c r="J1640" s="1">
        <v>325987.75</v>
      </c>
      <c r="K1640" s="1">
        <v>89001.99</v>
      </c>
      <c r="L1640" s="1" t="s">
        <v>45</v>
      </c>
      <c r="M1640" s="1" t="str">
        <f>TEXT(Table1[[#This Row],[Order Date]],"mmm")</f>
        <v>Feb</v>
      </c>
      <c r="N1640" s="1">
        <f>YEAR(Table1[[#This Row],[Order Date]])</f>
        <v>2024</v>
      </c>
    </row>
    <row r="1641" spans="1:14" x14ac:dyDescent="0.35">
      <c r="A1641" s="1" t="s">
        <v>2380</v>
      </c>
      <c r="B1641" s="1" t="s">
        <v>236</v>
      </c>
      <c r="C1641" s="1" t="s">
        <v>98</v>
      </c>
      <c r="D1641" s="1" t="s">
        <v>108</v>
      </c>
      <c r="E1641" s="1" t="s">
        <v>22</v>
      </c>
      <c r="F1641" s="1" t="s">
        <v>108</v>
      </c>
      <c r="G1641" s="1">
        <v>10</v>
      </c>
      <c r="H1641" s="1">
        <v>58921</v>
      </c>
      <c r="I1641" s="1">
        <v>0.15</v>
      </c>
      <c r="J1641" s="1">
        <v>500828.5</v>
      </c>
      <c r="K1641" s="1">
        <v>90878.42</v>
      </c>
      <c r="L1641" s="1" t="s">
        <v>23</v>
      </c>
      <c r="M1641" s="1" t="str">
        <f>TEXT(Table1[[#This Row],[Order Date]],"mmm")</f>
        <v>May</v>
      </c>
      <c r="N1641" s="1">
        <f>YEAR(Table1[[#This Row],[Order Date]])</f>
        <v>2024</v>
      </c>
    </row>
    <row r="1642" spans="1:14" x14ac:dyDescent="0.35">
      <c r="A1642" s="1" t="s">
        <v>2381</v>
      </c>
      <c r="B1642" s="1" t="s">
        <v>780</v>
      </c>
      <c r="C1642" s="1" t="s">
        <v>155</v>
      </c>
      <c r="D1642" s="1" t="s">
        <v>44</v>
      </c>
      <c r="E1642" s="1" t="s">
        <v>28</v>
      </c>
      <c r="F1642" s="1" t="s">
        <v>44</v>
      </c>
      <c r="G1642" s="1">
        <v>7</v>
      </c>
      <c r="H1642" s="1">
        <v>18168</v>
      </c>
      <c r="I1642" s="1">
        <v>0.05</v>
      </c>
      <c r="J1642" s="1">
        <v>120817.2</v>
      </c>
      <c r="K1642" s="1">
        <v>36154.54</v>
      </c>
      <c r="L1642" s="1" t="s">
        <v>45</v>
      </c>
      <c r="M1642" s="1" t="str">
        <f>TEXT(Table1[[#This Row],[Order Date]],"mmm")</f>
        <v>Oct</v>
      </c>
      <c r="N1642" s="1">
        <f>YEAR(Table1[[#This Row],[Order Date]])</f>
        <v>2023</v>
      </c>
    </row>
    <row r="1643" spans="1:14" x14ac:dyDescent="0.35">
      <c r="A1643" s="1" t="s">
        <v>2382</v>
      </c>
      <c r="B1643" s="1" t="s">
        <v>667</v>
      </c>
      <c r="C1643" s="1" t="s">
        <v>208</v>
      </c>
      <c r="D1643" s="1" t="s">
        <v>85</v>
      </c>
      <c r="E1643" s="1" t="s">
        <v>28</v>
      </c>
      <c r="F1643" s="1" t="s">
        <v>85</v>
      </c>
      <c r="G1643" s="1">
        <v>6</v>
      </c>
      <c r="H1643" s="1">
        <v>32060</v>
      </c>
      <c r="I1643" s="1">
        <v>0</v>
      </c>
      <c r="J1643" s="1">
        <v>192360</v>
      </c>
      <c r="K1643" s="1">
        <v>39660.199999999997</v>
      </c>
      <c r="L1643" s="1" t="s">
        <v>23</v>
      </c>
      <c r="M1643" s="1" t="str">
        <f>TEXT(Table1[[#This Row],[Order Date]],"mmm")</f>
        <v>Jun</v>
      </c>
      <c r="N1643" s="1">
        <f>YEAR(Table1[[#This Row],[Order Date]])</f>
        <v>2024</v>
      </c>
    </row>
    <row r="1644" spans="1:14" x14ac:dyDescent="0.35">
      <c r="A1644" s="1" t="s">
        <v>2383</v>
      </c>
      <c r="B1644" s="1" t="s">
        <v>853</v>
      </c>
      <c r="C1644" s="1" t="s">
        <v>507</v>
      </c>
      <c r="D1644" s="1" t="s">
        <v>74</v>
      </c>
      <c r="E1644" s="1" t="s">
        <v>22</v>
      </c>
      <c r="F1644" s="1" t="s">
        <v>74</v>
      </c>
      <c r="G1644" s="1">
        <v>13</v>
      </c>
      <c r="H1644" s="1">
        <v>35065</v>
      </c>
      <c r="I1644" s="1">
        <v>0.1</v>
      </c>
      <c r="J1644" s="1">
        <v>410260.5</v>
      </c>
      <c r="K1644" s="1">
        <v>38472.03</v>
      </c>
      <c r="L1644" s="1" t="s">
        <v>17</v>
      </c>
      <c r="M1644" s="1" t="str">
        <f>TEXT(Table1[[#This Row],[Order Date]],"mmm")</f>
        <v>Jun</v>
      </c>
      <c r="N1644" s="1">
        <f>YEAR(Table1[[#This Row],[Order Date]])</f>
        <v>2024</v>
      </c>
    </row>
    <row r="1645" spans="1:14" x14ac:dyDescent="0.35">
      <c r="A1645" s="1" t="s">
        <v>2384</v>
      </c>
      <c r="B1645" s="1" t="s">
        <v>130</v>
      </c>
      <c r="C1645" s="1" t="s">
        <v>31</v>
      </c>
      <c r="D1645" s="1" t="s">
        <v>74</v>
      </c>
      <c r="E1645" s="1" t="s">
        <v>22</v>
      </c>
      <c r="F1645" s="1" t="s">
        <v>74</v>
      </c>
      <c r="G1645" s="1">
        <v>3</v>
      </c>
      <c r="H1645" s="1">
        <v>31821</v>
      </c>
      <c r="I1645" s="1">
        <v>0.2</v>
      </c>
      <c r="J1645" s="1">
        <v>76370.399999999994</v>
      </c>
      <c r="K1645" s="1">
        <v>22287.66</v>
      </c>
      <c r="L1645" s="1" t="s">
        <v>23</v>
      </c>
      <c r="M1645" s="1" t="str">
        <f>TEXT(Table1[[#This Row],[Order Date]],"mmm")</f>
        <v>May</v>
      </c>
      <c r="N1645" s="1">
        <f>YEAR(Table1[[#This Row],[Order Date]])</f>
        <v>2023</v>
      </c>
    </row>
    <row r="1646" spans="1:14" x14ac:dyDescent="0.35">
      <c r="A1646" s="1" t="s">
        <v>2385</v>
      </c>
      <c r="B1646" s="1" t="s">
        <v>1276</v>
      </c>
      <c r="C1646" s="1" t="s">
        <v>349</v>
      </c>
      <c r="D1646" s="1" t="s">
        <v>323</v>
      </c>
      <c r="E1646" s="1" t="s">
        <v>33</v>
      </c>
      <c r="F1646" s="1" t="s">
        <v>323</v>
      </c>
      <c r="G1646" s="1">
        <v>8</v>
      </c>
      <c r="H1646" s="1">
        <v>1445</v>
      </c>
      <c r="I1646" s="1">
        <v>0.05</v>
      </c>
      <c r="J1646" s="1">
        <v>10982</v>
      </c>
      <c r="K1646" s="1">
        <v>1059.4100000000001</v>
      </c>
      <c r="L1646" s="1" t="s">
        <v>17</v>
      </c>
      <c r="M1646" s="1" t="str">
        <f>TEXT(Table1[[#This Row],[Order Date]],"mmm")</f>
        <v>Apr</v>
      </c>
      <c r="N1646" s="1">
        <f>YEAR(Table1[[#This Row],[Order Date]])</f>
        <v>2023</v>
      </c>
    </row>
    <row r="1647" spans="1:14" x14ac:dyDescent="0.35">
      <c r="A1647" s="1" t="s">
        <v>2386</v>
      </c>
      <c r="B1647" s="1" t="s">
        <v>43</v>
      </c>
      <c r="C1647" s="1" t="s">
        <v>31</v>
      </c>
      <c r="D1647" s="1" t="s">
        <v>133</v>
      </c>
      <c r="E1647" s="1" t="s">
        <v>22</v>
      </c>
      <c r="F1647" s="1" t="s">
        <v>133</v>
      </c>
      <c r="G1647" s="1">
        <v>13</v>
      </c>
      <c r="H1647" s="1">
        <v>44499</v>
      </c>
      <c r="I1647" s="1">
        <v>0.2</v>
      </c>
      <c r="J1647" s="1">
        <v>462789.6</v>
      </c>
      <c r="K1647" s="1">
        <v>103868.01</v>
      </c>
      <c r="L1647" s="1" t="s">
        <v>70</v>
      </c>
      <c r="M1647" s="1" t="str">
        <f>TEXT(Table1[[#This Row],[Order Date]],"mmm")</f>
        <v>Jun</v>
      </c>
      <c r="N1647" s="1">
        <f>YEAR(Table1[[#This Row],[Order Date]])</f>
        <v>2023</v>
      </c>
    </row>
    <row r="1648" spans="1:14" x14ac:dyDescent="0.35">
      <c r="A1648" s="1" t="s">
        <v>2387</v>
      </c>
      <c r="B1648" s="1" t="s">
        <v>956</v>
      </c>
      <c r="C1648" s="1" t="s">
        <v>125</v>
      </c>
      <c r="D1648" s="1" t="s">
        <v>95</v>
      </c>
      <c r="E1648" s="1" t="s">
        <v>33</v>
      </c>
      <c r="F1648" s="1" t="s">
        <v>95</v>
      </c>
      <c r="G1648" s="1">
        <v>6</v>
      </c>
      <c r="H1648" s="1">
        <v>25079</v>
      </c>
      <c r="I1648" s="1">
        <v>0.1</v>
      </c>
      <c r="J1648" s="1">
        <v>135426.6</v>
      </c>
      <c r="K1648" s="1">
        <v>38481.599999999999</v>
      </c>
      <c r="L1648" s="1" t="s">
        <v>45</v>
      </c>
      <c r="M1648" s="1" t="str">
        <f>TEXT(Table1[[#This Row],[Order Date]],"mmm")</f>
        <v>Aug</v>
      </c>
      <c r="N1648" s="1">
        <f>YEAR(Table1[[#This Row],[Order Date]])</f>
        <v>2024</v>
      </c>
    </row>
    <row r="1649" spans="1:14" x14ac:dyDescent="0.35">
      <c r="A1649" s="1" t="s">
        <v>2388</v>
      </c>
      <c r="B1649" s="1" t="s">
        <v>312</v>
      </c>
      <c r="C1649" s="1" t="s">
        <v>332</v>
      </c>
      <c r="D1649" s="1" t="s">
        <v>224</v>
      </c>
      <c r="E1649" s="1" t="s">
        <v>33</v>
      </c>
      <c r="F1649" s="1" t="s">
        <v>224</v>
      </c>
      <c r="G1649" s="1">
        <v>14</v>
      </c>
      <c r="H1649" s="1">
        <v>2181</v>
      </c>
      <c r="I1649" s="1">
        <v>0</v>
      </c>
      <c r="J1649" s="1">
        <v>30534</v>
      </c>
      <c r="K1649" s="1">
        <v>5189.26</v>
      </c>
      <c r="L1649" s="1" t="s">
        <v>70</v>
      </c>
      <c r="M1649" s="1" t="str">
        <f>TEXT(Table1[[#This Row],[Order Date]],"mmm")</f>
        <v>May</v>
      </c>
      <c r="N1649" s="1">
        <f>YEAR(Table1[[#This Row],[Order Date]])</f>
        <v>2024</v>
      </c>
    </row>
    <row r="1650" spans="1:14" x14ac:dyDescent="0.35">
      <c r="A1650" s="1" t="s">
        <v>2389</v>
      </c>
      <c r="B1650" s="1" t="s">
        <v>400</v>
      </c>
      <c r="C1650" s="1" t="s">
        <v>20</v>
      </c>
      <c r="D1650" s="1" t="s">
        <v>27</v>
      </c>
      <c r="E1650" s="1" t="s">
        <v>28</v>
      </c>
      <c r="F1650" s="1" t="s">
        <v>27</v>
      </c>
      <c r="G1650" s="1">
        <v>6</v>
      </c>
      <c r="H1650" s="1">
        <v>3286</v>
      </c>
      <c r="I1650" s="1">
        <v>0.2</v>
      </c>
      <c r="J1650" s="1">
        <v>15772.8</v>
      </c>
      <c r="K1650" s="1">
        <v>3074.59</v>
      </c>
      <c r="L1650" s="1" t="s">
        <v>23</v>
      </c>
      <c r="M1650" s="1" t="str">
        <f>TEXT(Table1[[#This Row],[Order Date]],"mmm")</f>
        <v>Aug</v>
      </c>
      <c r="N1650" s="1">
        <f>YEAR(Table1[[#This Row],[Order Date]])</f>
        <v>2023</v>
      </c>
    </row>
    <row r="1651" spans="1:14" x14ac:dyDescent="0.35">
      <c r="A1651" s="1" t="s">
        <v>2390</v>
      </c>
      <c r="B1651" s="1" t="s">
        <v>2391</v>
      </c>
      <c r="C1651" s="1" t="s">
        <v>98</v>
      </c>
      <c r="D1651" s="1" t="s">
        <v>91</v>
      </c>
      <c r="E1651" s="1" t="s">
        <v>16</v>
      </c>
      <c r="F1651" s="1" t="s">
        <v>91</v>
      </c>
      <c r="G1651" s="1">
        <v>1</v>
      </c>
      <c r="H1651" s="1">
        <v>28055</v>
      </c>
      <c r="I1651" s="1">
        <v>0.2</v>
      </c>
      <c r="J1651" s="1">
        <v>22444</v>
      </c>
      <c r="K1651" s="1">
        <v>4875.42</v>
      </c>
      <c r="L1651" s="1" t="s">
        <v>23</v>
      </c>
      <c r="M1651" s="1" t="str">
        <f>TEXT(Table1[[#This Row],[Order Date]],"mmm")</f>
        <v>Mar</v>
      </c>
      <c r="N1651" s="1">
        <f>YEAR(Table1[[#This Row],[Order Date]])</f>
        <v>2024</v>
      </c>
    </row>
    <row r="1652" spans="1:14" x14ac:dyDescent="0.35">
      <c r="A1652" s="1" t="s">
        <v>2392</v>
      </c>
      <c r="B1652" s="1" t="s">
        <v>215</v>
      </c>
      <c r="C1652" s="1" t="s">
        <v>203</v>
      </c>
      <c r="D1652" s="1" t="s">
        <v>137</v>
      </c>
      <c r="E1652" s="1" t="s">
        <v>22</v>
      </c>
      <c r="F1652" s="1" t="s">
        <v>137</v>
      </c>
      <c r="G1652" s="1">
        <v>13</v>
      </c>
      <c r="H1652" s="1">
        <v>56789</v>
      </c>
      <c r="I1652" s="1">
        <v>0</v>
      </c>
      <c r="J1652" s="1">
        <v>738257</v>
      </c>
      <c r="K1652" s="1">
        <v>108591.62</v>
      </c>
      <c r="L1652" s="1" t="s">
        <v>45</v>
      </c>
      <c r="M1652" s="1" t="str">
        <f>TEXT(Table1[[#This Row],[Order Date]],"mmm")</f>
        <v>Jul</v>
      </c>
      <c r="N1652" s="1">
        <f>YEAR(Table1[[#This Row],[Order Date]])</f>
        <v>2024</v>
      </c>
    </row>
    <row r="1653" spans="1:14" x14ac:dyDescent="0.35">
      <c r="A1653" s="1" t="s">
        <v>2393</v>
      </c>
      <c r="B1653" s="1" t="s">
        <v>663</v>
      </c>
      <c r="C1653" s="1" t="s">
        <v>136</v>
      </c>
      <c r="D1653" s="1" t="s">
        <v>91</v>
      </c>
      <c r="E1653" s="1" t="s">
        <v>16</v>
      </c>
      <c r="F1653" s="1" t="s">
        <v>91</v>
      </c>
      <c r="G1653" s="1">
        <v>12</v>
      </c>
      <c r="H1653" s="1">
        <v>54138</v>
      </c>
      <c r="I1653" s="1">
        <v>0.2</v>
      </c>
      <c r="J1653" s="1">
        <v>519724.79999999999</v>
      </c>
      <c r="K1653" s="1">
        <v>71151.649999999994</v>
      </c>
      <c r="L1653" s="1" t="s">
        <v>17</v>
      </c>
      <c r="M1653" s="1" t="str">
        <f>TEXT(Table1[[#This Row],[Order Date]],"mmm")</f>
        <v>Oct</v>
      </c>
      <c r="N1653" s="1">
        <f>YEAR(Table1[[#This Row],[Order Date]])</f>
        <v>2023</v>
      </c>
    </row>
    <row r="1654" spans="1:14" x14ac:dyDescent="0.35">
      <c r="A1654" s="1" t="s">
        <v>2394</v>
      </c>
      <c r="B1654" s="1" t="s">
        <v>113</v>
      </c>
      <c r="C1654" s="1" t="s">
        <v>55</v>
      </c>
      <c r="D1654" s="1" t="s">
        <v>15</v>
      </c>
      <c r="E1654" s="1" t="s">
        <v>16</v>
      </c>
      <c r="F1654" s="1" t="s">
        <v>15</v>
      </c>
      <c r="G1654" s="1">
        <v>8</v>
      </c>
      <c r="H1654" s="1">
        <v>51204</v>
      </c>
      <c r="I1654" s="1">
        <v>0.05</v>
      </c>
      <c r="J1654" s="1">
        <v>389150.4</v>
      </c>
      <c r="K1654" s="1">
        <v>73571.070000000007</v>
      </c>
      <c r="L1654" s="1" t="s">
        <v>45</v>
      </c>
      <c r="M1654" s="1" t="str">
        <f>TEXT(Table1[[#This Row],[Order Date]],"mmm")</f>
        <v>Jul</v>
      </c>
      <c r="N1654" s="1">
        <f>YEAR(Table1[[#This Row],[Order Date]])</f>
        <v>2023</v>
      </c>
    </row>
    <row r="1655" spans="1:14" x14ac:dyDescent="0.35">
      <c r="A1655" s="1" t="s">
        <v>2395</v>
      </c>
      <c r="B1655" s="1" t="s">
        <v>592</v>
      </c>
      <c r="C1655" s="1" t="s">
        <v>59</v>
      </c>
      <c r="D1655" s="1" t="s">
        <v>37</v>
      </c>
      <c r="E1655" s="1" t="s">
        <v>16</v>
      </c>
      <c r="F1655" s="1" t="s">
        <v>37</v>
      </c>
      <c r="G1655" s="1">
        <v>1</v>
      </c>
      <c r="H1655" s="1">
        <v>52505</v>
      </c>
      <c r="I1655" s="1">
        <v>0.15</v>
      </c>
      <c r="J1655" s="1">
        <v>44629.25</v>
      </c>
      <c r="K1655" s="1">
        <v>9027.0499999999993</v>
      </c>
      <c r="L1655" s="1" t="s">
        <v>45</v>
      </c>
      <c r="M1655" s="1" t="str">
        <f>TEXT(Table1[[#This Row],[Order Date]],"mmm")</f>
        <v>Mar</v>
      </c>
      <c r="N1655" s="1">
        <f>YEAR(Table1[[#This Row],[Order Date]])</f>
        <v>2023</v>
      </c>
    </row>
    <row r="1656" spans="1:14" x14ac:dyDescent="0.35">
      <c r="A1656" s="1" t="s">
        <v>2396</v>
      </c>
      <c r="B1656" s="1" t="s">
        <v>712</v>
      </c>
      <c r="C1656" s="1" t="s">
        <v>88</v>
      </c>
      <c r="D1656" s="1" t="s">
        <v>48</v>
      </c>
      <c r="E1656" s="1" t="s">
        <v>16</v>
      </c>
      <c r="F1656" s="1" t="s">
        <v>48</v>
      </c>
      <c r="G1656" s="1">
        <v>8</v>
      </c>
      <c r="H1656" s="1">
        <v>33195</v>
      </c>
      <c r="I1656" s="1">
        <v>0.15</v>
      </c>
      <c r="J1656" s="1">
        <v>225726</v>
      </c>
      <c r="K1656" s="1">
        <v>46199.31</v>
      </c>
      <c r="L1656" s="1" t="s">
        <v>45</v>
      </c>
      <c r="M1656" s="1" t="str">
        <f>TEXT(Table1[[#This Row],[Order Date]],"mmm")</f>
        <v>Sep</v>
      </c>
      <c r="N1656" s="1">
        <f>YEAR(Table1[[#This Row],[Order Date]])</f>
        <v>2023</v>
      </c>
    </row>
    <row r="1657" spans="1:14" x14ac:dyDescent="0.35">
      <c r="A1657" s="1" t="s">
        <v>2397</v>
      </c>
      <c r="B1657" s="1" t="s">
        <v>351</v>
      </c>
      <c r="C1657" s="1" t="s">
        <v>188</v>
      </c>
      <c r="D1657" s="1" t="s">
        <v>21</v>
      </c>
      <c r="E1657" s="1" t="s">
        <v>22</v>
      </c>
      <c r="F1657" s="1" t="s">
        <v>21</v>
      </c>
      <c r="G1657" s="1">
        <v>14</v>
      </c>
      <c r="H1657" s="1">
        <v>3862</v>
      </c>
      <c r="I1657" s="1">
        <v>0.15</v>
      </c>
      <c r="J1657" s="1">
        <v>45957.8</v>
      </c>
      <c r="K1657" s="1">
        <v>8897.89</v>
      </c>
      <c r="L1657" s="1" t="s">
        <v>17</v>
      </c>
      <c r="M1657" s="1" t="str">
        <f>TEXT(Table1[[#This Row],[Order Date]],"mmm")</f>
        <v>Apr</v>
      </c>
      <c r="N1657" s="1">
        <f>YEAR(Table1[[#This Row],[Order Date]])</f>
        <v>2023</v>
      </c>
    </row>
    <row r="1658" spans="1:14" x14ac:dyDescent="0.35">
      <c r="A1658" s="1" t="s">
        <v>2398</v>
      </c>
      <c r="B1658" s="1" t="s">
        <v>1318</v>
      </c>
      <c r="C1658" s="1" t="s">
        <v>98</v>
      </c>
      <c r="D1658" s="1" t="s">
        <v>64</v>
      </c>
      <c r="E1658" s="1" t="s">
        <v>33</v>
      </c>
      <c r="F1658" s="1" t="s">
        <v>64</v>
      </c>
      <c r="G1658" s="1">
        <v>9</v>
      </c>
      <c r="H1658" s="1">
        <v>44976</v>
      </c>
      <c r="I1658" s="1">
        <v>0.15</v>
      </c>
      <c r="J1658" s="1">
        <v>344066.4</v>
      </c>
      <c r="K1658" s="1">
        <v>29175.85</v>
      </c>
      <c r="L1658" s="1" t="s">
        <v>70</v>
      </c>
      <c r="M1658" s="1" t="str">
        <f>TEXT(Table1[[#This Row],[Order Date]],"mmm")</f>
        <v>Feb</v>
      </c>
      <c r="N1658" s="1">
        <f>YEAR(Table1[[#This Row],[Order Date]])</f>
        <v>2023</v>
      </c>
    </row>
    <row r="1659" spans="1:14" x14ac:dyDescent="0.35">
      <c r="A1659" s="1" t="s">
        <v>2399</v>
      </c>
      <c r="B1659" s="1" t="s">
        <v>636</v>
      </c>
      <c r="C1659" s="1" t="s">
        <v>31</v>
      </c>
      <c r="D1659" s="1" t="s">
        <v>44</v>
      </c>
      <c r="E1659" s="1" t="s">
        <v>28</v>
      </c>
      <c r="F1659" s="1" t="s">
        <v>44</v>
      </c>
      <c r="G1659" s="1">
        <v>15</v>
      </c>
      <c r="H1659" s="1">
        <v>26358</v>
      </c>
      <c r="I1659" s="1">
        <v>0</v>
      </c>
      <c r="J1659" s="1">
        <v>395370</v>
      </c>
      <c r="K1659" s="1">
        <v>102259.28</v>
      </c>
      <c r="L1659" s="1" t="s">
        <v>70</v>
      </c>
      <c r="M1659" s="1" t="str">
        <f>TEXT(Table1[[#This Row],[Order Date]],"mmm")</f>
        <v>Nov</v>
      </c>
      <c r="N1659" s="1">
        <f>YEAR(Table1[[#This Row],[Order Date]])</f>
        <v>2023</v>
      </c>
    </row>
    <row r="1660" spans="1:14" x14ac:dyDescent="0.35">
      <c r="A1660" s="1" t="s">
        <v>2400</v>
      </c>
      <c r="B1660" s="1" t="s">
        <v>1909</v>
      </c>
      <c r="C1660" s="1" t="s">
        <v>349</v>
      </c>
      <c r="D1660" s="1" t="s">
        <v>41</v>
      </c>
      <c r="E1660" s="1" t="s">
        <v>16</v>
      </c>
      <c r="F1660" s="1" t="s">
        <v>41</v>
      </c>
      <c r="G1660" s="1">
        <v>5</v>
      </c>
      <c r="H1660" s="1">
        <v>48298</v>
      </c>
      <c r="I1660" s="1">
        <v>0.1</v>
      </c>
      <c r="J1660" s="1">
        <v>217341</v>
      </c>
      <c r="K1660" s="1">
        <v>50270.07</v>
      </c>
      <c r="L1660" s="1" t="s">
        <v>45</v>
      </c>
      <c r="M1660" s="1" t="str">
        <f>TEXT(Table1[[#This Row],[Order Date]],"mmm")</f>
        <v>Jun</v>
      </c>
      <c r="N1660" s="1">
        <f>YEAR(Table1[[#This Row],[Order Date]])</f>
        <v>2024</v>
      </c>
    </row>
    <row r="1661" spans="1:14" x14ac:dyDescent="0.35">
      <c r="A1661" s="1" t="s">
        <v>2401</v>
      </c>
      <c r="B1661" s="1" t="s">
        <v>1391</v>
      </c>
      <c r="C1661" s="1" t="s">
        <v>20</v>
      </c>
      <c r="D1661" s="1" t="s">
        <v>64</v>
      </c>
      <c r="E1661" s="1" t="s">
        <v>33</v>
      </c>
      <c r="F1661" s="1" t="s">
        <v>64</v>
      </c>
      <c r="G1661" s="1">
        <v>10</v>
      </c>
      <c r="H1661" s="1">
        <v>4090</v>
      </c>
      <c r="I1661" s="1">
        <v>0.05</v>
      </c>
      <c r="J1661" s="1">
        <v>38855</v>
      </c>
      <c r="K1661" s="1">
        <v>7300.35</v>
      </c>
      <c r="L1661" s="1" t="s">
        <v>70</v>
      </c>
      <c r="M1661" s="1" t="str">
        <f>TEXT(Table1[[#This Row],[Order Date]],"mmm")</f>
        <v>Sep</v>
      </c>
      <c r="N1661" s="1">
        <f>YEAR(Table1[[#This Row],[Order Date]])</f>
        <v>2023</v>
      </c>
    </row>
    <row r="1662" spans="1:14" x14ac:dyDescent="0.35">
      <c r="A1662" s="1" t="s">
        <v>2402</v>
      </c>
      <c r="B1662" s="1" t="s">
        <v>322</v>
      </c>
      <c r="C1662" s="1" t="s">
        <v>81</v>
      </c>
      <c r="D1662" s="1" t="s">
        <v>48</v>
      </c>
      <c r="E1662" s="1" t="s">
        <v>16</v>
      </c>
      <c r="F1662" s="1" t="s">
        <v>48</v>
      </c>
      <c r="G1662" s="1">
        <v>2</v>
      </c>
      <c r="H1662" s="1">
        <v>50891</v>
      </c>
      <c r="I1662" s="1">
        <v>0.1</v>
      </c>
      <c r="J1662" s="1">
        <v>91603.8</v>
      </c>
      <c r="K1662" s="1">
        <v>7627.19</v>
      </c>
      <c r="L1662" s="1" t="s">
        <v>23</v>
      </c>
      <c r="M1662" s="1" t="str">
        <f>TEXT(Table1[[#This Row],[Order Date]],"mmm")</f>
        <v>Sep</v>
      </c>
      <c r="N1662" s="1">
        <f>YEAR(Table1[[#This Row],[Order Date]])</f>
        <v>2023</v>
      </c>
    </row>
    <row r="1663" spans="1:14" x14ac:dyDescent="0.35">
      <c r="A1663" s="1" t="s">
        <v>2403</v>
      </c>
      <c r="B1663" s="1" t="s">
        <v>1278</v>
      </c>
      <c r="C1663" s="1" t="s">
        <v>59</v>
      </c>
      <c r="D1663" s="1" t="s">
        <v>224</v>
      </c>
      <c r="E1663" s="1" t="s">
        <v>33</v>
      </c>
      <c r="F1663" s="1" t="s">
        <v>224</v>
      </c>
      <c r="G1663" s="1">
        <v>10</v>
      </c>
      <c r="H1663" s="1">
        <v>1865</v>
      </c>
      <c r="I1663" s="1">
        <v>0</v>
      </c>
      <c r="J1663" s="1">
        <v>18650</v>
      </c>
      <c r="K1663" s="1">
        <v>3110.31</v>
      </c>
      <c r="L1663" s="1" t="s">
        <v>23</v>
      </c>
      <c r="M1663" s="1" t="str">
        <f>TEXT(Table1[[#This Row],[Order Date]],"mmm")</f>
        <v>Aug</v>
      </c>
      <c r="N1663" s="1">
        <f>YEAR(Table1[[#This Row],[Order Date]])</f>
        <v>2023</v>
      </c>
    </row>
    <row r="1664" spans="1:14" x14ac:dyDescent="0.35">
      <c r="A1664" s="1" t="s">
        <v>2404</v>
      </c>
      <c r="B1664" s="1" t="s">
        <v>1124</v>
      </c>
      <c r="C1664" s="1" t="s">
        <v>67</v>
      </c>
      <c r="D1664" s="1" t="s">
        <v>60</v>
      </c>
      <c r="E1664" s="1" t="s">
        <v>33</v>
      </c>
      <c r="F1664" s="1" t="s">
        <v>60</v>
      </c>
      <c r="G1664" s="1">
        <v>15</v>
      </c>
      <c r="H1664" s="1">
        <v>6078</v>
      </c>
      <c r="I1664" s="1">
        <v>0.15</v>
      </c>
      <c r="J1664" s="1">
        <v>77494.5</v>
      </c>
      <c r="K1664" s="1">
        <v>7586.99</v>
      </c>
      <c r="L1664" s="1" t="s">
        <v>23</v>
      </c>
      <c r="M1664" s="1" t="str">
        <f>TEXT(Table1[[#This Row],[Order Date]],"mmm")</f>
        <v>Feb</v>
      </c>
      <c r="N1664" s="1">
        <f>YEAR(Table1[[#This Row],[Order Date]])</f>
        <v>2024</v>
      </c>
    </row>
    <row r="1665" spans="1:14" x14ac:dyDescent="0.35">
      <c r="A1665" s="1" t="s">
        <v>2405</v>
      </c>
      <c r="B1665" s="1" t="s">
        <v>2243</v>
      </c>
      <c r="C1665" s="1" t="s">
        <v>146</v>
      </c>
      <c r="D1665" s="1" t="s">
        <v>52</v>
      </c>
      <c r="E1665" s="1" t="s">
        <v>28</v>
      </c>
      <c r="F1665" s="1" t="s">
        <v>52</v>
      </c>
      <c r="G1665" s="1">
        <v>4</v>
      </c>
      <c r="H1665" s="1">
        <v>4123</v>
      </c>
      <c r="I1665" s="1">
        <v>0</v>
      </c>
      <c r="J1665" s="1">
        <v>16492</v>
      </c>
      <c r="K1665" s="1">
        <v>1862.49</v>
      </c>
      <c r="L1665" s="1" t="s">
        <v>23</v>
      </c>
      <c r="M1665" s="1" t="str">
        <f>TEXT(Table1[[#This Row],[Order Date]],"mmm")</f>
        <v>May</v>
      </c>
      <c r="N1665" s="1">
        <f>YEAR(Table1[[#This Row],[Order Date]])</f>
        <v>2023</v>
      </c>
    </row>
    <row r="1666" spans="1:14" x14ac:dyDescent="0.35">
      <c r="A1666" s="1" t="s">
        <v>2406</v>
      </c>
      <c r="B1666" s="1" t="s">
        <v>742</v>
      </c>
      <c r="C1666" s="1" t="s">
        <v>101</v>
      </c>
      <c r="D1666" s="1" t="s">
        <v>167</v>
      </c>
      <c r="E1666" s="1" t="s">
        <v>16</v>
      </c>
      <c r="F1666" s="1" t="s">
        <v>167</v>
      </c>
      <c r="G1666" s="1">
        <v>13</v>
      </c>
      <c r="H1666" s="1">
        <v>11073</v>
      </c>
      <c r="I1666" s="1">
        <v>0.15</v>
      </c>
      <c r="J1666" s="1">
        <v>122356.65</v>
      </c>
      <c r="K1666" s="1">
        <v>29769.42</v>
      </c>
      <c r="L1666" s="1" t="s">
        <v>17</v>
      </c>
      <c r="M1666" s="1" t="str">
        <f>TEXT(Table1[[#This Row],[Order Date]],"mmm")</f>
        <v>Aug</v>
      </c>
      <c r="N1666" s="1">
        <f>YEAR(Table1[[#This Row],[Order Date]])</f>
        <v>2023</v>
      </c>
    </row>
    <row r="1667" spans="1:14" x14ac:dyDescent="0.35">
      <c r="A1667" s="1" t="s">
        <v>2407</v>
      </c>
      <c r="B1667" s="1" t="s">
        <v>1662</v>
      </c>
      <c r="C1667" s="1" t="s">
        <v>73</v>
      </c>
      <c r="D1667" s="1" t="s">
        <v>137</v>
      </c>
      <c r="E1667" s="1" t="s">
        <v>22</v>
      </c>
      <c r="F1667" s="1" t="s">
        <v>137</v>
      </c>
      <c r="G1667" s="1">
        <v>11</v>
      </c>
      <c r="H1667" s="1">
        <v>34580</v>
      </c>
      <c r="I1667" s="1">
        <v>0</v>
      </c>
      <c r="J1667" s="1">
        <v>380380</v>
      </c>
      <c r="K1667" s="1">
        <v>46302.33</v>
      </c>
      <c r="L1667" s="1" t="s">
        <v>45</v>
      </c>
      <c r="M1667" s="1" t="str">
        <f>TEXT(Table1[[#This Row],[Order Date]],"mmm")</f>
        <v>Aug</v>
      </c>
      <c r="N1667" s="1">
        <f>YEAR(Table1[[#This Row],[Order Date]])</f>
        <v>2024</v>
      </c>
    </row>
    <row r="1668" spans="1:14" x14ac:dyDescent="0.35">
      <c r="A1668" s="1" t="s">
        <v>2408</v>
      </c>
      <c r="B1668" s="1" t="s">
        <v>1140</v>
      </c>
      <c r="C1668" s="1" t="s">
        <v>94</v>
      </c>
      <c r="D1668" s="1" t="s">
        <v>48</v>
      </c>
      <c r="E1668" s="1" t="s">
        <v>16</v>
      </c>
      <c r="F1668" s="1" t="s">
        <v>48</v>
      </c>
      <c r="G1668" s="1">
        <v>5</v>
      </c>
      <c r="H1668" s="1">
        <v>8774</v>
      </c>
      <c r="I1668" s="1">
        <v>0</v>
      </c>
      <c r="J1668" s="1">
        <v>43870</v>
      </c>
      <c r="K1668" s="1">
        <v>8937.84</v>
      </c>
      <c r="L1668" s="1" t="s">
        <v>70</v>
      </c>
      <c r="M1668" s="1" t="str">
        <f>TEXT(Table1[[#This Row],[Order Date]],"mmm")</f>
        <v>May</v>
      </c>
      <c r="N1668" s="1">
        <f>YEAR(Table1[[#This Row],[Order Date]])</f>
        <v>2024</v>
      </c>
    </row>
    <row r="1669" spans="1:14" x14ac:dyDescent="0.35">
      <c r="A1669" s="1" t="s">
        <v>2409</v>
      </c>
      <c r="B1669" s="1" t="s">
        <v>1545</v>
      </c>
      <c r="C1669" s="1" t="s">
        <v>208</v>
      </c>
      <c r="D1669" s="1" t="s">
        <v>91</v>
      </c>
      <c r="E1669" s="1" t="s">
        <v>16</v>
      </c>
      <c r="F1669" s="1" t="s">
        <v>91</v>
      </c>
      <c r="G1669" s="1">
        <v>10</v>
      </c>
      <c r="H1669" s="1">
        <v>57561</v>
      </c>
      <c r="I1669" s="1">
        <v>0.2</v>
      </c>
      <c r="J1669" s="1">
        <v>460488</v>
      </c>
      <c r="K1669" s="1">
        <v>77941.64</v>
      </c>
      <c r="L1669" s="1" t="s">
        <v>45</v>
      </c>
      <c r="M1669" s="1" t="str">
        <f>TEXT(Table1[[#This Row],[Order Date]],"mmm")</f>
        <v>May</v>
      </c>
      <c r="N1669" s="1">
        <f>YEAR(Table1[[#This Row],[Order Date]])</f>
        <v>2023</v>
      </c>
    </row>
    <row r="1670" spans="1:14" x14ac:dyDescent="0.35">
      <c r="A1670" s="1" t="s">
        <v>2410</v>
      </c>
      <c r="B1670" s="1" t="s">
        <v>383</v>
      </c>
      <c r="C1670" s="1" t="s">
        <v>101</v>
      </c>
      <c r="D1670" s="1" t="s">
        <v>323</v>
      </c>
      <c r="E1670" s="1" t="s">
        <v>33</v>
      </c>
      <c r="F1670" s="1" t="s">
        <v>323</v>
      </c>
      <c r="G1670" s="1">
        <v>2</v>
      </c>
      <c r="H1670" s="1">
        <v>32895</v>
      </c>
      <c r="I1670" s="1">
        <v>0.1</v>
      </c>
      <c r="J1670" s="1">
        <v>59211</v>
      </c>
      <c r="K1670" s="1">
        <v>11640.26</v>
      </c>
      <c r="L1670" s="1" t="s">
        <v>45</v>
      </c>
      <c r="M1670" s="1" t="str">
        <f>TEXT(Table1[[#This Row],[Order Date]],"mmm")</f>
        <v>Jun</v>
      </c>
      <c r="N1670" s="1">
        <f>YEAR(Table1[[#This Row],[Order Date]])</f>
        <v>2024</v>
      </c>
    </row>
    <row r="1671" spans="1:14" x14ac:dyDescent="0.35">
      <c r="A1671" s="1" t="s">
        <v>2411</v>
      </c>
      <c r="B1671" s="1" t="s">
        <v>355</v>
      </c>
      <c r="C1671" s="1" t="s">
        <v>104</v>
      </c>
      <c r="D1671" s="1" t="s">
        <v>74</v>
      </c>
      <c r="E1671" s="1" t="s">
        <v>22</v>
      </c>
      <c r="F1671" s="1" t="s">
        <v>74</v>
      </c>
      <c r="G1671" s="1">
        <v>11</v>
      </c>
      <c r="H1671" s="1">
        <v>25685</v>
      </c>
      <c r="I1671" s="1">
        <v>0.05</v>
      </c>
      <c r="J1671" s="1">
        <v>268408.25</v>
      </c>
      <c r="K1671" s="1">
        <v>29259.22</v>
      </c>
      <c r="L1671" s="1" t="s">
        <v>70</v>
      </c>
      <c r="M1671" s="1" t="str">
        <f>TEXT(Table1[[#This Row],[Order Date]],"mmm")</f>
        <v>Dec</v>
      </c>
      <c r="N1671" s="1">
        <f>YEAR(Table1[[#This Row],[Order Date]])</f>
        <v>2023</v>
      </c>
    </row>
    <row r="1672" spans="1:14" x14ac:dyDescent="0.35">
      <c r="A1672" s="1" t="s">
        <v>2412</v>
      </c>
      <c r="B1672" s="1" t="s">
        <v>1573</v>
      </c>
      <c r="C1672" s="1" t="s">
        <v>175</v>
      </c>
      <c r="D1672" s="1" t="s">
        <v>85</v>
      </c>
      <c r="E1672" s="1" t="s">
        <v>28</v>
      </c>
      <c r="F1672" s="1" t="s">
        <v>85</v>
      </c>
      <c r="G1672" s="1">
        <v>13</v>
      </c>
      <c r="H1672" s="1">
        <v>24298</v>
      </c>
      <c r="I1672" s="1">
        <v>0.2</v>
      </c>
      <c r="J1672" s="1">
        <v>252699.2</v>
      </c>
      <c r="K1672" s="1">
        <v>75793.960000000006</v>
      </c>
      <c r="L1672" s="1" t="s">
        <v>17</v>
      </c>
      <c r="M1672" s="1" t="str">
        <f>TEXT(Table1[[#This Row],[Order Date]],"mmm")</f>
        <v>Aug</v>
      </c>
      <c r="N1672" s="1">
        <f>YEAR(Table1[[#This Row],[Order Date]])</f>
        <v>2024</v>
      </c>
    </row>
    <row r="1673" spans="1:14" x14ac:dyDescent="0.35">
      <c r="A1673" s="1" t="s">
        <v>2413</v>
      </c>
      <c r="B1673" s="1" t="s">
        <v>2414</v>
      </c>
      <c r="C1673" s="1" t="s">
        <v>507</v>
      </c>
      <c r="D1673" s="1" t="s">
        <v>224</v>
      </c>
      <c r="E1673" s="1" t="s">
        <v>33</v>
      </c>
      <c r="F1673" s="1" t="s">
        <v>224</v>
      </c>
      <c r="G1673" s="1">
        <v>4</v>
      </c>
      <c r="H1673" s="1">
        <v>22973</v>
      </c>
      <c r="I1673" s="1">
        <v>0.1</v>
      </c>
      <c r="J1673" s="1">
        <v>82702.8</v>
      </c>
      <c r="K1673" s="1">
        <v>12575.01</v>
      </c>
      <c r="L1673" s="1" t="s">
        <v>23</v>
      </c>
      <c r="M1673" s="1" t="str">
        <f>TEXT(Table1[[#This Row],[Order Date]],"mmm")</f>
        <v>Apr</v>
      </c>
      <c r="N1673" s="1">
        <f>YEAR(Table1[[#This Row],[Order Date]])</f>
        <v>2024</v>
      </c>
    </row>
    <row r="1674" spans="1:14" x14ac:dyDescent="0.35">
      <c r="A1674" s="1" t="s">
        <v>2415</v>
      </c>
      <c r="B1674" s="1" t="s">
        <v>431</v>
      </c>
      <c r="C1674" s="1" t="s">
        <v>191</v>
      </c>
      <c r="D1674" s="1" t="s">
        <v>44</v>
      </c>
      <c r="E1674" s="1" t="s">
        <v>28</v>
      </c>
      <c r="F1674" s="1" t="s">
        <v>44</v>
      </c>
      <c r="G1674" s="1">
        <v>10</v>
      </c>
      <c r="H1674" s="1">
        <v>37732</v>
      </c>
      <c r="I1674" s="1">
        <v>0.15</v>
      </c>
      <c r="J1674" s="1">
        <v>320722</v>
      </c>
      <c r="K1674" s="1">
        <v>74466.100000000006</v>
      </c>
      <c r="L1674" s="1" t="s">
        <v>17</v>
      </c>
      <c r="M1674" s="1" t="str">
        <f>TEXT(Table1[[#This Row],[Order Date]],"mmm")</f>
        <v>Sep</v>
      </c>
      <c r="N1674" s="1">
        <f>YEAR(Table1[[#This Row],[Order Date]])</f>
        <v>2023</v>
      </c>
    </row>
    <row r="1675" spans="1:14" x14ac:dyDescent="0.35">
      <c r="A1675" s="1" t="s">
        <v>2416</v>
      </c>
      <c r="B1675" s="1" t="s">
        <v>346</v>
      </c>
      <c r="C1675" s="1" t="s">
        <v>104</v>
      </c>
      <c r="D1675" s="1" t="s">
        <v>56</v>
      </c>
      <c r="E1675" s="1" t="s">
        <v>22</v>
      </c>
      <c r="F1675" s="1" t="s">
        <v>56</v>
      </c>
      <c r="G1675" s="1">
        <v>3</v>
      </c>
      <c r="H1675" s="1">
        <v>15136</v>
      </c>
      <c r="I1675" s="1">
        <v>0.05</v>
      </c>
      <c r="J1675" s="1">
        <v>43137.599999999999</v>
      </c>
      <c r="K1675" s="1">
        <v>5071.87</v>
      </c>
      <c r="L1675" s="1" t="s">
        <v>17</v>
      </c>
      <c r="M1675" s="1" t="str">
        <f>TEXT(Table1[[#This Row],[Order Date]],"mmm")</f>
        <v>Oct</v>
      </c>
      <c r="N1675" s="1">
        <f>YEAR(Table1[[#This Row],[Order Date]])</f>
        <v>2023</v>
      </c>
    </row>
    <row r="1676" spans="1:14" x14ac:dyDescent="0.35">
      <c r="A1676" s="1" t="s">
        <v>2417</v>
      </c>
      <c r="B1676" s="1" t="s">
        <v>1675</v>
      </c>
      <c r="C1676" s="1" t="s">
        <v>136</v>
      </c>
      <c r="D1676" s="1" t="s">
        <v>293</v>
      </c>
      <c r="E1676" s="1" t="s">
        <v>33</v>
      </c>
      <c r="F1676" s="1" t="s">
        <v>293</v>
      </c>
      <c r="G1676" s="1">
        <v>5</v>
      </c>
      <c r="H1676" s="1">
        <v>3228</v>
      </c>
      <c r="I1676" s="1">
        <v>0</v>
      </c>
      <c r="J1676" s="1">
        <v>16140</v>
      </c>
      <c r="K1676" s="1">
        <v>2365.86</v>
      </c>
      <c r="L1676" s="1" t="s">
        <v>23</v>
      </c>
      <c r="M1676" s="1" t="str">
        <f>TEXT(Table1[[#This Row],[Order Date]],"mmm")</f>
        <v>Aug</v>
      </c>
      <c r="N1676" s="1">
        <f>YEAR(Table1[[#This Row],[Order Date]])</f>
        <v>2023</v>
      </c>
    </row>
    <row r="1677" spans="1:14" x14ac:dyDescent="0.35">
      <c r="A1677" s="1" t="s">
        <v>2418</v>
      </c>
      <c r="B1677" s="1" t="s">
        <v>897</v>
      </c>
      <c r="C1677" s="1" t="s">
        <v>203</v>
      </c>
      <c r="D1677" s="1" t="s">
        <v>323</v>
      </c>
      <c r="E1677" s="1" t="s">
        <v>33</v>
      </c>
      <c r="F1677" s="1" t="s">
        <v>323</v>
      </c>
      <c r="G1677" s="1">
        <v>3</v>
      </c>
      <c r="H1677" s="1">
        <v>46914</v>
      </c>
      <c r="I1677" s="1">
        <v>0.15</v>
      </c>
      <c r="J1677" s="1">
        <v>119630.7</v>
      </c>
      <c r="K1677" s="1">
        <v>20151.13</v>
      </c>
      <c r="L1677" s="1" t="s">
        <v>70</v>
      </c>
      <c r="M1677" s="1" t="str">
        <f>TEXT(Table1[[#This Row],[Order Date]],"mmm")</f>
        <v>Dec</v>
      </c>
      <c r="N1677" s="1">
        <f>YEAR(Table1[[#This Row],[Order Date]])</f>
        <v>2023</v>
      </c>
    </row>
    <row r="1678" spans="1:14" x14ac:dyDescent="0.35">
      <c r="A1678" s="1" t="s">
        <v>2419</v>
      </c>
      <c r="B1678" s="1" t="s">
        <v>948</v>
      </c>
      <c r="C1678" s="1" t="s">
        <v>51</v>
      </c>
      <c r="D1678" s="1" t="s">
        <v>37</v>
      </c>
      <c r="E1678" s="1" t="s">
        <v>16</v>
      </c>
      <c r="F1678" s="1" t="s">
        <v>37</v>
      </c>
      <c r="G1678" s="1">
        <v>12</v>
      </c>
      <c r="H1678" s="1">
        <v>38105</v>
      </c>
      <c r="I1678" s="1">
        <v>0</v>
      </c>
      <c r="J1678" s="1">
        <v>457260</v>
      </c>
      <c r="K1678" s="1">
        <v>61467.71</v>
      </c>
      <c r="L1678" s="1" t="s">
        <v>45</v>
      </c>
      <c r="M1678" s="1" t="str">
        <f>TEXT(Table1[[#This Row],[Order Date]],"mmm")</f>
        <v>Dec</v>
      </c>
      <c r="N1678" s="1">
        <f>YEAR(Table1[[#This Row],[Order Date]])</f>
        <v>2023</v>
      </c>
    </row>
    <row r="1679" spans="1:14" x14ac:dyDescent="0.35">
      <c r="A1679" s="1" t="s">
        <v>2420</v>
      </c>
      <c r="B1679" s="1" t="s">
        <v>2421</v>
      </c>
      <c r="C1679" s="1" t="s">
        <v>101</v>
      </c>
      <c r="D1679" s="1" t="s">
        <v>21</v>
      </c>
      <c r="E1679" s="1" t="s">
        <v>22</v>
      </c>
      <c r="F1679" s="1" t="s">
        <v>21</v>
      </c>
      <c r="G1679" s="1">
        <v>13</v>
      </c>
      <c r="H1679" s="1">
        <v>28166</v>
      </c>
      <c r="I1679" s="1">
        <v>0.15</v>
      </c>
      <c r="J1679" s="1">
        <v>311234.3</v>
      </c>
      <c r="K1679" s="1">
        <v>71796.479999999996</v>
      </c>
      <c r="L1679" s="1" t="s">
        <v>23</v>
      </c>
      <c r="M1679" s="1" t="str">
        <f>TEXT(Table1[[#This Row],[Order Date]],"mmm")</f>
        <v>Jun</v>
      </c>
      <c r="N1679" s="1">
        <f>YEAR(Table1[[#This Row],[Order Date]])</f>
        <v>2024</v>
      </c>
    </row>
    <row r="1680" spans="1:14" x14ac:dyDescent="0.35">
      <c r="A1680" s="1" t="s">
        <v>2422</v>
      </c>
      <c r="B1680" s="1" t="s">
        <v>1483</v>
      </c>
      <c r="C1680" s="1" t="s">
        <v>101</v>
      </c>
      <c r="D1680" s="1" t="s">
        <v>78</v>
      </c>
      <c r="E1680" s="1" t="s">
        <v>28</v>
      </c>
      <c r="F1680" s="1" t="s">
        <v>78</v>
      </c>
      <c r="G1680" s="1">
        <v>4</v>
      </c>
      <c r="H1680" s="1">
        <v>12526</v>
      </c>
      <c r="I1680" s="1">
        <v>0.1</v>
      </c>
      <c r="J1680" s="1">
        <v>45093.599999999999</v>
      </c>
      <c r="K1680" s="1">
        <v>9370.18</v>
      </c>
      <c r="L1680" s="1" t="s">
        <v>17</v>
      </c>
      <c r="M1680" s="1" t="str">
        <f>TEXT(Table1[[#This Row],[Order Date]],"mmm")</f>
        <v>Aug</v>
      </c>
      <c r="N1680" s="1">
        <f>YEAR(Table1[[#This Row],[Order Date]])</f>
        <v>2023</v>
      </c>
    </row>
    <row r="1681" spans="1:14" x14ac:dyDescent="0.35">
      <c r="A1681" s="1" t="s">
        <v>2423</v>
      </c>
      <c r="B1681" s="1" t="s">
        <v>1611</v>
      </c>
      <c r="C1681" s="1" t="s">
        <v>255</v>
      </c>
      <c r="D1681" s="1" t="s">
        <v>52</v>
      </c>
      <c r="E1681" s="1" t="s">
        <v>28</v>
      </c>
      <c r="F1681" s="1" t="s">
        <v>52</v>
      </c>
      <c r="G1681" s="1">
        <v>5</v>
      </c>
      <c r="H1681" s="1">
        <v>34595</v>
      </c>
      <c r="I1681" s="1">
        <v>0.2</v>
      </c>
      <c r="J1681" s="1">
        <v>138380</v>
      </c>
      <c r="K1681" s="1">
        <v>16400.939999999999</v>
      </c>
      <c r="L1681" s="1" t="s">
        <v>17</v>
      </c>
      <c r="M1681" s="1" t="str">
        <f>TEXT(Table1[[#This Row],[Order Date]],"mmm")</f>
        <v>Jan</v>
      </c>
      <c r="N1681" s="1">
        <f>YEAR(Table1[[#This Row],[Order Date]])</f>
        <v>2023</v>
      </c>
    </row>
    <row r="1682" spans="1:14" x14ac:dyDescent="0.35">
      <c r="A1682" s="1" t="s">
        <v>2424</v>
      </c>
      <c r="B1682" s="1" t="s">
        <v>2425</v>
      </c>
      <c r="C1682" s="1" t="s">
        <v>260</v>
      </c>
      <c r="D1682" s="1" t="s">
        <v>32</v>
      </c>
      <c r="E1682" s="1" t="s">
        <v>33</v>
      </c>
      <c r="F1682" s="1" t="s">
        <v>32</v>
      </c>
      <c r="G1682" s="1">
        <v>9</v>
      </c>
      <c r="H1682" s="1">
        <v>8659</v>
      </c>
      <c r="I1682" s="1">
        <v>0.2</v>
      </c>
      <c r="J1682" s="1">
        <v>62344.800000000003</v>
      </c>
      <c r="K1682" s="1">
        <v>8355.7999999999993</v>
      </c>
      <c r="L1682" s="1" t="s">
        <v>17</v>
      </c>
      <c r="M1682" s="1" t="str">
        <f>TEXT(Table1[[#This Row],[Order Date]],"mmm")</f>
        <v>Jun</v>
      </c>
      <c r="N1682" s="1">
        <f>YEAR(Table1[[#This Row],[Order Date]])</f>
        <v>2024</v>
      </c>
    </row>
    <row r="1683" spans="1:14" x14ac:dyDescent="0.35">
      <c r="A1683" s="1" t="s">
        <v>2426</v>
      </c>
      <c r="B1683" s="1" t="s">
        <v>2142</v>
      </c>
      <c r="C1683" s="1" t="s">
        <v>77</v>
      </c>
      <c r="D1683" s="1" t="s">
        <v>56</v>
      </c>
      <c r="E1683" s="1" t="s">
        <v>22</v>
      </c>
      <c r="F1683" s="1" t="s">
        <v>56</v>
      </c>
      <c r="G1683" s="1">
        <v>15</v>
      </c>
      <c r="H1683" s="1">
        <v>38162</v>
      </c>
      <c r="I1683" s="1">
        <v>0</v>
      </c>
      <c r="J1683" s="1">
        <v>572430</v>
      </c>
      <c r="K1683" s="1">
        <v>100554.68</v>
      </c>
      <c r="L1683" s="1" t="s">
        <v>17</v>
      </c>
      <c r="M1683" s="1" t="str">
        <f>TEXT(Table1[[#This Row],[Order Date]],"mmm")</f>
        <v>Jan</v>
      </c>
      <c r="N1683" s="1">
        <f>YEAR(Table1[[#This Row],[Order Date]])</f>
        <v>2024</v>
      </c>
    </row>
    <row r="1684" spans="1:14" x14ac:dyDescent="0.35">
      <c r="A1684" s="1" t="s">
        <v>2427</v>
      </c>
      <c r="B1684" s="1" t="s">
        <v>1196</v>
      </c>
      <c r="C1684" s="1" t="s">
        <v>335</v>
      </c>
      <c r="D1684" s="1" t="s">
        <v>108</v>
      </c>
      <c r="E1684" s="1" t="s">
        <v>22</v>
      </c>
      <c r="F1684" s="1" t="s">
        <v>108</v>
      </c>
      <c r="G1684" s="1">
        <v>8</v>
      </c>
      <c r="H1684" s="1">
        <v>13333</v>
      </c>
      <c r="I1684" s="1">
        <v>0</v>
      </c>
      <c r="J1684" s="1">
        <v>106664</v>
      </c>
      <c r="K1684" s="1">
        <v>27148.32</v>
      </c>
      <c r="L1684" s="1" t="s">
        <v>70</v>
      </c>
      <c r="M1684" s="1" t="str">
        <f>TEXT(Table1[[#This Row],[Order Date]],"mmm")</f>
        <v>May</v>
      </c>
      <c r="N1684" s="1">
        <f>YEAR(Table1[[#This Row],[Order Date]])</f>
        <v>2023</v>
      </c>
    </row>
    <row r="1685" spans="1:14" x14ac:dyDescent="0.35">
      <c r="A1685" s="1" t="s">
        <v>2428</v>
      </c>
      <c r="B1685" s="1" t="s">
        <v>1658</v>
      </c>
      <c r="C1685" s="1" t="s">
        <v>227</v>
      </c>
      <c r="D1685" s="1" t="s">
        <v>108</v>
      </c>
      <c r="E1685" s="1" t="s">
        <v>22</v>
      </c>
      <c r="F1685" s="1" t="s">
        <v>108</v>
      </c>
      <c r="G1685" s="1">
        <v>2</v>
      </c>
      <c r="H1685" s="1">
        <v>50638</v>
      </c>
      <c r="I1685" s="1">
        <v>0.2</v>
      </c>
      <c r="J1685" s="1">
        <v>81020.800000000003</v>
      </c>
      <c r="K1685" s="1">
        <v>19927.14</v>
      </c>
      <c r="L1685" s="1" t="s">
        <v>17</v>
      </c>
      <c r="M1685" s="1" t="str">
        <f>TEXT(Table1[[#This Row],[Order Date]],"mmm")</f>
        <v>Sep</v>
      </c>
      <c r="N1685" s="1">
        <f>YEAR(Table1[[#This Row],[Order Date]])</f>
        <v>2024</v>
      </c>
    </row>
    <row r="1686" spans="1:14" x14ac:dyDescent="0.35">
      <c r="A1686" s="1" t="s">
        <v>2429</v>
      </c>
      <c r="B1686" s="1" t="s">
        <v>2430</v>
      </c>
      <c r="C1686" s="1" t="s">
        <v>155</v>
      </c>
      <c r="D1686" s="1" t="s">
        <v>85</v>
      </c>
      <c r="E1686" s="1" t="s">
        <v>28</v>
      </c>
      <c r="F1686" s="1" t="s">
        <v>85</v>
      </c>
      <c r="G1686" s="1">
        <v>7</v>
      </c>
      <c r="H1686" s="1">
        <v>50545</v>
      </c>
      <c r="I1686" s="1">
        <v>0</v>
      </c>
      <c r="J1686" s="1">
        <v>353815</v>
      </c>
      <c r="K1686" s="1">
        <v>100975.37</v>
      </c>
      <c r="L1686" s="1" t="s">
        <v>23</v>
      </c>
      <c r="M1686" s="1" t="str">
        <f>TEXT(Table1[[#This Row],[Order Date]],"mmm")</f>
        <v>Mar</v>
      </c>
      <c r="N1686" s="1">
        <f>YEAR(Table1[[#This Row],[Order Date]])</f>
        <v>2024</v>
      </c>
    </row>
    <row r="1687" spans="1:14" x14ac:dyDescent="0.35">
      <c r="A1687" s="1" t="s">
        <v>2431</v>
      </c>
      <c r="B1687" s="1" t="s">
        <v>891</v>
      </c>
      <c r="C1687" s="1" t="s">
        <v>188</v>
      </c>
      <c r="D1687" s="1" t="s">
        <v>137</v>
      </c>
      <c r="E1687" s="1" t="s">
        <v>22</v>
      </c>
      <c r="F1687" s="1" t="s">
        <v>137</v>
      </c>
      <c r="G1687" s="1">
        <v>13</v>
      </c>
      <c r="H1687" s="1">
        <v>3785</v>
      </c>
      <c r="I1687" s="1">
        <v>0</v>
      </c>
      <c r="J1687" s="1">
        <v>49205</v>
      </c>
      <c r="K1687" s="1">
        <v>9046.85</v>
      </c>
      <c r="L1687" s="1" t="s">
        <v>17</v>
      </c>
      <c r="M1687" s="1" t="str">
        <f>TEXT(Table1[[#This Row],[Order Date]],"mmm")</f>
        <v>Feb</v>
      </c>
      <c r="N1687" s="1">
        <f>YEAR(Table1[[#This Row],[Order Date]])</f>
        <v>2024</v>
      </c>
    </row>
    <row r="1688" spans="1:14" x14ac:dyDescent="0.35">
      <c r="A1688" s="1" t="s">
        <v>2432</v>
      </c>
      <c r="B1688" s="1" t="s">
        <v>2161</v>
      </c>
      <c r="C1688" s="1" t="s">
        <v>200</v>
      </c>
      <c r="D1688" s="1" t="s">
        <v>21</v>
      </c>
      <c r="E1688" s="1" t="s">
        <v>22</v>
      </c>
      <c r="F1688" s="1" t="s">
        <v>21</v>
      </c>
      <c r="G1688" s="1">
        <v>12</v>
      </c>
      <c r="H1688" s="1">
        <v>9879</v>
      </c>
      <c r="I1688" s="1">
        <v>0.1</v>
      </c>
      <c r="J1688" s="1">
        <v>106693.2</v>
      </c>
      <c r="K1688" s="1">
        <v>27334.25</v>
      </c>
      <c r="L1688" s="1" t="s">
        <v>23</v>
      </c>
      <c r="M1688" s="1" t="str">
        <f>TEXT(Table1[[#This Row],[Order Date]],"mmm")</f>
        <v>Sep</v>
      </c>
      <c r="N1688" s="1">
        <f>YEAR(Table1[[#This Row],[Order Date]])</f>
        <v>2023</v>
      </c>
    </row>
    <row r="1689" spans="1:14" x14ac:dyDescent="0.35">
      <c r="A1689" s="1" t="s">
        <v>2433</v>
      </c>
      <c r="B1689" s="1" t="s">
        <v>1718</v>
      </c>
      <c r="C1689" s="1" t="s">
        <v>128</v>
      </c>
      <c r="D1689" s="1" t="s">
        <v>32</v>
      </c>
      <c r="E1689" s="1" t="s">
        <v>33</v>
      </c>
      <c r="F1689" s="1" t="s">
        <v>32</v>
      </c>
      <c r="G1689" s="1">
        <v>8</v>
      </c>
      <c r="H1689" s="1">
        <v>44138</v>
      </c>
      <c r="I1689" s="1">
        <v>0.1</v>
      </c>
      <c r="J1689" s="1">
        <v>317793.59999999998</v>
      </c>
      <c r="K1689" s="1">
        <v>81506.06</v>
      </c>
      <c r="L1689" s="1" t="s">
        <v>70</v>
      </c>
      <c r="M1689" s="1" t="str">
        <f>TEXT(Table1[[#This Row],[Order Date]],"mmm")</f>
        <v>Nov</v>
      </c>
      <c r="N1689" s="1">
        <f>YEAR(Table1[[#This Row],[Order Date]])</f>
        <v>2024</v>
      </c>
    </row>
    <row r="1690" spans="1:14" x14ac:dyDescent="0.35">
      <c r="A1690" s="1" t="s">
        <v>2434</v>
      </c>
      <c r="B1690" s="1" t="s">
        <v>1705</v>
      </c>
      <c r="C1690" s="1" t="s">
        <v>55</v>
      </c>
      <c r="D1690" s="1" t="s">
        <v>52</v>
      </c>
      <c r="E1690" s="1" t="s">
        <v>28</v>
      </c>
      <c r="F1690" s="1" t="s">
        <v>52</v>
      </c>
      <c r="G1690" s="1">
        <v>1</v>
      </c>
      <c r="H1690" s="1">
        <v>1095</v>
      </c>
      <c r="I1690" s="1">
        <v>0.1</v>
      </c>
      <c r="J1690" s="1">
        <v>985.5</v>
      </c>
      <c r="K1690" s="1">
        <v>238.39</v>
      </c>
      <c r="L1690" s="1" t="s">
        <v>17</v>
      </c>
      <c r="M1690" s="1" t="str">
        <f>TEXT(Table1[[#This Row],[Order Date]],"mmm")</f>
        <v>Oct</v>
      </c>
      <c r="N1690" s="1">
        <f>YEAR(Table1[[#This Row],[Order Date]])</f>
        <v>2024</v>
      </c>
    </row>
    <row r="1691" spans="1:14" x14ac:dyDescent="0.35">
      <c r="A1691" s="1" t="s">
        <v>2435</v>
      </c>
      <c r="B1691" s="1" t="s">
        <v>1080</v>
      </c>
      <c r="C1691" s="1" t="s">
        <v>101</v>
      </c>
      <c r="D1691" s="1" t="s">
        <v>52</v>
      </c>
      <c r="E1691" s="1" t="s">
        <v>28</v>
      </c>
      <c r="F1691" s="1" t="s">
        <v>52</v>
      </c>
      <c r="G1691" s="1">
        <v>3</v>
      </c>
      <c r="H1691" s="1">
        <v>39617</v>
      </c>
      <c r="I1691" s="1">
        <v>0.1</v>
      </c>
      <c r="J1691" s="1">
        <v>106965.9</v>
      </c>
      <c r="K1691" s="1">
        <v>9601.7900000000009</v>
      </c>
      <c r="L1691" s="1" t="s">
        <v>70</v>
      </c>
      <c r="M1691" s="1" t="str">
        <f>TEXT(Table1[[#This Row],[Order Date]],"mmm")</f>
        <v>Apr</v>
      </c>
      <c r="N1691" s="1">
        <f>YEAR(Table1[[#This Row],[Order Date]])</f>
        <v>2024</v>
      </c>
    </row>
    <row r="1692" spans="1:14" x14ac:dyDescent="0.35">
      <c r="A1692" s="1" t="s">
        <v>2436</v>
      </c>
      <c r="B1692" s="1" t="s">
        <v>1720</v>
      </c>
      <c r="C1692" s="1" t="s">
        <v>188</v>
      </c>
      <c r="D1692" s="1" t="s">
        <v>15</v>
      </c>
      <c r="E1692" s="1" t="s">
        <v>16</v>
      </c>
      <c r="F1692" s="1" t="s">
        <v>15</v>
      </c>
      <c r="G1692" s="1">
        <v>12</v>
      </c>
      <c r="H1692" s="1">
        <v>46887</v>
      </c>
      <c r="I1692" s="1">
        <v>0.1</v>
      </c>
      <c r="J1692" s="1">
        <v>506379.6</v>
      </c>
      <c r="K1692" s="1">
        <v>99264.99</v>
      </c>
      <c r="L1692" s="1" t="s">
        <v>45</v>
      </c>
      <c r="M1692" s="1" t="str">
        <f>TEXT(Table1[[#This Row],[Order Date]],"mmm")</f>
        <v>Jan</v>
      </c>
      <c r="N1692" s="1">
        <f>YEAR(Table1[[#This Row],[Order Date]])</f>
        <v>2023</v>
      </c>
    </row>
    <row r="1693" spans="1:14" x14ac:dyDescent="0.35">
      <c r="A1693" s="1" t="s">
        <v>2437</v>
      </c>
      <c r="B1693" s="1" t="s">
        <v>341</v>
      </c>
      <c r="C1693" s="1" t="s">
        <v>188</v>
      </c>
      <c r="D1693" s="1" t="s">
        <v>64</v>
      </c>
      <c r="E1693" s="1" t="s">
        <v>33</v>
      </c>
      <c r="F1693" s="1" t="s">
        <v>64</v>
      </c>
      <c r="G1693" s="1">
        <v>4</v>
      </c>
      <c r="H1693" s="1">
        <v>22669</v>
      </c>
      <c r="I1693" s="1">
        <v>0.15</v>
      </c>
      <c r="J1693" s="1">
        <v>77074.600000000006</v>
      </c>
      <c r="K1693" s="1">
        <v>17987.93</v>
      </c>
      <c r="L1693" s="1" t="s">
        <v>23</v>
      </c>
      <c r="M1693" s="1" t="str">
        <f>TEXT(Table1[[#This Row],[Order Date]],"mmm")</f>
        <v>May</v>
      </c>
      <c r="N1693" s="1">
        <f>YEAR(Table1[[#This Row],[Order Date]])</f>
        <v>2023</v>
      </c>
    </row>
    <row r="1694" spans="1:14" x14ac:dyDescent="0.35">
      <c r="A1694" s="1" t="s">
        <v>2438</v>
      </c>
      <c r="B1694" s="1" t="s">
        <v>276</v>
      </c>
      <c r="C1694" s="1" t="s">
        <v>170</v>
      </c>
      <c r="D1694" s="1" t="s">
        <v>108</v>
      </c>
      <c r="E1694" s="1" t="s">
        <v>22</v>
      </c>
      <c r="F1694" s="1" t="s">
        <v>108</v>
      </c>
      <c r="G1694" s="1">
        <v>4</v>
      </c>
      <c r="H1694" s="1">
        <v>11160</v>
      </c>
      <c r="I1694" s="1">
        <v>0.2</v>
      </c>
      <c r="J1694" s="1">
        <v>35712</v>
      </c>
      <c r="K1694" s="1">
        <v>7693.76</v>
      </c>
      <c r="L1694" s="1" t="s">
        <v>23</v>
      </c>
      <c r="M1694" s="1" t="str">
        <f>TEXT(Table1[[#This Row],[Order Date]],"mmm")</f>
        <v>Apr</v>
      </c>
      <c r="N1694" s="1">
        <f>YEAR(Table1[[#This Row],[Order Date]])</f>
        <v>2024</v>
      </c>
    </row>
    <row r="1695" spans="1:14" x14ac:dyDescent="0.35">
      <c r="A1695" s="1" t="s">
        <v>2439</v>
      </c>
      <c r="B1695" s="1" t="s">
        <v>2271</v>
      </c>
      <c r="C1695" s="1" t="s">
        <v>146</v>
      </c>
      <c r="D1695" s="1" t="s">
        <v>179</v>
      </c>
      <c r="E1695" s="1" t="s">
        <v>28</v>
      </c>
      <c r="F1695" s="1" t="s">
        <v>179</v>
      </c>
      <c r="G1695" s="1">
        <v>7</v>
      </c>
      <c r="H1695" s="1">
        <v>14318</v>
      </c>
      <c r="I1695" s="1">
        <v>0.2</v>
      </c>
      <c r="J1695" s="1">
        <v>80180.800000000003</v>
      </c>
      <c r="K1695" s="1">
        <v>14769.07</v>
      </c>
      <c r="L1695" s="1" t="s">
        <v>17</v>
      </c>
      <c r="M1695" s="1" t="str">
        <f>TEXT(Table1[[#This Row],[Order Date]],"mmm")</f>
        <v>Mar</v>
      </c>
      <c r="N1695" s="1">
        <f>YEAR(Table1[[#This Row],[Order Date]])</f>
        <v>2023</v>
      </c>
    </row>
    <row r="1696" spans="1:14" x14ac:dyDescent="0.35">
      <c r="A1696" s="1" t="s">
        <v>2440</v>
      </c>
      <c r="B1696" s="1" t="s">
        <v>339</v>
      </c>
      <c r="C1696" s="1" t="s">
        <v>140</v>
      </c>
      <c r="D1696" s="1" t="s">
        <v>179</v>
      </c>
      <c r="E1696" s="1" t="s">
        <v>28</v>
      </c>
      <c r="F1696" s="1" t="s">
        <v>179</v>
      </c>
      <c r="G1696" s="1">
        <v>9</v>
      </c>
      <c r="H1696" s="1">
        <v>45607</v>
      </c>
      <c r="I1696" s="1">
        <v>0.05</v>
      </c>
      <c r="J1696" s="1">
        <v>389939.85</v>
      </c>
      <c r="K1696" s="1">
        <v>64882.02</v>
      </c>
      <c r="L1696" s="1" t="s">
        <v>23</v>
      </c>
      <c r="M1696" s="1" t="str">
        <f>TEXT(Table1[[#This Row],[Order Date]],"mmm")</f>
        <v>Jun</v>
      </c>
      <c r="N1696" s="1">
        <f>YEAR(Table1[[#This Row],[Order Date]])</f>
        <v>2024</v>
      </c>
    </row>
    <row r="1697" spans="1:14" x14ac:dyDescent="0.35">
      <c r="A1697" s="1" t="s">
        <v>2441</v>
      </c>
      <c r="B1697" s="1" t="s">
        <v>157</v>
      </c>
      <c r="C1697" s="1" t="s">
        <v>208</v>
      </c>
      <c r="D1697" s="1" t="s">
        <v>15</v>
      </c>
      <c r="E1697" s="1" t="s">
        <v>16</v>
      </c>
      <c r="F1697" s="1" t="s">
        <v>15</v>
      </c>
      <c r="G1697" s="1">
        <v>4</v>
      </c>
      <c r="H1697" s="1">
        <v>50305</v>
      </c>
      <c r="I1697" s="1">
        <v>0</v>
      </c>
      <c r="J1697" s="1">
        <v>201220</v>
      </c>
      <c r="K1697" s="1">
        <v>49024.36</v>
      </c>
      <c r="L1697" s="1" t="s">
        <v>17</v>
      </c>
      <c r="M1697" s="1" t="str">
        <f>TEXT(Table1[[#This Row],[Order Date]],"mmm")</f>
        <v>Jan</v>
      </c>
      <c r="N1697" s="1">
        <f>YEAR(Table1[[#This Row],[Order Date]])</f>
        <v>2024</v>
      </c>
    </row>
    <row r="1698" spans="1:14" x14ac:dyDescent="0.35">
      <c r="A1698" s="1" t="s">
        <v>2442</v>
      </c>
      <c r="B1698" s="1" t="s">
        <v>1025</v>
      </c>
      <c r="C1698" s="1" t="s">
        <v>81</v>
      </c>
      <c r="D1698" s="1" t="s">
        <v>167</v>
      </c>
      <c r="E1698" s="1" t="s">
        <v>16</v>
      </c>
      <c r="F1698" s="1" t="s">
        <v>167</v>
      </c>
      <c r="G1698" s="1">
        <v>3</v>
      </c>
      <c r="H1698" s="1">
        <v>18936</v>
      </c>
      <c r="I1698" s="1">
        <v>0.1</v>
      </c>
      <c r="J1698" s="1">
        <v>51127.199999999997</v>
      </c>
      <c r="K1698" s="1">
        <v>11860.11</v>
      </c>
      <c r="L1698" s="1" t="s">
        <v>17</v>
      </c>
      <c r="M1698" s="1" t="str">
        <f>TEXT(Table1[[#This Row],[Order Date]],"mmm")</f>
        <v>Mar</v>
      </c>
      <c r="N1698" s="1">
        <f>YEAR(Table1[[#This Row],[Order Date]])</f>
        <v>2023</v>
      </c>
    </row>
    <row r="1699" spans="1:14" x14ac:dyDescent="0.35">
      <c r="A1699" s="1" t="s">
        <v>2443</v>
      </c>
      <c r="B1699" s="1" t="s">
        <v>1778</v>
      </c>
      <c r="C1699" s="1" t="s">
        <v>40</v>
      </c>
      <c r="D1699" s="1" t="s">
        <v>60</v>
      </c>
      <c r="E1699" s="1" t="s">
        <v>33</v>
      </c>
      <c r="F1699" s="1" t="s">
        <v>60</v>
      </c>
      <c r="G1699" s="1">
        <v>5</v>
      </c>
      <c r="H1699" s="1">
        <v>22612</v>
      </c>
      <c r="I1699" s="1">
        <v>0.15</v>
      </c>
      <c r="J1699" s="1">
        <v>96101</v>
      </c>
      <c r="K1699" s="1">
        <v>25943.19</v>
      </c>
      <c r="L1699" s="1" t="s">
        <v>17</v>
      </c>
      <c r="M1699" s="1" t="str">
        <f>TEXT(Table1[[#This Row],[Order Date]],"mmm")</f>
        <v>May</v>
      </c>
      <c r="N1699" s="1">
        <f>YEAR(Table1[[#This Row],[Order Date]])</f>
        <v>2023</v>
      </c>
    </row>
    <row r="1700" spans="1:14" x14ac:dyDescent="0.35">
      <c r="A1700" s="1" t="s">
        <v>2444</v>
      </c>
      <c r="B1700" s="1" t="s">
        <v>1324</v>
      </c>
      <c r="C1700" s="1" t="s">
        <v>255</v>
      </c>
      <c r="D1700" s="1" t="s">
        <v>15</v>
      </c>
      <c r="E1700" s="1" t="s">
        <v>16</v>
      </c>
      <c r="F1700" s="1" t="s">
        <v>15</v>
      </c>
      <c r="G1700" s="1">
        <v>8</v>
      </c>
      <c r="H1700" s="1">
        <v>27881</v>
      </c>
      <c r="I1700" s="1">
        <v>0.2</v>
      </c>
      <c r="J1700" s="1">
        <v>178438.39999999999</v>
      </c>
      <c r="K1700" s="1">
        <v>40263.660000000003</v>
      </c>
      <c r="L1700" s="1" t="s">
        <v>17</v>
      </c>
      <c r="M1700" s="1" t="str">
        <f>TEXT(Table1[[#This Row],[Order Date]],"mmm")</f>
        <v>Aug</v>
      </c>
      <c r="N1700" s="1">
        <f>YEAR(Table1[[#This Row],[Order Date]])</f>
        <v>2024</v>
      </c>
    </row>
    <row r="1701" spans="1:14" x14ac:dyDescent="0.35">
      <c r="A1701" s="1" t="s">
        <v>2445</v>
      </c>
      <c r="B1701" s="1" t="s">
        <v>299</v>
      </c>
      <c r="C1701" s="1" t="s">
        <v>175</v>
      </c>
      <c r="D1701" s="1" t="s">
        <v>60</v>
      </c>
      <c r="E1701" s="1" t="s">
        <v>33</v>
      </c>
      <c r="F1701" s="1" t="s">
        <v>60</v>
      </c>
      <c r="G1701" s="1">
        <v>13</v>
      </c>
      <c r="H1701" s="1">
        <v>11355</v>
      </c>
      <c r="I1701" s="1">
        <v>0.05</v>
      </c>
      <c r="J1701" s="1">
        <v>140234.25</v>
      </c>
      <c r="K1701" s="1">
        <v>30848.54</v>
      </c>
      <c r="L1701" s="1" t="s">
        <v>45</v>
      </c>
      <c r="M1701" s="1" t="str">
        <f>TEXT(Table1[[#This Row],[Order Date]],"mmm")</f>
        <v>May</v>
      </c>
      <c r="N1701" s="1">
        <f>YEAR(Table1[[#This Row],[Order Date]])</f>
        <v>2023</v>
      </c>
    </row>
    <row r="1702" spans="1:14" x14ac:dyDescent="0.35">
      <c r="A1702" s="1" t="s">
        <v>2446</v>
      </c>
      <c r="B1702" s="1" t="s">
        <v>2447</v>
      </c>
      <c r="C1702" s="1" t="s">
        <v>98</v>
      </c>
      <c r="D1702" s="1" t="s">
        <v>56</v>
      </c>
      <c r="E1702" s="1" t="s">
        <v>22</v>
      </c>
      <c r="F1702" s="1" t="s">
        <v>56</v>
      </c>
      <c r="G1702" s="1">
        <v>11</v>
      </c>
      <c r="H1702" s="1">
        <v>41061</v>
      </c>
      <c r="I1702" s="1">
        <v>0.15</v>
      </c>
      <c r="J1702" s="1">
        <v>383920.35</v>
      </c>
      <c r="K1702" s="1">
        <v>72382.3</v>
      </c>
      <c r="L1702" s="1" t="s">
        <v>23</v>
      </c>
      <c r="M1702" s="1" t="str">
        <f>TEXT(Table1[[#This Row],[Order Date]],"mmm")</f>
        <v>Jun</v>
      </c>
      <c r="N1702" s="1">
        <f>YEAR(Table1[[#This Row],[Order Date]])</f>
        <v>2024</v>
      </c>
    </row>
    <row r="1703" spans="1:14" x14ac:dyDescent="0.35">
      <c r="A1703" s="1" t="s">
        <v>2448</v>
      </c>
      <c r="B1703" s="1" t="s">
        <v>1218</v>
      </c>
      <c r="C1703" s="1" t="s">
        <v>107</v>
      </c>
      <c r="D1703" s="1" t="s">
        <v>91</v>
      </c>
      <c r="E1703" s="1" t="s">
        <v>16</v>
      </c>
      <c r="F1703" s="1" t="s">
        <v>91</v>
      </c>
      <c r="G1703" s="1">
        <v>10</v>
      </c>
      <c r="H1703" s="1">
        <v>54768</v>
      </c>
      <c r="I1703" s="1">
        <v>0.1</v>
      </c>
      <c r="J1703" s="1">
        <v>492912</v>
      </c>
      <c r="K1703" s="1">
        <v>86708.160000000003</v>
      </c>
      <c r="L1703" s="1" t="s">
        <v>17</v>
      </c>
      <c r="M1703" s="1" t="str">
        <f>TEXT(Table1[[#This Row],[Order Date]],"mmm")</f>
        <v>May</v>
      </c>
      <c r="N1703" s="1">
        <f>YEAR(Table1[[#This Row],[Order Date]])</f>
        <v>2024</v>
      </c>
    </row>
    <row r="1704" spans="1:14" x14ac:dyDescent="0.35">
      <c r="A1704" s="1" t="s">
        <v>2449</v>
      </c>
      <c r="B1704" s="1" t="s">
        <v>1712</v>
      </c>
      <c r="C1704" s="1" t="s">
        <v>191</v>
      </c>
      <c r="D1704" s="1" t="s">
        <v>41</v>
      </c>
      <c r="E1704" s="1" t="s">
        <v>16</v>
      </c>
      <c r="F1704" s="1" t="s">
        <v>41</v>
      </c>
      <c r="G1704" s="1">
        <v>13</v>
      </c>
      <c r="H1704" s="1">
        <v>48129</v>
      </c>
      <c r="I1704" s="1">
        <v>0.2</v>
      </c>
      <c r="J1704" s="1">
        <v>500541.6</v>
      </c>
      <c r="K1704" s="1">
        <v>78281.73</v>
      </c>
      <c r="L1704" s="1" t="s">
        <v>45</v>
      </c>
      <c r="M1704" s="1" t="str">
        <f>TEXT(Table1[[#This Row],[Order Date]],"mmm")</f>
        <v>Jan</v>
      </c>
      <c r="N1704" s="1">
        <f>YEAR(Table1[[#This Row],[Order Date]])</f>
        <v>2024</v>
      </c>
    </row>
    <row r="1705" spans="1:14" x14ac:dyDescent="0.35">
      <c r="A1705" s="1" t="s">
        <v>2450</v>
      </c>
      <c r="B1705" s="1" t="s">
        <v>1107</v>
      </c>
      <c r="C1705" s="1" t="s">
        <v>188</v>
      </c>
      <c r="D1705" s="1" t="s">
        <v>15</v>
      </c>
      <c r="E1705" s="1" t="s">
        <v>16</v>
      </c>
      <c r="F1705" s="1" t="s">
        <v>15</v>
      </c>
      <c r="G1705" s="1">
        <v>12</v>
      </c>
      <c r="H1705" s="1">
        <v>10650</v>
      </c>
      <c r="I1705" s="1">
        <v>0.2</v>
      </c>
      <c r="J1705" s="1">
        <v>102240</v>
      </c>
      <c r="K1705" s="1">
        <v>12231.37</v>
      </c>
      <c r="L1705" s="1" t="s">
        <v>45</v>
      </c>
      <c r="M1705" s="1" t="str">
        <f>TEXT(Table1[[#This Row],[Order Date]],"mmm")</f>
        <v>Dec</v>
      </c>
      <c r="N1705" s="1">
        <f>YEAR(Table1[[#This Row],[Order Date]])</f>
        <v>2023</v>
      </c>
    </row>
    <row r="1706" spans="1:14" x14ac:dyDescent="0.35">
      <c r="A1706" s="1" t="s">
        <v>2451</v>
      </c>
      <c r="B1706" s="1" t="s">
        <v>169</v>
      </c>
      <c r="C1706" s="1" t="s">
        <v>104</v>
      </c>
      <c r="D1706" s="1" t="s">
        <v>56</v>
      </c>
      <c r="E1706" s="1" t="s">
        <v>22</v>
      </c>
      <c r="F1706" s="1" t="s">
        <v>56</v>
      </c>
      <c r="G1706" s="1">
        <v>11</v>
      </c>
      <c r="H1706" s="1">
        <v>46741</v>
      </c>
      <c r="I1706" s="1">
        <v>0.15</v>
      </c>
      <c r="J1706" s="1">
        <v>437028.35</v>
      </c>
      <c r="K1706" s="1">
        <v>101577.1</v>
      </c>
      <c r="L1706" s="1" t="s">
        <v>17</v>
      </c>
      <c r="M1706" s="1" t="str">
        <f>TEXT(Table1[[#This Row],[Order Date]],"mmm")</f>
        <v>Nov</v>
      </c>
      <c r="N1706" s="1">
        <f>YEAR(Table1[[#This Row],[Order Date]])</f>
        <v>2024</v>
      </c>
    </row>
    <row r="1707" spans="1:14" x14ac:dyDescent="0.35">
      <c r="A1707" s="1" t="s">
        <v>2452</v>
      </c>
      <c r="B1707" s="1" t="s">
        <v>389</v>
      </c>
      <c r="C1707" s="1" t="s">
        <v>170</v>
      </c>
      <c r="D1707" s="1" t="s">
        <v>74</v>
      </c>
      <c r="E1707" s="1" t="s">
        <v>22</v>
      </c>
      <c r="F1707" s="1" t="s">
        <v>74</v>
      </c>
      <c r="G1707" s="1">
        <v>10</v>
      </c>
      <c r="H1707" s="1">
        <v>18293</v>
      </c>
      <c r="I1707" s="1">
        <v>0.2</v>
      </c>
      <c r="J1707" s="1">
        <v>146344</v>
      </c>
      <c r="K1707" s="1">
        <v>38098.589999999997</v>
      </c>
      <c r="L1707" s="1" t="s">
        <v>70</v>
      </c>
      <c r="M1707" s="1" t="str">
        <f>TEXT(Table1[[#This Row],[Order Date]],"mmm")</f>
        <v>May</v>
      </c>
      <c r="N1707" s="1">
        <f>YEAR(Table1[[#This Row],[Order Date]])</f>
        <v>2023</v>
      </c>
    </row>
    <row r="1708" spans="1:14" x14ac:dyDescent="0.35">
      <c r="A1708" s="1" t="s">
        <v>2453</v>
      </c>
      <c r="B1708" s="1" t="s">
        <v>2454</v>
      </c>
      <c r="C1708" s="1" t="s">
        <v>51</v>
      </c>
      <c r="D1708" s="1" t="s">
        <v>108</v>
      </c>
      <c r="E1708" s="1" t="s">
        <v>22</v>
      </c>
      <c r="F1708" s="1" t="s">
        <v>108</v>
      </c>
      <c r="G1708" s="1">
        <v>4</v>
      </c>
      <c r="H1708" s="1">
        <v>28222</v>
      </c>
      <c r="I1708" s="1">
        <v>0.15</v>
      </c>
      <c r="J1708" s="1">
        <v>95954.8</v>
      </c>
      <c r="K1708" s="1">
        <v>19143.580000000002</v>
      </c>
      <c r="L1708" s="1" t="s">
        <v>45</v>
      </c>
      <c r="M1708" s="1" t="str">
        <f>TEXT(Table1[[#This Row],[Order Date]],"mmm")</f>
        <v>Sep</v>
      </c>
      <c r="N1708" s="1">
        <f>YEAR(Table1[[#This Row],[Order Date]])</f>
        <v>2023</v>
      </c>
    </row>
    <row r="1709" spans="1:14" x14ac:dyDescent="0.35">
      <c r="A1709" s="1" t="s">
        <v>2455</v>
      </c>
      <c r="B1709" s="1" t="s">
        <v>353</v>
      </c>
      <c r="C1709" s="1" t="s">
        <v>640</v>
      </c>
      <c r="D1709" s="1" t="s">
        <v>48</v>
      </c>
      <c r="E1709" s="1" t="s">
        <v>16</v>
      </c>
      <c r="F1709" s="1" t="s">
        <v>48</v>
      </c>
      <c r="G1709" s="1">
        <v>12</v>
      </c>
      <c r="H1709" s="1">
        <v>7928</v>
      </c>
      <c r="I1709" s="1">
        <v>0.1</v>
      </c>
      <c r="J1709" s="1">
        <v>85622.399999999994</v>
      </c>
      <c r="K1709" s="1">
        <v>14446.06</v>
      </c>
      <c r="L1709" s="1" t="s">
        <v>70</v>
      </c>
      <c r="M1709" s="1" t="str">
        <f>TEXT(Table1[[#This Row],[Order Date]],"mmm")</f>
        <v>Apr</v>
      </c>
      <c r="N1709" s="1">
        <f>YEAR(Table1[[#This Row],[Order Date]])</f>
        <v>2024</v>
      </c>
    </row>
    <row r="1710" spans="1:14" x14ac:dyDescent="0.35">
      <c r="A1710" s="1" t="s">
        <v>2456</v>
      </c>
      <c r="B1710" s="1" t="s">
        <v>848</v>
      </c>
      <c r="C1710" s="1" t="s">
        <v>136</v>
      </c>
      <c r="D1710" s="1" t="s">
        <v>323</v>
      </c>
      <c r="E1710" s="1" t="s">
        <v>33</v>
      </c>
      <c r="F1710" s="1" t="s">
        <v>323</v>
      </c>
      <c r="G1710" s="1">
        <v>7</v>
      </c>
      <c r="H1710" s="1">
        <v>5812</v>
      </c>
      <c r="I1710" s="1">
        <v>0.15</v>
      </c>
      <c r="J1710" s="1">
        <v>34581.4</v>
      </c>
      <c r="K1710" s="1">
        <v>8833.5499999999993</v>
      </c>
      <c r="L1710" s="1" t="s">
        <v>23</v>
      </c>
      <c r="M1710" s="1" t="str">
        <f>TEXT(Table1[[#This Row],[Order Date]],"mmm")</f>
        <v>Mar</v>
      </c>
      <c r="N1710" s="1">
        <f>YEAR(Table1[[#This Row],[Order Date]])</f>
        <v>2024</v>
      </c>
    </row>
    <row r="1711" spans="1:14" x14ac:dyDescent="0.35">
      <c r="A1711" s="1" t="s">
        <v>2457</v>
      </c>
      <c r="B1711" s="1" t="s">
        <v>655</v>
      </c>
      <c r="C1711" s="1" t="s">
        <v>125</v>
      </c>
      <c r="D1711" s="1" t="s">
        <v>64</v>
      </c>
      <c r="E1711" s="1" t="s">
        <v>33</v>
      </c>
      <c r="F1711" s="1" t="s">
        <v>64</v>
      </c>
      <c r="G1711" s="1">
        <v>7</v>
      </c>
      <c r="H1711" s="1">
        <v>8631</v>
      </c>
      <c r="I1711" s="1">
        <v>0.2</v>
      </c>
      <c r="J1711" s="1">
        <v>48333.599999999999</v>
      </c>
      <c r="K1711" s="1">
        <v>13094</v>
      </c>
      <c r="L1711" s="1" t="s">
        <v>45</v>
      </c>
      <c r="M1711" s="1" t="str">
        <f>TEXT(Table1[[#This Row],[Order Date]],"mmm")</f>
        <v>Jul</v>
      </c>
      <c r="N1711" s="1">
        <f>YEAR(Table1[[#This Row],[Order Date]])</f>
        <v>2023</v>
      </c>
    </row>
    <row r="1712" spans="1:14" x14ac:dyDescent="0.35">
      <c r="A1712" s="1" t="s">
        <v>2458</v>
      </c>
      <c r="B1712" s="1" t="s">
        <v>2099</v>
      </c>
      <c r="C1712" s="1" t="s">
        <v>111</v>
      </c>
      <c r="D1712" s="1" t="s">
        <v>21</v>
      </c>
      <c r="E1712" s="1" t="s">
        <v>22</v>
      </c>
      <c r="F1712" s="1" t="s">
        <v>21</v>
      </c>
      <c r="G1712" s="1">
        <v>10</v>
      </c>
      <c r="H1712" s="1">
        <v>52914</v>
      </c>
      <c r="I1712" s="1">
        <v>0.2</v>
      </c>
      <c r="J1712" s="1">
        <v>423312</v>
      </c>
      <c r="K1712" s="1">
        <v>87753.16</v>
      </c>
      <c r="L1712" s="1" t="s">
        <v>70</v>
      </c>
      <c r="M1712" s="1" t="str">
        <f>TEXT(Table1[[#This Row],[Order Date]],"mmm")</f>
        <v>Jan</v>
      </c>
      <c r="N1712" s="1">
        <f>YEAR(Table1[[#This Row],[Order Date]])</f>
        <v>2024</v>
      </c>
    </row>
    <row r="1713" spans="1:14" x14ac:dyDescent="0.35">
      <c r="A1713" s="1" t="s">
        <v>2459</v>
      </c>
      <c r="B1713" s="1" t="s">
        <v>2460</v>
      </c>
      <c r="C1713" s="1" t="s">
        <v>77</v>
      </c>
      <c r="D1713" s="1" t="s">
        <v>64</v>
      </c>
      <c r="E1713" s="1" t="s">
        <v>33</v>
      </c>
      <c r="F1713" s="1" t="s">
        <v>64</v>
      </c>
      <c r="G1713" s="1">
        <v>13</v>
      </c>
      <c r="H1713" s="1">
        <v>25645</v>
      </c>
      <c r="I1713" s="1">
        <v>0.2</v>
      </c>
      <c r="J1713" s="1">
        <v>266708</v>
      </c>
      <c r="K1713" s="1">
        <v>24118.89</v>
      </c>
      <c r="L1713" s="1" t="s">
        <v>45</v>
      </c>
      <c r="M1713" s="1" t="str">
        <f>TEXT(Table1[[#This Row],[Order Date]],"mmm")</f>
        <v>Jan</v>
      </c>
      <c r="N1713" s="1">
        <f>YEAR(Table1[[#This Row],[Order Date]])</f>
        <v>2023</v>
      </c>
    </row>
    <row r="1714" spans="1:14" x14ac:dyDescent="0.35">
      <c r="A1714" s="1" t="s">
        <v>2461</v>
      </c>
      <c r="B1714" s="1" t="s">
        <v>343</v>
      </c>
      <c r="C1714" s="1" t="s">
        <v>101</v>
      </c>
      <c r="D1714" s="1" t="s">
        <v>323</v>
      </c>
      <c r="E1714" s="1" t="s">
        <v>33</v>
      </c>
      <c r="F1714" s="1" t="s">
        <v>323</v>
      </c>
      <c r="G1714" s="1">
        <v>13</v>
      </c>
      <c r="H1714" s="1">
        <v>38671</v>
      </c>
      <c r="I1714" s="1">
        <v>0</v>
      </c>
      <c r="J1714" s="1">
        <v>502723</v>
      </c>
      <c r="K1714" s="1">
        <v>149576.46</v>
      </c>
      <c r="L1714" s="1" t="s">
        <v>45</v>
      </c>
      <c r="M1714" s="1" t="str">
        <f>TEXT(Table1[[#This Row],[Order Date]],"mmm")</f>
        <v>Feb</v>
      </c>
      <c r="N1714" s="1">
        <f>YEAR(Table1[[#This Row],[Order Date]])</f>
        <v>2024</v>
      </c>
    </row>
    <row r="1715" spans="1:14" x14ac:dyDescent="0.35">
      <c r="A1715" s="1" t="s">
        <v>2462</v>
      </c>
      <c r="B1715" s="1" t="s">
        <v>554</v>
      </c>
      <c r="C1715" s="1" t="s">
        <v>94</v>
      </c>
      <c r="D1715" s="1" t="s">
        <v>74</v>
      </c>
      <c r="E1715" s="1" t="s">
        <v>22</v>
      </c>
      <c r="F1715" s="1" t="s">
        <v>74</v>
      </c>
      <c r="G1715" s="1">
        <v>9</v>
      </c>
      <c r="H1715" s="1">
        <v>24593</v>
      </c>
      <c r="I1715" s="1">
        <v>0.05</v>
      </c>
      <c r="J1715" s="1">
        <v>210270.15</v>
      </c>
      <c r="K1715" s="1">
        <v>58144.69</v>
      </c>
      <c r="L1715" s="1" t="s">
        <v>23</v>
      </c>
      <c r="M1715" s="1" t="str">
        <f>TEXT(Table1[[#This Row],[Order Date]],"mmm")</f>
        <v>Nov</v>
      </c>
      <c r="N1715" s="1">
        <f>YEAR(Table1[[#This Row],[Order Date]])</f>
        <v>2023</v>
      </c>
    </row>
    <row r="1716" spans="1:14" x14ac:dyDescent="0.35">
      <c r="A1716" s="1" t="s">
        <v>2463</v>
      </c>
      <c r="B1716" s="1" t="s">
        <v>2464</v>
      </c>
      <c r="C1716" s="1" t="s">
        <v>255</v>
      </c>
      <c r="D1716" s="1" t="s">
        <v>56</v>
      </c>
      <c r="E1716" s="1" t="s">
        <v>22</v>
      </c>
      <c r="F1716" s="1" t="s">
        <v>56</v>
      </c>
      <c r="G1716" s="1">
        <v>9</v>
      </c>
      <c r="H1716" s="1">
        <v>33348</v>
      </c>
      <c r="I1716" s="1">
        <v>0.15</v>
      </c>
      <c r="J1716" s="1">
        <v>255112.2</v>
      </c>
      <c r="K1716" s="1">
        <v>47281.62</v>
      </c>
      <c r="L1716" s="1" t="s">
        <v>45</v>
      </c>
      <c r="M1716" s="1" t="str">
        <f>TEXT(Table1[[#This Row],[Order Date]],"mmm")</f>
        <v>Apr</v>
      </c>
      <c r="N1716" s="1">
        <f>YEAR(Table1[[#This Row],[Order Date]])</f>
        <v>2023</v>
      </c>
    </row>
    <row r="1717" spans="1:14" x14ac:dyDescent="0.35">
      <c r="A1717" s="1" t="s">
        <v>2465</v>
      </c>
      <c r="B1717" s="1" t="s">
        <v>327</v>
      </c>
      <c r="C1717" s="1" t="s">
        <v>203</v>
      </c>
      <c r="D1717" s="1" t="s">
        <v>44</v>
      </c>
      <c r="E1717" s="1" t="s">
        <v>28</v>
      </c>
      <c r="F1717" s="1" t="s">
        <v>44</v>
      </c>
      <c r="G1717" s="1">
        <v>8</v>
      </c>
      <c r="H1717" s="1">
        <v>19534</v>
      </c>
      <c r="I1717" s="1">
        <v>0.15</v>
      </c>
      <c r="J1717" s="1">
        <v>132831.20000000001</v>
      </c>
      <c r="K1717" s="1">
        <v>21973.78</v>
      </c>
      <c r="L1717" s="1" t="s">
        <v>45</v>
      </c>
      <c r="M1717" s="1" t="str">
        <f>TEXT(Table1[[#This Row],[Order Date]],"mmm")</f>
        <v>Nov</v>
      </c>
      <c r="N1717" s="1">
        <f>YEAR(Table1[[#This Row],[Order Date]])</f>
        <v>2024</v>
      </c>
    </row>
    <row r="1718" spans="1:14" x14ac:dyDescent="0.35">
      <c r="A1718" s="1" t="s">
        <v>2466</v>
      </c>
      <c r="B1718" s="1" t="s">
        <v>19</v>
      </c>
      <c r="C1718" s="1" t="s">
        <v>170</v>
      </c>
      <c r="D1718" s="1" t="s">
        <v>60</v>
      </c>
      <c r="E1718" s="1" t="s">
        <v>33</v>
      </c>
      <c r="F1718" s="1" t="s">
        <v>60</v>
      </c>
      <c r="G1718" s="1">
        <v>5</v>
      </c>
      <c r="H1718" s="1">
        <v>58951</v>
      </c>
      <c r="I1718" s="1">
        <v>0.15</v>
      </c>
      <c r="J1718" s="1">
        <v>250541.75</v>
      </c>
      <c r="K1718" s="1">
        <v>27814.94</v>
      </c>
      <c r="L1718" s="1" t="s">
        <v>23</v>
      </c>
      <c r="M1718" s="1" t="str">
        <f>TEXT(Table1[[#This Row],[Order Date]],"mmm")</f>
        <v>Jul</v>
      </c>
      <c r="N1718" s="1">
        <f>YEAR(Table1[[#This Row],[Order Date]])</f>
        <v>2023</v>
      </c>
    </row>
    <row r="1719" spans="1:14" x14ac:dyDescent="0.35">
      <c r="A1719" s="1" t="s">
        <v>2467</v>
      </c>
      <c r="B1719" s="1" t="s">
        <v>1324</v>
      </c>
      <c r="C1719" s="1" t="s">
        <v>162</v>
      </c>
      <c r="D1719" s="1" t="s">
        <v>85</v>
      </c>
      <c r="E1719" s="1" t="s">
        <v>28</v>
      </c>
      <c r="F1719" s="1" t="s">
        <v>85</v>
      </c>
      <c r="G1719" s="1">
        <v>10</v>
      </c>
      <c r="H1719" s="1">
        <v>2110</v>
      </c>
      <c r="I1719" s="1">
        <v>0.2</v>
      </c>
      <c r="J1719" s="1">
        <v>16880</v>
      </c>
      <c r="K1719" s="1">
        <v>2192.6999999999998</v>
      </c>
      <c r="L1719" s="1" t="s">
        <v>23</v>
      </c>
      <c r="M1719" s="1" t="str">
        <f>TEXT(Table1[[#This Row],[Order Date]],"mmm")</f>
        <v>Aug</v>
      </c>
      <c r="N1719" s="1">
        <f>YEAR(Table1[[#This Row],[Order Date]])</f>
        <v>2024</v>
      </c>
    </row>
    <row r="1720" spans="1:14" x14ac:dyDescent="0.35">
      <c r="A1720" s="1" t="s">
        <v>2468</v>
      </c>
      <c r="B1720" s="1" t="s">
        <v>322</v>
      </c>
      <c r="C1720" s="1" t="s">
        <v>203</v>
      </c>
      <c r="D1720" s="1" t="s">
        <v>179</v>
      </c>
      <c r="E1720" s="1" t="s">
        <v>28</v>
      </c>
      <c r="F1720" s="1" t="s">
        <v>179</v>
      </c>
      <c r="G1720" s="1">
        <v>2</v>
      </c>
      <c r="H1720" s="1">
        <v>36939</v>
      </c>
      <c r="I1720" s="1">
        <v>0.2</v>
      </c>
      <c r="J1720" s="1">
        <v>59102.400000000001</v>
      </c>
      <c r="K1720" s="1">
        <v>14840.73</v>
      </c>
      <c r="L1720" s="1" t="s">
        <v>70</v>
      </c>
      <c r="M1720" s="1" t="str">
        <f>TEXT(Table1[[#This Row],[Order Date]],"mmm")</f>
        <v>Sep</v>
      </c>
      <c r="N1720" s="1">
        <f>YEAR(Table1[[#This Row],[Order Date]])</f>
        <v>2023</v>
      </c>
    </row>
    <row r="1721" spans="1:14" x14ac:dyDescent="0.35">
      <c r="A1721" s="1" t="s">
        <v>2469</v>
      </c>
      <c r="B1721" s="1" t="s">
        <v>387</v>
      </c>
      <c r="C1721" s="1" t="s">
        <v>94</v>
      </c>
      <c r="D1721" s="1" t="s">
        <v>74</v>
      </c>
      <c r="E1721" s="1" t="s">
        <v>22</v>
      </c>
      <c r="F1721" s="1" t="s">
        <v>74</v>
      </c>
      <c r="G1721" s="1">
        <v>2</v>
      </c>
      <c r="H1721" s="1">
        <v>46506</v>
      </c>
      <c r="I1721" s="1">
        <v>0.2</v>
      </c>
      <c r="J1721" s="1">
        <v>74409.600000000006</v>
      </c>
      <c r="K1721" s="1">
        <v>13358.26</v>
      </c>
      <c r="L1721" s="1" t="s">
        <v>45</v>
      </c>
      <c r="M1721" s="1" t="str">
        <f>TEXT(Table1[[#This Row],[Order Date]],"mmm")</f>
        <v>May</v>
      </c>
      <c r="N1721" s="1">
        <f>YEAR(Table1[[#This Row],[Order Date]])</f>
        <v>2024</v>
      </c>
    </row>
    <row r="1722" spans="1:14" x14ac:dyDescent="0.35">
      <c r="A1722" s="1" t="s">
        <v>2470</v>
      </c>
      <c r="B1722" s="1" t="s">
        <v>760</v>
      </c>
      <c r="C1722" s="1" t="s">
        <v>98</v>
      </c>
      <c r="D1722" s="1" t="s">
        <v>179</v>
      </c>
      <c r="E1722" s="1" t="s">
        <v>28</v>
      </c>
      <c r="F1722" s="1" t="s">
        <v>179</v>
      </c>
      <c r="G1722" s="1">
        <v>14</v>
      </c>
      <c r="H1722" s="1">
        <v>56144</v>
      </c>
      <c r="I1722" s="1">
        <v>0.15</v>
      </c>
      <c r="J1722" s="1">
        <v>668113.6</v>
      </c>
      <c r="K1722" s="1">
        <v>192736.41</v>
      </c>
      <c r="L1722" s="1" t="s">
        <v>45</v>
      </c>
      <c r="M1722" s="1" t="str">
        <f>TEXT(Table1[[#This Row],[Order Date]],"mmm")</f>
        <v>Jan</v>
      </c>
      <c r="N1722" s="1">
        <f>YEAR(Table1[[#This Row],[Order Date]])</f>
        <v>2023</v>
      </c>
    </row>
    <row r="1723" spans="1:14" x14ac:dyDescent="0.35">
      <c r="A1723" s="1" t="s">
        <v>2471</v>
      </c>
      <c r="B1723" s="1" t="s">
        <v>914</v>
      </c>
      <c r="C1723" s="1" t="s">
        <v>84</v>
      </c>
      <c r="D1723" s="1" t="s">
        <v>137</v>
      </c>
      <c r="E1723" s="1" t="s">
        <v>22</v>
      </c>
      <c r="F1723" s="1" t="s">
        <v>137</v>
      </c>
      <c r="G1723" s="1">
        <v>11</v>
      </c>
      <c r="H1723" s="1">
        <v>32772</v>
      </c>
      <c r="I1723" s="1">
        <v>0.1</v>
      </c>
      <c r="J1723" s="1">
        <v>324442.8</v>
      </c>
      <c r="K1723" s="1">
        <v>41372.269999999997</v>
      </c>
      <c r="L1723" s="1" t="s">
        <v>70</v>
      </c>
      <c r="M1723" s="1" t="str">
        <f>TEXT(Table1[[#This Row],[Order Date]],"mmm")</f>
        <v>Apr</v>
      </c>
      <c r="N1723" s="1">
        <f>YEAR(Table1[[#This Row],[Order Date]])</f>
        <v>2023</v>
      </c>
    </row>
    <row r="1724" spans="1:14" x14ac:dyDescent="0.35">
      <c r="A1724" s="1" t="s">
        <v>2472</v>
      </c>
      <c r="B1724" s="1" t="s">
        <v>1184</v>
      </c>
      <c r="C1724" s="1" t="s">
        <v>349</v>
      </c>
      <c r="D1724" s="1" t="s">
        <v>52</v>
      </c>
      <c r="E1724" s="1" t="s">
        <v>28</v>
      </c>
      <c r="F1724" s="1" t="s">
        <v>52</v>
      </c>
      <c r="G1724" s="1">
        <v>15</v>
      </c>
      <c r="H1724" s="1">
        <v>14697</v>
      </c>
      <c r="I1724" s="1">
        <v>0.1</v>
      </c>
      <c r="J1724" s="1">
        <v>198409.5</v>
      </c>
      <c r="K1724" s="1">
        <v>23442.91</v>
      </c>
      <c r="L1724" s="1" t="s">
        <v>70</v>
      </c>
      <c r="M1724" s="1" t="str">
        <f>TEXT(Table1[[#This Row],[Order Date]],"mmm")</f>
        <v>Oct</v>
      </c>
      <c r="N1724" s="1">
        <f>YEAR(Table1[[#This Row],[Order Date]])</f>
        <v>2023</v>
      </c>
    </row>
    <row r="1725" spans="1:14" x14ac:dyDescent="0.35">
      <c r="A1725" s="1" t="s">
        <v>2473</v>
      </c>
      <c r="B1725" s="1" t="s">
        <v>1068</v>
      </c>
      <c r="C1725" s="1" t="s">
        <v>36</v>
      </c>
      <c r="D1725" s="1" t="s">
        <v>137</v>
      </c>
      <c r="E1725" s="1" t="s">
        <v>22</v>
      </c>
      <c r="F1725" s="1" t="s">
        <v>137</v>
      </c>
      <c r="G1725" s="1">
        <v>15</v>
      </c>
      <c r="H1725" s="1">
        <v>55387</v>
      </c>
      <c r="I1725" s="1">
        <v>0.1</v>
      </c>
      <c r="J1725" s="1">
        <v>747724.5</v>
      </c>
      <c r="K1725" s="1">
        <v>139429.64000000001</v>
      </c>
      <c r="L1725" s="1" t="s">
        <v>17</v>
      </c>
      <c r="M1725" s="1" t="str">
        <f>TEXT(Table1[[#This Row],[Order Date]],"mmm")</f>
        <v>Apr</v>
      </c>
      <c r="N1725" s="1">
        <f>YEAR(Table1[[#This Row],[Order Date]])</f>
        <v>2023</v>
      </c>
    </row>
    <row r="1726" spans="1:14" x14ac:dyDescent="0.35">
      <c r="A1726" s="1" t="s">
        <v>2474</v>
      </c>
      <c r="B1726" s="1" t="s">
        <v>337</v>
      </c>
      <c r="C1726" s="1" t="s">
        <v>158</v>
      </c>
      <c r="D1726" s="1" t="s">
        <v>151</v>
      </c>
      <c r="E1726" s="1" t="s">
        <v>22</v>
      </c>
      <c r="F1726" s="1" t="s">
        <v>151</v>
      </c>
      <c r="G1726" s="1">
        <v>2</v>
      </c>
      <c r="H1726" s="1">
        <v>22821</v>
      </c>
      <c r="I1726" s="1">
        <v>0.2</v>
      </c>
      <c r="J1726" s="1">
        <v>36513.599999999999</v>
      </c>
      <c r="K1726" s="1">
        <v>3974.45</v>
      </c>
      <c r="L1726" s="1" t="s">
        <v>17</v>
      </c>
      <c r="M1726" s="1" t="str">
        <f>TEXT(Table1[[#This Row],[Order Date]],"mmm")</f>
        <v>May</v>
      </c>
      <c r="N1726" s="1">
        <f>YEAR(Table1[[#This Row],[Order Date]])</f>
        <v>2024</v>
      </c>
    </row>
    <row r="1727" spans="1:14" x14ac:dyDescent="0.35">
      <c r="A1727" s="1" t="s">
        <v>2475</v>
      </c>
      <c r="B1727" s="1" t="s">
        <v>1261</v>
      </c>
      <c r="C1727" s="1" t="s">
        <v>125</v>
      </c>
      <c r="D1727" s="1" t="s">
        <v>32</v>
      </c>
      <c r="E1727" s="1" t="s">
        <v>33</v>
      </c>
      <c r="F1727" s="1" t="s">
        <v>32</v>
      </c>
      <c r="G1727" s="1">
        <v>5</v>
      </c>
      <c r="H1727" s="1">
        <v>10603</v>
      </c>
      <c r="I1727" s="1">
        <v>0.1</v>
      </c>
      <c r="J1727" s="1">
        <v>47713.5</v>
      </c>
      <c r="K1727" s="1">
        <v>8569.1200000000008</v>
      </c>
      <c r="L1727" s="1" t="s">
        <v>23</v>
      </c>
      <c r="M1727" s="1" t="str">
        <f>TEXT(Table1[[#This Row],[Order Date]],"mmm")</f>
        <v>Jul</v>
      </c>
      <c r="N1727" s="1">
        <f>YEAR(Table1[[#This Row],[Order Date]])</f>
        <v>2023</v>
      </c>
    </row>
    <row r="1728" spans="1:14" x14ac:dyDescent="0.35">
      <c r="A1728" s="1" t="s">
        <v>2476</v>
      </c>
      <c r="B1728" s="1" t="s">
        <v>1712</v>
      </c>
      <c r="C1728" s="1" t="s">
        <v>36</v>
      </c>
      <c r="D1728" s="1" t="s">
        <v>78</v>
      </c>
      <c r="E1728" s="1" t="s">
        <v>28</v>
      </c>
      <c r="F1728" s="1" t="s">
        <v>78</v>
      </c>
      <c r="G1728" s="1">
        <v>9</v>
      </c>
      <c r="H1728" s="1">
        <v>47257</v>
      </c>
      <c r="I1728" s="1">
        <v>0.2</v>
      </c>
      <c r="J1728" s="1">
        <v>340250.4</v>
      </c>
      <c r="K1728" s="1">
        <v>29411.119999999999</v>
      </c>
      <c r="L1728" s="1" t="s">
        <v>17</v>
      </c>
      <c r="M1728" s="1" t="str">
        <f>TEXT(Table1[[#This Row],[Order Date]],"mmm")</f>
        <v>Jan</v>
      </c>
      <c r="N1728" s="1">
        <f>YEAR(Table1[[#This Row],[Order Date]])</f>
        <v>2024</v>
      </c>
    </row>
    <row r="1729" spans="1:14" x14ac:dyDescent="0.35">
      <c r="A1729" s="1" t="s">
        <v>2477</v>
      </c>
      <c r="B1729" s="1" t="s">
        <v>534</v>
      </c>
      <c r="C1729" s="1" t="s">
        <v>36</v>
      </c>
      <c r="D1729" s="1" t="s">
        <v>48</v>
      </c>
      <c r="E1729" s="1" t="s">
        <v>16</v>
      </c>
      <c r="F1729" s="1" t="s">
        <v>48</v>
      </c>
      <c r="G1729" s="1">
        <v>11</v>
      </c>
      <c r="H1729" s="1">
        <v>55313</v>
      </c>
      <c r="I1729" s="1">
        <v>0.05</v>
      </c>
      <c r="J1729" s="1">
        <v>578020.85</v>
      </c>
      <c r="K1729" s="1">
        <v>93802.54</v>
      </c>
      <c r="L1729" s="1" t="s">
        <v>17</v>
      </c>
      <c r="M1729" s="1" t="str">
        <f>TEXT(Table1[[#This Row],[Order Date]],"mmm")</f>
        <v>Apr</v>
      </c>
      <c r="N1729" s="1">
        <f>YEAR(Table1[[#This Row],[Order Date]])</f>
        <v>2023</v>
      </c>
    </row>
    <row r="1730" spans="1:14" x14ac:dyDescent="0.35">
      <c r="A1730" s="1" t="s">
        <v>2478</v>
      </c>
      <c r="B1730" s="1" t="s">
        <v>257</v>
      </c>
      <c r="C1730" s="1" t="s">
        <v>140</v>
      </c>
      <c r="D1730" s="1" t="s">
        <v>224</v>
      </c>
      <c r="E1730" s="1" t="s">
        <v>33</v>
      </c>
      <c r="F1730" s="1" t="s">
        <v>224</v>
      </c>
      <c r="G1730" s="1">
        <v>2</v>
      </c>
      <c r="H1730" s="1">
        <v>26945</v>
      </c>
      <c r="I1730" s="1">
        <v>0.15</v>
      </c>
      <c r="J1730" s="1">
        <v>45806.5</v>
      </c>
      <c r="K1730" s="1">
        <v>6859.56</v>
      </c>
      <c r="L1730" s="1" t="s">
        <v>45</v>
      </c>
      <c r="M1730" s="1" t="str">
        <f>TEXT(Table1[[#This Row],[Order Date]],"mmm")</f>
        <v>Aug</v>
      </c>
      <c r="N1730" s="1">
        <f>YEAR(Table1[[#This Row],[Order Date]])</f>
        <v>2024</v>
      </c>
    </row>
    <row r="1731" spans="1:14" x14ac:dyDescent="0.35">
      <c r="A1731" s="1" t="s">
        <v>2479</v>
      </c>
      <c r="B1731" s="1" t="s">
        <v>2032</v>
      </c>
      <c r="C1731" s="1" t="s">
        <v>170</v>
      </c>
      <c r="D1731" s="1" t="s">
        <v>56</v>
      </c>
      <c r="E1731" s="1" t="s">
        <v>22</v>
      </c>
      <c r="F1731" s="1" t="s">
        <v>56</v>
      </c>
      <c r="G1731" s="1">
        <v>9</v>
      </c>
      <c r="H1731" s="1">
        <v>54263</v>
      </c>
      <c r="I1731" s="1">
        <v>0.15</v>
      </c>
      <c r="J1731" s="1">
        <v>415111.95</v>
      </c>
      <c r="K1731" s="1">
        <v>95995.02</v>
      </c>
      <c r="L1731" s="1" t="s">
        <v>17</v>
      </c>
      <c r="M1731" s="1" t="str">
        <f>TEXT(Table1[[#This Row],[Order Date]],"mmm")</f>
        <v>Nov</v>
      </c>
      <c r="N1731" s="1">
        <f>YEAR(Table1[[#This Row],[Order Date]])</f>
        <v>2024</v>
      </c>
    </row>
    <row r="1732" spans="1:14" x14ac:dyDescent="0.35">
      <c r="A1732" s="1" t="s">
        <v>2480</v>
      </c>
      <c r="B1732" s="1" t="s">
        <v>169</v>
      </c>
      <c r="C1732" s="1" t="s">
        <v>136</v>
      </c>
      <c r="D1732" s="1" t="s">
        <v>85</v>
      </c>
      <c r="E1732" s="1" t="s">
        <v>28</v>
      </c>
      <c r="F1732" s="1" t="s">
        <v>85</v>
      </c>
      <c r="G1732" s="1">
        <v>7</v>
      </c>
      <c r="H1732" s="1">
        <v>57430</v>
      </c>
      <c r="I1732" s="1">
        <v>0.05</v>
      </c>
      <c r="J1732" s="1">
        <v>381909.5</v>
      </c>
      <c r="K1732" s="1">
        <v>73547.42</v>
      </c>
      <c r="L1732" s="1" t="s">
        <v>17</v>
      </c>
      <c r="M1732" s="1" t="str">
        <f>TEXT(Table1[[#This Row],[Order Date]],"mmm")</f>
        <v>Nov</v>
      </c>
      <c r="N1732" s="1">
        <f>YEAR(Table1[[#This Row],[Order Date]])</f>
        <v>2024</v>
      </c>
    </row>
    <row r="1733" spans="1:14" x14ac:dyDescent="0.35">
      <c r="A1733" s="1" t="s">
        <v>2481</v>
      </c>
      <c r="B1733" s="1" t="s">
        <v>259</v>
      </c>
      <c r="C1733" s="1" t="s">
        <v>63</v>
      </c>
      <c r="D1733" s="1" t="s">
        <v>151</v>
      </c>
      <c r="E1733" s="1" t="s">
        <v>22</v>
      </c>
      <c r="F1733" s="1" t="s">
        <v>151</v>
      </c>
      <c r="G1733" s="1">
        <v>4</v>
      </c>
      <c r="H1733" s="1">
        <v>35627</v>
      </c>
      <c r="I1733" s="1">
        <v>0.15</v>
      </c>
      <c r="J1733" s="1">
        <v>121131.8</v>
      </c>
      <c r="K1733" s="1">
        <v>26679.53</v>
      </c>
      <c r="L1733" s="1" t="s">
        <v>45</v>
      </c>
      <c r="M1733" s="1" t="str">
        <f>TEXT(Table1[[#This Row],[Order Date]],"mmm")</f>
        <v>Oct</v>
      </c>
      <c r="N1733" s="1">
        <f>YEAR(Table1[[#This Row],[Order Date]])</f>
        <v>2024</v>
      </c>
    </row>
    <row r="1734" spans="1:14" x14ac:dyDescent="0.35">
      <c r="A1734" s="1" t="s">
        <v>2482</v>
      </c>
      <c r="B1734" s="1" t="s">
        <v>116</v>
      </c>
      <c r="C1734" s="1" t="s">
        <v>73</v>
      </c>
      <c r="D1734" s="1" t="s">
        <v>37</v>
      </c>
      <c r="E1734" s="1" t="s">
        <v>16</v>
      </c>
      <c r="F1734" s="1" t="s">
        <v>37</v>
      </c>
      <c r="G1734" s="1">
        <v>13</v>
      </c>
      <c r="H1734" s="1">
        <v>7749</v>
      </c>
      <c r="I1734" s="1">
        <v>0.2</v>
      </c>
      <c r="J1734" s="1">
        <v>80589.600000000006</v>
      </c>
      <c r="K1734" s="1">
        <v>19907.78</v>
      </c>
      <c r="L1734" s="1" t="s">
        <v>23</v>
      </c>
      <c r="M1734" s="1" t="str">
        <f>TEXT(Table1[[#This Row],[Order Date]],"mmm")</f>
        <v>Jan</v>
      </c>
      <c r="N1734" s="1">
        <f>YEAR(Table1[[#This Row],[Order Date]])</f>
        <v>2023</v>
      </c>
    </row>
    <row r="1735" spans="1:14" x14ac:dyDescent="0.35">
      <c r="A1735" s="1" t="s">
        <v>2483</v>
      </c>
      <c r="B1735" s="1" t="s">
        <v>2108</v>
      </c>
      <c r="C1735" s="1" t="s">
        <v>146</v>
      </c>
      <c r="D1735" s="1" t="s">
        <v>224</v>
      </c>
      <c r="E1735" s="1" t="s">
        <v>33</v>
      </c>
      <c r="F1735" s="1" t="s">
        <v>224</v>
      </c>
      <c r="G1735" s="1">
        <v>7</v>
      </c>
      <c r="H1735" s="1">
        <v>4028</v>
      </c>
      <c r="I1735" s="1">
        <v>0</v>
      </c>
      <c r="J1735" s="1">
        <v>28196</v>
      </c>
      <c r="K1735" s="1">
        <v>4792.21</v>
      </c>
      <c r="L1735" s="1" t="s">
        <v>17</v>
      </c>
      <c r="M1735" s="1" t="str">
        <f>TEXT(Table1[[#This Row],[Order Date]],"mmm")</f>
        <v>Jun</v>
      </c>
      <c r="N1735" s="1">
        <f>YEAR(Table1[[#This Row],[Order Date]])</f>
        <v>2023</v>
      </c>
    </row>
    <row r="1736" spans="1:14" x14ac:dyDescent="0.35">
      <c r="A1736" s="1" t="s">
        <v>2484</v>
      </c>
      <c r="B1736" s="1" t="s">
        <v>873</v>
      </c>
      <c r="C1736" s="1" t="s">
        <v>31</v>
      </c>
      <c r="D1736" s="1" t="s">
        <v>27</v>
      </c>
      <c r="E1736" s="1" t="s">
        <v>28</v>
      </c>
      <c r="F1736" s="1" t="s">
        <v>27</v>
      </c>
      <c r="G1736" s="1">
        <v>6</v>
      </c>
      <c r="H1736" s="1">
        <v>50705</v>
      </c>
      <c r="I1736" s="1">
        <v>0</v>
      </c>
      <c r="J1736" s="1">
        <v>304230</v>
      </c>
      <c r="K1736" s="1">
        <v>42847.35</v>
      </c>
      <c r="L1736" s="1" t="s">
        <v>17</v>
      </c>
      <c r="M1736" s="1" t="str">
        <f>TEXT(Table1[[#This Row],[Order Date]],"mmm")</f>
        <v>Dec</v>
      </c>
      <c r="N1736" s="1">
        <f>YEAR(Table1[[#This Row],[Order Date]])</f>
        <v>2023</v>
      </c>
    </row>
    <row r="1737" spans="1:14" x14ac:dyDescent="0.35">
      <c r="A1737" s="1" t="s">
        <v>2485</v>
      </c>
      <c r="B1737" s="1" t="s">
        <v>657</v>
      </c>
      <c r="C1737" s="1" t="s">
        <v>63</v>
      </c>
      <c r="D1737" s="1" t="s">
        <v>74</v>
      </c>
      <c r="E1737" s="1" t="s">
        <v>22</v>
      </c>
      <c r="F1737" s="1" t="s">
        <v>74</v>
      </c>
      <c r="G1737" s="1">
        <v>1</v>
      </c>
      <c r="H1737" s="1">
        <v>43977</v>
      </c>
      <c r="I1737" s="1">
        <v>0</v>
      </c>
      <c r="J1737" s="1">
        <v>43977</v>
      </c>
      <c r="K1737" s="1">
        <v>7481.35</v>
      </c>
      <c r="L1737" s="1" t="s">
        <v>45</v>
      </c>
      <c r="M1737" s="1" t="str">
        <f>TEXT(Table1[[#This Row],[Order Date]],"mmm")</f>
        <v>Jan</v>
      </c>
      <c r="N1737" s="1">
        <f>YEAR(Table1[[#This Row],[Order Date]])</f>
        <v>2024</v>
      </c>
    </row>
    <row r="1738" spans="1:14" x14ac:dyDescent="0.35">
      <c r="A1738" s="1" t="s">
        <v>2486</v>
      </c>
      <c r="B1738" s="1" t="s">
        <v>348</v>
      </c>
      <c r="C1738" s="1" t="s">
        <v>188</v>
      </c>
      <c r="D1738" s="1" t="s">
        <v>21</v>
      </c>
      <c r="E1738" s="1" t="s">
        <v>22</v>
      </c>
      <c r="F1738" s="1" t="s">
        <v>21</v>
      </c>
      <c r="G1738" s="1">
        <v>3</v>
      </c>
      <c r="H1738" s="1">
        <v>58581</v>
      </c>
      <c r="I1738" s="1">
        <v>0.15</v>
      </c>
      <c r="J1738" s="1">
        <v>149381.54999999999</v>
      </c>
      <c r="K1738" s="1">
        <v>27570.9</v>
      </c>
      <c r="L1738" s="1" t="s">
        <v>45</v>
      </c>
      <c r="M1738" s="1" t="str">
        <f>TEXT(Table1[[#This Row],[Order Date]],"mmm")</f>
        <v>May</v>
      </c>
      <c r="N1738" s="1">
        <f>YEAR(Table1[[#This Row],[Order Date]])</f>
        <v>2024</v>
      </c>
    </row>
    <row r="1739" spans="1:14" x14ac:dyDescent="0.35">
      <c r="A1739" s="1" t="s">
        <v>2487</v>
      </c>
      <c r="B1739" s="1" t="s">
        <v>835</v>
      </c>
      <c r="C1739" s="1" t="s">
        <v>14</v>
      </c>
      <c r="D1739" s="1" t="s">
        <v>179</v>
      </c>
      <c r="E1739" s="1" t="s">
        <v>28</v>
      </c>
      <c r="F1739" s="1" t="s">
        <v>179</v>
      </c>
      <c r="G1739" s="1">
        <v>10</v>
      </c>
      <c r="H1739" s="1">
        <v>35928</v>
      </c>
      <c r="I1739" s="1">
        <v>0.15</v>
      </c>
      <c r="J1739" s="1">
        <v>305388</v>
      </c>
      <c r="K1739" s="1">
        <v>25048.46</v>
      </c>
      <c r="L1739" s="1" t="s">
        <v>70</v>
      </c>
      <c r="M1739" s="1" t="str">
        <f>TEXT(Table1[[#This Row],[Order Date]],"mmm")</f>
        <v>Nov</v>
      </c>
      <c r="N1739" s="1">
        <f>YEAR(Table1[[#This Row],[Order Date]])</f>
        <v>2024</v>
      </c>
    </row>
    <row r="1740" spans="1:14" x14ac:dyDescent="0.35">
      <c r="A1740" s="1" t="s">
        <v>2488</v>
      </c>
      <c r="B1740" s="1" t="s">
        <v>357</v>
      </c>
      <c r="C1740" s="1" t="s">
        <v>146</v>
      </c>
      <c r="D1740" s="1" t="s">
        <v>56</v>
      </c>
      <c r="E1740" s="1" t="s">
        <v>22</v>
      </c>
      <c r="F1740" s="1" t="s">
        <v>56</v>
      </c>
      <c r="G1740" s="1">
        <v>4</v>
      </c>
      <c r="H1740" s="1">
        <v>4200</v>
      </c>
      <c r="I1740" s="1">
        <v>0.2</v>
      </c>
      <c r="J1740" s="1">
        <v>13440</v>
      </c>
      <c r="K1740" s="1">
        <v>1182.05</v>
      </c>
      <c r="L1740" s="1" t="s">
        <v>45</v>
      </c>
      <c r="M1740" s="1" t="str">
        <f>TEXT(Table1[[#This Row],[Order Date]],"mmm")</f>
        <v>Apr</v>
      </c>
      <c r="N1740" s="1">
        <f>YEAR(Table1[[#This Row],[Order Date]])</f>
        <v>2023</v>
      </c>
    </row>
    <row r="1741" spans="1:14" x14ac:dyDescent="0.35">
      <c r="A1741" s="1" t="s">
        <v>2489</v>
      </c>
      <c r="B1741" s="1" t="s">
        <v>181</v>
      </c>
      <c r="C1741" s="1" t="s">
        <v>55</v>
      </c>
      <c r="D1741" s="1" t="s">
        <v>64</v>
      </c>
      <c r="E1741" s="1" t="s">
        <v>33</v>
      </c>
      <c r="F1741" s="1" t="s">
        <v>64</v>
      </c>
      <c r="G1741" s="1">
        <v>5</v>
      </c>
      <c r="H1741" s="1">
        <v>30296</v>
      </c>
      <c r="I1741" s="1">
        <v>0.1</v>
      </c>
      <c r="J1741" s="1">
        <v>136332</v>
      </c>
      <c r="K1741" s="1">
        <v>12030.49</v>
      </c>
      <c r="L1741" s="1" t="s">
        <v>70</v>
      </c>
      <c r="M1741" s="1" t="str">
        <f>TEXT(Table1[[#This Row],[Order Date]],"mmm")</f>
        <v>May</v>
      </c>
      <c r="N1741" s="1">
        <f>YEAR(Table1[[#This Row],[Order Date]])</f>
        <v>2023</v>
      </c>
    </row>
    <row r="1742" spans="1:14" x14ac:dyDescent="0.35">
      <c r="A1742" s="1" t="s">
        <v>2490</v>
      </c>
      <c r="B1742" s="1" t="s">
        <v>2491</v>
      </c>
      <c r="C1742" s="1" t="s">
        <v>120</v>
      </c>
      <c r="D1742" s="1" t="s">
        <v>133</v>
      </c>
      <c r="E1742" s="1" t="s">
        <v>22</v>
      </c>
      <c r="F1742" s="1" t="s">
        <v>133</v>
      </c>
      <c r="G1742" s="1">
        <v>2</v>
      </c>
      <c r="H1742" s="1">
        <v>20565</v>
      </c>
      <c r="I1742" s="1">
        <v>0.05</v>
      </c>
      <c r="J1742" s="1">
        <v>39073.5</v>
      </c>
      <c r="K1742" s="1">
        <v>4453.5200000000004</v>
      </c>
      <c r="L1742" s="1" t="s">
        <v>70</v>
      </c>
      <c r="M1742" s="1" t="str">
        <f>TEXT(Table1[[#This Row],[Order Date]],"mmm")</f>
        <v>Jul</v>
      </c>
      <c r="N1742" s="1">
        <f>YEAR(Table1[[#This Row],[Order Date]])</f>
        <v>2024</v>
      </c>
    </row>
    <row r="1743" spans="1:14" x14ac:dyDescent="0.35">
      <c r="A1743" s="1" t="s">
        <v>2492</v>
      </c>
      <c r="B1743" s="1" t="s">
        <v>1492</v>
      </c>
      <c r="C1743" s="1" t="s">
        <v>140</v>
      </c>
      <c r="D1743" s="1" t="s">
        <v>167</v>
      </c>
      <c r="E1743" s="1" t="s">
        <v>16</v>
      </c>
      <c r="F1743" s="1" t="s">
        <v>167</v>
      </c>
      <c r="G1743" s="1">
        <v>13</v>
      </c>
      <c r="H1743" s="1">
        <v>35336</v>
      </c>
      <c r="I1743" s="1">
        <v>0</v>
      </c>
      <c r="J1743" s="1">
        <v>459368</v>
      </c>
      <c r="K1743" s="1">
        <v>59739.34</v>
      </c>
      <c r="L1743" s="1" t="s">
        <v>70</v>
      </c>
      <c r="M1743" s="1" t="str">
        <f>TEXT(Table1[[#This Row],[Order Date]],"mmm")</f>
        <v>Mar</v>
      </c>
      <c r="N1743" s="1">
        <f>YEAR(Table1[[#This Row],[Order Date]])</f>
        <v>2024</v>
      </c>
    </row>
    <row r="1744" spans="1:14" x14ac:dyDescent="0.35">
      <c r="A1744" s="1" t="s">
        <v>2493</v>
      </c>
      <c r="B1744" s="1" t="s">
        <v>187</v>
      </c>
      <c r="C1744" s="1" t="s">
        <v>73</v>
      </c>
      <c r="D1744" s="1" t="s">
        <v>179</v>
      </c>
      <c r="E1744" s="1" t="s">
        <v>28</v>
      </c>
      <c r="F1744" s="1" t="s">
        <v>179</v>
      </c>
      <c r="G1744" s="1">
        <v>1</v>
      </c>
      <c r="H1744" s="1">
        <v>13717</v>
      </c>
      <c r="I1744" s="1">
        <v>0.1</v>
      </c>
      <c r="J1744" s="1">
        <v>12345.3</v>
      </c>
      <c r="K1744" s="1">
        <v>3551.84</v>
      </c>
      <c r="L1744" s="1" t="s">
        <v>17</v>
      </c>
      <c r="M1744" s="1" t="str">
        <f>TEXT(Table1[[#This Row],[Order Date]],"mmm")</f>
        <v>Sep</v>
      </c>
      <c r="N1744" s="1">
        <f>YEAR(Table1[[#This Row],[Order Date]])</f>
        <v>2024</v>
      </c>
    </row>
    <row r="1745" spans="1:14" x14ac:dyDescent="0.35">
      <c r="A1745" s="1" t="s">
        <v>2494</v>
      </c>
      <c r="B1745" s="1" t="s">
        <v>1948</v>
      </c>
      <c r="C1745" s="1" t="s">
        <v>120</v>
      </c>
      <c r="D1745" s="1" t="s">
        <v>37</v>
      </c>
      <c r="E1745" s="1" t="s">
        <v>16</v>
      </c>
      <c r="F1745" s="1" t="s">
        <v>37</v>
      </c>
      <c r="G1745" s="1">
        <v>1</v>
      </c>
      <c r="H1745" s="1">
        <v>25060</v>
      </c>
      <c r="I1745" s="1">
        <v>0.15</v>
      </c>
      <c r="J1745" s="1">
        <v>21301</v>
      </c>
      <c r="K1745" s="1">
        <v>5278.92</v>
      </c>
      <c r="L1745" s="1" t="s">
        <v>70</v>
      </c>
      <c r="M1745" s="1" t="str">
        <f>TEXT(Table1[[#This Row],[Order Date]],"mmm")</f>
        <v>Dec</v>
      </c>
      <c r="N1745" s="1">
        <f>YEAR(Table1[[#This Row],[Order Date]])</f>
        <v>2023</v>
      </c>
    </row>
    <row r="1746" spans="1:14" x14ac:dyDescent="0.35">
      <c r="A1746" s="1" t="s">
        <v>2495</v>
      </c>
      <c r="B1746" s="1" t="s">
        <v>1137</v>
      </c>
      <c r="C1746" s="1" t="s">
        <v>31</v>
      </c>
      <c r="D1746" s="1" t="s">
        <v>64</v>
      </c>
      <c r="E1746" s="1" t="s">
        <v>33</v>
      </c>
      <c r="F1746" s="1" t="s">
        <v>64</v>
      </c>
      <c r="G1746" s="1">
        <v>1</v>
      </c>
      <c r="H1746" s="1">
        <v>4094</v>
      </c>
      <c r="I1746" s="1">
        <v>0</v>
      </c>
      <c r="J1746" s="1">
        <v>4094</v>
      </c>
      <c r="K1746" s="1">
        <v>522.76</v>
      </c>
      <c r="L1746" s="1" t="s">
        <v>45</v>
      </c>
      <c r="M1746" s="1" t="str">
        <f>TEXT(Table1[[#This Row],[Order Date]],"mmm")</f>
        <v>Apr</v>
      </c>
      <c r="N1746" s="1">
        <f>YEAR(Table1[[#This Row],[Order Date]])</f>
        <v>2023</v>
      </c>
    </row>
    <row r="1747" spans="1:14" x14ac:dyDescent="0.35">
      <c r="A1747" s="1" t="s">
        <v>2496</v>
      </c>
      <c r="B1747" s="1" t="s">
        <v>1196</v>
      </c>
      <c r="C1747" s="1" t="s">
        <v>170</v>
      </c>
      <c r="D1747" s="1" t="s">
        <v>141</v>
      </c>
      <c r="E1747" s="1" t="s">
        <v>22</v>
      </c>
      <c r="F1747" s="1" t="s">
        <v>141</v>
      </c>
      <c r="G1747" s="1">
        <v>8</v>
      </c>
      <c r="H1747" s="1">
        <v>59812</v>
      </c>
      <c r="I1747" s="1">
        <v>0.1</v>
      </c>
      <c r="J1747" s="1">
        <v>430646.4</v>
      </c>
      <c r="K1747" s="1">
        <v>43647.77</v>
      </c>
      <c r="L1747" s="1" t="s">
        <v>17</v>
      </c>
      <c r="M1747" s="1" t="str">
        <f>TEXT(Table1[[#This Row],[Order Date]],"mmm")</f>
        <v>May</v>
      </c>
      <c r="N1747" s="1">
        <f>YEAR(Table1[[#This Row],[Order Date]])</f>
        <v>2023</v>
      </c>
    </row>
    <row r="1748" spans="1:14" x14ac:dyDescent="0.35">
      <c r="A1748" s="1" t="s">
        <v>2497</v>
      </c>
      <c r="B1748" s="1" t="s">
        <v>1460</v>
      </c>
      <c r="C1748" s="1" t="s">
        <v>170</v>
      </c>
      <c r="D1748" s="1" t="s">
        <v>85</v>
      </c>
      <c r="E1748" s="1" t="s">
        <v>28</v>
      </c>
      <c r="F1748" s="1" t="s">
        <v>85</v>
      </c>
      <c r="G1748" s="1">
        <v>2</v>
      </c>
      <c r="H1748" s="1">
        <v>31775</v>
      </c>
      <c r="I1748" s="1">
        <v>0</v>
      </c>
      <c r="J1748" s="1">
        <v>63550</v>
      </c>
      <c r="K1748" s="1">
        <v>9362.64</v>
      </c>
      <c r="L1748" s="1" t="s">
        <v>17</v>
      </c>
      <c r="M1748" s="1" t="str">
        <f>TEXT(Table1[[#This Row],[Order Date]],"mmm")</f>
        <v>Feb</v>
      </c>
      <c r="N1748" s="1">
        <f>YEAR(Table1[[#This Row],[Order Date]])</f>
        <v>2023</v>
      </c>
    </row>
    <row r="1749" spans="1:14" x14ac:dyDescent="0.35">
      <c r="A1749" s="1" t="s">
        <v>2498</v>
      </c>
      <c r="B1749" s="1" t="s">
        <v>1760</v>
      </c>
      <c r="C1749" s="1" t="s">
        <v>26</v>
      </c>
      <c r="D1749" s="1" t="s">
        <v>15</v>
      </c>
      <c r="E1749" s="1" t="s">
        <v>16</v>
      </c>
      <c r="F1749" s="1" t="s">
        <v>15</v>
      </c>
      <c r="G1749" s="1">
        <v>8</v>
      </c>
      <c r="H1749" s="1">
        <v>27502</v>
      </c>
      <c r="I1749" s="1">
        <v>0.05</v>
      </c>
      <c r="J1749" s="1">
        <v>209015.2</v>
      </c>
      <c r="K1749" s="1">
        <v>48982.5</v>
      </c>
      <c r="L1749" s="1" t="s">
        <v>45</v>
      </c>
      <c r="M1749" s="1" t="str">
        <f>TEXT(Table1[[#This Row],[Order Date]],"mmm")</f>
        <v>Aug</v>
      </c>
      <c r="N1749" s="1">
        <f>YEAR(Table1[[#This Row],[Order Date]])</f>
        <v>2024</v>
      </c>
    </row>
    <row r="1750" spans="1:14" x14ac:dyDescent="0.35">
      <c r="A1750" s="1" t="s">
        <v>2499</v>
      </c>
      <c r="B1750" s="1" t="s">
        <v>810</v>
      </c>
      <c r="C1750" s="1" t="s">
        <v>227</v>
      </c>
      <c r="D1750" s="1" t="s">
        <v>91</v>
      </c>
      <c r="E1750" s="1" t="s">
        <v>16</v>
      </c>
      <c r="F1750" s="1" t="s">
        <v>91</v>
      </c>
      <c r="G1750" s="1">
        <v>15</v>
      </c>
      <c r="H1750" s="1">
        <v>26636</v>
      </c>
      <c r="I1750" s="1">
        <v>0</v>
      </c>
      <c r="J1750" s="1">
        <v>399540</v>
      </c>
      <c r="K1750" s="1">
        <v>47295.96</v>
      </c>
      <c r="L1750" s="1" t="s">
        <v>70</v>
      </c>
      <c r="M1750" s="1" t="str">
        <f>TEXT(Table1[[#This Row],[Order Date]],"mmm")</f>
        <v>Sep</v>
      </c>
      <c r="N1750" s="1">
        <f>YEAR(Table1[[#This Row],[Order Date]])</f>
        <v>2024</v>
      </c>
    </row>
    <row r="1751" spans="1:14" x14ac:dyDescent="0.35">
      <c r="A1751" s="1" t="s">
        <v>2500</v>
      </c>
      <c r="B1751" s="1" t="s">
        <v>2176</v>
      </c>
      <c r="C1751" s="1" t="s">
        <v>128</v>
      </c>
      <c r="D1751" s="1" t="s">
        <v>95</v>
      </c>
      <c r="E1751" s="1" t="s">
        <v>33</v>
      </c>
      <c r="F1751" s="1" t="s">
        <v>95</v>
      </c>
      <c r="G1751" s="1">
        <v>13</v>
      </c>
      <c r="H1751" s="1">
        <v>6983</v>
      </c>
      <c r="I1751" s="1">
        <v>0.1</v>
      </c>
      <c r="J1751" s="1">
        <v>81701.100000000006</v>
      </c>
      <c r="K1751" s="1">
        <v>16823.189999999999</v>
      </c>
      <c r="L1751" s="1" t="s">
        <v>17</v>
      </c>
      <c r="M1751" s="1" t="str">
        <f>TEXT(Table1[[#This Row],[Order Date]],"mmm")</f>
        <v>Sep</v>
      </c>
      <c r="N1751" s="1">
        <f>YEAR(Table1[[#This Row],[Order Date]])</f>
        <v>2024</v>
      </c>
    </row>
    <row r="1752" spans="1:14" x14ac:dyDescent="0.35">
      <c r="A1752" s="1" t="s">
        <v>2501</v>
      </c>
      <c r="B1752" s="1" t="s">
        <v>1153</v>
      </c>
      <c r="C1752" s="1" t="s">
        <v>158</v>
      </c>
      <c r="D1752" s="1" t="s">
        <v>41</v>
      </c>
      <c r="E1752" s="1" t="s">
        <v>16</v>
      </c>
      <c r="F1752" s="1" t="s">
        <v>41</v>
      </c>
      <c r="G1752" s="1">
        <v>1</v>
      </c>
      <c r="H1752" s="1">
        <v>38342</v>
      </c>
      <c r="I1752" s="1">
        <v>0.1</v>
      </c>
      <c r="J1752" s="1">
        <v>34507.800000000003</v>
      </c>
      <c r="K1752" s="1">
        <v>3694.58</v>
      </c>
      <c r="L1752" s="1" t="s">
        <v>45</v>
      </c>
      <c r="M1752" s="1" t="str">
        <f>TEXT(Table1[[#This Row],[Order Date]],"mmm")</f>
        <v>Feb</v>
      </c>
      <c r="N1752" s="1">
        <f>YEAR(Table1[[#This Row],[Order Date]])</f>
        <v>2024</v>
      </c>
    </row>
    <row r="1753" spans="1:14" x14ac:dyDescent="0.35">
      <c r="A1753" s="1" t="s">
        <v>2502</v>
      </c>
      <c r="B1753" s="1" t="s">
        <v>1261</v>
      </c>
      <c r="C1753" s="1" t="s">
        <v>104</v>
      </c>
      <c r="D1753" s="1" t="s">
        <v>48</v>
      </c>
      <c r="E1753" s="1" t="s">
        <v>16</v>
      </c>
      <c r="F1753" s="1" t="s">
        <v>48</v>
      </c>
      <c r="G1753" s="1">
        <v>2</v>
      </c>
      <c r="H1753" s="1">
        <v>33597</v>
      </c>
      <c r="I1753" s="1">
        <v>0.05</v>
      </c>
      <c r="J1753" s="1">
        <v>63834.3</v>
      </c>
      <c r="K1753" s="1">
        <v>5184.6099999999997</v>
      </c>
      <c r="L1753" s="1" t="s">
        <v>23</v>
      </c>
      <c r="M1753" s="1" t="str">
        <f>TEXT(Table1[[#This Row],[Order Date]],"mmm")</f>
        <v>Jul</v>
      </c>
      <c r="N1753" s="1">
        <f>YEAR(Table1[[#This Row],[Order Date]])</f>
        <v>2023</v>
      </c>
    </row>
    <row r="1754" spans="1:14" x14ac:dyDescent="0.35">
      <c r="A1754" s="1" t="s">
        <v>2503</v>
      </c>
      <c r="B1754" s="1" t="s">
        <v>2154</v>
      </c>
      <c r="C1754" s="1" t="s">
        <v>40</v>
      </c>
      <c r="D1754" s="1" t="s">
        <v>56</v>
      </c>
      <c r="E1754" s="1" t="s">
        <v>22</v>
      </c>
      <c r="F1754" s="1" t="s">
        <v>56</v>
      </c>
      <c r="G1754" s="1">
        <v>12</v>
      </c>
      <c r="H1754" s="1">
        <v>56373</v>
      </c>
      <c r="I1754" s="1">
        <v>0.05</v>
      </c>
      <c r="J1754" s="1">
        <v>642652.19999999995</v>
      </c>
      <c r="K1754" s="1">
        <v>141041.62</v>
      </c>
      <c r="L1754" s="1" t="s">
        <v>70</v>
      </c>
      <c r="M1754" s="1" t="str">
        <f>TEXT(Table1[[#This Row],[Order Date]],"mmm")</f>
        <v>Oct</v>
      </c>
      <c r="N1754" s="1">
        <f>YEAR(Table1[[#This Row],[Order Date]])</f>
        <v>2024</v>
      </c>
    </row>
    <row r="1755" spans="1:14" x14ac:dyDescent="0.35">
      <c r="A1755" s="1" t="s">
        <v>2504</v>
      </c>
      <c r="B1755" s="1" t="s">
        <v>563</v>
      </c>
      <c r="C1755" s="1" t="s">
        <v>94</v>
      </c>
      <c r="D1755" s="1" t="s">
        <v>56</v>
      </c>
      <c r="E1755" s="1" t="s">
        <v>22</v>
      </c>
      <c r="F1755" s="1" t="s">
        <v>56</v>
      </c>
      <c r="G1755" s="1">
        <v>1</v>
      </c>
      <c r="H1755" s="1">
        <v>53477</v>
      </c>
      <c r="I1755" s="1">
        <v>0.05</v>
      </c>
      <c r="J1755" s="1">
        <v>50803.15</v>
      </c>
      <c r="K1755" s="1">
        <v>14136.66</v>
      </c>
      <c r="L1755" s="1" t="s">
        <v>70</v>
      </c>
      <c r="M1755" s="1" t="str">
        <f>TEXT(Table1[[#This Row],[Order Date]],"mmm")</f>
        <v>Jan</v>
      </c>
      <c r="N1755" s="1">
        <f>YEAR(Table1[[#This Row],[Order Date]])</f>
        <v>2023</v>
      </c>
    </row>
    <row r="1756" spans="1:14" x14ac:dyDescent="0.35">
      <c r="A1756" s="1" t="s">
        <v>2505</v>
      </c>
      <c r="B1756" s="1" t="s">
        <v>1886</v>
      </c>
      <c r="C1756" s="1" t="s">
        <v>94</v>
      </c>
      <c r="D1756" s="1" t="s">
        <v>85</v>
      </c>
      <c r="E1756" s="1" t="s">
        <v>28</v>
      </c>
      <c r="F1756" s="1" t="s">
        <v>85</v>
      </c>
      <c r="G1756" s="1">
        <v>8</v>
      </c>
      <c r="H1756" s="1">
        <v>42011</v>
      </c>
      <c r="I1756" s="1">
        <v>0.15</v>
      </c>
      <c r="J1756" s="1">
        <v>285674.8</v>
      </c>
      <c r="K1756" s="1">
        <v>51707.66</v>
      </c>
      <c r="L1756" s="1" t="s">
        <v>70</v>
      </c>
      <c r="M1756" s="1" t="str">
        <f>TEXT(Table1[[#This Row],[Order Date]],"mmm")</f>
        <v>Apr</v>
      </c>
      <c r="N1756" s="1">
        <f>YEAR(Table1[[#This Row],[Order Date]])</f>
        <v>2024</v>
      </c>
    </row>
    <row r="1757" spans="1:14" x14ac:dyDescent="0.35">
      <c r="A1757" s="1" t="s">
        <v>2506</v>
      </c>
      <c r="B1757" s="1" t="s">
        <v>731</v>
      </c>
      <c r="C1757" s="1" t="s">
        <v>188</v>
      </c>
      <c r="D1757" s="1" t="s">
        <v>41</v>
      </c>
      <c r="E1757" s="1" t="s">
        <v>16</v>
      </c>
      <c r="F1757" s="1" t="s">
        <v>41</v>
      </c>
      <c r="G1757" s="1">
        <v>12</v>
      </c>
      <c r="H1757" s="1">
        <v>14911</v>
      </c>
      <c r="I1757" s="1">
        <v>0.15</v>
      </c>
      <c r="J1757" s="1">
        <v>152092.20000000001</v>
      </c>
      <c r="K1757" s="1">
        <v>12364.34</v>
      </c>
      <c r="L1757" s="1" t="s">
        <v>23</v>
      </c>
      <c r="M1757" s="1" t="str">
        <f>TEXT(Table1[[#This Row],[Order Date]],"mmm")</f>
        <v>Mar</v>
      </c>
      <c r="N1757" s="1">
        <f>YEAR(Table1[[#This Row],[Order Date]])</f>
        <v>2023</v>
      </c>
    </row>
    <row r="1758" spans="1:14" x14ac:dyDescent="0.35">
      <c r="A1758" s="1" t="s">
        <v>2507</v>
      </c>
      <c r="B1758" s="1" t="s">
        <v>2059</v>
      </c>
      <c r="C1758" s="1" t="s">
        <v>175</v>
      </c>
      <c r="D1758" s="1" t="s">
        <v>141</v>
      </c>
      <c r="E1758" s="1" t="s">
        <v>22</v>
      </c>
      <c r="F1758" s="1" t="s">
        <v>141</v>
      </c>
      <c r="G1758" s="1">
        <v>11</v>
      </c>
      <c r="H1758" s="1">
        <v>16940</v>
      </c>
      <c r="I1758" s="1">
        <v>0.05</v>
      </c>
      <c r="J1758" s="1">
        <v>177023</v>
      </c>
      <c r="K1758" s="1">
        <v>43401.8</v>
      </c>
      <c r="L1758" s="1" t="s">
        <v>70</v>
      </c>
      <c r="M1758" s="1" t="str">
        <f>TEXT(Table1[[#This Row],[Order Date]],"mmm")</f>
        <v>Nov</v>
      </c>
      <c r="N1758" s="1">
        <f>YEAR(Table1[[#This Row],[Order Date]])</f>
        <v>2023</v>
      </c>
    </row>
    <row r="1759" spans="1:14" x14ac:dyDescent="0.35">
      <c r="A1759" s="1" t="s">
        <v>2508</v>
      </c>
      <c r="B1759" s="1" t="s">
        <v>190</v>
      </c>
      <c r="C1759" s="1" t="s">
        <v>36</v>
      </c>
      <c r="D1759" s="1" t="s">
        <v>74</v>
      </c>
      <c r="E1759" s="1" t="s">
        <v>22</v>
      </c>
      <c r="F1759" s="1" t="s">
        <v>74</v>
      </c>
      <c r="G1759" s="1">
        <v>10</v>
      </c>
      <c r="H1759" s="1">
        <v>6363</v>
      </c>
      <c r="I1759" s="1">
        <v>0.15</v>
      </c>
      <c r="J1759" s="1">
        <v>54085.5</v>
      </c>
      <c r="K1759" s="1">
        <v>10689.23</v>
      </c>
      <c r="L1759" s="1" t="s">
        <v>45</v>
      </c>
      <c r="M1759" s="1" t="str">
        <f>TEXT(Table1[[#This Row],[Order Date]],"mmm")</f>
        <v>Mar</v>
      </c>
      <c r="N1759" s="1">
        <f>YEAR(Table1[[#This Row],[Order Date]])</f>
        <v>2024</v>
      </c>
    </row>
    <row r="1760" spans="1:14" x14ac:dyDescent="0.35">
      <c r="A1760" s="1" t="s">
        <v>2509</v>
      </c>
      <c r="B1760" s="1" t="s">
        <v>223</v>
      </c>
      <c r="C1760" s="1" t="s">
        <v>14</v>
      </c>
      <c r="D1760" s="1" t="s">
        <v>114</v>
      </c>
      <c r="E1760" s="1" t="s">
        <v>16</v>
      </c>
      <c r="F1760" s="1" t="s">
        <v>114</v>
      </c>
      <c r="G1760" s="1">
        <v>5</v>
      </c>
      <c r="H1760" s="1">
        <v>27558</v>
      </c>
      <c r="I1760" s="1">
        <v>0.2</v>
      </c>
      <c r="J1760" s="1">
        <v>110232</v>
      </c>
      <c r="K1760" s="1">
        <v>8899.43</v>
      </c>
      <c r="L1760" s="1" t="s">
        <v>45</v>
      </c>
      <c r="M1760" s="1" t="str">
        <f>TEXT(Table1[[#This Row],[Order Date]],"mmm")</f>
        <v>Jan</v>
      </c>
      <c r="N1760" s="1">
        <f>YEAR(Table1[[#This Row],[Order Date]])</f>
        <v>2024</v>
      </c>
    </row>
    <row r="1761" spans="1:14" x14ac:dyDescent="0.35">
      <c r="A1761" s="1" t="s">
        <v>2510</v>
      </c>
      <c r="B1761" s="1" t="s">
        <v>766</v>
      </c>
      <c r="C1761" s="1" t="s">
        <v>162</v>
      </c>
      <c r="D1761" s="1" t="s">
        <v>41</v>
      </c>
      <c r="E1761" s="1" t="s">
        <v>16</v>
      </c>
      <c r="F1761" s="1" t="s">
        <v>41</v>
      </c>
      <c r="G1761" s="1">
        <v>6</v>
      </c>
      <c r="H1761" s="1">
        <v>25427</v>
      </c>
      <c r="I1761" s="1">
        <v>0.05</v>
      </c>
      <c r="J1761" s="1">
        <v>144933.9</v>
      </c>
      <c r="K1761" s="1">
        <v>37957.31</v>
      </c>
      <c r="L1761" s="1" t="s">
        <v>23</v>
      </c>
      <c r="M1761" s="1" t="str">
        <f>TEXT(Table1[[#This Row],[Order Date]],"mmm")</f>
        <v>Feb</v>
      </c>
      <c r="N1761" s="1">
        <f>YEAR(Table1[[#This Row],[Order Date]])</f>
        <v>2023</v>
      </c>
    </row>
    <row r="1762" spans="1:14" x14ac:dyDescent="0.35">
      <c r="A1762" s="1" t="s">
        <v>2511</v>
      </c>
      <c r="B1762" s="1" t="s">
        <v>2089</v>
      </c>
      <c r="C1762" s="1" t="s">
        <v>63</v>
      </c>
      <c r="D1762" s="1" t="s">
        <v>91</v>
      </c>
      <c r="E1762" s="1" t="s">
        <v>16</v>
      </c>
      <c r="F1762" s="1" t="s">
        <v>91</v>
      </c>
      <c r="G1762" s="1">
        <v>4</v>
      </c>
      <c r="H1762" s="1">
        <v>19692</v>
      </c>
      <c r="I1762" s="1">
        <v>0.2</v>
      </c>
      <c r="J1762" s="1">
        <v>63014.400000000001</v>
      </c>
      <c r="K1762" s="1">
        <v>12569.36</v>
      </c>
      <c r="L1762" s="1" t="s">
        <v>70</v>
      </c>
      <c r="M1762" s="1" t="str">
        <f>TEXT(Table1[[#This Row],[Order Date]],"mmm")</f>
        <v>Nov</v>
      </c>
      <c r="N1762" s="1">
        <f>YEAR(Table1[[#This Row],[Order Date]])</f>
        <v>2024</v>
      </c>
    </row>
    <row r="1763" spans="1:14" x14ac:dyDescent="0.35">
      <c r="A1763" s="1" t="s">
        <v>2512</v>
      </c>
      <c r="B1763" s="1" t="s">
        <v>135</v>
      </c>
      <c r="C1763" s="1" t="s">
        <v>73</v>
      </c>
      <c r="D1763" s="1" t="s">
        <v>95</v>
      </c>
      <c r="E1763" s="1" t="s">
        <v>33</v>
      </c>
      <c r="F1763" s="1" t="s">
        <v>95</v>
      </c>
      <c r="G1763" s="1">
        <v>8</v>
      </c>
      <c r="H1763" s="1">
        <v>57233</v>
      </c>
      <c r="I1763" s="1">
        <v>0.2</v>
      </c>
      <c r="J1763" s="1">
        <v>366291.20000000001</v>
      </c>
      <c r="K1763" s="1">
        <v>57958.63</v>
      </c>
      <c r="L1763" s="1" t="s">
        <v>45</v>
      </c>
      <c r="M1763" s="1" t="str">
        <f>TEXT(Table1[[#This Row],[Order Date]],"mmm")</f>
        <v>Sep</v>
      </c>
      <c r="N1763" s="1">
        <f>YEAR(Table1[[#This Row],[Order Date]])</f>
        <v>2024</v>
      </c>
    </row>
    <row r="1764" spans="1:14" x14ac:dyDescent="0.35">
      <c r="A1764" s="1" t="s">
        <v>2513</v>
      </c>
      <c r="B1764" s="1" t="s">
        <v>1790</v>
      </c>
      <c r="C1764" s="1" t="s">
        <v>63</v>
      </c>
      <c r="D1764" s="1" t="s">
        <v>108</v>
      </c>
      <c r="E1764" s="1" t="s">
        <v>22</v>
      </c>
      <c r="F1764" s="1" t="s">
        <v>108</v>
      </c>
      <c r="G1764" s="1">
        <v>4</v>
      </c>
      <c r="H1764" s="1">
        <v>5442</v>
      </c>
      <c r="I1764" s="1">
        <v>0.05</v>
      </c>
      <c r="J1764" s="1">
        <v>20679.599999999999</v>
      </c>
      <c r="K1764" s="1">
        <v>2983.69</v>
      </c>
      <c r="L1764" s="1" t="s">
        <v>45</v>
      </c>
      <c r="M1764" s="1" t="str">
        <f>TEXT(Table1[[#This Row],[Order Date]],"mmm")</f>
        <v>Jan</v>
      </c>
      <c r="N1764" s="1">
        <f>YEAR(Table1[[#This Row],[Order Date]])</f>
        <v>2023</v>
      </c>
    </row>
    <row r="1765" spans="1:14" x14ac:dyDescent="0.35">
      <c r="A1765" s="1" t="s">
        <v>2514</v>
      </c>
      <c r="B1765" s="1" t="s">
        <v>1059</v>
      </c>
      <c r="C1765" s="1" t="s">
        <v>73</v>
      </c>
      <c r="D1765" s="1" t="s">
        <v>64</v>
      </c>
      <c r="E1765" s="1" t="s">
        <v>33</v>
      </c>
      <c r="F1765" s="1" t="s">
        <v>64</v>
      </c>
      <c r="G1765" s="1">
        <v>10</v>
      </c>
      <c r="H1765" s="1">
        <v>35371</v>
      </c>
      <c r="I1765" s="1">
        <v>0</v>
      </c>
      <c r="J1765" s="1">
        <v>353710</v>
      </c>
      <c r="K1765" s="1">
        <v>53200.07</v>
      </c>
      <c r="L1765" s="1" t="s">
        <v>70</v>
      </c>
      <c r="M1765" s="1" t="str">
        <f>TEXT(Table1[[#This Row],[Order Date]],"mmm")</f>
        <v>Nov</v>
      </c>
      <c r="N1765" s="1">
        <f>YEAR(Table1[[#This Row],[Order Date]])</f>
        <v>2024</v>
      </c>
    </row>
    <row r="1766" spans="1:14" x14ac:dyDescent="0.35">
      <c r="A1766" s="1" t="s">
        <v>2515</v>
      </c>
      <c r="B1766" s="1" t="s">
        <v>719</v>
      </c>
      <c r="C1766" s="1" t="s">
        <v>175</v>
      </c>
      <c r="D1766" s="1" t="s">
        <v>137</v>
      </c>
      <c r="E1766" s="1" t="s">
        <v>22</v>
      </c>
      <c r="F1766" s="1" t="s">
        <v>137</v>
      </c>
      <c r="G1766" s="1">
        <v>2</v>
      </c>
      <c r="H1766" s="1">
        <v>25111</v>
      </c>
      <c r="I1766" s="1">
        <v>0</v>
      </c>
      <c r="J1766" s="1">
        <v>50222</v>
      </c>
      <c r="K1766" s="1">
        <v>6592.39</v>
      </c>
      <c r="L1766" s="1" t="s">
        <v>45</v>
      </c>
      <c r="M1766" s="1" t="str">
        <f>TEXT(Table1[[#This Row],[Order Date]],"mmm")</f>
        <v>Feb</v>
      </c>
      <c r="N1766" s="1">
        <f>YEAR(Table1[[#This Row],[Order Date]])</f>
        <v>2023</v>
      </c>
    </row>
    <row r="1767" spans="1:14" x14ac:dyDescent="0.35">
      <c r="A1767" s="1" t="s">
        <v>2516</v>
      </c>
      <c r="B1767" s="1" t="s">
        <v>728</v>
      </c>
      <c r="C1767" s="1" t="s">
        <v>67</v>
      </c>
      <c r="D1767" s="1" t="s">
        <v>60</v>
      </c>
      <c r="E1767" s="1" t="s">
        <v>33</v>
      </c>
      <c r="F1767" s="1" t="s">
        <v>60</v>
      </c>
      <c r="G1767" s="1">
        <v>10</v>
      </c>
      <c r="H1767" s="1">
        <v>46704</v>
      </c>
      <c r="I1767" s="1">
        <v>0.1</v>
      </c>
      <c r="J1767" s="1">
        <v>420336</v>
      </c>
      <c r="K1767" s="1">
        <v>109052.71</v>
      </c>
      <c r="L1767" s="1" t="s">
        <v>70</v>
      </c>
      <c r="M1767" s="1" t="str">
        <f>TEXT(Table1[[#This Row],[Order Date]],"mmm")</f>
        <v>Oct</v>
      </c>
      <c r="N1767" s="1">
        <f>YEAR(Table1[[#This Row],[Order Date]])</f>
        <v>2023</v>
      </c>
    </row>
    <row r="1768" spans="1:14" x14ac:dyDescent="0.35">
      <c r="A1768" s="1" t="s">
        <v>2517</v>
      </c>
      <c r="B1768" s="1" t="s">
        <v>331</v>
      </c>
      <c r="C1768" s="1" t="s">
        <v>63</v>
      </c>
      <c r="D1768" s="1" t="s">
        <v>151</v>
      </c>
      <c r="E1768" s="1" t="s">
        <v>22</v>
      </c>
      <c r="F1768" s="1" t="s">
        <v>151</v>
      </c>
      <c r="G1768" s="1">
        <v>6</v>
      </c>
      <c r="H1768" s="1">
        <v>47506</v>
      </c>
      <c r="I1768" s="1">
        <v>0</v>
      </c>
      <c r="J1768" s="1">
        <v>285036</v>
      </c>
      <c r="K1768" s="1">
        <v>23791.05</v>
      </c>
      <c r="L1768" s="1" t="s">
        <v>23</v>
      </c>
      <c r="M1768" s="1" t="str">
        <f>TEXT(Table1[[#This Row],[Order Date]],"mmm")</f>
        <v>Oct</v>
      </c>
      <c r="N1768" s="1">
        <f>YEAR(Table1[[#This Row],[Order Date]])</f>
        <v>2024</v>
      </c>
    </row>
    <row r="1769" spans="1:14" x14ac:dyDescent="0.35">
      <c r="A1769" s="1" t="s">
        <v>2518</v>
      </c>
      <c r="B1769" s="1" t="s">
        <v>169</v>
      </c>
      <c r="C1769" s="1" t="s">
        <v>51</v>
      </c>
      <c r="D1769" s="1" t="s">
        <v>32</v>
      </c>
      <c r="E1769" s="1" t="s">
        <v>33</v>
      </c>
      <c r="F1769" s="1" t="s">
        <v>32</v>
      </c>
      <c r="G1769" s="1">
        <v>10</v>
      </c>
      <c r="H1769" s="1">
        <v>29148</v>
      </c>
      <c r="I1769" s="1">
        <v>0.05</v>
      </c>
      <c r="J1769" s="1">
        <v>276906</v>
      </c>
      <c r="K1769" s="1">
        <v>74345.350000000006</v>
      </c>
      <c r="L1769" s="1" t="s">
        <v>17</v>
      </c>
      <c r="M1769" s="1" t="str">
        <f>TEXT(Table1[[#This Row],[Order Date]],"mmm")</f>
        <v>Nov</v>
      </c>
      <c r="N1769" s="1">
        <f>YEAR(Table1[[#This Row],[Order Date]])</f>
        <v>2024</v>
      </c>
    </row>
    <row r="1770" spans="1:14" x14ac:dyDescent="0.35">
      <c r="A1770" s="1" t="s">
        <v>2519</v>
      </c>
      <c r="B1770" s="1" t="s">
        <v>410</v>
      </c>
      <c r="C1770" s="1" t="s">
        <v>208</v>
      </c>
      <c r="D1770" s="1" t="s">
        <v>137</v>
      </c>
      <c r="E1770" s="1" t="s">
        <v>22</v>
      </c>
      <c r="F1770" s="1" t="s">
        <v>137</v>
      </c>
      <c r="G1770" s="1">
        <v>6</v>
      </c>
      <c r="H1770" s="1">
        <v>869</v>
      </c>
      <c r="I1770" s="1">
        <v>0</v>
      </c>
      <c r="J1770" s="1">
        <v>5214</v>
      </c>
      <c r="K1770" s="1">
        <v>901.04</v>
      </c>
      <c r="L1770" s="1" t="s">
        <v>70</v>
      </c>
      <c r="M1770" s="1" t="str">
        <f>TEXT(Table1[[#This Row],[Order Date]],"mmm")</f>
        <v>Sep</v>
      </c>
      <c r="N1770" s="1">
        <f>YEAR(Table1[[#This Row],[Order Date]])</f>
        <v>2024</v>
      </c>
    </row>
    <row r="1771" spans="1:14" x14ac:dyDescent="0.35">
      <c r="A1771" s="1" t="s">
        <v>2520</v>
      </c>
      <c r="B1771" s="1" t="s">
        <v>337</v>
      </c>
      <c r="C1771" s="1" t="s">
        <v>36</v>
      </c>
      <c r="D1771" s="1" t="s">
        <v>167</v>
      </c>
      <c r="E1771" s="1" t="s">
        <v>16</v>
      </c>
      <c r="F1771" s="1" t="s">
        <v>167</v>
      </c>
      <c r="G1771" s="1">
        <v>9</v>
      </c>
      <c r="H1771" s="1">
        <v>5070</v>
      </c>
      <c r="I1771" s="1">
        <v>0.1</v>
      </c>
      <c r="J1771" s="1">
        <v>41067</v>
      </c>
      <c r="K1771" s="1">
        <v>7792.98</v>
      </c>
      <c r="L1771" s="1" t="s">
        <v>17</v>
      </c>
      <c r="M1771" s="1" t="str">
        <f>TEXT(Table1[[#This Row],[Order Date]],"mmm")</f>
        <v>May</v>
      </c>
      <c r="N1771" s="1">
        <f>YEAR(Table1[[#This Row],[Order Date]])</f>
        <v>2024</v>
      </c>
    </row>
    <row r="1772" spans="1:14" x14ac:dyDescent="0.35">
      <c r="A1772" s="1" t="s">
        <v>2521</v>
      </c>
      <c r="B1772" s="1" t="s">
        <v>267</v>
      </c>
      <c r="C1772" s="1" t="s">
        <v>120</v>
      </c>
      <c r="D1772" s="1" t="s">
        <v>133</v>
      </c>
      <c r="E1772" s="1" t="s">
        <v>22</v>
      </c>
      <c r="F1772" s="1" t="s">
        <v>133</v>
      </c>
      <c r="G1772" s="1">
        <v>3</v>
      </c>
      <c r="H1772" s="1">
        <v>4083</v>
      </c>
      <c r="I1772" s="1">
        <v>0.15</v>
      </c>
      <c r="J1772" s="1">
        <v>10411.65</v>
      </c>
      <c r="K1772" s="1">
        <v>2156.2600000000002</v>
      </c>
      <c r="L1772" s="1" t="s">
        <v>70</v>
      </c>
      <c r="M1772" s="1" t="str">
        <f>TEXT(Table1[[#This Row],[Order Date]],"mmm")</f>
        <v>Jun</v>
      </c>
      <c r="N1772" s="1">
        <f>YEAR(Table1[[#This Row],[Order Date]])</f>
        <v>2023</v>
      </c>
    </row>
    <row r="1773" spans="1:14" x14ac:dyDescent="0.35">
      <c r="A1773" s="1" t="s">
        <v>2522</v>
      </c>
      <c r="B1773" s="1" t="s">
        <v>431</v>
      </c>
      <c r="C1773" s="1" t="s">
        <v>104</v>
      </c>
      <c r="D1773" s="1" t="s">
        <v>151</v>
      </c>
      <c r="E1773" s="1" t="s">
        <v>22</v>
      </c>
      <c r="F1773" s="1" t="s">
        <v>151</v>
      </c>
      <c r="G1773" s="1">
        <v>2</v>
      </c>
      <c r="H1773" s="1">
        <v>51940</v>
      </c>
      <c r="I1773" s="1">
        <v>0.2</v>
      </c>
      <c r="J1773" s="1">
        <v>83104</v>
      </c>
      <c r="K1773" s="1">
        <v>21421.360000000001</v>
      </c>
      <c r="L1773" s="1" t="s">
        <v>45</v>
      </c>
      <c r="M1773" s="1" t="str">
        <f>TEXT(Table1[[#This Row],[Order Date]],"mmm")</f>
        <v>Sep</v>
      </c>
      <c r="N1773" s="1">
        <f>YEAR(Table1[[#This Row],[Order Date]])</f>
        <v>2023</v>
      </c>
    </row>
    <row r="1774" spans="1:14" x14ac:dyDescent="0.35">
      <c r="A1774" s="1" t="s">
        <v>2523</v>
      </c>
      <c r="B1774" s="1" t="s">
        <v>530</v>
      </c>
      <c r="C1774" s="1" t="s">
        <v>507</v>
      </c>
      <c r="D1774" s="1" t="s">
        <v>41</v>
      </c>
      <c r="E1774" s="1" t="s">
        <v>16</v>
      </c>
      <c r="F1774" s="1" t="s">
        <v>41</v>
      </c>
      <c r="G1774" s="1">
        <v>2</v>
      </c>
      <c r="H1774" s="1">
        <v>42004</v>
      </c>
      <c r="I1774" s="1">
        <v>0.15</v>
      </c>
      <c r="J1774" s="1">
        <v>71406.8</v>
      </c>
      <c r="K1774" s="1">
        <v>16961</v>
      </c>
      <c r="L1774" s="1" t="s">
        <v>45</v>
      </c>
      <c r="M1774" s="1" t="str">
        <f>TEXT(Table1[[#This Row],[Order Date]],"mmm")</f>
        <v>Jul</v>
      </c>
      <c r="N1774" s="1">
        <f>YEAR(Table1[[#This Row],[Order Date]])</f>
        <v>2024</v>
      </c>
    </row>
    <row r="1775" spans="1:14" x14ac:dyDescent="0.35">
      <c r="A1775" s="1" t="s">
        <v>2524</v>
      </c>
      <c r="B1775" s="1" t="s">
        <v>1389</v>
      </c>
      <c r="C1775" s="1" t="s">
        <v>31</v>
      </c>
      <c r="D1775" s="1" t="s">
        <v>44</v>
      </c>
      <c r="E1775" s="1" t="s">
        <v>28</v>
      </c>
      <c r="F1775" s="1" t="s">
        <v>44</v>
      </c>
      <c r="G1775" s="1">
        <v>4</v>
      </c>
      <c r="H1775" s="1">
        <v>17968</v>
      </c>
      <c r="I1775" s="1">
        <v>0.05</v>
      </c>
      <c r="J1775" s="1">
        <v>68278.399999999994</v>
      </c>
      <c r="K1775" s="1">
        <v>10783.54</v>
      </c>
      <c r="L1775" s="1" t="s">
        <v>23</v>
      </c>
      <c r="M1775" s="1" t="str">
        <f>TEXT(Table1[[#This Row],[Order Date]],"mmm")</f>
        <v>Apr</v>
      </c>
      <c r="N1775" s="1">
        <f>YEAR(Table1[[#This Row],[Order Date]])</f>
        <v>2023</v>
      </c>
    </row>
    <row r="1776" spans="1:14" x14ac:dyDescent="0.35">
      <c r="A1776" s="1" t="s">
        <v>2525</v>
      </c>
      <c r="B1776" s="1" t="s">
        <v>679</v>
      </c>
      <c r="C1776" s="1" t="s">
        <v>188</v>
      </c>
      <c r="D1776" s="1" t="s">
        <v>48</v>
      </c>
      <c r="E1776" s="1" t="s">
        <v>16</v>
      </c>
      <c r="F1776" s="1" t="s">
        <v>48</v>
      </c>
      <c r="G1776" s="1">
        <v>9</v>
      </c>
      <c r="H1776" s="1">
        <v>44576</v>
      </c>
      <c r="I1776" s="1">
        <v>0</v>
      </c>
      <c r="J1776" s="1">
        <v>401184</v>
      </c>
      <c r="K1776" s="1">
        <v>52966.1</v>
      </c>
      <c r="L1776" s="1" t="s">
        <v>17</v>
      </c>
      <c r="M1776" s="1" t="str">
        <f>TEXT(Table1[[#This Row],[Order Date]],"mmm")</f>
        <v>Jul</v>
      </c>
      <c r="N1776" s="1">
        <f>YEAR(Table1[[#This Row],[Order Date]])</f>
        <v>2023</v>
      </c>
    </row>
    <row r="1777" spans="1:14" x14ac:dyDescent="0.35">
      <c r="A1777" s="1" t="s">
        <v>2526</v>
      </c>
      <c r="B1777" s="1" t="s">
        <v>1212</v>
      </c>
      <c r="C1777" s="1" t="s">
        <v>20</v>
      </c>
      <c r="D1777" s="1" t="s">
        <v>114</v>
      </c>
      <c r="E1777" s="1" t="s">
        <v>16</v>
      </c>
      <c r="F1777" s="1" t="s">
        <v>114</v>
      </c>
      <c r="G1777" s="1">
        <v>15</v>
      </c>
      <c r="H1777" s="1">
        <v>4668</v>
      </c>
      <c r="I1777" s="1">
        <v>0.15</v>
      </c>
      <c r="J1777" s="1">
        <v>59517</v>
      </c>
      <c r="K1777" s="1">
        <v>17019.09</v>
      </c>
      <c r="L1777" s="1" t="s">
        <v>70</v>
      </c>
      <c r="M1777" s="1" t="str">
        <f>TEXT(Table1[[#This Row],[Order Date]],"mmm")</f>
        <v>Dec</v>
      </c>
      <c r="N1777" s="1">
        <f>YEAR(Table1[[#This Row],[Order Date]])</f>
        <v>2023</v>
      </c>
    </row>
    <row r="1778" spans="1:14" x14ac:dyDescent="0.35">
      <c r="A1778" s="1" t="s">
        <v>2527</v>
      </c>
      <c r="B1778" s="1" t="s">
        <v>1333</v>
      </c>
      <c r="C1778" s="1" t="s">
        <v>117</v>
      </c>
      <c r="D1778" s="1" t="s">
        <v>52</v>
      </c>
      <c r="E1778" s="1" t="s">
        <v>28</v>
      </c>
      <c r="F1778" s="1" t="s">
        <v>52</v>
      </c>
      <c r="G1778" s="1">
        <v>11</v>
      </c>
      <c r="H1778" s="1">
        <v>59534</v>
      </c>
      <c r="I1778" s="1">
        <v>0</v>
      </c>
      <c r="J1778" s="1">
        <v>654874</v>
      </c>
      <c r="K1778" s="1">
        <v>170523.51</v>
      </c>
      <c r="L1778" s="1" t="s">
        <v>23</v>
      </c>
      <c r="M1778" s="1" t="str">
        <f>TEXT(Table1[[#This Row],[Order Date]],"mmm")</f>
        <v>Jan</v>
      </c>
      <c r="N1778" s="1">
        <f>YEAR(Table1[[#This Row],[Order Date]])</f>
        <v>2024</v>
      </c>
    </row>
    <row r="1779" spans="1:14" x14ac:dyDescent="0.35">
      <c r="A1779" s="1" t="s">
        <v>2528</v>
      </c>
      <c r="B1779" s="1" t="s">
        <v>76</v>
      </c>
      <c r="C1779" s="1" t="s">
        <v>640</v>
      </c>
      <c r="D1779" s="1" t="s">
        <v>44</v>
      </c>
      <c r="E1779" s="1" t="s">
        <v>28</v>
      </c>
      <c r="F1779" s="1" t="s">
        <v>44</v>
      </c>
      <c r="G1779" s="1">
        <v>12</v>
      </c>
      <c r="H1779" s="1">
        <v>59239</v>
      </c>
      <c r="I1779" s="1">
        <v>0.1</v>
      </c>
      <c r="J1779" s="1">
        <v>639781.19999999995</v>
      </c>
      <c r="K1779" s="1">
        <v>107203.88</v>
      </c>
      <c r="L1779" s="1" t="s">
        <v>45</v>
      </c>
      <c r="M1779" s="1" t="str">
        <f>TEXT(Table1[[#This Row],[Order Date]],"mmm")</f>
        <v>Sep</v>
      </c>
      <c r="N1779" s="1">
        <f>YEAR(Table1[[#This Row],[Order Date]])</f>
        <v>2024</v>
      </c>
    </row>
    <row r="1780" spans="1:14" x14ac:dyDescent="0.35">
      <c r="A1780" s="1" t="s">
        <v>2529</v>
      </c>
      <c r="B1780" s="1" t="s">
        <v>278</v>
      </c>
      <c r="C1780" s="1" t="s">
        <v>63</v>
      </c>
      <c r="D1780" s="1" t="s">
        <v>78</v>
      </c>
      <c r="E1780" s="1" t="s">
        <v>28</v>
      </c>
      <c r="F1780" s="1" t="s">
        <v>78</v>
      </c>
      <c r="G1780" s="1">
        <v>6</v>
      </c>
      <c r="H1780" s="1">
        <v>45849</v>
      </c>
      <c r="I1780" s="1">
        <v>0.2</v>
      </c>
      <c r="J1780" s="1">
        <v>220075.2</v>
      </c>
      <c r="K1780" s="1">
        <v>19915.52</v>
      </c>
      <c r="L1780" s="1" t="s">
        <v>70</v>
      </c>
      <c r="M1780" s="1" t="str">
        <f>TEXT(Table1[[#This Row],[Order Date]],"mmm")</f>
        <v>May</v>
      </c>
      <c r="N1780" s="1">
        <f>YEAR(Table1[[#This Row],[Order Date]])</f>
        <v>2024</v>
      </c>
    </row>
    <row r="1781" spans="1:14" x14ac:dyDescent="0.35">
      <c r="A1781" s="1" t="s">
        <v>2530</v>
      </c>
      <c r="B1781" s="1" t="s">
        <v>1559</v>
      </c>
      <c r="C1781" s="1" t="s">
        <v>77</v>
      </c>
      <c r="D1781" s="1" t="s">
        <v>74</v>
      </c>
      <c r="E1781" s="1" t="s">
        <v>22</v>
      </c>
      <c r="F1781" s="1" t="s">
        <v>74</v>
      </c>
      <c r="G1781" s="1">
        <v>12</v>
      </c>
      <c r="H1781" s="1">
        <v>28331</v>
      </c>
      <c r="I1781" s="1">
        <v>0.15</v>
      </c>
      <c r="J1781" s="1">
        <v>288976.2</v>
      </c>
      <c r="K1781" s="1">
        <v>39236.26</v>
      </c>
      <c r="L1781" s="1" t="s">
        <v>70</v>
      </c>
      <c r="M1781" s="1" t="str">
        <f>TEXT(Table1[[#This Row],[Order Date]],"mmm")</f>
        <v>Jan</v>
      </c>
      <c r="N1781" s="1">
        <f>YEAR(Table1[[#This Row],[Order Date]])</f>
        <v>2023</v>
      </c>
    </row>
    <row r="1782" spans="1:14" x14ac:dyDescent="0.35">
      <c r="A1782" s="1" t="s">
        <v>2531</v>
      </c>
      <c r="B1782" s="1" t="s">
        <v>157</v>
      </c>
      <c r="C1782" s="1" t="s">
        <v>332</v>
      </c>
      <c r="D1782" s="1" t="s">
        <v>56</v>
      </c>
      <c r="E1782" s="1" t="s">
        <v>22</v>
      </c>
      <c r="F1782" s="1" t="s">
        <v>56</v>
      </c>
      <c r="G1782" s="1">
        <v>5</v>
      </c>
      <c r="H1782" s="1">
        <v>34367</v>
      </c>
      <c r="I1782" s="1">
        <v>0.15</v>
      </c>
      <c r="J1782" s="1">
        <v>146059.75</v>
      </c>
      <c r="K1782" s="1">
        <v>25931.41</v>
      </c>
      <c r="L1782" s="1" t="s">
        <v>17</v>
      </c>
      <c r="M1782" s="1" t="str">
        <f>TEXT(Table1[[#This Row],[Order Date]],"mmm")</f>
        <v>Jan</v>
      </c>
      <c r="N1782" s="1">
        <f>YEAR(Table1[[#This Row],[Order Date]])</f>
        <v>2024</v>
      </c>
    </row>
    <row r="1783" spans="1:14" x14ac:dyDescent="0.35">
      <c r="A1783" s="1" t="s">
        <v>2532</v>
      </c>
      <c r="B1783" s="1" t="s">
        <v>547</v>
      </c>
      <c r="C1783" s="1" t="s">
        <v>94</v>
      </c>
      <c r="D1783" s="1" t="s">
        <v>78</v>
      </c>
      <c r="E1783" s="1" t="s">
        <v>28</v>
      </c>
      <c r="F1783" s="1" t="s">
        <v>78</v>
      </c>
      <c r="G1783" s="1">
        <v>10</v>
      </c>
      <c r="H1783" s="1">
        <v>37700</v>
      </c>
      <c r="I1783" s="1">
        <v>0.1</v>
      </c>
      <c r="J1783" s="1">
        <v>339300</v>
      </c>
      <c r="K1783" s="1">
        <v>70595.899999999994</v>
      </c>
      <c r="L1783" s="1" t="s">
        <v>17</v>
      </c>
      <c r="M1783" s="1" t="str">
        <f>TEXT(Table1[[#This Row],[Order Date]],"mmm")</f>
        <v>Nov</v>
      </c>
      <c r="N1783" s="1">
        <f>YEAR(Table1[[#This Row],[Order Date]])</f>
        <v>2023</v>
      </c>
    </row>
    <row r="1784" spans="1:14" x14ac:dyDescent="0.35">
      <c r="A1784" s="1" t="s">
        <v>2533</v>
      </c>
      <c r="B1784" s="1" t="s">
        <v>1729</v>
      </c>
      <c r="C1784" s="1" t="s">
        <v>227</v>
      </c>
      <c r="D1784" s="1" t="s">
        <v>151</v>
      </c>
      <c r="E1784" s="1" t="s">
        <v>22</v>
      </c>
      <c r="F1784" s="1" t="s">
        <v>151</v>
      </c>
      <c r="G1784" s="1">
        <v>2</v>
      </c>
      <c r="H1784" s="1">
        <v>52979</v>
      </c>
      <c r="I1784" s="1">
        <v>0.15</v>
      </c>
      <c r="J1784" s="1">
        <v>90064.3</v>
      </c>
      <c r="K1784" s="1">
        <v>13805.51</v>
      </c>
      <c r="L1784" s="1" t="s">
        <v>17</v>
      </c>
      <c r="M1784" s="1" t="str">
        <f>TEXT(Table1[[#This Row],[Order Date]],"mmm")</f>
        <v>Jul</v>
      </c>
      <c r="N1784" s="1">
        <f>YEAR(Table1[[#This Row],[Order Date]])</f>
        <v>2024</v>
      </c>
    </row>
    <row r="1785" spans="1:14" x14ac:dyDescent="0.35">
      <c r="A1785" s="1" t="s">
        <v>2534</v>
      </c>
      <c r="B1785" s="1" t="s">
        <v>823</v>
      </c>
      <c r="C1785" s="1" t="s">
        <v>136</v>
      </c>
      <c r="D1785" s="1" t="s">
        <v>151</v>
      </c>
      <c r="E1785" s="1" t="s">
        <v>22</v>
      </c>
      <c r="F1785" s="1" t="s">
        <v>151</v>
      </c>
      <c r="G1785" s="1">
        <v>1</v>
      </c>
      <c r="H1785" s="1">
        <v>54882</v>
      </c>
      <c r="I1785" s="1">
        <v>0</v>
      </c>
      <c r="J1785" s="1">
        <v>54882</v>
      </c>
      <c r="K1785" s="1">
        <v>15290.11</v>
      </c>
      <c r="L1785" s="1" t="s">
        <v>45</v>
      </c>
      <c r="M1785" s="1" t="str">
        <f>TEXT(Table1[[#This Row],[Order Date]],"mmm")</f>
        <v>Jul</v>
      </c>
      <c r="N1785" s="1">
        <f>YEAR(Table1[[#This Row],[Order Date]])</f>
        <v>2024</v>
      </c>
    </row>
    <row r="1786" spans="1:14" x14ac:dyDescent="0.35">
      <c r="A1786" s="1" t="s">
        <v>2535</v>
      </c>
      <c r="B1786" s="1" t="s">
        <v>2254</v>
      </c>
      <c r="C1786" s="1" t="s">
        <v>146</v>
      </c>
      <c r="D1786" s="1" t="s">
        <v>323</v>
      </c>
      <c r="E1786" s="1" t="s">
        <v>33</v>
      </c>
      <c r="F1786" s="1" t="s">
        <v>323</v>
      </c>
      <c r="G1786" s="1">
        <v>14</v>
      </c>
      <c r="H1786" s="1">
        <v>54629</v>
      </c>
      <c r="I1786" s="1">
        <v>0.05</v>
      </c>
      <c r="J1786" s="1">
        <v>726565.7</v>
      </c>
      <c r="K1786" s="1">
        <v>58195.88</v>
      </c>
      <c r="L1786" s="1" t="s">
        <v>45</v>
      </c>
      <c r="M1786" s="1" t="str">
        <f>TEXT(Table1[[#This Row],[Order Date]],"mmm")</f>
        <v>May</v>
      </c>
      <c r="N1786" s="1">
        <f>YEAR(Table1[[#This Row],[Order Date]])</f>
        <v>2024</v>
      </c>
    </row>
    <row r="1787" spans="1:14" x14ac:dyDescent="0.35">
      <c r="A1787" s="1" t="s">
        <v>2536</v>
      </c>
      <c r="B1787" s="1" t="s">
        <v>2092</v>
      </c>
      <c r="C1787" s="1" t="s">
        <v>640</v>
      </c>
      <c r="D1787" s="1" t="s">
        <v>48</v>
      </c>
      <c r="E1787" s="1" t="s">
        <v>16</v>
      </c>
      <c r="F1787" s="1" t="s">
        <v>48</v>
      </c>
      <c r="G1787" s="1">
        <v>15</v>
      </c>
      <c r="H1787" s="1">
        <v>53865</v>
      </c>
      <c r="I1787" s="1">
        <v>0.1</v>
      </c>
      <c r="J1787" s="1">
        <v>727177.5</v>
      </c>
      <c r="K1787" s="1">
        <v>85726.57</v>
      </c>
      <c r="L1787" s="1" t="s">
        <v>45</v>
      </c>
      <c r="M1787" s="1" t="str">
        <f>TEXT(Table1[[#This Row],[Order Date]],"mmm")</f>
        <v>Feb</v>
      </c>
      <c r="N1787" s="1">
        <f>YEAR(Table1[[#This Row],[Order Date]])</f>
        <v>2024</v>
      </c>
    </row>
    <row r="1788" spans="1:14" x14ac:dyDescent="0.35">
      <c r="A1788" s="1" t="s">
        <v>2537</v>
      </c>
      <c r="B1788" s="1" t="s">
        <v>234</v>
      </c>
      <c r="C1788" s="1" t="s">
        <v>640</v>
      </c>
      <c r="D1788" s="1" t="s">
        <v>85</v>
      </c>
      <c r="E1788" s="1" t="s">
        <v>28</v>
      </c>
      <c r="F1788" s="1" t="s">
        <v>85</v>
      </c>
      <c r="G1788" s="1">
        <v>10</v>
      </c>
      <c r="H1788" s="1">
        <v>8346</v>
      </c>
      <c r="I1788" s="1">
        <v>0</v>
      </c>
      <c r="J1788" s="1">
        <v>83460</v>
      </c>
      <c r="K1788" s="1">
        <v>10630.09</v>
      </c>
      <c r="L1788" s="1" t="s">
        <v>23</v>
      </c>
      <c r="M1788" s="1" t="str">
        <f>TEXT(Table1[[#This Row],[Order Date]],"mmm")</f>
        <v>May</v>
      </c>
      <c r="N1788" s="1">
        <f>YEAR(Table1[[#This Row],[Order Date]])</f>
        <v>2024</v>
      </c>
    </row>
    <row r="1789" spans="1:14" x14ac:dyDescent="0.35">
      <c r="A1789" s="1" t="s">
        <v>2538</v>
      </c>
      <c r="B1789" s="1" t="s">
        <v>2000</v>
      </c>
      <c r="C1789" s="1" t="s">
        <v>111</v>
      </c>
      <c r="D1789" s="1" t="s">
        <v>64</v>
      </c>
      <c r="E1789" s="1" t="s">
        <v>33</v>
      </c>
      <c r="F1789" s="1" t="s">
        <v>64</v>
      </c>
      <c r="G1789" s="1">
        <v>3</v>
      </c>
      <c r="H1789" s="1">
        <v>8120</v>
      </c>
      <c r="I1789" s="1">
        <v>0.15</v>
      </c>
      <c r="J1789" s="1">
        <v>20706</v>
      </c>
      <c r="K1789" s="1">
        <v>2590.0300000000002</v>
      </c>
      <c r="L1789" s="1" t="s">
        <v>70</v>
      </c>
      <c r="M1789" s="1" t="str">
        <f>TEXT(Table1[[#This Row],[Order Date]],"mmm")</f>
        <v>Sep</v>
      </c>
      <c r="N1789" s="1">
        <f>YEAR(Table1[[#This Row],[Order Date]])</f>
        <v>2024</v>
      </c>
    </row>
    <row r="1790" spans="1:14" x14ac:dyDescent="0.35">
      <c r="A1790" s="1" t="s">
        <v>2539</v>
      </c>
      <c r="B1790" s="1" t="s">
        <v>1909</v>
      </c>
      <c r="C1790" s="1" t="s">
        <v>63</v>
      </c>
      <c r="D1790" s="1" t="s">
        <v>137</v>
      </c>
      <c r="E1790" s="1" t="s">
        <v>22</v>
      </c>
      <c r="F1790" s="1" t="s">
        <v>137</v>
      </c>
      <c r="G1790" s="1">
        <v>3</v>
      </c>
      <c r="H1790" s="1">
        <v>11965</v>
      </c>
      <c r="I1790" s="1">
        <v>0.2</v>
      </c>
      <c r="J1790" s="1">
        <v>28716</v>
      </c>
      <c r="K1790" s="1">
        <v>2493.14</v>
      </c>
      <c r="L1790" s="1" t="s">
        <v>70</v>
      </c>
      <c r="M1790" s="1" t="str">
        <f>TEXT(Table1[[#This Row],[Order Date]],"mmm")</f>
        <v>Jun</v>
      </c>
      <c r="N1790" s="1">
        <f>YEAR(Table1[[#This Row],[Order Date]])</f>
        <v>2024</v>
      </c>
    </row>
    <row r="1791" spans="1:14" x14ac:dyDescent="0.35">
      <c r="A1791" s="1" t="s">
        <v>2540</v>
      </c>
      <c r="B1791" s="1" t="s">
        <v>705</v>
      </c>
      <c r="C1791" s="1" t="s">
        <v>188</v>
      </c>
      <c r="D1791" s="1" t="s">
        <v>21</v>
      </c>
      <c r="E1791" s="1" t="s">
        <v>22</v>
      </c>
      <c r="F1791" s="1" t="s">
        <v>21</v>
      </c>
      <c r="G1791" s="1">
        <v>5</v>
      </c>
      <c r="H1791" s="1">
        <v>42806</v>
      </c>
      <c r="I1791" s="1">
        <v>0.15</v>
      </c>
      <c r="J1791" s="1">
        <v>181925.5</v>
      </c>
      <c r="K1791" s="1">
        <v>15861.4</v>
      </c>
      <c r="L1791" s="1" t="s">
        <v>45</v>
      </c>
      <c r="M1791" s="1" t="str">
        <f>TEXT(Table1[[#This Row],[Order Date]],"mmm")</f>
        <v>May</v>
      </c>
      <c r="N1791" s="1">
        <f>YEAR(Table1[[#This Row],[Order Date]])</f>
        <v>2024</v>
      </c>
    </row>
    <row r="1792" spans="1:14" x14ac:dyDescent="0.35">
      <c r="A1792" s="1" t="s">
        <v>2541</v>
      </c>
      <c r="B1792" s="1" t="s">
        <v>1568</v>
      </c>
      <c r="C1792" s="1" t="s">
        <v>178</v>
      </c>
      <c r="D1792" s="1" t="s">
        <v>85</v>
      </c>
      <c r="E1792" s="1" t="s">
        <v>28</v>
      </c>
      <c r="F1792" s="1" t="s">
        <v>85</v>
      </c>
      <c r="G1792" s="1">
        <v>15</v>
      </c>
      <c r="H1792" s="1">
        <v>23727</v>
      </c>
      <c r="I1792" s="1">
        <v>0.2</v>
      </c>
      <c r="J1792" s="1">
        <v>284724</v>
      </c>
      <c r="K1792" s="1">
        <v>30652.36</v>
      </c>
      <c r="L1792" s="1" t="s">
        <v>45</v>
      </c>
      <c r="M1792" s="1" t="str">
        <f>TEXT(Table1[[#This Row],[Order Date]],"mmm")</f>
        <v>Feb</v>
      </c>
      <c r="N1792" s="1">
        <f>YEAR(Table1[[#This Row],[Order Date]])</f>
        <v>2024</v>
      </c>
    </row>
    <row r="1793" spans="1:14" x14ac:dyDescent="0.35">
      <c r="A1793" s="1" t="s">
        <v>2542</v>
      </c>
      <c r="B1793" s="1" t="s">
        <v>1732</v>
      </c>
      <c r="C1793" s="1" t="s">
        <v>104</v>
      </c>
      <c r="D1793" s="1" t="s">
        <v>91</v>
      </c>
      <c r="E1793" s="1" t="s">
        <v>16</v>
      </c>
      <c r="F1793" s="1" t="s">
        <v>91</v>
      </c>
      <c r="G1793" s="1">
        <v>10</v>
      </c>
      <c r="H1793" s="1">
        <v>54930</v>
      </c>
      <c r="I1793" s="1">
        <v>0.2</v>
      </c>
      <c r="J1793" s="1">
        <v>439440</v>
      </c>
      <c r="K1793" s="1">
        <v>99382.21</v>
      </c>
      <c r="L1793" s="1" t="s">
        <v>45</v>
      </c>
      <c r="M1793" s="1" t="str">
        <f>TEXT(Table1[[#This Row],[Order Date]],"mmm")</f>
        <v>Mar</v>
      </c>
      <c r="N1793" s="1">
        <f>YEAR(Table1[[#This Row],[Order Date]])</f>
        <v>2023</v>
      </c>
    </row>
    <row r="1794" spans="1:14" x14ac:dyDescent="0.35">
      <c r="A1794" s="1" t="s">
        <v>2543</v>
      </c>
      <c r="B1794" s="1" t="s">
        <v>2345</v>
      </c>
      <c r="C1794" s="1" t="s">
        <v>208</v>
      </c>
      <c r="D1794" s="1" t="s">
        <v>37</v>
      </c>
      <c r="E1794" s="1" t="s">
        <v>16</v>
      </c>
      <c r="F1794" s="1" t="s">
        <v>37</v>
      </c>
      <c r="G1794" s="1">
        <v>10</v>
      </c>
      <c r="H1794" s="1">
        <v>34385</v>
      </c>
      <c r="I1794" s="1">
        <v>0.1</v>
      </c>
      <c r="J1794" s="1">
        <v>309465</v>
      </c>
      <c r="K1794" s="1">
        <v>77334.11</v>
      </c>
      <c r="L1794" s="1" t="s">
        <v>17</v>
      </c>
      <c r="M1794" s="1" t="str">
        <f>TEXT(Table1[[#This Row],[Order Date]],"mmm")</f>
        <v>Oct</v>
      </c>
      <c r="N1794" s="1">
        <f>YEAR(Table1[[#This Row],[Order Date]])</f>
        <v>2023</v>
      </c>
    </row>
    <row r="1795" spans="1:14" x14ac:dyDescent="0.35">
      <c r="A1795" s="1" t="s">
        <v>2544</v>
      </c>
      <c r="B1795" s="1" t="s">
        <v>520</v>
      </c>
      <c r="C1795" s="1" t="s">
        <v>208</v>
      </c>
      <c r="D1795" s="1" t="s">
        <v>108</v>
      </c>
      <c r="E1795" s="1" t="s">
        <v>22</v>
      </c>
      <c r="F1795" s="1" t="s">
        <v>108</v>
      </c>
      <c r="G1795" s="1">
        <v>10</v>
      </c>
      <c r="H1795" s="1">
        <v>14075</v>
      </c>
      <c r="I1795" s="1">
        <v>0.1</v>
      </c>
      <c r="J1795" s="1">
        <v>126675</v>
      </c>
      <c r="K1795" s="1">
        <v>33384.160000000003</v>
      </c>
      <c r="L1795" s="1" t="s">
        <v>70</v>
      </c>
      <c r="M1795" s="1" t="str">
        <f>TEXT(Table1[[#This Row],[Order Date]],"mmm")</f>
        <v>Mar</v>
      </c>
      <c r="N1795" s="1">
        <f>YEAR(Table1[[#This Row],[Order Date]])</f>
        <v>2023</v>
      </c>
    </row>
    <row r="1796" spans="1:14" x14ac:dyDescent="0.35">
      <c r="A1796" s="1" t="s">
        <v>2545</v>
      </c>
      <c r="B1796" s="1" t="s">
        <v>1220</v>
      </c>
      <c r="C1796" s="1" t="s">
        <v>20</v>
      </c>
      <c r="D1796" s="1" t="s">
        <v>224</v>
      </c>
      <c r="E1796" s="1" t="s">
        <v>33</v>
      </c>
      <c r="F1796" s="1" t="s">
        <v>224</v>
      </c>
      <c r="G1796" s="1">
        <v>7</v>
      </c>
      <c r="H1796" s="1">
        <v>9210</v>
      </c>
      <c r="I1796" s="1">
        <v>0.1</v>
      </c>
      <c r="J1796" s="1">
        <v>58023</v>
      </c>
      <c r="K1796" s="1">
        <v>9745.64</v>
      </c>
      <c r="L1796" s="1" t="s">
        <v>17</v>
      </c>
      <c r="M1796" s="1" t="str">
        <f>TEXT(Table1[[#This Row],[Order Date]],"mmm")</f>
        <v>Oct</v>
      </c>
      <c r="N1796" s="1">
        <f>YEAR(Table1[[#This Row],[Order Date]])</f>
        <v>2024</v>
      </c>
    </row>
    <row r="1797" spans="1:14" x14ac:dyDescent="0.35">
      <c r="A1797" s="1" t="s">
        <v>2546</v>
      </c>
      <c r="B1797" s="1" t="s">
        <v>859</v>
      </c>
      <c r="C1797" s="1" t="s">
        <v>155</v>
      </c>
      <c r="D1797" s="1" t="s">
        <v>108</v>
      </c>
      <c r="E1797" s="1" t="s">
        <v>22</v>
      </c>
      <c r="F1797" s="1" t="s">
        <v>108</v>
      </c>
      <c r="G1797" s="1">
        <v>4</v>
      </c>
      <c r="H1797" s="1">
        <v>30536</v>
      </c>
      <c r="I1797" s="1">
        <v>0.15</v>
      </c>
      <c r="J1797" s="1">
        <v>103822.39999999999</v>
      </c>
      <c r="K1797" s="1">
        <v>26402.49</v>
      </c>
      <c r="L1797" s="1" t="s">
        <v>45</v>
      </c>
      <c r="M1797" s="1" t="str">
        <f>TEXT(Table1[[#This Row],[Order Date]],"mmm")</f>
        <v>Mar</v>
      </c>
      <c r="N1797" s="1">
        <f>YEAR(Table1[[#This Row],[Order Date]])</f>
        <v>2023</v>
      </c>
    </row>
    <row r="1798" spans="1:14" x14ac:dyDescent="0.35">
      <c r="A1798" s="1" t="s">
        <v>2547</v>
      </c>
      <c r="B1798" s="1" t="s">
        <v>1326</v>
      </c>
      <c r="C1798" s="1" t="s">
        <v>98</v>
      </c>
      <c r="D1798" s="1" t="s">
        <v>44</v>
      </c>
      <c r="E1798" s="1" t="s">
        <v>28</v>
      </c>
      <c r="F1798" s="1" t="s">
        <v>44</v>
      </c>
      <c r="G1798" s="1">
        <v>8</v>
      </c>
      <c r="H1798" s="1">
        <v>13409</v>
      </c>
      <c r="I1798" s="1">
        <v>0.05</v>
      </c>
      <c r="J1798" s="1">
        <v>101908.4</v>
      </c>
      <c r="K1798" s="1">
        <v>21542.5</v>
      </c>
      <c r="L1798" s="1" t="s">
        <v>70</v>
      </c>
      <c r="M1798" s="1" t="str">
        <f>TEXT(Table1[[#This Row],[Order Date]],"mmm")</f>
        <v>Dec</v>
      </c>
      <c r="N1798" s="1">
        <f>YEAR(Table1[[#This Row],[Order Date]])</f>
        <v>2023</v>
      </c>
    </row>
    <row r="1799" spans="1:14" x14ac:dyDescent="0.35">
      <c r="A1799" s="1" t="s">
        <v>2548</v>
      </c>
      <c r="B1799" s="1" t="s">
        <v>497</v>
      </c>
      <c r="C1799" s="1" t="s">
        <v>158</v>
      </c>
      <c r="D1799" s="1" t="s">
        <v>133</v>
      </c>
      <c r="E1799" s="1" t="s">
        <v>22</v>
      </c>
      <c r="F1799" s="1" t="s">
        <v>133</v>
      </c>
      <c r="G1799" s="1">
        <v>8</v>
      </c>
      <c r="H1799" s="1">
        <v>38039</v>
      </c>
      <c r="I1799" s="1">
        <v>0</v>
      </c>
      <c r="J1799" s="1">
        <v>304312</v>
      </c>
      <c r="K1799" s="1">
        <v>42259.22</v>
      </c>
      <c r="L1799" s="1" t="s">
        <v>17</v>
      </c>
      <c r="M1799" s="1" t="str">
        <f>TEXT(Table1[[#This Row],[Order Date]],"mmm")</f>
        <v>Jul</v>
      </c>
      <c r="N1799" s="1">
        <f>YEAR(Table1[[#This Row],[Order Date]])</f>
        <v>2024</v>
      </c>
    </row>
    <row r="1800" spans="1:14" x14ac:dyDescent="0.35">
      <c r="A1800" s="1" t="s">
        <v>2549</v>
      </c>
      <c r="B1800" s="1" t="s">
        <v>1391</v>
      </c>
      <c r="C1800" s="1" t="s">
        <v>170</v>
      </c>
      <c r="D1800" s="1" t="s">
        <v>179</v>
      </c>
      <c r="E1800" s="1" t="s">
        <v>28</v>
      </c>
      <c r="F1800" s="1" t="s">
        <v>179</v>
      </c>
      <c r="G1800" s="1">
        <v>13</v>
      </c>
      <c r="H1800" s="1">
        <v>51447</v>
      </c>
      <c r="I1800" s="1">
        <v>0.15</v>
      </c>
      <c r="J1800" s="1">
        <v>568489.35</v>
      </c>
      <c r="K1800" s="1">
        <v>161228.06</v>
      </c>
      <c r="L1800" s="1" t="s">
        <v>70</v>
      </c>
      <c r="M1800" s="1" t="str">
        <f>TEXT(Table1[[#This Row],[Order Date]],"mmm")</f>
        <v>Sep</v>
      </c>
      <c r="N1800" s="1">
        <f>YEAR(Table1[[#This Row],[Order Date]])</f>
        <v>2023</v>
      </c>
    </row>
    <row r="1801" spans="1:14" x14ac:dyDescent="0.35">
      <c r="A1801" s="1" t="s">
        <v>2550</v>
      </c>
      <c r="B1801" s="1" t="s">
        <v>565</v>
      </c>
      <c r="C1801" s="1" t="s">
        <v>191</v>
      </c>
      <c r="D1801" s="1" t="s">
        <v>179</v>
      </c>
      <c r="E1801" s="1" t="s">
        <v>28</v>
      </c>
      <c r="F1801" s="1" t="s">
        <v>179</v>
      </c>
      <c r="G1801" s="1">
        <v>3</v>
      </c>
      <c r="H1801" s="1">
        <v>29625</v>
      </c>
      <c r="I1801" s="1">
        <v>0.15</v>
      </c>
      <c r="J1801" s="1">
        <v>75543.75</v>
      </c>
      <c r="K1801" s="1">
        <v>7671.26</v>
      </c>
      <c r="L1801" s="1" t="s">
        <v>17</v>
      </c>
      <c r="M1801" s="1" t="str">
        <f>TEXT(Table1[[#This Row],[Order Date]],"mmm")</f>
        <v>Nov</v>
      </c>
      <c r="N1801" s="1">
        <f>YEAR(Table1[[#This Row],[Order Date]])</f>
        <v>2024</v>
      </c>
    </row>
    <row r="1802" spans="1:14" x14ac:dyDescent="0.35">
      <c r="A1802" s="1" t="s">
        <v>2551</v>
      </c>
      <c r="B1802" s="1" t="s">
        <v>221</v>
      </c>
      <c r="C1802" s="1" t="s">
        <v>175</v>
      </c>
      <c r="D1802" s="1" t="s">
        <v>179</v>
      </c>
      <c r="E1802" s="1" t="s">
        <v>28</v>
      </c>
      <c r="F1802" s="1" t="s">
        <v>179</v>
      </c>
      <c r="G1802" s="1">
        <v>2</v>
      </c>
      <c r="H1802" s="1">
        <v>21736</v>
      </c>
      <c r="I1802" s="1">
        <v>0.05</v>
      </c>
      <c r="J1802" s="1">
        <v>41298.400000000001</v>
      </c>
      <c r="K1802" s="1">
        <v>6103.89</v>
      </c>
      <c r="L1802" s="1" t="s">
        <v>45</v>
      </c>
      <c r="M1802" s="1" t="str">
        <f>TEXT(Table1[[#This Row],[Order Date]],"mmm")</f>
        <v>Dec</v>
      </c>
      <c r="N1802" s="1">
        <f>YEAR(Table1[[#This Row],[Order Date]])</f>
        <v>2023</v>
      </c>
    </row>
    <row r="1803" spans="1:14" x14ac:dyDescent="0.35">
      <c r="A1803" s="1" t="s">
        <v>2552</v>
      </c>
      <c r="B1803" s="1" t="s">
        <v>2491</v>
      </c>
      <c r="C1803" s="1" t="s">
        <v>67</v>
      </c>
      <c r="D1803" s="1" t="s">
        <v>44</v>
      </c>
      <c r="E1803" s="1" t="s">
        <v>28</v>
      </c>
      <c r="F1803" s="1" t="s">
        <v>44</v>
      </c>
      <c r="G1803" s="1">
        <v>4</v>
      </c>
      <c r="H1803" s="1">
        <v>56226</v>
      </c>
      <c r="I1803" s="1">
        <v>0.1</v>
      </c>
      <c r="J1803" s="1">
        <v>202413.6</v>
      </c>
      <c r="K1803" s="1">
        <v>49824.53</v>
      </c>
      <c r="L1803" s="1" t="s">
        <v>70</v>
      </c>
      <c r="M1803" s="1" t="str">
        <f>TEXT(Table1[[#This Row],[Order Date]],"mmm")</f>
        <v>Jul</v>
      </c>
      <c r="N1803" s="1">
        <f>YEAR(Table1[[#This Row],[Order Date]])</f>
        <v>2024</v>
      </c>
    </row>
    <row r="1804" spans="1:14" x14ac:dyDescent="0.35">
      <c r="A1804" s="1" t="s">
        <v>2553</v>
      </c>
      <c r="B1804" s="1" t="s">
        <v>1137</v>
      </c>
      <c r="C1804" s="1" t="s">
        <v>128</v>
      </c>
      <c r="D1804" s="1" t="s">
        <v>85</v>
      </c>
      <c r="E1804" s="1" t="s">
        <v>28</v>
      </c>
      <c r="F1804" s="1" t="s">
        <v>85</v>
      </c>
      <c r="G1804" s="1">
        <v>12</v>
      </c>
      <c r="H1804" s="1">
        <v>41970</v>
      </c>
      <c r="I1804" s="1">
        <v>0.05</v>
      </c>
      <c r="J1804" s="1">
        <v>478458</v>
      </c>
      <c r="K1804" s="1">
        <v>78382.86</v>
      </c>
      <c r="L1804" s="1" t="s">
        <v>70</v>
      </c>
      <c r="M1804" s="1" t="str">
        <f>TEXT(Table1[[#This Row],[Order Date]],"mmm")</f>
        <v>Apr</v>
      </c>
      <c r="N1804" s="1">
        <f>YEAR(Table1[[#This Row],[Order Date]])</f>
        <v>2023</v>
      </c>
    </row>
    <row r="1805" spans="1:14" x14ac:dyDescent="0.35">
      <c r="A1805" s="1" t="s">
        <v>2554</v>
      </c>
      <c r="B1805" s="1" t="s">
        <v>54</v>
      </c>
      <c r="C1805" s="1" t="s">
        <v>88</v>
      </c>
      <c r="D1805" s="1" t="s">
        <v>48</v>
      </c>
      <c r="E1805" s="1" t="s">
        <v>16</v>
      </c>
      <c r="F1805" s="1" t="s">
        <v>48</v>
      </c>
      <c r="G1805" s="1">
        <v>3</v>
      </c>
      <c r="H1805" s="1">
        <v>58253</v>
      </c>
      <c r="I1805" s="1">
        <v>0.2</v>
      </c>
      <c r="J1805" s="1">
        <v>139807.20000000001</v>
      </c>
      <c r="K1805" s="1">
        <v>36483.03</v>
      </c>
      <c r="L1805" s="1" t="s">
        <v>45</v>
      </c>
      <c r="M1805" s="1" t="str">
        <f>TEXT(Table1[[#This Row],[Order Date]],"mmm")</f>
        <v>Mar</v>
      </c>
      <c r="N1805" s="1">
        <f>YEAR(Table1[[#This Row],[Order Date]])</f>
        <v>2023</v>
      </c>
    </row>
    <row r="1806" spans="1:14" x14ac:dyDescent="0.35">
      <c r="A1806" s="1" t="s">
        <v>2555</v>
      </c>
      <c r="B1806" s="1" t="s">
        <v>331</v>
      </c>
      <c r="C1806" s="1" t="s">
        <v>67</v>
      </c>
      <c r="D1806" s="1" t="s">
        <v>37</v>
      </c>
      <c r="E1806" s="1" t="s">
        <v>16</v>
      </c>
      <c r="F1806" s="1" t="s">
        <v>37</v>
      </c>
      <c r="G1806" s="1">
        <v>11</v>
      </c>
      <c r="H1806" s="1">
        <v>6494</v>
      </c>
      <c r="I1806" s="1">
        <v>0.05</v>
      </c>
      <c r="J1806" s="1">
        <v>67862.3</v>
      </c>
      <c r="K1806" s="1">
        <v>12131.59</v>
      </c>
      <c r="L1806" s="1" t="s">
        <v>45</v>
      </c>
      <c r="M1806" s="1" t="str">
        <f>TEXT(Table1[[#This Row],[Order Date]],"mmm")</f>
        <v>Oct</v>
      </c>
      <c r="N1806" s="1">
        <f>YEAR(Table1[[#This Row],[Order Date]])</f>
        <v>2024</v>
      </c>
    </row>
    <row r="1807" spans="1:14" x14ac:dyDescent="0.35">
      <c r="A1807" s="1" t="s">
        <v>2556</v>
      </c>
      <c r="B1807" s="1" t="s">
        <v>2049</v>
      </c>
      <c r="C1807" s="1" t="s">
        <v>101</v>
      </c>
      <c r="D1807" s="1" t="s">
        <v>15</v>
      </c>
      <c r="E1807" s="1" t="s">
        <v>16</v>
      </c>
      <c r="F1807" s="1" t="s">
        <v>15</v>
      </c>
      <c r="G1807" s="1">
        <v>4</v>
      </c>
      <c r="H1807" s="1">
        <v>52282</v>
      </c>
      <c r="I1807" s="1">
        <v>0.15</v>
      </c>
      <c r="J1807" s="1">
        <v>177758.8</v>
      </c>
      <c r="K1807" s="1">
        <v>45108.44</v>
      </c>
      <c r="L1807" s="1" t="s">
        <v>17</v>
      </c>
      <c r="M1807" s="1" t="str">
        <f>TEXT(Table1[[#This Row],[Order Date]],"mmm")</f>
        <v>Apr</v>
      </c>
      <c r="N1807" s="1">
        <f>YEAR(Table1[[#This Row],[Order Date]])</f>
        <v>2024</v>
      </c>
    </row>
    <row r="1808" spans="1:14" x14ac:dyDescent="0.35">
      <c r="A1808" s="1" t="s">
        <v>2557</v>
      </c>
      <c r="B1808" s="1" t="s">
        <v>97</v>
      </c>
      <c r="C1808" s="1" t="s">
        <v>77</v>
      </c>
      <c r="D1808" s="1" t="s">
        <v>44</v>
      </c>
      <c r="E1808" s="1" t="s">
        <v>28</v>
      </c>
      <c r="F1808" s="1" t="s">
        <v>44</v>
      </c>
      <c r="G1808" s="1">
        <v>3</v>
      </c>
      <c r="H1808" s="1">
        <v>56970</v>
      </c>
      <c r="I1808" s="1">
        <v>0.1</v>
      </c>
      <c r="J1808" s="1">
        <v>153819</v>
      </c>
      <c r="K1808" s="1">
        <v>45584.42</v>
      </c>
      <c r="L1808" s="1" t="s">
        <v>45</v>
      </c>
      <c r="M1808" s="1" t="str">
        <f>TEXT(Table1[[#This Row],[Order Date]],"mmm")</f>
        <v>Oct</v>
      </c>
      <c r="N1808" s="1">
        <f>YEAR(Table1[[#This Row],[Order Date]])</f>
        <v>2023</v>
      </c>
    </row>
    <row r="1809" spans="1:14" x14ac:dyDescent="0.35">
      <c r="A1809" s="1" t="s">
        <v>2558</v>
      </c>
      <c r="B1809" s="1" t="s">
        <v>62</v>
      </c>
      <c r="C1809" s="1" t="s">
        <v>208</v>
      </c>
      <c r="D1809" s="1" t="s">
        <v>27</v>
      </c>
      <c r="E1809" s="1" t="s">
        <v>28</v>
      </c>
      <c r="F1809" s="1" t="s">
        <v>27</v>
      </c>
      <c r="G1809" s="1">
        <v>3</v>
      </c>
      <c r="H1809" s="1">
        <v>9860</v>
      </c>
      <c r="I1809" s="1">
        <v>0.2</v>
      </c>
      <c r="J1809" s="1">
        <v>23664</v>
      </c>
      <c r="K1809" s="1">
        <v>6902.21</v>
      </c>
      <c r="L1809" s="1" t="s">
        <v>70</v>
      </c>
      <c r="M1809" s="1" t="str">
        <f>TEXT(Table1[[#This Row],[Order Date]],"mmm")</f>
        <v>Dec</v>
      </c>
      <c r="N1809" s="1">
        <f>YEAR(Table1[[#This Row],[Order Date]])</f>
        <v>2023</v>
      </c>
    </row>
    <row r="1810" spans="1:14" x14ac:dyDescent="0.35">
      <c r="A1810" s="1" t="s">
        <v>2559</v>
      </c>
      <c r="B1810" s="1" t="s">
        <v>2560</v>
      </c>
      <c r="C1810" s="1" t="s">
        <v>125</v>
      </c>
      <c r="D1810" s="1" t="s">
        <v>323</v>
      </c>
      <c r="E1810" s="1" t="s">
        <v>33</v>
      </c>
      <c r="F1810" s="1" t="s">
        <v>323</v>
      </c>
      <c r="G1810" s="1">
        <v>15</v>
      </c>
      <c r="H1810" s="1">
        <v>30822</v>
      </c>
      <c r="I1810" s="1">
        <v>0</v>
      </c>
      <c r="J1810" s="1">
        <v>462330</v>
      </c>
      <c r="K1810" s="1">
        <v>53679.09</v>
      </c>
      <c r="L1810" s="1" t="s">
        <v>70</v>
      </c>
      <c r="M1810" s="1" t="str">
        <f>TEXT(Table1[[#This Row],[Order Date]],"mmm")</f>
        <v>Jun</v>
      </c>
      <c r="N1810" s="1">
        <f>YEAR(Table1[[#This Row],[Order Date]])</f>
        <v>2024</v>
      </c>
    </row>
    <row r="1811" spans="1:14" x14ac:dyDescent="0.35">
      <c r="A1811" s="1" t="s">
        <v>2561</v>
      </c>
      <c r="B1811" s="1" t="s">
        <v>783</v>
      </c>
      <c r="C1811" s="1" t="s">
        <v>170</v>
      </c>
      <c r="D1811" s="1" t="s">
        <v>137</v>
      </c>
      <c r="E1811" s="1" t="s">
        <v>22</v>
      </c>
      <c r="F1811" s="1" t="s">
        <v>137</v>
      </c>
      <c r="G1811" s="1">
        <v>1</v>
      </c>
      <c r="H1811" s="1">
        <v>22949</v>
      </c>
      <c r="I1811" s="1">
        <v>0.15</v>
      </c>
      <c r="J1811" s="1">
        <v>19506.650000000001</v>
      </c>
      <c r="K1811" s="1">
        <v>2084.96</v>
      </c>
      <c r="L1811" s="1" t="s">
        <v>17</v>
      </c>
      <c r="M1811" s="1" t="str">
        <f>TEXT(Table1[[#This Row],[Order Date]],"mmm")</f>
        <v>Jan</v>
      </c>
      <c r="N1811" s="1">
        <f>YEAR(Table1[[#This Row],[Order Date]])</f>
        <v>2024</v>
      </c>
    </row>
    <row r="1812" spans="1:14" x14ac:dyDescent="0.35">
      <c r="A1812" s="1" t="s">
        <v>2562</v>
      </c>
      <c r="B1812" s="1" t="s">
        <v>1379</v>
      </c>
      <c r="C1812" s="1" t="s">
        <v>362</v>
      </c>
      <c r="D1812" s="1" t="s">
        <v>48</v>
      </c>
      <c r="E1812" s="1" t="s">
        <v>16</v>
      </c>
      <c r="F1812" s="1" t="s">
        <v>48</v>
      </c>
      <c r="G1812" s="1">
        <v>4</v>
      </c>
      <c r="H1812" s="1">
        <v>45484</v>
      </c>
      <c r="I1812" s="1">
        <v>0.15</v>
      </c>
      <c r="J1812" s="1">
        <v>154645.6</v>
      </c>
      <c r="K1812" s="1">
        <v>27462.93</v>
      </c>
      <c r="L1812" s="1" t="s">
        <v>17</v>
      </c>
      <c r="M1812" s="1" t="str">
        <f>TEXT(Table1[[#This Row],[Order Date]],"mmm")</f>
        <v>Mar</v>
      </c>
      <c r="N1812" s="1">
        <f>YEAR(Table1[[#This Row],[Order Date]])</f>
        <v>2023</v>
      </c>
    </row>
    <row r="1813" spans="1:14" x14ac:dyDescent="0.35">
      <c r="A1813" s="1" t="s">
        <v>2563</v>
      </c>
      <c r="B1813" s="1" t="s">
        <v>215</v>
      </c>
      <c r="C1813" s="1" t="s">
        <v>332</v>
      </c>
      <c r="D1813" s="1" t="s">
        <v>114</v>
      </c>
      <c r="E1813" s="1" t="s">
        <v>16</v>
      </c>
      <c r="F1813" s="1" t="s">
        <v>114</v>
      </c>
      <c r="G1813" s="1">
        <v>2</v>
      </c>
      <c r="H1813" s="1">
        <v>50631</v>
      </c>
      <c r="I1813" s="1">
        <v>0.1</v>
      </c>
      <c r="J1813" s="1">
        <v>91135.8</v>
      </c>
      <c r="K1813" s="1">
        <v>9275.01</v>
      </c>
      <c r="L1813" s="1" t="s">
        <v>45</v>
      </c>
      <c r="M1813" s="1" t="str">
        <f>TEXT(Table1[[#This Row],[Order Date]],"mmm")</f>
        <v>Jul</v>
      </c>
      <c r="N1813" s="1">
        <f>YEAR(Table1[[#This Row],[Order Date]])</f>
        <v>2024</v>
      </c>
    </row>
    <row r="1814" spans="1:14" x14ac:dyDescent="0.35">
      <c r="A1814" s="1" t="s">
        <v>2564</v>
      </c>
      <c r="B1814" s="1" t="s">
        <v>199</v>
      </c>
      <c r="C1814" s="1" t="s">
        <v>117</v>
      </c>
      <c r="D1814" s="1" t="s">
        <v>114</v>
      </c>
      <c r="E1814" s="1" t="s">
        <v>16</v>
      </c>
      <c r="F1814" s="1" t="s">
        <v>114</v>
      </c>
      <c r="G1814" s="1">
        <v>6</v>
      </c>
      <c r="H1814" s="1">
        <v>46365</v>
      </c>
      <c r="I1814" s="1">
        <v>0.05</v>
      </c>
      <c r="J1814" s="1">
        <v>264280.5</v>
      </c>
      <c r="K1814" s="1">
        <v>41822.379999999997</v>
      </c>
      <c r="L1814" s="1" t="s">
        <v>70</v>
      </c>
      <c r="M1814" s="1" t="str">
        <f>TEXT(Table1[[#This Row],[Order Date]],"mmm")</f>
        <v>Nov</v>
      </c>
      <c r="N1814" s="1">
        <f>YEAR(Table1[[#This Row],[Order Date]])</f>
        <v>2023</v>
      </c>
    </row>
    <row r="1815" spans="1:14" x14ac:dyDescent="0.35">
      <c r="A1815" s="1" t="s">
        <v>2565</v>
      </c>
      <c r="B1815" s="1" t="s">
        <v>1227</v>
      </c>
      <c r="C1815" s="1" t="s">
        <v>101</v>
      </c>
      <c r="D1815" s="1" t="s">
        <v>85</v>
      </c>
      <c r="E1815" s="1" t="s">
        <v>28</v>
      </c>
      <c r="F1815" s="1" t="s">
        <v>85</v>
      </c>
      <c r="G1815" s="1">
        <v>11</v>
      </c>
      <c r="H1815" s="1">
        <v>24857</v>
      </c>
      <c r="I1815" s="1">
        <v>0</v>
      </c>
      <c r="J1815" s="1">
        <v>273427</v>
      </c>
      <c r="K1815" s="1">
        <v>74611.509999999995</v>
      </c>
      <c r="L1815" s="1" t="s">
        <v>17</v>
      </c>
      <c r="M1815" s="1" t="str">
        <f>TEXT(Table1[[#This Row],[Order Date]],"mmm")</f>
        <v>Apr</v>
      </c>
      <c r="N1815" s="1">
        <f>YEAR(Table1[[#This Row],[Order Date]])</f>
        <v>2023</v>
      </c>
    </row>
    <row r="1816" spans="1:14" x14ac:dyDescent="0.35">
      <c r="A1816" s="1" t="s">
        <v>2566</v>
      </c>
      <c r="B1816" s="1" t="s">
        <v>2108</v>
      </c>
      <c r="C1816" s="1" t="s">
        <v>111</v>
      </c>
      <c r="D1816" s="1" t="s">
        <v>141</v>
      </c>
      <c r="E1816" s="1" t="s">
        <v>22</v>
      </c>
      <c r="F1816" s="1" t="s">
        <v>141</v>
      </c>
      <c r="G1816" s="1">
        <v>6</v>
      </c>
      <c r="H1816" s="1">
        <v>13952</v>
      </c>
      <c r="I1816" s="1">
        <v>0.1</v>
      </c>
      <c r="J1816" s="1">
        <v>75340.800000000003</v>
      </c>
      <c r="K1816" s="1">
        <v>6489.11</v>
      </c>
      <c r="L1816" s="1" t="s">
        <v>23</v>
      </c>
      <c r="M1816" s="1" t="str">
        <f>TEXT(Table1[[#This Row],[Order Date]],"mmm")</f>
        <v>Jun</v>
      </c>
      <c r="N1816" s="1">
        <f>YEAR(Table1[[#This Row],[Order Date]])</f>
        <v>2023</v>
      </c>
    </row>
    <row r="1817" spans="1:14" x14ac:dyDescent="0.35">
      <c r="A1817" s="1" t="s">
        <v>2567</v>
      </c>
      <c r="B1817" s="1" t="s">
        <v>276</v>
      </c>
      <c r="C1817" s="1" t="s">
        <v>640</v>
      </c>
      <c r="D1817" s="1" t="s">
        <v>44</v>
      </c>
      <c r="E1817" s="1" t="s">
        <v>28</v>
      </c>
      <c r="F1817" s="1" t="s">
        <v>44</v>
      </c>
      <c r="G1817" s="1">
        <v>2</v>
      </c>
      <c r="H1817" s="1">
        <v>41295</v>
      </c>
      <c r="I1817" s="1">
        <v>0.2</v>
      </c>
      <c r="J1817" s="1">
        <v>66072</v>
      </c>
      <c r="K1817" s="1">
        <v>17950.03</v>
      </c>
      <c r="L1817" s="1" t="s">
        <v>17</v>
      </c>
      <c r="M1817" s="1" t="str">
        <f>TEXT(Table1[[#This Row],[Order Date]],"mmm")</f>
        <v>Apr</v>
      </c>
      <c r="N1817" s="1">
        <f>YEAR(Table1[[#This Row],[Order Date]])</f>
        <v>2024</v>
      </c>
    </row>
    <row r="1818" spans="1:14" x14ac:dyDescent="0.35">
      <c r="A1818" s="1" t="s">
        <v>2568</v>
      </c>
      <c r="B1818" s="1" t="s">
        <v>1741</v>
      </c>
      <c r="C1818" s="1" t="s">
        <v>111</v>
      </c>
      <c r="D1818" s="1" t="s">
        <v>27</v>
      </c>
      <c r="E1818" s="1" t="s">
        <v>28</v>
      </c>
      <c r="F1818" s="1" t="s">
        <v>27</v>
      </c>
      <c r="G1818" s="1">
        <v>6</v>
      </c>
      <c r="H1818" s="1">
        <v>49793</v>
      </c>
      <c r="I1818" s="1">
        <v>0.2</v>
      </c>
      <c r="J1818" s="1">
        <v>239006.4</v>
      </c>
      <c r="K1818" s="1">
        <v>29402.68</v>
      </c>
      <c r="L1818" s="1" t="s">
        <v>23</v>
      </c>
      <c r="M1818" s="1" t="str">
        <f>TEXT(Table1[[#This Row],[Order Date]],"mmm")</f>
        <v>Apr</v>
      </c>
      <c r="N1818" s="1">
        <f>YEAR(Table1[[#This Row],[Order Date]])</f>
        <v>2024</v>
      </c>
    </row>
    <row r="1819" spans="1:14" x14ac:dyDescent="0.35">
      <c r="A1819" s="1" t="s">
        <v>2569</v>
      </c>
      <c r="B1819" s="1" t="s">
        <v>308</v>
      </c>
      <c r="C1819" s="1" t="s">
        <v>26</v>
      </c>
      <c r="D1819" s="1" t="s">
        <v>91</v>
      </c>
      <c r="E1819" s="1" t="s">
        <v>16</v>
      </c>
      <c r="F1819" s="1" t="s">
        <v>91</v>
      </c>
      <c r="G1819" s="1">
        <v>8</v>
      </c>
      <c r="H1819" s="1">
        <v>867</v>
      </c>
      <c r="I1819" s="1">
        <v>0</v>
      </c>
      <c r="J1819" s="1">
        <v>6936</v>
      </c>
      <c r="K1819" s="1">
        <v>1468.56</v>
      </c>
      <c r="L1819" s="1" t="s">
        <v>23</v>
      </c>
      <c r="M1819" s="1" t="str">
        <f>TEXT(Table1[[#This Row],[Order Date]],"mmm")</f>
        <v>Jul</v>
      </c>
      <c r="N1819" s="1">
        <f>YEAR(Table1[[#This Row],[Order Date]])</f>
        <v>2024</v>
      </c>
    </row>
    <row r="1820" spans="1:14" x14ac:dyDescent="0.35">
      <c r="A1820" s="1" t="s">
        <v>2570</v>
      </c>
      <c r="B1820" s="1" t="s">
        <v>1299</v>
      </c>
      <c r="C1820" s="1" t="s">
        <v>31</v>
      </c>
      <c r="D1820" s="1" t="s">
        <v>74</v>
      </c>
      <c r="E1820" s="1" t="s">
        <v>22</v>
      </c>
      <c r="F1820" s="1" t="s">
        <v>74</v>
      </c>
      <c r="G1820" s="1">
        <v>4</v>
      </c>
      <c r="H1820" s="1">
        <v>33928</v>
      </c>
      <c r="I1820" s="1">
        <v>0.15</v>
      </c>
      <c r="J1820" s="1">
        <v>115355.2</v>
      </c>
      <c r="K1820" s="1">
        <v>12372.61</v>
      </c>
      <c r="L1820" s="1" t="s">
        <v>23</v>
      </c>
      <c r="M1820" s="1" t="str">
        <f>TEXT(Table1[[#This Row],[Order Date]],"mmm")</f>
        <v>Sep</v>
      </c>
      <c r="N1820" s="1">
        <f>YEAR(Table1[[#This Row],[Order Date]])</f>
        <v>2024</v>
      </c>
    </row>
    <row r="1821" spans="1:14" x14ac:dyDescent="0.35">
      <c r="A1821" s="1" t="s">
        <v>2571</v>
      </c>
      <c r="B1821" s="1" t="s">
        <v>495</v>
      </c>
      <c r="C1821" s="1" t="s">
        <v>104</v>
      </c>
      <c r="D1821" s="1" t="s">
        <v>224</v>
      </c>
      <c r="E1821" s="1" t="s">
        <v>33</v>
      </c>
      <c r="F1821" s="1" t="s">
        <v>224</v>
      </c>
      <c r="G1821" s="1">
        <v>5</v>
      </c>
      <c r="H1821" s="1">
        <v>47026</v>
      </c>
      <c r="I1821" s="1">
        <v>0</v>
      </c>
      <c r="J1821" s="1">
        <v>235130</v>
      </c>
      <c r="K1821" s="1">
        <v>60364.51</v>
      </c>
      <c r="L1821" s="1" t="s">
        <v>23</v>
      </c>
      <c r="M1821" s="1" t="str">
        <f>TEXT(Table1[[#This Row],[Order Date]],"mmm")</f>
        <v>Jun</v>
      </c>
      <c r="N1821" s="1">
        <f>YEAR(Table1[[#This Row],[Order Date]])</f>
        <v>2024</v>
      </c>
    </row>
    <row r="1822" spans="1:14" x14ac:dyDescent="0.35">
      <c r="A1822" s="1" t="s">
        <v>2572</v>
      </c>
      <c r="B1822" s="1" t="s">
        <v>1027</v>
      </c>
      <c r="C1822" s="1" t="s">
        <v>227</v>
      </c>
      <c r="D1822" s="1" t="s">
        <v>41</v>
      </c>
      <c r="E1822" s="1" t="s">
        <v>16</v>
      </c>
      <c r="F1822" s="1" t="s">
        <v>41</v>
      </c>
      <c r="G1822" s="1">
        <v>5</v>
      </c>
      <c r="H1822" s="1">
        <v>44610</v>
      </c>
      <c r="I1822" s="1">
        <v>0</v>
      </c>
      <c r="J1822" s="1">
        <v>223050</v>
      </c>
      <c r="K1822" s="1">
        <v>26070.81</v>
      </c>
      <c r="L1822" s="1" t="s">
        <v>23</v>
      </c>
      <c r="M1822" s="1" t="str">
        <f>TEXT(Table1[[#This Row],[Order Date]],"mmm")</f>
        <v>Nov</v>
      </c>
      <c r="N1822" s="1">
        <f>YEAR(Table1[[#This Row],[Order Date]])</f>
        <v>2023</v>
      </c>
    </row>
    <row r="1823" spans="1:14" x14ac:dyDescent="0.35">
      <c r="A1823" s="1" t="s">
        <v>2573</v>
      </c>
      <c r="B1823" s="1" t="s">
        <v>1760</v>
      </c>
      <c r="C1823" s="1" t="s">
        <v>146</v>
      </c>
      <c r="D1823" s="1" t="s">
        <v>48</v>
      </c>
      <c r="E1823" s="1" t="s">
        <v>16</v>
      </c>
      <c r="F1823" s="1" t="s">
        <v>48</v>
      </c>
      <c r="G1823" s="1">
        <v>7</v>
      </c>
      <c r="H1823" s="1">
        <v>46750</v>
      </c>
      <c r="I1823" s="1">
        <v>0.2</v>
      </c>
      <c r="J1823" s="1">
        <v>261800</v>
      </c>
      <c r="K1823" s="1">
        <v>64053.87</v>
      </c>
      <c r="L1823" s="1" t="s">
        <v>17</v>
      </c>
      <c r="M1823" s="1" t="str">
        <f>TEXT(Table1[[#This Row],[Order Date]],"mmm")</f>
        <v>Aug</v>
      </c>
      <c r="N1823" s="1">
        <f>YEAR(Table1[[#This Row],[Order Date]])</f>
        <v>2024</v>
      </c>
    </row>
    <row r="1824" spans="1:14" x14ac:dyDescent="0.35">
      <c r="A1824" s="1" t="s">
        <v>2574</v>
      </c>
      <c r="B1824" s="1" t="s">
        <v>1068</v>
      </c>
      <c r="C1824" s="1" t="s">
        <v>227</v>
      </c>
      <c r="D1824" s="1" t="s">
        <v>15</v>
      </c>
      <c r="E1824" s="1" t="s">
        <v>16</v>
      </c>
      <c r="F1824" s="1" t="s">
        <v>15</v>
      </c>
      <c r="G1824" s="1">
        <v>1</v>
      </c>
      <c r="H1824" s="1">
        <v>38088</v>
      </c>
      <c r="I1824" s="1">
        <v>0.1</v>
      </c>
      <c r="J1824" s="1">
        <v>34279.199999999997</v>
      </c>
      <c r="K1824" s="1">
        <v>4273.26</v>
      </c>
      <c r="L1824" s="1" t="s">
        <v>45</v>
      </c>
      <c r="M1824" s="1" t="str">
        <f>TEXT(Table1[[#This Row],[Order Date]],"mmm")</f>
        <v>Apr</v>
      </c>
      <c r="N1824" s="1">
        <f>YEAR(Table1[[#This Row],[Order Date]])</f>
        <v>2023</v>
      </c>
    </row>
    <row r="1825" spans="1:14" x14ac:dyDescent="0.35">
      <c r="A1825" s="1" t="s">
        <v>2575</v>
      </c>
      <c r="B1825" s="1" t="s">
        <v>1168</v>
      </c>
      <c r="C1825" s="1" t="s">
        <v>101</v>
      </c>
      <c r="D1825" s="1" t="s">
        <v>224</v>
      </c>
      <c r="E1825" s="1" t="s">
        <v>33</v>
      </c>
      <c r="F1825" s="1" t="s">
        <v>224</v>
      </c>
      <c r="G1825" s="1">
        <v>15</v>
      </c>
      <c r="H1825" s="1">
        <v>8232</v>
      </c>
      <c r="I1825" s="1">
        <v>0.1</v>
      </c>
      <c r="J1825" s="1">
        <v>111132</v>
      </c>
      <c r="K1825" s="1">
        <v>21759.64</v>
      </c>
      <c r="L1825" s="1" t="s">
        <v>70</v>
      </c>
      <c r="M1825" s="1" t="str">
        <f>TEXT(Table1[[#This Row],[Order Date]],"mmm")</f>
        <v>Sep</v>
      </c>
      <c r="N1825" s="1">
        <f>YEAR(Table1[[#This Row],[Order Date]])</f>
        <v>2024</v>
      </c>
    </row>
    <row r="1826" spans="1:14" x14ac:dyDescent="0.35">
      <c r="A1826" s="1" t="s">
        <v>2576</v>
      </c>
      <c r="B1826" s="1" t="s">
        <v>1638</v>
      </c>
      <c r="C1826" s="1" t="s">
        <v>117</v>
      </c>
      <c r="D1826" s="1" t="s">
        <v>60</v>
      </c>
      <c r="E1826" s="1" t="s">
        <v>33</v>
      </c>
      <c r="F1826" s="1" t="s">
        <v>60</v>
      </c>
      <c r="G1826" s="1">
        <v>4</v>
      </c>
      <c r="H1826" s="1">
        <v>20827</v>
      </c>
      <c r="I1826" s="1">
        <v>0.2</v>
      </c>
      <c r="J1826" s="1">
        <v>66646.399999999994</v>
      </c>
      <c r="K1826" s="1">
        <v>5883.66</v>
      </c>
      <c r="L1826" s="1" t="s">
        <v>17</v>
      </c>
      <c r="M1826" s="1" t="str">
        <f>TEXT(Table1[[#This Row],[Order Date]],"mmm")</f>
        <v>Feb</v>
      </c>
      <c r="N1826" s="1">
        <f>YEAR(Table1[[#This Row],[Order Date]])</f>
        <v>2023</v>
      </c>
    </row>
    <row r="1827" spans="1:14" x14ac:dyDescent="0.35">
      <c r="A1827" s="1" t="s">
        <v>2577</v>
      </c>
      <c r="B1827" s="1" t="s">
        <v>1487</v>
      </c>
      <c r="C1827" s="1" t="s">
        <v>191</v>
      </c>
      <c r="D1827" s="1" t="s">
        <v>44</v>
      </c>
      <c r="E1827" s="1" t="s">
        <v>28</v>
      </c>
      <c r="F1827" s="1" t="s">
        <v>44</v>
      </c>
      <c r="G1827" s="1">
        <v>7</v>
      </c>
      <c r="H1827" s="1">
        <v>17003</v>
      </c>
      <c r="I1827" s="1">
        <v>0</v>
      </c>
      <c r="J1827" s="1">
        <v>119021</v>
      </c>
      <c r="K1827" s="1">
        <v>26891.27</v>
      </c>
      <c r="L1827" s="1" t="s">
        <v>70</v>
      </c>
      <c r="M1827" s="1" t="str">
        <f>TEXT(Table1[[#This Row],[Order Date]],"mmm")</f>
        <v>Oct</v>
      </c>
      <c r="N1827" s="1">
        <f>YEAR(Table1[[#This Row],[Order Date]])</f>
        <v>2023</v>
      </c>
    </row>
    <row r="1828" spans="1:14" x14ac:dyDescent="0.35">
      <c r="A1828" s="1" t="s">
        <v>2578</v>
      </c>
      <c r="B1828" s="1" t="s">
        <v>122</v>
      </c>
      <c r="C1828" s="1" t="s">
        <v>77</v>
      </c>
      <c r="D1828" s="1" t="s">
        <v>137</v>
      </c>
      <c r="E1828" s="1" t="s">
        <v>22</v>
      </c>
      <c r="F1828" s="1" t="s">
        <v>137</v>
      </c>
      <c r="G1828" s="1">
        <v>15</v>
      </c>
      <c r="H1828" s="1">
        <v>48292</v>
      </c>
      <c r="I1828" s="1">
        <v>0.15</v>
      </c>
      <c r="J1828" s="1">
        <v>615723</v>
      </c>
      <c r="K1828" s="1">
        <v>102478.87</v>
      </c>
      <c r="L1828" s="1" t="s">
        <v>23</v>
      </c>
      <c r="M1828" s="1" t="str">
        <f>TEXT(Table1[[#This Row],[Order Date]],"mmm")</f>
        <v>Jul</v>
      </c>
      <c r="N1828" s="1">
        <f>YEAR(Table1[[#This Row],[Order Date]])</f>
        <v>2024</v>
      </c>
    </row>
    <row r="1829" spans="1:14" x14ac:dyDescent="0.35">
      <c r="A1829" s="1" t="s">
        <v>2579</v>
      </c>
      <c r="B1829" s="1" t="s">
        <v>2340</v>
      </c>
      <c r="C1829" s="1" t="s">
        <v>146</v>
      </c>
      <c r="D1829" s="1" t="s">
        <v>114</v>
      </c>
      <c r="E1829" s="1" t="s">
        <v>16</v>
      </c>
      <c r="F1829" s="1" t="s">
        <v>114</v>
      </c>
      <c r="G1829" s="1">
        <v>10</v>
      </c>
      <c r="H1829" s="1">
        <v>15032</v>
      </c>
      <c r="I1829" s="1">
        <v>0.2</v>
      </c>
      <c r="J1829" s="1">
        <v>120256</v>
      </c>
      <c r="K1829" s="1">
        <v>20698.86</v>
      </c>
      <c r="L1829" s="1" t="s">
        <v>70</v>
      </c>
      <c r="M1829" s="1" t="str">
        <f>TEXT(Table1[[#This Row],[Order Date]],"mmm")</f>
        <v>Sep</v>
      </c>
      <c r="N1829" s="1">
        <f>YEAR(Table1[[#This Row],[Order Date]])</f>
        <v>2023</v>
      </c>
    </row>
    <row r="1830" spans="1:14" x14ac:dyDescent="0.35">
      <c r="A1830" s="1" t="s">
        <v>2580</v>
      </c>
      <c r="B1830" s="1" t="s">
        <v>686</v>
      </c>
      <c r="C1830" s="1" t="s">
        <v>175</v>
      </c>
      <c r="D1830" s="1" t="s">
        <v>85</v>
      </c>
      <c r="E1830" s="1" t="s">
        <v>28</v>
      </c>
      <c r="F1830" s="1" t="s">
        <v>85</v>
      </c>
      <c r="G1830" s="1">
        <v>14</v>
      </c>
      <c r="H1830" s="1">
        <v>10433</v>
      </c>
      <c r="I1830" s="1">
        <v>0.2</v>
      </c>
      <c r="J1830" s="1">
        <v>116849.60000000001</v>
      </c>
      <c r="K1830" s="1">
        <v>25101.72</v>
      </c>
      <c r="L1830" s="1" t="s">
        <v>23</v>
      </c>
      <c r="M1830" s="1" t="str">
        <f>TEXT(Table1[[#This Row],[Order Date]],"mmm")</f>
        <v>Jun</v>
      </c>
      <c r="N1830" s="1">
        <f>YEAR(Table1[[#This Row],[Order Date]])</f>
        <v>2023</v>
      </c>
    </row>
    <row r="1831" spans="1:14" x14ac:dyDescent="0.35">
      <c r="A1831" s="1" t="s">
        <v>2581</v>
      </c>
      <c r="B1831" s="1" t="s">
        <v>1286</v>
      </c>
      <c r="C1831" s="1" t="s">
        <v>55</v>
      </c>
      <c r="D1831" s="1" t="s">
        <v>323</v>
      </c>
      <c r="E1831" s="1" t="s">
        <v>33</v>
      </c>
      <c r="F1831" s="1" t="s">
        <v>323</v>
      </c>
      <c r="G1831" s="1">
        <v>9</v>
      </c>
      <c r="H1831" s="1">
        <v>20299</v>
      </c>
      <c r="I1831" s="1">
        <v>0.1</v>
      </c>
      <c r="J1831" s="1">
        <v>164421.9</v>
      </c>
      <c r="K1831" s="1">
        <v>44712.27</v>
      </c>
      <c r="L1831" s="1" t="s">
        <v>23</v>
      </c>
      <c r="M1831" s="1" t="str">
        <f>TEXT(Table1[[#This Row],[Order Date]],"mmm")</f>
        <v>Mar</v>
      </c>
      <c r="N1831" s="1">
        <f>YEAR(Table1[[#This Row],[Order Date]])</f>
        <v>2023</v>
      </c>
    </row>
    <row r="1832" spans="1:14" x14ac:dyDescent="0.35">
      <c r="A1832" s="1" t="s">
        <v>2582</v>
      </c>
      <c r="B1832" s="1" t="s">
        <v>1218</v>
      </c>
      <c r="C1832" s="1" t="s">
        <v>349</v>
      </c>
      <c r="D1832" s="1" t="s">
        <v>21</v>
      </c>
      <c r="E1832" s="1" t="s">
        <v>22</v>
      </c>
      <c r="F1832" s="1" t="s">
        <v>21</v>
      </c>
      <c r="G1832" s="1">
        <v>4</v>
      </c>
      <c r="H1832" s="1">
        <v>39209</v>
      </c>
      <c r="I1832" s="1">
        <v>0.05</v>
      </c>
      <c r="J1832" s="1">
        <v>148994.20000000001</v>
      </c>
      <c r="K1832" s="1">
        <v>12966.97</v>
      </c>
      <c r="L1832" s="1" t="s">
        <v>23</v>
      </c>
      <c r="M1832" s="1" t="str">
        <f>TEXT(Table1[[#This Row],[Order Date]],"mmm")</f>
        <v>May</v>
      </c>
      <c r="N1832" s="1">
        <f>YEAR(Table1[[#This Row],[Order Date]])</f>
        <v>2024</v>
      </c>
    </row>
    <row r="1833" spans="1:14" x14ac:dyDescent="0.35">
      <c r="A1833" s="1" t="s">
        <v>2583</v>
      </c>
      <c r="B1833" s="1" t="s">
        <v>2291</v>
      </c>
      <c r="C1833" s="1" t="s">
        <v>55</v>
      </c>
      <c r="D1833" s="1" t="s">
        <v>114</v>
      </c>
      <c r="E1833" s="1" t="s">
        <v>16</v>
      </c>
      <c r="F1833" s="1" t="s">
        <v>114</v>
      </c>
      <c r="G1833" s="1">
        <v>7</v>
      </c>
      <c r="H1833" s="1">
        <v>54185</v>
      </c>
      <c r="I1833" s="1">
        <v>0.1</v>
      </c>
      <c r="J1833" s="1">
        <v>341365.5</v>
      </c>
      <c r="K1833" s="1">
        <v>67743.259999999995</v>
      </c>
      <c r="L1833" s="1" t="s">
        <v>70</v>
      </c>
      <c r="M1833" s="1" t="str">
        <f>TEXT(Table1[[#This Row],[Order Date]],"mmm")</f>
        <v>Sep</v>
      </c>
      <c r="N1833" s="1">
        <f>YEAR(Table1[[#This Row],[Order Date]])</f>
        <v>2023</v>
      </c>
    </row>
    <row r="1834" spans="1:14" x14ac:dyDescent="0.35">
      <c r="A1834" s="1" t="s">
        <v>2584</v>
      </c>
      <c r="B1834" s="1" t="s">
        <v>2262</v>
      </c>
      <c r="C1834" s="1" t="s">
        <v>77</v>
      </c>
      <c r="D1834" s="1" t="s">
        <v>224</v>
      </c>
      <c r="E1834" s="1" t="s">
        <v>33</v>
      </c>
      <c r="F1834" s="1" t="s">
        <v>224</v>
      </c>
      <c r="G1834" s="1">
        <v>3</v>
      </c>
      <c r="H1834" s="1">
        <v>37898</v>
      </c>
      <c r="I1834" s="1">
        <v>0.2</v>
      </c>
      <c r="J1834" s="1">
        <v>90955.199999999997</v>
      </c>
      <c r="K1834" s="1">
        <v>7558.66</v>
      </c>
      <c r="L1834" s="1" t="s">
        <v>17</v>
      </c>
      <c r="M1834" s="1" t="str">
        <f>TEXT(Table1[[#This Row],[Order Date]],"mmm")</f>
        <v>Aug</v>
      </c>
      <c r="N1834" s="1">
        <f>YEAR(Table1[[#This Row],[Order Date]])</f>
        <v>2024</v>
      </c>
    </row>
    <row r="1835" spans="1:14" x14ac:dyDescent="0.35">
      <c r="A1835" s="1" t="s">
        <v>2585</v>
      </c>
      <c r="B1835" s="1" t="s">
        <v>2089</v>
      </c>
      <c r="C1835" s="1" t="s">
        <v>63</v>
      </c>
      <c r="D1835" s="1" t="s">
        <v>37</v>
      </c>
      <c r="E1835" s="1" t="s">
        <v>16</v>
      </c>
      <c r="F1835" s="1" t="s">
        <v>37</v>
      </c>
      <c r="G1835" s="1">
        <v>10</v>
      </c>
      <c r="H1835" s="1">
        <v>28698</v>
      </c>
      <c r="I1835" s="1">
        <v>0.2</v>
      </c>
      <c r="J1835" s="1">
        <v>229584</v>
      </c>
      <c r="K1835" s="1">
        <v>62313.09</v>
      </c>
      <c r="L1835" s="1" t="s">
        <v>17</v>
      </c>
      <c r="M1835" s="1" t="str">
        <f>TEXT(Table1[[#This Row],[Order Date]],"mmm")</f>
        <v>Nov</v>
      </c>
      <c r="N1835" s="1">
        <f>YEAR(Table1[[#This Row],[Order Date]])</f>
        <v>2024</v>
      </c>
    </row>
    <row r="1836" spans="1:14" x14ac:dyDescent="0.35">
      <c r="A1836" s="1" t="s">
        <v>2586</v>
      </c>
      <c r="B1836" s="1" t="s">
        <v>1611</v>
      </c>
      <c r="C1836" s="1" t="s">
        <v>81</v>
      </c>
      <c r="D1836" s="1" t="s">
        <v>27</v>
      </c>
      <c r="E1836" s="1" t="s">
        <v>28</v>
      </c>
      <c r="F1836" s="1" t="s">
        <v>27</v>
      </c>
      <c r="G1836" s="1">
        <v>2</v>
      </c>
      <c r="H1836" s="1">
        <v>15208</v>
      </c>
      <c r="I1836" s="1">
        <v>0.1</v>
      </c>
      <c r="J1836" s="1">
        <v>27374.400000000001</v>
      </c>
      <c r="K1836" s="1">
        <v>6868.87</v>
      </c>
      <c r="L1836" s="1" t="s">
        <v>23</v>
      </c>
      <c r="M1836" s="1" t="str">
        <f>TEXT(Table1[[#This Row],[Order Date]],"mmm")</f>
        <v>Jan</v>
      </c>
      <c r="N1836" s="1">
        <f>YEAR(Table1[[#This Row],[Order Date]])</f>
        <v>2023</v>
      </c>
    </row>
    <row r="1837" spans="1:14" x14ac:dyDescent="0.35">
      <c r="A1837" s="1" t="s">
        <v>2587</v>
      </c>
      <c r="B1837" s="1" t="s">
        <v>148</v>
      </c>
      <c r="C1837" s="1" t="s">
        <v>227</v>
      </c>
      <c r="D1837" s="1" t="s">
        <v>60</v>
      </c>
      <c r="E1837" s="1" t="s">
        <v>33</v>
      </c>
      <c r="F1837" s="1" t="s">
        <v>60</v>
      </c>
      <c r="G1837" s="1">
        <v>10</v>
      </c>
      <c r="H1837" s="1">
        <v>13582</v>
      </c>
      <c r="I1837" s="1">
        <v>0.05</v>
      </c>
      <c r="J1837" s="1">
        <v>129029</v>
      </c>
      <c r="K1837" s="1">
        <v>12321.83</v>
      </c>
      <c r="L1837" s="1" t="s">
        <v>45</v>
      </c>
      <c r="M1837" s="1" t="str">
        <f>TEXT(Table1[[#This Row],[Order Date]],"mmm")</f>
        <v>Jan</v>
      </c>
      <c r="N1837" s="1">
        <f>YEAR(Table1[[#This Row],[Order Date]])</f>
        <v>2024</v>
      </c>
    </row>
    <row r="1838" spans="1:14" x14ac:dyDescent="0.35">
      <c r="A1838" s="1" t="s">
        <v>2588</v>
      </c>
      <c r="B1838" s="1" t="s">
        <v>2589</v>
      </c>
      <c r="C1838" s="1" t="s">
        <v>188</v>
      </c>
      <c r="D1838" s="1" t="s">
        <v>60</v>
      </c>
      <c r="E1838" s="1" t="s">
        <v>33</v>
      </c>
      <c r="F1838" s="1" t="s">
        <v>60</v>
      </c>
      <c r="G1838" s="1">
        <v>3</v>
      </c>
      <c r="H1838" s="1">
        <v>52181</v>
      </c>
      <c r="I1838" s="1">
        <v>0.1</v>
      </c>
      <c r="J1838" s="1">
        <v>140888.70000000001</v>
      </c>
      <c r="K1838" s="1">
        <v>25246.13</v>
      </c>
      <c r="L1838" s="1" t="s">
        <v>23</v>
      </c>
      <c r="M1838" s="1" t="str">
        <f>TEXT(Table1[[#This Row],[Order Date]],"mmm")</f>
        <v>Feb</v>
      </c>
      <c r="N1838" s="1">
        <f>YEAR(Table1[[#This Row],[Order Date]])</f>
        <v>2024</v>
      </c>
    </row>
    <row r="1839" spans="1:14" x14ac:dyDescent="0.35">
      <c r="A1839" s="1" t="s">
        <v>2590</v>
      </c>
      <c r="B1839" s="1" t="s">
        <v>355</v>
      </c>
      <c r="C1839" s="1" t="s">
        <v>125</v>
      </c>
      <c r="D1839" s="1" t="s">
        <v>224</v>
      </c>
      <c r="E1839" s="1" t="s">
        <v>33</v>
      </c>
      <c r="F1839" s="1" t="s">
        <v>224</v>
      </c>
      <c r="G1839" s="1">
        <v>5</v>
      </c>
      <c r="H1839" s="1">
        <v>46853</v>
      </c>
      <c r="I1839" s="1">
        <v>0.2</v>
      </c>
      <c r="J1839" s="1">
        <v>187412</v>
      </c>
      <c r="K1839" s="1">
        <v>40122.589999999997</v>
      </c>
      <c r="L1839" s="1" t="s">
        <v>23</v>
      </c>
      <c r="M1839" s="1" t="str">
        <f>TEXT(Table1[[#This Row],[Order Date]],"mmm")</f>
        <v>Dec</v>
      </c>
      <c r="N1839" s="1">
        <f>YEAR(Table1[[#This Row],[Order Date]])</f>
        <v>2023</v>
      </c>
    </row>
    <row r="1840" spans="1:14" x14ac:dyDescent="0.35">
      <c r="A1840" s="1" t="s">
        <v>2591</v>
      </c>
      <c r="B1840" s="1" t="s">
        <v>2592</v>
      </c>
      <c r="C1840" s="1" t="s">
        <v>40</v>
      </c>
      <c r="D1840" s="1" t="s">
        <v>133</v>
      </c>
      <c r="E1840" s="1" t="s">
        <v>22</v>
      </c>
      <c r="F1840" s="1" t="s">
        <v>133</v>
      </c>
      <c r="G1840" s="1">
        <v>2</v>
      </c>
      <c r="H1840" s="1">
        <v>28849</v>
      </c>
      <c r="I1840" s="1">
        <v>0</v>
      </c>
      <c r="J1840" s="1">
        <v>57698</v>
      </c>
      <c r="K1840" s="1">
        <v>6516.47</v>
      </c>
      <c r="L1840" s="1" t="s">
        <v>70</v>
      </c>
      <c r="M1840" s="1" t="str">
        <f>TEXT(Table1[[#This Row],[Order Date]],"mmm")</f>
        <v>May</v>
      </c>
      <c r="N1840" s="1">
        <f>YEAR(Table1[[#This Row],[Order Date]])</f>
        <v>2023</v>
      </c>
    </row>
    <row r="1841" spans="1:14" x14ac:dyDescent="0.35">
      <c r="A1841" s="1" t="s">
        <v>2593</v>
      </c>
      <c r="B1841" s="1" t="s">
        <v>2594</v>
      </c>
      <c r="C1841" s="1" t="s">
        <v>88</v>
      </c>
      <c r="D1841" s="1" t="s">
        <v>85</v>
      </c>
      <c r="E1841" s="1" t="s">
        <v>28</v>
      </c>
      <c r="F1841" s="1" t="s">
        <v>85</v>
      </c>
      <c r="G1841" s="1">
        <v>1</v>
      </c>
      <c r="H1841" s="1">
        <v>37348</v>
      </c>
      <c r="I1841" s="1">
        <v>0.1</v>
      </c>
      <c r="J1841" s="1">
        <v>33613.199999999997</v>
      </c>
      <c r="K1841" s="1">
        <v>9707.0300000000007</v>
      </c>
      <c r="L1841" s="1" t="s">
        <v>23</v>
      </c>
      <c r="M1841" s="1" t="str">
        <f>TEXT(Table1[[#This Row],[Order Date]],"mmm")</f>
        <v>Jul</v>
      </c>
      <c r="N1841" s="1">
        <f>YEAR(Table1[[#This Row],[Order Date]])</f>
        <v>2023</v>
      </c>
    </row>
    <row r="1842" spans="1:14" x14ac:dyDescent="0.35">
      <c r="A1842" s="1" t="s">
        <v>2595</v>
      </c>
      <c r="B1842" s="1" t="s">
        <v>886</v>
      </c>
      <c r="C1842" s="1" t="s">
        <v>640</v>
      </c>
      <c r="D1842" s="1" t="s">
        <v>85</v>
      </c>
      <c r="E1842" s="1" t="s">
        <v>28</v>
      </c>
      <c r="F1842" s="1" t="s">
        <v>85</v>
      </c>
      <c r="G1842" s="1">
        <v>4</v>
      </c>
      <c r="H1842" s="1">
        <v>21048</v>
      </c>
      <c r="I1842" s="1">
        <v>0.05</v>
      </c>
      <c r="J1842" s="1">
        <v>79982.399999999994</v>
      </c>
      <c r="K1842" s="1">
        <v>11959.88</v>
      </c>
      <c r="L1842" s="1" t="s">
        <v>70</v>
      </c>
      <c r="M1842" s="1" t="str">
        <f>TEXT(Table1[[#This Row],[Order Date]],"mmm")</f>
        <v>Apr</v>
      </c>
      <c r="N1842" s="1">
        <f>YEAR(Table1[[#This Row],[Order Date]])</f>
        <v>2023</v>
      </c>
    </row>
    <row r="1843" spans="1:14" x14ac:dyDescent="0.35">
      <c r="A1843" s="1" t="s">
        <v>2596</v>
      </c>
      <c r="B1843" s="1" t="s">
        <v>1180</v>
      </c>
      <c r="C1843" s="1" t="s">
        <v>255</v>
      </c>
      <c r="D1843" s="1" t="s">
        <v>52</v>
      </c>
      <c r="E1843" s="1" t="s">
        <v>28</v>
      </c>
      <c r="F1843" s="1" t="s">
        <v>52</v>
      </c>
      <c r="G1843" s="1">
        <v>13</v>
      </c>
      <c r="H1843" s="1">
        <v>46004</v>
      </c>
      <c r="I1843" s="1">
        <v>0.15</v>
      </c>
      <c r="J1843" s="1">
        <v>508344.2</v>
      </c>
      <c r="K1843" s="1">
        <v>69976.72</v>
      </c>
      <c r="L1843" s="1" t="s">
        <v>17</v>
      </c>
      <c r="M1843" s="1" t="str">
        <f>TEXT(Table1[[#This Row],[Order Date]],"mmm")</f>
        <v>Oct</v>
      </c>
      <c r="N1843" s="1">
        <f>YEAR(Table1[[#This Row],[Order Date]])</f>
        <v>2023</v>
      </c>
    </row>
    <row r="1844" spans="1:14" x14ac:dyDescent="0.35">
      <c r="A1844" s="1" t="s">
        <v>2597</v>
      </c>
      <c r="B1844" s="1" t="s">
        <v>1288</v>
      </c>
      <c r="C1844" s="1" t="s">
        <v>67</v>
      </c>
      <c r="D1844" s="1" t="s">
        <v>56</v>
      </c>
      <c r="E1844" s="1" t="s">
        <v>22</v>
      </c>
      <c r="F1844" s="1" t="s">
        <v>56</v>
      </c>
      <c r="G1844" s="1">
        <v>8</v>
      </c>
      <c r="H1844" s="1">
        <v>27357</v>
      </c>
      <c r="I1844" s="1">
        <v>0</v>
      </c>
      <c r="J1844" s="1">
        <v>218856</v>
      </c>
      <c r="K1844" s="1">
        <v>38069.279999999999</v>
      </c>
      <c r="L1844" s="1" t="s">
        <v>23</v>
      </c>
      <c r="M1844" s="1" t="str">
        <f>TEXT(Table1[[#This Row],[Order Date]],"mmm")</f>
        <v>Feb</v>
      </c>
      <c r="N1844" s="1">
        <f>YEAR(Table1[[#This Row],[Order Date]])</f>
        <v>2024</v>
      </c>
    </row>
    <row r="1845" spans="1:14" x14ac:dyDescent="0.35">
      <c r="A1845" s="1" t="s">
        <v>2598</v>
      </c>
      <c r="B1845" s="1" t="s">
        <v>545</v>
      </c>
      <c r="C1845" s="1" t="s">
        <v>640</v>
      </c>
      <c r="D1845" s="1" t="s">
        <v>48</v>
      </c>
      <c r="E1845" s="1" t="s">
        <v>16</v>
      </c>
      <c r="F1845" s="1" t="s">
        <v>48</v>
      </c>
      <c r="G1845" s="1">
        <v>5</v>
      </c>
      <c r="H1845" s="1">
        <v>11363</v>
      </c>
      <c r="I1845" s="1">
        <v>0.05</v>
      </c>
      <c r="J1845" s="1">
        <v>53974.25</v>
      </c>
      <c r="K1845" s="1">
        <v>8672.0400000000009</v>
      </c>
      <c r="L1845" s="1" t="s">
        <v>17</v>
      </c>
      <c r="M1845" s="1" t="str">
        <f>TEXT(Table1[[#This Row],[Order Date]],"mmm")</f>
        <v>Jan</v>
      </c>
      <c r="N1845" s="1">
        <f>YEAR(Table1[[#This Row],[Order Date]])</f>
        <v>2024</v>
      </c>
    </row>
    <row r="1846" spans="1:14" x14ac:dyDescent="0.35">
      <c r="A1846" s="1" t="s">
        <v>2599</v>
      </c>
      <c r="B1846" s="1" t="s">
        <v>599</v>
      </c>
      <c r="C1846" s="1" t="s">
        <v>36</v>
      </c>
      <c r="D1846" s="1" t="s">
        <v>15</v>
      </c>
      <c r="E1846" s="1" t="s">
        <v>16</v>
      </c>
      <c r="F1846" s="1" t="s">
        <v>15</v>
      </c>
      <c r="G1846" s="1">
        <v>11</v>
      </c>
      <c r="H1846" s="1">
        <v>27598</v>
      </c>
      <c r="I1846" s="1">
        <v>0.2</v>
      </c>
      <c r="J1846" s="1">
        <v>242862.4</v>
      </c>
      <c r="K1846" s="1">
        <v>43350.559999999998</v>
      </c>
      <c r="L1846" s="1" t="s">
        <v>45</v>
      </c>
      <c r="M1846" s="1" t="str">
        <f>TEXT(Table1[[#This Row],[Order Date]],"mmm")</f>
        <v>May</v>
      </c>
      <c r="N1846" s="1">
        <f>YEAR(Table1[[#This Row],[Order Date]])</f>
        <v>2023</v>
      </c>
    </row>
    <row r="1847" spans="1:14" x14ac:dyDescent="0.35">
      <c r="A1847" s="1" t="s">
        <v>2600</v>
      </c>
      <c r="B1847" s="1" t="s">
        <v>2601</v>
      </c>
      <c r="C1847" s="1" t="s">
        <v>175</v>
      </c>
      <c r="D1847" s="1" t="s">
        <v>323</v>
      </c>
      <c r="E1847" s="1" t="s">
        <v>33</v>
      </c>
      <c r="F1847" s="1" t="s">
        <v>323</v>
      </c>
      <c r="G1847" s="1">
        <v>2</v>
      </c>
      <c r="H1847" s="1">
        <v>50253</v>
      </c>
      <c r="I1847" s="1">
        <v>0.15</v>
      </c>
      <c r="J1847" s="1">
        <v>85430.1</v>
      </c>
      <c r="K1847" s="1">
        <v>14338.06</v>
      </c>
      <c r="L1847" s="1" t="s">
        <v>23</v>
      </c>
      <c r="M1847" s="1" t="str">
        <f>TEXT(Table1[[#This Row],[Order Date]],"mmm")</f>
        <v>Aug</v>
      </c>
      <c r="N1847" s="1">
        <f>YEAR(Table1[[#This Row],[Order Date]])</f>
        <v>2023</v>
      </c>
    </row>
    <row r="1848" spans="1:14" x14ac:dyDescent="0.35">
      <c r="A1848" s="1" t="s">
        <v>2602</v>
      </c>
      <c r="B1848" s="1" t="s">
        <v>1013</v>
      </c>
      <c r="C1848" s="1" t="s">
        <v>335</v>
      </c>
      <c r="D1848" s="1" t="s">
        <v>21</v>
      </c>
      <c r="E1848" s="1" t="s">
        <v>22</v>
      </c>
      <c r="F1848" s="1" t="s">
        <v>21</v>
      </c>
      <c r="G1848" s="1">
        <v>13</v>
      </c>
      <c r="H1848" s="1">
        <v>20179</v>
      </c>
      <c r="I1848" s="1">
        <v>0.2</v>
      </c>
      <c r="J1848" s="1">
        <v>209861.6</v>
      </c>
      <c r="K1848" s="1">
        <v>26972.21</v>
      </c>
      <c r="L1848" s="1" t="s">
        <v>23</v>
      </c>
      <c r="M1848" s="1" t="str">
        <f>TEXT(Table1[[#This Row],[Order Date]],"mmm")</f>
        <v>Sep</v>
      </c>
      <c r="N1848" s="1">
        <f>YEAR(Table1[[#This Row],[Order Date]])</f>
        <v>2023</v>
      </c>
    </row>
    <row r="1849" spans="1:14" x14ac:dyDescent="0.35">
      <c r="A1849" s="1" t="s">
        <v>2603</v>
      </c>
      <c r="B1849" s="1" t="s">
        <v>907</v>
      </c>
      <c r="C1849" s="1" t="s">
        <v>255</v>
      </c>
      <c r="D1849" s="1" t="s">
        <v>133</v>
      </c>
      <c r="E1849" s="1" t="s">
        <v>22</v>
      </c>
      <c r="F1849" s="1" t="s">
        <v>133</v>
      </c>
      <c r="G1849" s="1">
        <v>14</v>
      </c>
      <c r="H1849" s="1">
        <v>58800</v>
      </c>
      <c r="I1849" s="1">
        <v>0.05</v>
      </c>
      <c r="J1849" s="1">
        <v>782040</v>
      </c>
      <c r="K1849" s="1">
        <v>155866.70000000001</v>
      </c>
      <c r="L1849" s="1" t="s">
        <v>23</v>
      </c>
      <c r="M1849" s="1" t="str">
        <f>TEXT(Table1[[#This Row],[Order Date]],"mmm")</f>
        <v>Mar</v>
      </c>
      <c r="N1849" s="1">
        <f>YEAR(Table1[[#This Row],[Order Date]])</f>
        <v>2023</v>
      </c>
    </row>
    <row r="1850" spans="1:14" x14ac:dyDescent="0.35">
      <c r="A1850" s="1" t="s">
        <v>2604</v>
      </c>
      <c r="B1850" s="1" t="s">
        <v>1027</v>
      </c>
      <c r="C1850" s="1" t="s">
        <v>88</v>
      </c>
      <c r="D1850" s="1" t="s">
        <v>95</v>
      </c>
      <c r="E1850" s="1" t="s">
        <v>33</v>
      </c>
      <c r="F1850" s="1" t="s">
        <v>95</v>
      </c>
      <c r="G1850" s="1">
        <v>5</v>
      </c>
      <c r="H1850" s="1">
        <v>25166</v>
      </c>
      <c r="I1850" s="1">
        <v>0.15</v>
      </c>
      <c r="J1850" s="1">
        <v>106955.5</v>
      </c>
      <c r="K1850" s="1">
        <v>31600.28</v>
      </c>
      <c r="L1850" s="1" t="s">
        <v>70</v>
      </c>
      <c r="M1850" s="1" t="str">
        <f>TEXT(Table1[[#This Row],[Order Date]],"mmm")</f>
        <v>Nov</v>
      </c>
      <c r="N1850" s="1">
        <f>YEAR(Table1[[#This Row],[Order Date]])</f>
        <v>2023</v>
      </c>
    </row>
    <row r="1851" spans="1:14" x14ac:dyDescent="0.35">
      <c r="A1851" s="1" t="s">
        <v>2605</v>
      </c>
      <c r="B1851" s="1" t="s">
        <v>1834</v>
      </c>
      <c r="C1851" s="1" t="s">
        <v>640</v>
      </c>
      <c r="D1851" s="1" t="s">
        <v>44</v>
      </c>
      <c r="E1851" s="1" t="s">
        <v>28</v>
      </c>
      <c r="F1851" s="1" t="s">
        <v>44</v>
      </c>
      <c r="G1851" s="1">
        <v>12</v>
      </c>
      <c r="H1851" s="1">
        <v>16433</v>
      </c>
      <c r="I1851" s="1">
        <v>0.1</v>
      </c>
      <c r="J1851" s="1">
        <v>177476.4</v>
      </c>
      <c r="K1851" s="1">
        <v>20882.38</v>
      </c>
      <c r="L1851" s="1" t="s">
        <v>23</v>
      </c>
      <c r="M1851" s="1" t="str">
        <f>TEXT(Table1[[#This Row],[Order Date]],"mmm")</f>
        <v>Nov</v>
      </c>
      <c r="N1851" s="1">
        <f>YEAR(Table1[[#This Row],[Order Date]])</f>
        <v>2023</v>
      </c>
    </row>
    <row r="1852" spans="1:14" x14ac:dyDescent="0.35">
      <c r="A1852" s="1" t="s">
        <v>2606</v>
      </c>
      <c r="B1852" s="1" t="s">
        <v>737</v>
      </c>
      <c r="C1852" s="1" t="s">
        <v>178</v>
      </c>
      <c r="D1852" s="1" t="s">
        <v>74</v>
      </c>
      <c r="E1852" s="1" t="s">
        <v>22</v>
      </c>
      <c r="F1852" s="1" t="s">
        <v>74</v>
      </c>
      <c r="G1852" s="1">
        <v>11</v>
      </c>
      <c r="H1852" s="1">
        <v>56967</v>
      </c>
      <c r="I1852" s="1">
        <v>0</v>
      </c>
      <c r="J1852" s="1">
        <v>626637</v>
      </c>
      <c r="K1852" s="1">
        <v>124070.84</v>
      </c>
      <c r="L1852" s="1" t="s">
        <v>70</v>
      </c>
      <c r="M1852" s="1" t="str">
        <f>TEXT(Table1[[#This Row],[Order Date]],"mmm")</f>
        <v>Aug</v>
      </c>
      <c r="N1852" s="1">
        <f>YEAR(Table1[[#This Row],[Order Date]])</f>
        <v>2023</v>
      </c>
    </row>
    <row r="1853" spans="1:14" x14ac:dyDescent="0.35">
      <c r="A1853" s="1" t="s">
        <v>2607</v>
      </c>
      <c r="B1853" s="1" t="s">
        <v>696</v>
      </c>
      <c r="C1853" s="1" t="s">
        <v>227</v>
      </c>
      <c r="D1853" s="1" t="s">
        <v>44</v>
      </c>
      <c r="E1853" s="1" t="s">
        <v>28</v>
      </c>
      <c r="F1853" s="1" t="s">
        <v>44</v>
      </c>
      <c r="G1853" s="1">
        <v>14</v>
      </c>
      <c r="H1853" s="1">
        <v>33697</v>
      </c>
      <c r="I1853" s="1">
        <v>0.05</v>
      </c>
      <c r="J1853" s="1">
        <v>448170.1</v>
      </c>
      <c r="K1853" s="1">
        <v>120360.98</v>
      </c>
      <c r="L1853" s="1" t="s">
        <v>70</v>
      </c>
      <c r="M1853" s="1" t="str">
        <f>TEXT(Table1[[#This Row],[Order Date]],"mmm")</f>
        <v>Apr</v>
      </c>
      <c r="N1853" s="1">
        <f>YEAR(Table1[[#This Row],[Order Date]])</f>
        <v>2023</v>
      </c>
    </row>
    <row r="1854" spans="1:14" x14ac:dyDescent="0.35">
      <c r="A1854" s="1" t="s">
        <v>2608</v>
      </c>
      <c r="B1854" s="1" t="s">
        <v>2151</v>
      </c>
      <c r="C1854" s="1" t="s">
        <v>155</v>
      </c>
      <c r="D1854" s="1" t="s">
        <v>52</v>
      </c>
      <c r="E1854" s="1" t="s">
        <v>28</v>
      </c>
      <c r="F1854" s="1" t="s">
        <v>52</v>
      </c>
      <c r="G1854" s="1">
        <v>5</v>
      </c>
      <c r="H1854" s="1">
        <v>16868</v>
      </c>
      <c r="I1854" s="1">
        <v>0.15</v>
      </c>
      <c r="J1854" s="1">
        <v>71689</v>
      </c>
      <c r="K1854" s="1">
        <v>20381.98</v>
      </c>
      <c r="L1854" s="1" t="s">
        <v>45</v>
      </c>
      <c r="M1854" s="1" t="str">
        <f>TEXT(Table1[[#This Row],[Order Date]],"mmm")</f>
        <v>Jun</v>
      </c>
      <c r="N1854" s="1">
        <f>YEAR(Table1[[#This Row],[Order Date]])</f>
        <v>2024</v>
      </c>
    </row>
    <row r="1855" spans="1:14" x14ac:dyDescent="0.35">
      <c r="A1855" s="1" t="s">
        <v>2609</v>
      </c>
      <c r="B1855" s="1" t="s">
        <v>372</v>
      </c>
      <c r="C1855" s="1" t="s">
        <v>111</v>
      </c>
      <c r="D1855" s="1" t="s">
        <v>74</v>
      </c>
      <c r="E1855" s="1" t="s">
        <v>22</v>
      </c>
      <c r="F1855" s="1" t="s">
        <v>74</v>
      </c>
      <c r="G1855" s="1">
        <v>4</v>
      </c>
      <c r="H1855" s="1">
        <v>17245</v>
      </c>
      <c r="I1855" s="1">
        <v>0</v>
      </c>
      <c r="J1855" s="1">
        <v>68980</v>
      </c>
      <c r="K1855" s="1">
        <v>10890.02</v>
      </c>
      <c r="L1855" s="1" t="s">
        <v>45</v>
      </c>
      <c r="M1855" s="1" t="str">
        <f>TEXT(Table1[[#This Row],[Order Date]],"mmm")</f>
        <v>Jan</v>
      </c>
      <c r="N1855" s="1">
        <f>YEAR(Table1[[#This Row],[Order Date]])</f>
        <v>2023</v>
      </c>
    </row>
    <row r="1856" spans="1:14" x14ac:dyDescent="0.35">
      <c r="A1856" s="1" t="s">
        <v>2610</v>
      </c>
      <c r="B1856" s="1" t="s">
        <v>772</v>
      </c>
      <c r="C1856" s="1" t="s">
        <v>88</v>
      </c>
      <c r="D1856" s="1" t="s">
        <v>60</v>
      </c>
      <c r="E1856" s="1" t="s">
        <v>33</v>
      </c>
      <c r="F1856" s="1" t="s">
        <v>60</v>
      </c>
      <c r="G1856" s="1">
        <v>1</v>
      </c>
      <c r="H1856" s="1">
        <v>5770</v>
      </c>
      <c r="I1856" s="1">
        <v>0.1</v>
      </c>
      <c r="J1856" s="1">
        <v>5193</v>
      </c>
      <c r="K1856" s="1">
        <v>638.16</v>
      </c>
      <c r="L1856" s="1" t="s">
        <v>70</v>
      </c>
      <c r="M1856" s="1" t="str">
        <f>TEXT(Table1[[#This Row],[Order Date]],"mmm")</f>
        <v>Nov</v>
      </c>
      <c r="N1856" s="1">
        <f>YEAR(Table1[[#This Row],[Order Date]])</f>
        <v>2023</v>
      </c>
    </row>
    <row r="1857" spans="1:14" x14ac:dyDescent="0.35">
      <c r="A1857" s="1" t="s">
        <v>2611</v>
      </c>
      <c r="B1857" s="1" t="s">
        <v>2161</v>
      </c>
      <c r="C1857" s="1" t="s">
        <v>208</v>
      </c>
      <c r="D1857" s="1" t="s">
        <v>60</v>
      </c>
      <c r="E1857" s="1" t="s">
        <v>33</v>
      </c>
      <c r="F1857" s="1" t="s">
        <v>60</v>
      </c>
      <c r="G1857" s="1">
        <v>7</v>
      </c>
      <c r="H1857" s="1">
        <v>29128</v>
      </c>
      <c r="I1857" s="1">
        <v>0.05</v>
      </c>
      <c r="J1857" s="1">
        <v>193701.2</v>
      </c>
      <c r="K1857" s="1">
        <v>28973.01</v>
      </c>
      <c r="L1857" s="1" t="s">
        <v>23</v>
      </c>
      <c r="M1857" s="1" t="str">
        <f>TEXT(Table1[[#This Row],[Order Date]],"mmm")</f>
        <v>Sep</v>
      </c>
      <c r="N1857" s="1">
        <f>YEAR(Table1[[#This Row],[Order Date]])</f>
        <v>2023</v>
      </c>
    </row>
    <row r="1858" spans="1:14" x14ac:dyDescent="0.35">
      <c r="A1858" s="1" t="s">
        <v>2612</v>
      </c>
      <c r="B1858" s="1" t="s">
        <v>1631</v>
      </c>
      <c r="C1858" s="1" t="s">
        <v>55</v>
      </c>
      <c r="D1858" s="1" t="s">
        <v>21</v>
      </c>
      <c r="E1858" s="1" t="s">
        <v>22</v>
      </c>
      <c r="F1858" s="1" t="s">
        <v>21</v>
      </c>
      <c r="G1858" s="1">
        <v>6</v>
      </c>
      <c r="H1858" s="1">
        <v>34418</v>
      </c>
      <c r="I1858" s="1">
        <v>0.2</v>
      </c>
      <c r="J1858" s="1">
        <v>165206.39999999999</v>
      </c>
      <c r="K1858" s="1">
        <v>17882.46</v>
      </c>
      <c r="L1858" s="1" t="s">
        <v>17</v>
      </c>
      <c r="M1858" s="1" t="str">
        <f>TEXT(Table1[[#This Row],[Order Date]],"mmm")</f>
        <v>Apr</v>
      </c>
      <c r="N1858" s="1">
        <f>YEAR(Table1[[#This Row],[Order Date]])</f>
        <v>2023</v>
      </c>
    </row>
    <row r="1859" spans="1:14" x14ac:dyDescent="0.35">
      <c r="A1859" s="1" t="s">
        <v>2613</v>
      </c>
      <c r="B1859" s="1" t="s">
        <v>991</v>
      </c>
      <c r="C1859" s="1" t="s">
        <v>155</v>
      </c>
      <c r="D1859" s="1" t="s">
        <v>95</v>
      </c>
      <c r="E1859" s="1" t="s">
        <v>33</v>
      </c>
      <c r="F1859" s="1" t="s">
        <v>95</v>
      </c>
      <c r="G1859" s="1">
        <v>9</v>
      </c>
      <c r="H1859" s="1">
        <v>21830</v>
      </c>
      <c r="I1859" s="1">
        <v>0</v>
      </c>
      <c r="J1859" s="1">
        <v>196470</v>
      </c>
      <c r="K1859" s="1">
        <v>37413.67</v>
      </c>
      <c r="L1859" s="1" t="s">
        <v>45</v>
      </c>
      <c r="M1859" s="1" t="str">
        <f>TEXT(Table1[[#This Row],[Order Date]],"mmm")</f>
        <v>Feb</v>
      </c>
      <c r="N1859" s="1">
        <f>YEAR(Table1[[#This Row],[Order Date]])</f>
        <v>2024</v>
      </c>
    </row>
    <row r="1860" spans="1:14" x14ac:dyDescent="0.35">
      <c r="A1860" s="1" t="s">
        <v>2614</v>
      </c>
      <c r="B1860" s="1" t="s">
        <v>716</v>
      </c>
      <c r="C1860" s="1" t="s">
        <v>362</v>
      </c>
      <c r="D1860" s="1" t="s">
        <v>52</v>
      </c>
      <c r="E1860" s="1" t="s">
        <v>28</v>
      </c>
      <c r="F1860" s="1" t="s">
        <v>52</v>
      </c>
      <c r="G1860" s="1">
        <v>15</v>
      </c>
      <c r="H1860" s="1">
        <v>40084</v>
      </c>
      <c r="I1860" s="1">
        <v>0.05</v>
      </c>
      <c r="J1860" s="1">
        <v>571197</v>
      </c>
      <c r="K1860" s="1">
        <v>149603</v>
      </c>
      <c r="L1860" s="1" t="s">
        <v>70</v>
      </c>
      <c r="M1860" s="1" t="str">
        <f>TEXT(Table1[[#This Row],[Order Date]],"mmm")</f>
        <v>Apr</v>
      </c>
      <c r="N1860" s="1">
        <f>YEAR(Table1[[#This Row],[Order Date]])</f>
        <v>2023</v>
      </c>
    </row>
    <row r="1861" spans="1:14" x14ac:dyDescent="0.35">
      <c r="A1861" s="1" t="s">
        <v>2615</v>
      </c>
      <c r="B1861" s="1" t="s">
        <v>833</v>
      </c>
      <c r="C1861" s="1" t="s">
        <v>111</v>
      </c>
      <c r="D1861" s="1" t="s">
        <v>60</v>
      </c>
      <c r="E1861" s="1" t="s">
        <v>33</v>
      </c>
      <c r="F1861" s="1" t="s">
        <v>60</v>
      </c>
      <c r="G1861" s="1">
        <v>7</v>
      </c>
      <c r="H1861" s="1">
        <v>2000</v>
      </c>
      <c r="I1861" s="1">
        <v>0</v>
      </c>
      <c r="J1861" s="1">
        <v>14000</v>
      </c>
      <c r="K1861" s="1">
        <v>3517.18</v>
      </c>
      <c r="L1861" s="1" t="s">
        <v>45</v>
      </c>
      <c r="M1861" s="1" t="str">
        <f>TEXT(Table1[[#This Row],[Order Date]],"mmm")</f>
        <v>Apr</v>
      </c>
      <c r="N1861" s="1">
        <f>YEAR(Table1[[#This Row],[Order Date]])</f>
        <v>2023</v>
      </c>
    </row>
    <row r="1862" spans="1:14" x14ac:dyDescent="0.35">
      <c r="A1862" s="1" t="s">
        <v>2616</v>
      </c>
      <c r="B1862" s="1" t="s">
        <v>1660</v>
      </c>
      <c r="C1862" s="1" t="s">
        <v>507</v>
      </c>
      <c r="D1862" s="1" t="s">
        <v>91</v>
      </c>
      <c r="E1862" s="1" t="s">
        <v>16</v>
      </c>
      <c r="F1862" s="1" t="s">
        <v>91</v>
      </c>
      <c r="G1862" s="1">
        <v>15</v>
      </c>
      <c r="H1862" s="1">
        <v>45480</v>
      </c>
      <c r="I1862" s="1">
        <v>0.2</v>
      </c>
      <c r="J1862" s="1">
        <v>545760</v>
      </c>
      <c r="K1862" s="1">
        <v>104510.28</v>
      </c>
      <c r="L1862" s="1" t="s">
        <v>23</v>
      </c>
      <c r="M1862" s="1" t="str">
        <f>TEXT(Table1[[#This Row],[Order Date]],"mmm")</f>
        <v>Jun</v>
      </c>
      <c r="N1862" s="1">
        <f>YEAR(Table1[[#This Row],[Order Date]])</f>
        <v>2023</v>
      </c>
    </row>
    <row r="1863" spans="1:14" x14ac:dyDescent="0.35">
      <c r="A1863" s="1" t="s">
        <v>2617</v>
      </c>
      <c r="B1863" s="1" t="s">
        <v>1798</v>
      </c>
      <c r="C1863" s="1" t="s">
        <v>20</v>
      </c>
      <c r="D1863" s="1" t="s">
        <v>64</v>
      </c>
      <c r="E1863" s="1" t="s">
        <v>33</v>
      </c>
      <c r="F1863" s="1" t="s">
        <v>64</v>
      </c>
      <c r="G1863" s="1">
        <v>13</v>
      </c>
      <c r="H1863" s="1">
        <v>14379</v>
      </c>
      <c r="I1863" s="1">
        <v>0.05</v>
      </c>
      <c r="J1863" s="1">
        <v>177580.65</v>
      </c>
      <c r="K1863" s="1">
        <v>24659.53</v>
      </c>
      <c r="L1863" s="1" t="s">
        <v>23</v>
      </c>
      <c r="M1863" s="1" t="str">
        <f>TEXT(Table1[[#This Row],[Order Date]],"mmm")</f>
        <v>Jan</v>
      </c>
      <c r="N1863" s="1">
        <f>YEAR(Table1[[#This Row],[Order Date]])</f>
        <v>2024</v>
      </c>
    </row>
    <row r="1864" spans="1:14" x14ac:dyDescent="0.35">
      <c r="A1864" s="1" t="s">
        <v>2618</v>
      </c>
      <c r="B1864" s="1" t="s">
        <v>2619</v>
      </c>
      <c r="C1864" s="1" t="s">
        <v>59</v>
      </c>
      <c r="D1864" s="1" t="s">
        <v>91</v>
      </c>
      <c r="E1864" s="1" t="s">
        <v>16</v>
      </c>
      <c r="F1864" s="1" t="s">
        <v>91</v>
      </c>
      <c r="G1864" s="1">
        <v>8</v>
      </c>
      <c r="H1864" s="1">
        <v>1798</v>
      </c>
      <c r="I1864" s="1">
        <v>0.15</v>
      </c>
      <c r="J1864" s="1">
        <v>12226.4</v>
      </c>
      <c r="K1864" s="1">
        <v>1898.51</v>
      </c>
      <c r="L1864" s="1" t="s">
        <v>70</v>
      </c>
      <c r="M1864" s="1" t="str">
        <f>TEXT(Table1[[#This Row],[Order Date]],"mmm")</f>
        <v>Mar</v>
      </c>
      <c r="N1864" s="1">
        <f>YEAR(Table1[[#This Row],[Order Date]])</f>
        <v>2024</v>
      </c>
    </row>
    <row r="1865" spans="1:14" x14ac:dyDescent="0.35">
      <c r="A1865" s="1" t="s">
        <v>2620</v>
      </c>
      <c r="B1865" s="1" t="s">
        <v>742</v>
      </c>
      <c r="C1865" s="1" t="s">
        <v>191</v>
      </c>
      <c r="D1865" s="1" t="s">
        <v>15</v>
      </c>
      <c r="E1865" s="1" t="s">
        <v>16</v>
      </c>
      <c r="F1865" s="1" t="s">
        <v>15</v>
      </c>
      <c r="G1865" s="1">
        <v>14</v>
      </c>
      <c r="H1865" s="1">
        <v>57185</v>
      </c>
      <c r="I1865" s="1">
        <v>0.2</v>
      </c>
      <c r="J1865" s="1">
        <v>640472</v>
      </c>
      <c r="K1865" s="1">
        <v>153936.44</v>
      </c>
      <c r="L1865" s="1" t="s">
        <v>45</v>
      </c>
      <c r="M1865" s="1" t="str">
        <f>TEXT(Table1[[#This Row],[Order Date]],"mmm")</f>
        <v>Aug</v>
      </c>
      <c r="N1865" s="1">
        <f>YEAR(Table1[[#This Row],[Order Date]])</f>
        <v>2023</v>
      </c>
    </row>
    <row r="1866" spans="1:14" x14ac:dyDescent="0.35">
      <c r="A1866" s="1" t="s">
        <v>2621</v>
      </c>
      <c r="B1866" s="1" t="s">
        <v>475</v>
      </c>
      <c r="C1866" s="1" t="s">
        <v>55</v>
      </c>
      <c r="D1866" s="1" t="s">
        <v>151</v>
      </c>
      <c r="E1866" s="1" t="s">
        <v>22</v>
      </c>
      <c r="F1866" s="1" t="s">
        <v>151</v>
      </c>
      <c r="G1866" s="1">
        <v>15</v>
      </c>
      <c r="H1866" s="1">
        <v>6765</v>
      </c>
      <c r="I1866" s="1">
        <v>0</v>
      </c>
      <c r="J1866" s="1">
        <v>101475</v>
      </c>
      <c r="K1866" s="1">
        <v>9563.2800000000007</v>
      </c>
      <c r="L1866" s="1" t="s">
        <v>45</v>
      </c>
      <c r="M1866" s="1" t="str">
        <f>TEXT(Table1[[#This Row],[Order Date]],"mmm")</f>
        <v>Jun</v>
      </c>
      <c r="N1866" s="1">
        <f>YEAR(Table1[[#This Row],[Order Date]])</f>
        <v>2023</v>
      </c>
    </row>
    <row r="1867" spans="1:14" x14ac:dyDescent="0.35">
      <c r="A1867" s="1" t="s">
        <v>2622</v>
      </c>
      <c r="B1867" s="1" t="s">
        <v>122</v>
      </c>
      <c r="C1867" s="1" t="s">
        <v>51</v>
      </c>
      <c r="D1867" s="1" t="s">
        <v>60</v>
      </c>
      <c r="E1867" s="1" t="s">
        <v>33</v>
      </c>
      <c r="F1867" s="1" t="s">
        <v>60</v>
      </c>
      <c r="G1867" s="1">
        <v>9</v>
      </c>
      <c r="H1867" s="1">
        <v>51524</v>
      </c>
      <c r="I1867" s="1">
        <v>0</v>
      </c>
      <c r="J1867" s="1">
        <v>463716</v>
      </c>
      <c r="K1867" s="1">
        <v>125404.96</v>
      </c>
      <c r="L1867" s="1" t="s">
        <v>70</v>
      </c>
      <c r="M1867" s="1" t="str">
        <f>TEXT(Table1[[#This Row],[Order Date]],"mmm")</f>
        <v>Jul</v>
      </c>
      <c r="N1867" s="1">
        <f>YEAR(Table1[[#This Row],[Order Date]])</f>
        <v>2024</v>
      </c>
    </row>
    <row r="1868" spans="1:14" x14ac:dyDescent="0.35">
      <c r="A1868" s="1" t="s">
        <v>2623</v>
      </c>
      <c r="B1868" s="1" t="s">
        <v>1155</v>
      </c>
      <c r="C1868" s="1" t="s">
        <v>73</v>
      </c>
      <c r="D1868" s="1" t="s">
        <v>48</v>
      </c>
      <c r="E1868" s="1" t="s">
        <v>16</v>
      </c>
      <c r="F1868" s="1" t="s">
        <v>48</v>
      </c>
      <c r="G1868" s="1">
        <v>6</v>
      </c>
      <c r="H1868" s="1">
        <v>39788</v>
      </c>
      <c r="I1868" s="1">
        <v>0.1</v>
      </c>
      <c r="J1868" s="1">
        <v>214855.2</v>
      </c>
      <c r="K1868" s="1">
        <v>36729.83</v>
      </c>
      <c r="L1868" s="1" t="s">
        <v>23</v>
      </c>
      <c r="M1868" s="1" t="str">
        <f>TEXT(Table1[[#This Row],[Order Date]],"mmm")</f>
        <v>May</v>
      </c>
      <c r="N1868" s="1">
        <f>YEAR(Table1[[#This Row],[Order Date]])</f>
        <v>2024</v>
      </c>
    </row>
    <row r="1869" spans="1:14" x14ac:dyDescent="0.35">
      <c r="A1869" s="1" t="s">
        <v>2624</v>
      </c>
      <c r="B1869" s="1" t="s">
        <v>269</v>
      </c>
      <c r="C1869" s="1" t="s">
        <v>362</v>
      </c>
      <c r="D1869" s="1" t="s">
        <v>95</v>
      </c>
      <c r="E1869" s="1" t="s">
        <v>33</v>
      </c>
      <c r="F1869" s="1" t="s">
        <v>95</v>
      </c>
      <c r="G1869" s="1">
        <v>13</v>
      </c>
      <c r="H1869" s="1">
        <v>40552</v>
      </c>
      <c r="I1869" s="1">
        <v>0.05</v>
      </c>
      <c r="J1869" s="1">
        <v>500817.2</v>
      </c>
      <c r="K1869" s="1">
        <v>56422.91</v>
      </c>
      <c r="L1869" s="1" t="s">
        <v>17</v>
      </c>
      <c r="M1869" s="1" t="str">
        <f>TEXT(Table1[[#This Row],[Order Date]],"mmm")</f>
        <v>Dec</v>
      </c>
      <c r="N1869" s="1">
        <f>YEAR(Table1[[#This Row],[Order Date]])</f>
        <v>2023</v>
      </c>
    </row>
    <row r="1870" spans="1:14" x14ac:dyDescent="0.35">
      <c r="A1870" s="1" t="s">
        <v>2625</v>
      </c>
      <c r="B1870" s="1" t="s">
        <v>143</v>
      </c>
      <c r="C1870" s="1" t="s">
        <v>63</v>
      </c>
      <c r="D1870" s="1" t="s">
        <v>133</v>
      </c>
      <c r="E1870" s="1" t="s">
        <v>22</v>
      </c>
      <c r="F1870" s="1" t="s">
        <v>133</v>
      </c>
      <c r="G1870" s="1">
        <v>2</v>
      </c>
      <c r="H1870" s="1">
        <v>2028</v>
      </c>
      <c r="I1870" s="1">
        <v>0.1</v>
      </c>
      <c r="J1870" s="1">
        <v>3650.4</v>
      </c>
      <c r="K1870" s="1">
        <v>745.71</v>
      </c>
      <c r="L1870" s="1" t="s">
        <v>23</v>
      </c>
      <c r="M1870" s="1" t="str">
        <f>TEXT(Table1[[#This Row],[Order Date]],"mmm")</f>
        <v>Jul</v>
      </c>
      <c r="N1870" s="1">
        <f>YEAR(Table1[[#This Row],[Order Date]])</f>
        <v>2023</v>
      </c>
    </row>
    <row r="1871" spans="1:14" x14ac:dyDescent="0.35">
      <c r="A1871" s="1" t="s">
        <v>2626</v>
      </c>
      <c r="B1871" s="1" t="s">
        <v>1804</v>
      </c>
      <c r="C1871" s="1" t="s">
        <v>101</v>
      </c>
      <c r="D1871" s="1" t="s">
        <v>56</v>
      </c>
      <c r="E1871" s="1" t="s">
        <v>22</v>
      </c>
      <c r="F1871" s="1" t="s">
        <v>56</v>
      </c>
      <c r="G1871" s="1">
        <v>12</v>
      </c>
      <c r="H1871" s="1">
        <v>40727</v>
      </c>
      <c r="I1871" s="1">
        <v>0.1</v>
      </c>
      <c r="J1871" s="1">
        <v>439851.6</v>
      </c>
      <c r="K1871" s="1">
        <v>125107.66</v>
      </c>
      <c r="L1871" s="1" t="s">
        <v>70</v>
      </c>
      <c r="M1871" s="1" t="str">
        <f>TEXT(Table1[[#This Row],[Order Date]],"mmm")</f>
        <v>Nov</v>
      </c>
      <c r="N1871" s="1">
        <f>YEAR(Table1[[#This Row],[Order Date]])</f>
        <v>2023</v>
      </c>
    </row>
    <row r="1872" spans="1:14" x14ac:dyDescent="0.35">
      <c r="A1872" s="1" t="s">
        <v>2627</v>
      </c>
      <c r="B1872" s="1" t="s">
        <v>846</v>
      </c>
      <c r="C1872" s="1" t="s">
        <v>155</v>
      </c>
      <c r="D1872" s="1" t="s">
        <v>21</v>
      </c>
      <c r="E1872" s="1" t="s">
        <v>22</v>
      </c>
      <c r="F1872" s="1" t="s">
        <v>21</v>
      </c>
      <c r="G1872" s="1">
        <v>10</v>
      </c>
      <c r="H1872" s="1">
        <v>48022</v>
      </c>
      <c r="I1872" s="1">
        <v>0.1</v>
      </c>
      <c r="J1872" s="1">
        <v>432198</v>
      </c>
      <c r="K1872" s="1">
        <v>123560.86</v>
      </c>
      <c r="L1872" s="1" t="s">
        <v>23</v>
      </c>
      <c r="M1872" s="1" t="str">
        <f>TEXT(Table1[[#This Row],[Order Date]],"mmm")</f>
        <v>Aug</v>
      </c>
      <c r="N1872" s="1">
        <f>YEAR(Table1[[#This Row],[Order Date]])</f>
        <v>2024</v>
      </c>
    </row>
    <row r="1873" spans="1:14" x14ac:dyDescent="0.35">
      <c r="A1873" s="1" t="s">
        <v>2628</v>
      </c>
      <c r="B1873" s="1" t="s">
        <v>1507</v>
      </c>
      <c r="C1873" s="1" t="s">
        <v>40</v>
      </c>
      <c r="D1873" s="1" t="s">
        <v>52</v>
      </c>
      <c r="E1873" s="1" t="s">
        <v>28</v>
      </c>
      <c r="F1873" s="1" t="s">
        <v>52</v>
      </c>
      <c r="G1873" s="1">
        <v>6</v>
      </c>
      <c r="H1873" s="1">
        <v>10383</v>
      </c>
      <c r="I1873" s="1">
        <v>0.1</v>
      </c>
      <c r="J1873" s="1">
        <v>56068.2</v>
      </c>
      <c r="K1873" s="1">
        <v>6856.28</v>
      </c>
      <c r="L1873" s="1" t="s">
        <v>17</v>
      </c>
      <c r="M1873" s="1" t="str">
        <f>TEXT(Table1[[#This Row],[Order Date]],"mmm")</f>
        <v>Nov</v>
      </c>
      <c r="N1873" s="1">
        <f>YEAR(Table1[[#This Row],[Order Date]])</f>
        <v>2023</v>
      </c>
    </row>
    <row r="1874" spans="1:14" x14ac:dyDescent="0.35">
      <c r="A1874" s="1" t="s">
        <v>2629</v>
      </c>
      <c r="B1874" s="1" t="s">
        <v>226</v>
      </c>
      <c r="C1874" s="1" t="s">
        <v>55</v>
      </c>
      <c r="D1874" s="1" t="s">
        <v>52</v>
      </c>
      <c r="E1874" s="1" t="s">
        <v>28</v>
      </c>
      <c r="F1874" s="1" t="s">
        <v>52</v>
      </c>
      <c r="G1874" s="1">
        <v>7</v>
      </c>
      <c r="H1874" s="1">
        <v>8299</v>
      </c>
      <c r="I1874" s="1">
        <v>0.15</v>
      </c>
      <c r="J1874" s="1">
        <v>49379.05</v>
      </c>
      <c r="K1874" s="1">
        <v>10174.74</v>
      </c>
      <c r="L1874" s="1" t="s">
        <v>23</v>
      </c>
      <c r="M1874" s="1" t="str">
        <f>TEXT(Table1[[#This Row],[Order Date]],"mmm")</f>
        <v>Oct</v>
      </c>
      <c r="N1874" s="1">
        <f>YEAR(Table1[[#This Row],[Order Date]])</f>
        <v>2024</v>
      </c>
    </row>
    <row r="1875" spans="1:14" x14ac:dyDescent="0.35">
      <c r="A1875" s="1" t="s">
        <v>2630</v>
      </c>
      <c r="B1875" s="1" t="s">
        <v>1559</v>
      </c>
      <c r="C1875" s="1" t="s">
        <v>55</v>
      </c>
      <c r="D1875" s="1" t="s">
        <v>27</v>
      </c>
      <c r="E1875" s="1" t="s">
        <v>28</v>
      </c>
      <c r="F1875" s="1" t="s">
        <v>27</v>
      </c>
      <c r="G1875" s="1">
        <v>11</v>
      </c>
      <c r="H1875" s="1">
        <v>19279</v>
      </c>
      <c r="I1875" s="1">
        <v>0.15</v>
      </c>
      <c r="J1875" s="1">
        <v>180258.65</v>
      </c>
      <c r="K1875" s="1">
        <v>49445.81</v>
      </c>
      <c r="L1875" s="1" t="s">
        <v>45</v>
      </c>
      <c r="M1875" s="1" t="str">
        <f>TEXT(Table1[[#This Row],[Order Date]],"mmm")</f>
        <v>Jan</v>
      </c>
      <c r="N1875" s="1">
        <f>YEAR(Table1[[#This Row],[Order Date]])</f>
        <v>2023</v>
      </c>
    </row>
    <row r="1876" spans="1:14" x14ac:dyDescent="0.35">
      <c r="A1876" s="1" t="s">
        <v>2631</v>
      </c>
      <c r="B1876" s="1" t="s">
        <v>207</v>
      </c>
      <c r="C1876" s="1" t="s">
        <v>81</v>
      </c>
      <c r="D1876" s="1" t="s">
        <v>114</v>
      </c>
      <c r="E1876" s="1" t="s">
        <v>16</v>
      </c>
      <c r="F1876" s="1" t="s">
        <v>114</v>
      </c>
      <c r="G1876" s="1">
        <v>11</v>
      </c>
      <c r="H1876" s="1">
        <v>22899</v>
      </c>
      <c r="I1876" s="1">
        <v>0.2</v>
      </c>
      <c r="J1876" s="1">
        <v>201511.2</v>
      </c>
      <c r="K1876" s="1">
        <v>49127.48</v>
      </c>
      <c r="L1876" s="1" t="s">
        <v>45</v>
      </c>
      <c r="M1876" s="1" t="str">
        <f>TEXT(Table1[[#This Row],[Order Date]],"mmm")</f>
        <v>Jun</v>
      </c>
      <c r="N1876" s="1">
        <f>YEAR(Table1[[#This Row],[Order Date]])</f>
        <v>2024</v>
      </c>
    </row>
    <row r="1877" spans="1:14" x14ac:dyDescent="0.35">
      <c r="A1877" s="1" t="s">
        <v>2632</v>
      </c>
      <c r="B1877" s="1" t="s">
        <v>770</v>
      </c>
      <c r="C1877" s="1" t="s">
        <v>81</v>
      </c>
      <c r="D1877" s="1" t="s">
        <v>41</v>
      </c>
      <c r="E1877" s="1" t="s">
        <v>16</v>
      </c>
      <c r="F1877" s="1" t="s">
        <v>41</v>
      </c>
      <c r="G1877" s="1">
        <v>1</v>
      </c>
      <c r="H1877" s="1">
        <v>6991</v>
      </c>
      <c r="I1877" s="1">
        <v>0.15</v>
      </c>
      <c r="J1877" s="1">
        <v>5942.35</v>
      </c>
      <c r="K1877" s="1">
        <v>993.02</v>
      </c>
      <c r="L1877" s="1" t="s">
        <v>23</v>
      </c>
      <c r="M1877" s="1" t="str">
        <f>TEXT(Table1[[#This Row],[Order Date]],"mmm")</f>
        <v>Feb</v>
      </c>
      <c r="N1877" s="1">
        <f>YEAR(Table1[[#This Row],[Order Date]])</f>
        <v>2024</v>
      </c>
    </row>
    <row r="1878" spans="1:14" x14ac:dyDescent="0.35">
      <c r="A1878" s="1" t="s">
        <v>2633</v>
      </c>
      <c r="B1878" s="1" t="s">
        <v>504</v>
      </c>
      <c r="C1878" s="1" t="s">
        <v>59</v>
      </c>
      <c r="D1878" s="1" t="s">
        <v>48</v>
      </c>
      <c r="E1878" s="1" t="s">
        <v>16</v>
      </c>
      <c r="F1878" s="1" t="s">
        <v>48</v>
      </c>
      <c r="G1878" s="1">
        <v>13</v>
      </c>
      <c r="H1878" s="1">
        <v>2693</v>
      </c>
      <c r="I1878" s="1">
        <v>0.15</v>
      </c>
      <c r="J1878" s="1">
        <v>29757.65</v>
      </c>
      <c r="K1878" s="1">
        <v>4441.38</v>
      </c>
      <c r="L1878" s="1" t="s">
        <v>23</v>
      </c>
      <c r="M1878" s="1" t="str">
        <f>TEXT(Table1[[#This Row],[Order Date]],"mmm")</f>
        <v>Aug</v>
      </c>
      <c r="N1878" s="1">
        <f>YEAR(Table1[[#This Row],[Order Date]])</f>
        <v>2023</v>
      </c>
    </row>
    <row r="1879" spans="1:14" x14ac:dyDescent="0.35">
      <c r="A1879" s="1" t="s">
        <v>2634</v>
      </c>
      <c r="B1879" s="1" t="s">
        <v>2635</v>
      </c>
      <c r="C1879" s="1" t="s">
        <v>370</v>
      </c>
      <c r="D1879" s="1" t="s">
        <v>74</v>
      </c>
      <c r="E1879" s="1" t="s">
        <v>22</v>
      </c>
      <c r="F1879" s="1" t="s">
        <v>74</v>
      </c>
      <c r="G1879" s="1">
        <v>3</v>
      </c>
      <c r="H1879" s="1">
        <v>53062</v>
      </c>
      <c r="I1879" s="1">
        <v>0</v>
      </c>
      <c r="J1879" s="1">
        <v>159186</v>
      </c>
      <c r="K1879" s="1">
        <v>34100.65</v>
      </c>
      <c r="L1879" s="1" t="s">
        <v>45</v>
      </c>
      <c r="M1879" s="1" t="str">
        <f>TEXT(Table1[[#This Row],[Order Date]],"mmm")</f>
        <v>Jun</v>
      </c>
      <c r="N1879" s="1">
        <f>YEAR(Table1[[#This Row],[Order Date]])</f>
        <v>2023</v>
      </c>
    </row>
    <row r="1880" spans="1:14" x14ac:dyDescent="0.35">
      <c r="A1880" s="1" t="s">
        <v>2636</v>
      </c>
      <c r="B1880" s="1" t="s">
        <v>351</v>
      </c>
      <c r="C1880" s="1" t="s">
        <v>507</v>
      </c>
      <c r="D1880" s="1" t="s">
        <v>48</v>
      </c>
      <c r="E1880" s="1" t="s">
        <v>16</v>
      </c>
      <c r="F1880" s="1" t="s">
        <v>48</v>
      </c>
      <c r="G1880" s="1">
        <v>1</v>
      </c>
      <c r="H1880" s="1">
        <v>12195</v>
      </c>
      <c r="I1880" s="1">
        <v>0.05</v>
      </c>
      <c r="J1880" s="1">
        <v>11585.25</v>
      </c>
      <c r="K1880" s="1">
        <v>1584.69</v>
      </c>
      <c r="L1880" s="1" t="s">
        <v>17</v>
      </c>
      <c r="M1880" s="1" t="str">
        <f>TEXT(Table1[[#This Row],[Order Date]],"mmm")</f>
        <v>Apr</v>
      </c>
      <c r="N1880" s="1">
        <f>YEAR(Table1[[#This Row],[Order Date]])</f>
        <v>2023</v>
      </c>
    </row>
    <row r="1881" spans="1:14" x14ac:dyDescent="0.35">
      <c r="A1881" s="1" t="s">
        <v>2637</v>
      </c>
      <c r="B1881" s="1" t="s">
        <v>893</v>
      </c>
      <c r="C1881" s="1" t="s">
        <v>188</v>
      </c>
      <c r="D1881" s="1" t="s">
        <v>133</v>
      </c>
      <c r="E1881" s="1" t="s">
        <v>22</v>
      </c>
      <c r="F1881" s="1" t="s">
        <v>133</v>
      </c>
      <c r="G1881" s="1">
        <v>2</v>
      </c>
      <c r="H1881" s="1">
        <v>22126</v>
      </c>
      <c r="I1881" s="1">
        <v>0.05</v>
      </c>
      <c r="J1881" s="1">
        <v>42039.4</v>
      </c>
      <c r="K1881" s="1">
        <v>11838.71</v>
      </c>
      <c r="L1881" s="1" t="s">
        <v>45</v>
      </c>
      <c r="M1881" s="1" t="str">
        <f>TEXT(Table1[[#This Row],[Order Date]],"mmm")</f>
        <v>Oct</v>
      </c>
      <c r="N1881" s="1">
        <f>YEAR(Table1[[#This Row],[Order Date]])</f>
        <v>2023</v>
      </c>
    </row>
    <row r="1882" spans="1:14" x14ac:dyDescent="0.35">
      <c r="A1882" s="1" t="s">
        <v>2638</v>
      </c>
      <c r="B1882" s="1" t="s">
        <v>673</v>
      </c>
      <c r="C1882" s="1" t="s">
        <v>335</v>
      </c>
      <c r="D1882" s="1" t="s">
        <v>44</v>
      </c>
      <c r="E1882" s="1" t="s">
        <v>28</v>
      </c>
      <c r="F1882" s="1" t="s">
        <v>44</v>
      </c>
      <c r="G1882" s="1">
        <v>2</v>
      </c>
      <c r="H1882" s="1">
        <v>59175</v>
      </c>
      <c r="I1882" s="1">
        <v>0.2</v>
      </c>
      <c r="J1882" s="1">
        <v>94680</v>
      </c>
      <c r="K1882" s="1">
        <v>25512.51</v>
      </c>
      <c r="L1882" s="1" t="s">
        <v>70</v>
      </c>
      <c r="M1882" s="1" t="str">
        <f>TEXT(Table1[[#This Row],[Order Date]],"mmm")</f>
        <v>Dec</v>
      </c>
      <c r="N1882" s="1">
        <f>YEAR(Table1[[#This Row],[Order Date]])</f>
        <v>2023</v>
      </c>
    </row>
    <row r="1883" spans="1:14" x14ac:dyDescent="0.35">
      <c r="A1883" s="1" t="s">
        <v>2639</v>
      </c>
      <c r="B1883" s="1" t="s">
        <v>80</v>
      </c>
      <c r="C1883" s="1" t="s">
        <v>255</v>
      </c>
      <c r="D1883" s="1" t="s">
        <v>85</v>
      </c>
      <c r="E1883" s="1" t="s">
        <v>28</v>
      </c>
      <c r="F1883" s="1" t="s">
        <v>85</v>
      </c>
      <c r="G1883" s="1">
        <v>12</v>
      </c>
      <c r="H1883" s="1">
        <v>59961</v>
      </c>
      <c r="I1883" s="1">
        <v>0.2</v>
      </c>
      <c r="J1883" s="1">
        <v>575625.6</v>
      </c>
      <c r="K1883" s="1">
        <v>125781.93</v>
      </c>
      <c r="L1883" s="1" t="s">
        <v>45</v>
      </c>
      <c r="M1883" s="1" t="str">
        <f>TEXT(Table1[[#This Row],[Order Date]],"mmm")</f>
        <v>Jan</v>
      </c>
      <c r="N1883" s="1">
        <f>YEAR(Table1[[#This Row],[Order Date]])</f>
        <v>2023</v>
      </c>
    </row>
    <row r="1884" spans="1:14" x14ac:dyDescent="0.35">
      <c r="A1884" s="1" t="s">
        <v>2640</v>
      </c>
      <c r="B1884" s="1" t="s">
        <v>213</v>
      </c>
      <c r="C1884" s="1" t="s">
        <v>170</v>
      </c>
      <c r="D1884" s="1" t="s">
        <v>60</v>
      </c>
      <c r="E1884" s="1" t="s">
        <v>33</v>
      </c>
      <c r="F1884" s="1" t="s">
        <v>60</v>
      </c>
      <c r="G1884" s="1">
        <v>3</v>
      </c>
      <c r="H1884" s="1">
        <v>32980</v>
      </c>
      <c r="I1884" s="1">
        <v>0.05</v>
      </c>
      <c r="J1884" s="1">
        <v>93993</v>
      </c>
      <c r="K1884" s="1">
        <v>26862.57</v>
      </c>
      <c r="L1884" s="1" t="s">
        <v>23</v>
      </c>
      <c r="M1884" s="1" t="str">
        <f>TEXT(Table1[[#This Row],[Order Date]],"mmm")</f>
        <v>Sep</v>
      </c>
      <c r="N1884" s="1">
        <f>YEAR(Table1[[#This Row],[Order Date]])</f>
        <v>2024</v>
      </c>
    </row>
    <row r="1885" spans="1:14" x14ac:dyDescent="0.35">
      <c r="A1885" s="1" t="s">
        <v>2641</v>
      </c>
      <c r="B1885" s="1" t="s">
        <v>1225</v>
      </c>
      <c r="C1885" s="1" t="s">
        <v>227</v>
      </c>
      <c r="D1885" s="1" t="s">
        <v>21</v>
      </c>
      <c r="E1885" s="1" t="s">
        <v>22</v>
      </c>
      <c r="F1885" s="1" t="s">
        <v>21</v>
      </c>
      <c r="G1885" s="1">
        <v>6</v>
      </c>
      <c r="H1885" s="1">
        <v>56866</v>
      </c>
      <c r="I1885" s="1">
        <v>0.05</v>
      </c>
      <c r="J1885" s="1">
        <v>324136.2</v>
      </c>
      <c r="K1885" s="1">
        <v>80718.91</v>
      </c>
      <c r="L1885" s="1" t="s">
        <v>45</v>
      </c>
      <c r="M1885" s="1" t="str">
        <f>TEXT(Table1[[#This Row],[Order Date]],"mmm")</f>
        <v>May</v>
      </c>
      <c r="N1885" s="1">
        <f>YEAR(Table1[[#This Row],[Order Date]])</f>
        <v>2023</v>
      </c>
    </row>
    <row r="1886" spans="1:14" x14ac:dyDescent="0.35">
      <c r="A1886" s="1" t="s">
        <v>2642</v>
      </c>
      <c r="B1886" s="1" t="s">
        <v>462</v>
      </c>
      <c r="C1886" s="1" t="s">
        <v>188</v>
      </c>
      <c r="D1886" s="1" t="s">
        <v>85</v>
      </c>
      <c r="E1886" s="1" t="s">
        <v>28</v>
      </c>
      <c r="F1886" s="1" t="s">
        <v>85</v>
      </c>
      <c r="G1886" s="1">
        <v>7</v>
      </c>
      <c r="H1886" s="1">
        <v>2065</v>
      </c>
      <c r="I1886" s="1">
        <v>0</v>
      </c>
      <c r="J1886" s="1">
        <v>14455</v>
      </c>
      <c r="K1886" s="1">
        <v>1483.56</v>
      </c>
      <c r="L1886" s="1" t="s">
        <v>17</v>
      </c>
      <c r="M1886" s="1" t="str">
        <f>TEXT(Table1[[#This Row],[Order Date]],"mmm")</f>
        <v>Jul</v>
      </c>
      <c r="N1886" s="1">
        <f>YEAR(Table1[[#This Row],[Order Date]])</f>
        <v>2024</v>
      </c>
    </row>
    <row r="1887" spans="1:14" x14ac:dyDescent="0.35">
      <c r="A1887" s="1" t="s">
        <v>2643</v>
      </c>
      <c r="B1887" s="1" t="s">
        <v>339</v>
      </c>
      <c r="C1887" s="1" t="s">
        <v>370</v>
      </c>
      <c r="D1887" s="1" t="s">
        <v>91</v>
      </c>
      <c r="E1887" s="1" t="s">
        <v>16</v>
      </c>
      <c r="F1887" s="1" t="s">
        <v>91</v>
      </c>
      <c r="G1887" s="1">
        <v>11</v>
      </c>
      <c r="H1887" s="1">
        <v>24263</v>
      </c>
      <c r="I1887" s="1">
        <v>0.2</v>
      </c>
      <c r="J1887" s="1">
        <v>213514.4</v>
      </c>
      <c r="K1887" s="1">
        <v>48344.14</v>
      </c>
      <c r="L1887" s="1" t="s">
        <v>23</v>
      </c>
      <c r="M1887" s="1" t="str">
        <f>TEXT(Table1[[#This Row],[Order Date]],"mmm")</f>
        <v>Jun</v>
      </c>
      <c r="N1887" s="1">
        <f>YEAR(Table1[[#This Row],[Order Date]])</f>
        <v>2024</v>
      </c>
    </row>
    <row r="1888" spans="1:14" x14ac:dyDescent="0.35">
      <c r="A1888" s="1" t="s">
        <v>2644</v>
      </c>
      <c r="B1888" s="1" t="s">
        <v>1097</v>
      </c>
      <c r="C1888" s="1" t="s">
        <v>140</v>
      </c>
      <c r="D1888" s="1" t="s">
        <v>133</v>
      </c>
      <c r="E1888" s="1" t="s">
        <v>22</v>
      </c>
      <c r="F1888" s="1" t="s">
        <v>133</v>
      </c>
      <c r="G1888" s="1">
        <v>5</v>
      </c>
      <c r="H1888" s="1">
        <v>9877</v>
      </c>
      <c r="I1888" s="1">
        <v>0.05</v>
      </c>
      <c r="J1888" s="1">
        <v>46915.75</v>
      </c>
      <c r="K1888" s="1">
        <v>8223.6200000000008</v>
      </c>
      <c r="L1888" s="1" t="s">
        <v>70</v>
      </c>
      <c r="M1888" s="1" t="str">
        <f>TEXT(Table1[[#This Row],[Order Date]],"mmm")</f>
        <v>Sep</v>
      </c>
      <c r="N1888" s="1">
        <f>YEAR(Table1[[#This Row],[Order Date]])</f>
        <v>2024</v>
      </c>
    </row>
    <row r="1889" spans="1:14" x14ac:dyDescent="0.35">
      <c r="A1889" s="1" t="s">
        <v>2645</v>
      </c>
      <c r="B1889" s="1" t="s">
        <v>343</v>
      </c>
      <c r="C1889" s="1" t="s">
        <v>73</v>
      </c>
      <c r="D1889" s="1" t="s">
        <v>85</v>
      </c>
      <c r="E1889" s="1" t="s">
        <v>28</v>
      </c>
      <c r="F1889" s="1" t="s">
        <v>85</v>
      </c>
      <c r="G1889" s="1">
        <v>12</v>
      </c>
      <c r="H1889" s="1">
        <v>17498</v>
      </c>
      <c r="I1889" s="1">
        <v>0.15</v>
      </c>
      <c r="J1889" s="1">
        <v>178479.6</v>
      </c>
      <c r="K1889" s="1">
        <v>44567.35</v>
      </c>
      <c r="L1889" s="1" t="s">
        <v>45</v>
      </c>
      <c r="M1889" s="1" t="str">
        <f>TEXT(Table1[[#This Row],[Order Date]],"mmm")</f>
        <v>Feb</v>
      </c>
      <c r="N1889" s="1">
        <f>YEAR(Table1[[#This Row],[Order Date]])</f>
        <v>2024</v>
      </c>
    </row>
    <row r="1890" spans="1:14" x14ac:dyDescent="0.35">
      <c r="A1890" s="1" t="s">
        <v>2646</v>
      </c>
      <c r="B1890" s="1" t="s">
        <v>244</v>
      </c>
      <c r="C1890" s="1" t="s">
        <v>335</v>
      </c>
      <c r="D1890" s="1" t="s">
        <v>15</v>
      </c>
      <c r="E1890" s="1" t="s">
        <v>16</v>
      </c>
      <c r="F1890" s="1" t="s">
        <v>15</v>
      </c>
      <c r="G1890" s="1">
        <v>3</v>
      </c>
      <c r="H1890" s="1">
        <v>4856</v>
      </c>
      <c r="I1890" s="1">
        <v>0.1</v>
      </c>
      <c r="J1890" s="1">
        <v>13111.2</v>
      </c>
      <c r="K1890" s="1">
        <v>2439</v>
      </c>
      <c r="L1890" s="1" t="s">
        <v>45</v>
      </c>
      <c r="M1890" s="1" t="str">
        <f>TEXT(Table1[[#This Row],[Order Date]],"mmm")</f>
        <v>Dec</v>
      </c>
      <c r="N1890" s="1">
        <f>YEAR(Table1[[#This Row],[Order Date]])</f>
        <v>2023</v>
      </c>
    </row>
    <row r="1891" spans="1:14" x14ac:dyDescent="0.35">
      <c r="A1891" s="1" t="s">
        <v>2647</v>
      </c>
      <c r="B1891" s="1" t="s">
        <v>1926</v>
      </c>
      <c r="C1891" s="1" t="s">
        <v>260</v>
      </c>
      <c r="D1891" s="1" t="s">
        <v>37</v>
      </c>
      <c r="E1891" s="1" t="s">
        <v>16</v>
      </c>
      <c r="F1891" s="1" t="s">
        <v>37</v>
      </c>
      <c r="G1891" s="1">
        <v>11</v>
      </c>
      <c r="H1891" s="1">
        <v>38430</v>
      </c>
      <c r="I1891" s="1">
        <v>0</v>
      </c>
      <c r="J1891" s="1">
        <v>422730</v>
      </c>
      <c r="K1891" s="1">
        <v>62157.89</v>
      </c>
      <c r="L1891" s="1" t="s">
        <v>17</v>
      </c>
      <c r="M1891" s="1" t="str">
        <f>TEXT(Table1[[#This Row],[Order Date]],"mmm")</f>
        <v>Oct</v>
      </c>
      <c r="N1891" s="1">
        <f>YEAR(Table1[[#This Row],[Order Date]])</f>
        <v>2023</v>
      </c>
    </row>
    <row r="1892" spans="1:14" x14ac:dyDescent="0.35">
      <c r="A1892" s="1" t="s">
        <v>2648</v>
      </c>
      <c r="B1892" s="1" t="s">
        <v>746</v>
      </c>
      <c r="C1892" s="1" t="s">
        <v>640</v>
      </c>
      <c r="D1892" s="1" t="s">
        <v>21</v>
      </c>
      <c r="E1892" s="1" t="s">
        <v>22</v>
      </c>
      <c r="F1892" s="1" t="s">
        <v>21</v>
      </c>
      <c r="G1892" s="1">
        <v>7</v>
      </c>
      <c r="H1892" s="1">
        <v>36899</v>
      </c>
      <c r="I1892" s="1">
        <v>0</v>
      </c>
      <c r="J1892" s="1">
        <v>258293</v>
      </c>
      <c r="K1892" s="1">
        <v>45131.199999999997</v>
      </c>
      <c r="L1892" s="1" t="s">
        <v>70</v>
      </c>
      <c r="M1892" s="1" t="str">
        <f>TEXT(Table1[[#This Row],[Order Date]],"mmm")</f>
        <v>Mar</v>
      </c>
      <c r="N1892" s="1">
        <f>YEAR(Table1[[#This Row],[Order Date]])</f>
        <v>2024</v>
      </c>
    </row>
    <row r="1893" spans="1:14" x14ac:dyDescent="0.35">
      <c r="A1893" s="1" t="s">
        <v>2649</v>
      </c>
      <c r="B1893" s="1" t="s">
        <v>719</v>
      </c>
      <c r="C1893" s="1" t="s">
        <v>125</v>
      </c>
      <c r="D1893" s="1" t="s">
        <v>137</v>
      </c>
      <c r="E1893" s="1" t="s">
        <v>22</v>
      </c>
      <c r="F1893" s="1" t="s">
        <v>137</v>
      </c>
      <c r="G1893" s="1">
        <v>13</v>
      </c>
      <c r="H1893" s="1">
        <v>53962</v>
      </c>
      <c r="I1893" s="1">
        <v>0.2</v>
      </c>
      <c r="J1893" s="1">
        <v>561204.80000000005</v>
      </c>
      <c r="K1893" s="1">
        <v>108514.25</v>
      </c>
      <c r="L1893" s="1" t="s">
        <v>70</v>
      </c>
      <c r="M1893" s="1" t="str">
        <f>TEXT(Table1[[#This Row],[Order Date]],"mmm")</f>
        <v>Feb</v>
      </c>
      <c r="N1893" s="1">
        <f>YEAR(Table1[[#This Row],[Order Date]])</f>
        <v>2023</v>
      </c>
    </row>
    <row r="1894" spans="1:14" x14ac:dyDescent="0.35">
      <c r="A1894" s="1" t="s">
        <v>2650</v>
      </c>
      <c r="B1894" s="1" t="s">
        <v>735</v>
      </c>
      <c r="C1894" s="1" t="s">
        <v>120</v>
      </c>
      <c r="D1894" s="1" t="s">
        <v>74</v>
      </c>
      <c r="E1894" s="1" t="s">
        <v>22</v>
      </c>
      <c r="F1894" s="1" t="s">
        <v>74</v>
      </c>
      <c r="G1894" s="1">
        <v>5</v>
      </c>
      <c r="H1894" s="1">
        <v>50730</v>
      </c>
      <c r="I1894" s="1">
        <v>0.15</v>
      </c>
      <c r="J1894" s="1">
        <v>215602.5</v>
      </c>
      <c r="K1894" s="1">
        <v>43780.73</v>
      </c>
      <c r="L1894" s="1" t="s">
        <v>23</v>
      </c>
      <c r="M1894" s="1" t="str">
        <f>TEXT(Table1[[#This Row],[Order Date]],"mmm")</f>
        <v>Aug</v>
      </c>
      <c r="N1894" s="1">
        <f>YEAR(Table1[[#This Row],[Order Date]])</f>
        <v>2024</v>
      </c>
    </row>
    <row r="1895" spans="1:14" x14ac:dyDescent="0.35">
      <c r="A1895" s="1" t="s">
        <v>2651</v>
      </c>
      <c r="B1895" s="1" t="s">
        <v>334</v>
      </c>
      <c r="C1895" s="1" t="s">
        <v>349</v>
      </c>
      <c r="D1895" s="1" t="s">
        <v>15</v>
      </c>
      <c r="E1895" s="1" t="s">
        <v>16</v>
      </c>
      <c r="F1895" s="1" t="s">
        <v>15</v>
      </c>
      <c r="G1895" s="1">
        <v>13</v>
      </c>
      <c r="H1895" s="1">
        <v>15568</v>
      </c>
      <c r="I1895" s="1">
        <v>0.05</v>
      </c>
      <c r="J1895" s="1">
        <v>192264.8</v>
      </c>
      <c r="K1895" s="1">
        <v>56725.26</v>
      </c>
      <c r="L1895" s="1" t="s">
        <v>45</v>
      </c>
      <c r="M1895" s="1" t="str">
        <f>TEXT(Table1[[#This Row],[Order Date]],"mmm")</f>
        <v>Sep</v>
      </c>
      <c r="N1895" s="1">
        <f>YEAR(Table1[[#This Row],[Order Date]])</f>
        <v>2023</v>
      </c>
    </row>
    <row r="1896" spans="1:14" x14ac:dyDescent="0.35">
      <c r="A1896" s="1" t="s">
        <v>2652</v>
      </c>
      <c r="B1896" s="1" t="s">
        <v>1339</v>
      </c>
      <c r="C1896" s="1" t="s">
        <v>200</v>
      </c>
      <c r="D1896" s="1" t="s">
        <v>64</v>
      </c>
      <c r="E1896" s="1" t="s">
        <v>33</v>
      </c>
      <c r="F1896" s="1" t="s">
        <v>64</v>
      </c>
      <c r="G1896" s="1">
        <v>14</v>
      </c>
      <c r="H1896" s="1">
        <v>55038</v>
      </c>
      <c r="I1896" s="1">
        <v>0.1</v>
      </c>
      <c r="J1896" s="1">
        <v>693478.8</v>
      </c>
      <c r="K1896" s="1">
        <v>68528.210000000006</v>
      </c>
      <c r="L1896" s="1" t="s">
        <v>23</v>
      </c>
      <c r="M1896" s="1" t="str">
        <f>TEXT(Table1[[#This Row],[Order Date]],"mmm")</f>
        <v>Jul</v>
      </c>
      <c r="N1896" s="1">
        <f>YEAR(Table1[[#This Row],[Order Date]])</f>
        <v>2023</v>
      </c>
    </row>
    <row r="1897" spans="1:14" x14ac:dyDescent="0.35">
      <c r="A1897" s="1" t="s">
        <v>2653</v>
      </c>
      <c r="B1897" s="1" t="s">
        <v>2654</v>
      </c>
      <c r="C1897" s="1" t="s">
        <v>104</v>
      </c>
      <c r="D1897" s="1" t="s">
        <v>85</v>
      </c>
      <c r="E1897" s="1" t="s">
        <v>28</v>
      </c>
      <c r="F1897" s="1" t="s">
        <v>85</v>
      </c>
      <c r="G1897" s="1">
        <v>15</v>
      </c>
      <c r="H1897" s="1">
        <v>54212</v>
      </c>
      <c r="I1897" s="1">
        <v>0</v>
      </c>
      <c r="J1897" s="1">
        <v>813180</v>
      </c>
      <c r="K1897" s="1">
        <v>147459.24</v>
      </c>
      <c r="L1897" s="1" t="s">
        <v>23</v>
      </c>
      <c r="M1897" s="1" t="str">
        <f>TEXT(Table1[[#This Row],[Order Date]],"mmm")</f>
        <v>Apr</v>
      </c>
      <c r="N1897" s="1">
        <f>YEAR(Table1[[#This Row],[Order Date]])</f>
        <v>2023</v>
      </c>
    </row>
    <row r="1898" spans="1:14" x14ac:dyDescent="0.35">
      <c r="A1898" s="1" t="s">
        <v>2655</v>
      </c>
      <c r="B1898" s="1" t="s">
        <v>164</v>
      </c>
      <c r="C1898" s="1" t="s">
        <v>20</v>
      </c>
      <c r="D1898" s="1" t="s">
        <v>137</v>
      </c>
      <c r="E1898" s="1" t="s">
        <v>22</v>
      </c>
      <c r="F1898" s="1" t="s">
        <v>137</v>
      </c>
      <c r="G1898" s="1">
        <v>6</v>
      </c>
      <c r="H1898" s="1">
        <v>13179</v>
      </c>
      <c r="I1898" s="1">
        <v>0.2</v>
      </c>
      <c r="J1898" s="1">
        <v>63259.199999999997</v>
      </c>
      <c r="K1898" s="1">
        <v>18230.11</v>
      </c>
      <c r="L1898" s="1" t="s">
        <v>17</v>
      </c>
      <c r="M1898" s="1" t="str">
        <f>TEXT(Table1[[#This Row],[Order Date]],"mmm")</f>
        <v>May</v>
      </c>
      <c r="N1898" s="1">
        <f>YEAR(Table1[[#This Row],[Order Date]])</f>
        <v>2023</v>
      </c>
    </row>
    <row r="1899" spans="1:14" x14ac:dyDescent="0.35">
      <c r="A1899" s="1" t="s">
        <v>2656</v>
      </c>
      <c r="B1899" s="1" t="s">
        <v>253</v>
      </c>
      <c r="C1899" s="1" t="s">
        <v>104</v>
      </c>
      <c r="D1899" s="1" t="s">
        <v>114</v>
      </c>
      <c r="E1899" s="1" t="s">
        <v>16</v>
      </c>
      <c r="F1899" s="1" t="s">
        <v>114</v>
      </c>
      <c r="G1899" s="1">
        <v>3</v>
      </c>
      <c r="H1899" s="1">
        <v>6780</v>
      </c>
      <c r="I1899" s="1">
        <v>0.15</v>
      </c>
      <c r="J1899" s="1">
        <v>17289</v>
      </c>
      <c r="K1899" s="1">
        <v>3194.83</v>
      </c>
      <c r="L1899" s="1" t="s">
        <v>70</v>
      </c>
      <c r="M1899" s="1" t="str">
        <f>TEXT(Table1[[#This Row],[Order Date]],"mmm")</f>
        <v>Apr</v>
      </c>
      <c r="N1899" s="1">
        <f>YEAR(Table1[[#This Row],[Order Date]])</f>
        <v>2024</v>
      </c>
    </row>
    <row r="1900" spans="1:14" x14ac:dyDescent="0.35">
      <c r="A1900" s="1" t="s">
        <v>2657</v>
      </c>
      <c r="B1900" s="1" t="s">
        <v>1460</v>
      </c>
      <c r="C1900" s="1" t="s">
        <v>191</v>
      </c>
      <c r="D1900" s="1" t="s">
        <v>167</v>
      </c>
      <c r="E1900" s="1" t="s">
        <v>16</v>
      </c>
      <c r="F1900" s="1" t="s">
        <v>167</v>
      </c>
      <c r="G1900" s="1">
        <v>4</v>
      </c>
      <c r="H1900" s="1">
        <v>48855</v>
      </c>
      <c r="I1900" s="1">
        <v>0.2</v>
      </c>
      <c r="J1900" s="1">
        <v>156336</v>
      </c>
      <c r="K1900" s="1">
        <v>39133.019999999997</v>
      </c>
      <c r="L1900" s="1" t="s">
        <v>70</v>
      </c>
      <c r="M1900" s="1" t="str">
        <f>TEXT(Table1[[#This Row],[Order Date]],"mmm")</f>
        <v>Feb</v>
      </c>
      <c r="N1900" s="1">
        <f>YEAR(Table1[[#This Row],[Order Date]])</f>
        <v>2023</v>
      </c>
    </row>
    <row r="1901" spans="1:14" x14ac:dyDescent="0.35">
      <c r="A1901" s="1" t="s">
        <v>2658</v>
      </c>
      <c r="B1901" s="1" t="s">
        <v>272</v>
      </c>
      <c r="C1901" s="1" t="s">
        <v>158</v>
      </c>
      <c r="D1901" s="1" t="s">
        <v>91</v>
      </c>
      <c r="E1901" s="1" t="s">
        <v>16</v>
      </c>
      <c r="F1901" s="1" t="s">
        <v>91</v>
      </c>
      <c r="G1901" s="1">
        <v>7</v>
      </c>
      <c r="H1901" s="1">
        <v>19625</v>
      </c>
      <c r="I1901" s="1">
        <v>0.05</v>
      </c>
      <c r="J1901" s="1">
        <v>130506.25</v>
      </c>
      <c r="K1901" s="1">
        <v>13991.89</v>
      </c>
      <c r="L1901" s="1" t="s">
        <v>70</v>
      </c>
      <c r="M1901" s="1" t="str">
        <f>TEXT(Table1[[#This Row],[Order Date]],"mmm")</f>
        <v>Jun</v>
      </c>
      <c r="N1901" s="1">
        <f>YEAR(Table1[[#This Row],[Order Date]])</f>
        <v>2023</v>
      </c>
    </row>
    <row r="1902" spans="1:14" x14ac:dyDescent="0.35">
      <c r="A1902" s="1" t="s">
        <v>2659</v>
      </c>
      <c r="B1902" s="1" t="s">
        <v>554</v>
      </c>
      <c r="C1902" s="1" t="s">
        <v>260</v>
      </c>
      <c r="D1902" s="1" t="s">
        <v>179</v>
      </c>
      <c r="E1902" s="1" t="s">
        <v>28</v>
      </c>
      <c r="F1902" s="1" t="s">
        <v>179</v>
      </c>
      <c r="G1902" s="1">
        <v>1</v>
      </c>
      <c r="H1902" s="1">
        <v>43776</v>
      </c>
      <c r="I1902" s="1">
        <v>0</v>
      </c>
      <c r="J1902" s="1">
        <v>43776</v>
      </c>
      <c r="K1902" s="1">
        <v>7266.71</v>
      </c>
      <c r="L1902" s="1" t="s">
        <v>17</v>
      </c>
      <c r="M1902" s="1" t="str">
        <f>TEXT(Table1[[#This Row],[Order Date]],"mmm")</f>
        <v>Nov</v>
      </c>
      <c r="N1902" s="1">
        <f>YEAR(Table1[[#This Row],[Order Date]])</f>
        <v>2023</v>
      </c>
    </row>
    <row r="1903" spans="1:14" x14ac:dyDescent="0.35">
      <c r="A1903" s="1" t="s">
        <v>2660</v>
      </c>
      <c r="B1903" s="1" t="s">
        <v>1652</v>
      </c>
      <c r="C1903" s="1" t="s">
        <v>191</v>
      </c>
      <c r="D1903" s="1" t="s">
        <v>74</v>
      </c>
      <c r="E1903" s="1" t="s">
        <v>22</v>
      </c>
      <c r="F1903" s="1" t="s">
        <v>74</v>
      </c>
      <c r="G1903" s="1">
        <v>2</v>
      </c>
      <c r="H1903" s="1">
        <v>56631</v>
      </c>
      <c r="I1903" s="1">
        <v>0</v>
      </c>
      <c r="J1903" s="1">
        <v>113262</v>
      </c>
      <c r="K1903" s="1">
        <v>9511.85</v>
      </c>
      <c r="L1903" s="1" t="s">
        <v>70</v>
      </c>
      <c r="M1903" s="1" t="str">
        <f>TEXT(Table1[[#This Row],[Order Date]],"mmm")</f>
        <v>Sep</v>
      </c>
      <c r="N1903" s="1">
        <f>YEAR(Table1[[#This Row],[Order Date]])</f>
        <v>2024</v>
      </c>
    </row>
    <row r="1904" spans="1:14" x14ac:dyDescent="0.35">
      <c r="A1904" s="1" t="s">
        <v>2661</v>
      </c>
      <c r="B1904" s="1" t="s">
        <v>1099</v>
      </c>
      <c r="C1904" s="1" t="s">
        <v>191</v>
      </c>
      <c r="D1904" s="1" t="s">
        <v>52</v>
      </c>
      <c r="E1904" s="1" t="s">
        <v>28</v>
      </c>
      <c r="F1904" s="1" t="s">
        <v>52</v>
      </c>
      <c r="G1904" s="1">
        <v>11</v>
      </c>
      <c r="H1904" s="1">
        <v>53262</v>
      </c>
      <c r="I1904" s="1">
        <v>0</v>
      </c>
      <c r="J1904" s="1">
        <v>585882</v>
      </c>
      <c r="K1904" s="1">
        <v>82044.679999999993</v>
      </c>
      <c r="L1904" s="1" t="s">
        <v>45</v>
      </c>
      <c r="M1904" s="1" t="str">
        <f>TEXT(Table1[[#This Row],[Order Date]],"mmm")</f>
        <v>Oct</v>
      </c>
      <c r="N1904" s="1">
        <f>YEAR(Table1[[#This Row],[Order Date]])</f>
        <v>2023</v>
      </c>
    </row>
    <row r="1905" spans="1:14" x14ac:dyDescent="0.35">
      <c r="A1905" s="1" t="s">
        <v>2662</v>
      </c>
      <c r="B1905" s="1" t="s">
        <v>410</v>
      </c>
      <c r="C1905" s="1" t="s">
        <v>332</v>
      </c>
      <c r="D1905" s="1" t="s">
        <v>85</v>
      </c>
      <c r="E1905" s="1" t="s">
        <v>28</v>
      </c>
      <c r="F1905" s="1" t="s">
        <v>85</v>
      </c>
      <c r="G1905" s="1">
        <v>4</v>
      </c>
      <c r="H1905" s="1">
        <v>43833</v>
      </c>
      <c r="I1905" s="1">
        <v>0</v>
      </c>
      <c r="J1905" s="1">
        <v>175332</v>
      </c>
      <c r="K1905" s="1">
        <v>26025.06</v>
      </c>
      <c r="L1905" s="1" t="s">
        <v>45</v>
      </c>
      <c r="M1905" s="1" t="str">
        <f>TEXT(Table1[[#This Row],[Order Date]],"mmm")</f>
        <v>Sep</v>
      </c>
      <c r="N1905" s="1">
        <f>YEAR(Table1[[#This Row],[Order Date]])</f>
        <v>2024</v>
      </c>
    </row>
    <row r="1906" spans="1:14" x14ac:dyDescent="0.35">
      <c r="A1906" s="1" t="s">
        <v>2663</v>
      </c>
      <c r="B1906" s="1" t="s">
        <v>690</v>
      </c>
      <c r="C1906" s="1" t="s">
        <v>260</v>
      </c>
      <c r="D1906" s="1" t="s">
        <v>151</v>
      </c>
      <c r="E1906" s="1" t="s">
        <v>22</v>
      </c>
      <c r="F1906" s="1" t="s">
        <v>151</v>
      </c>
      <c r="G1906" s="1">
        <v>3</v>
      </c>
      <c r="H1906" s="1">
        <v>14002</v>
      </c>
      <c r="I1906" s="1">
        <v>0.05</v>
      </c>
      <c r="J1906" s="1">
        <v>39905.699999999997</v>
      </c>
      <c r="K1906" s="1">
        <v>11607.13</v>
      </c>
      <c r="L1906" s="1" t="s">
        <v>70</v>
      </c>
      <c r="M1906" s="1" t="str">
        <f>TEXT(Table1[[#This Row],[Order Date]],"mmm")</f>
        <v>Jun</v>
      </c>
      <c r="N1906" s="1">
        <f>YEAR(Table1[[#This Row],[Order Date]])</f>
        <v>2024</v>
      </c>
    </row>
    <row r="1907" spans="1:14" x14ac:dyDescent="0.35">
      <c r="A1907" s="1" t="s">
        <v>2664</v>
      </c>
      <c r="B1907" s="1" t="s">
        <v>963</v>
      </c>
      <c r="C1907" s="1" t="s">
        <v>155</v>
      </c>
      <c r="D1907" s="1" t="s">
        <v>27</v>
      </c>
      <c r="E1907" s="1" t="s">
        <v>28</v>
      </c>
      <c r="F1907" s="1" t="s">
        <v>27</v>
      </c>
      <c r="G1907" s="1">
        <v>9</v>
      </c>
      <c r="H1907" s="1">
        <v>58077</v>
      </c>
      <c r="I1907" s="1">
        <v>0.2</v>
      </c>
      <c r="J1907" s="1">
        <v>418154.4</v>
      </c>
      <c r="K1907" s="1">
        <v>117165.31</v>
      </c>
      <c r="L1907" s="1" t="s">
        <v>45</v>
      </c>
      <c r="M1907" s="1" t="str">
        <f>TEXT(Table1[[#This Row],[Order Date]],"mmm")</f>
        <v>Oct</v>
      </c>
      <c r="N1907" s="1">
        <f>YEAR(Table1[[#This Row],[Order Date]])</f>
        <v>2024</v>
      </c>
    </row>
    <row r="1908" spans="1:14" x14ac:dyDescent="0.35">
      <c r="A1908" s="1" t="s">
        <v>2665</v>
      </c>
      <c r="B1908" s="1" t="s">
        <v>1616</v>
      </c>
      <c r="C1908" s="1" t="s">
        <v>94</v>
      </c>
      <c r="D1908" s="1" t="s">
        <v>60</v>
      </c>
      <c r="E1908" s="1" t="s">
        <v>33</v>
      </c>
      <c r="F1908" s="1" t="s">
        <v>60</v>
      </c>
      <c r="G1908" s="1">
        <v>10</v>
      </c>
      <c r="H1908" s="1">
        <v>44020</v>
      </c>
      <c r="I1908" s="1">
        <v>0</v>
      </c>
      <c r="J1908" s="1">
        <v>440200</v>
      </c>
      <c r="K1908" s="1">
        <v>39885.35</v>
      </c>
      <c r="L1908" s="1" t="s">
        <v>17</v>
      </c>
      <c r="M1908" s="1" t="str">
        <f>TEXT(Table1[[#This Row],[Order Date]],"mmm")</f>
        <v>Aug</v>
      </c>
      <c r="N1908" s="1">
        <f>YEAR(Table1[[#This Row],[Order Date]])</f>
        <v>2023</v>
      </c>
    </row>
    <row r="1909" spans="1:14" x14ac:dyDescent="0.35">
      <c r="A1909" s="1" t="s">
        <v>2666</v>
      </c>
      <c r="B1909" s="1" t="s">
        <v>2667</v>
      </c>
      <c r="C1909" s="1" t="s">
        <v>191</v>
      </c>
      <c r="D1909" s="1" t="s">
        <v>141</v>
      </c>
      <c r="E1909" s="1" t="s">
        <v>22</v>
      </c>
      <c r="F1909" s="1" t="s">
        <v>141</v>
      </c>
      <c r="G1909" s="1">
        <v>15</v>
      </c>
      <c r="H1909" s="1">
        <v>31655</v>
      </c>
      <c r="I1909" s="1">
        <v>0.2</v>
      </c>
      <c r="J1909" s="1">
        <v>379860</v>
      </c>
      <c r="K1909" s="1">
        <v>110293.47</v>
      </c>
      <c r="L1909" s="1" t="s">
        <v>70</v>
      </c>
      <c r="M1909" s="1" t="str">
        <f>TEXT(Table1[[#This Row],[Order Date]],"mmm")</f>
        <v>Jul</v>
      </c>
      <c r="N1909" s="1">
        <f>YEAR(Table1[[#This Row],[Order Date]])</f>
        <v>2023</v>
      </c>
    </row>
    <row r="1910" spans="1:14" x14ac:dyDescent="0.35">
      <c r="A1910" s="1" t="s">
        <v>2668</v>
      </c>
      <c r="B1910" s="1" t="s">
        <v>1038</v>
      </c>
      <c r="C1910" s="1" t="s">
        <v>67</v>
      </c>
      <c r="D1910" s="1" t="s">
        <v>323</v>
      </c>
      <c r="E1910" s="1" t="s">
        <v>33</v>
      </c>
      <c r="F1910" s="1" t="s">
        <v>323</v>
      </c>
      <c r="G1910" s="1">
        <v>14</v>
      </c>
      <c r="H1910" s="1">
        <v>53372</v>
      </c>
      <c r="I1910" s="1">
        <v>0.1</v>
      </c>
      <c r="J1910" s="1">
        <v>672487.2</v>
      </c>
      <c r="K1910" s="1">
        <v>187947.08</v>
      </c>
      <c r="L1910" s="1" t="s">
        <v>45</v>
      </c>
      <c r="M1910" s="1" t="str">
        <f>TEXT(Table1[[#This Row],[Order Date]],"mmm")</f>
        <v>Feb</v>
      </c>
      <c r="N1910" s="1">
        <f>YEAR(Table1[[#This Row],[Order Date]])</f>
        <v>2024</v>
      </c>
    </row>
    <row r="1911" spans="1:14" x14ac:dyDescent="0.35">
      <c r="A1911" s="1" t="s">
        <v>2669</v>
      </c>
      <c r="B1911" s="1" t="s">
        <v>2321</v>
      </c>
      <c r="C1911" s="1" t="s">
        <v>26</v>
      </c>
      <c r="D1911" s="1" t="s">
        <v>167</v>
      </c>
      <c r="E1911" s="1" t="s">
        <v>16</v>
      </c>
      <c r="F1911" s="1" t="s">
        <v>167</v>
      </c>
      <c r="G1911" s="1">
        <v>15</v>
      </c>
      <c r="H1911" s="1">
        <v>39773</v>
      </c>
      <c r="I1911" s="1">
        <v>0</v>
      </c>
      <c r="J1911" s="1">
        <v>596595</v>
      </c>
      <c r="K1911" s="1">
        <v>133600.67000000001</v>
      </c>
      <c r="L1911" s="1" t="s">
        <v>23</v>
      </c>
      <c r="M1911" s="1" t="str">
        <f>TEXT(Table1[[#This Row],[Order Date]],"mmm")</f>
        <v>Feb</v>
      </c>
      <c r="N1911" s="1">
        <f>YEAR(Table1[[#This Row],[Order Date]])</f>
        <v>2023</v>
      </c>
    </row>
    <row r="1912" spans="1:14" x14ac:dyDescent="0.35">
      <c r="A1912" s="1" t="s">
        <v>2670</v>
      </c>
      <c r="B1912" s="1" t="s">
        <v>2671</v>
      </c>
      <c r="C1912" s="1" t="s">
        <v>59</v>
      </c>
      <c r="D1912" s="1" t="s">
        <v>27</v>
      </c>
      <c r="E1912" s="1" t="s">
        <v>28</v>
      </c>
      <c r="F1912" s="1" t="s">
        <v>27</v>
      </c>
      <c r="G1912" s="1">
        <v>4</v>
      </c>
      <c r="H1912" s="1">
        <v>20710</v>
      </c>
      <c r="I1912" s="1">
        <v>0.1</v>
      </c>
      <c r="J1912" s="1">
        <v>74556</v>
      </c>
      <c r="K1912" s="1">
        <v>17419.82</v>
      </c>
      <c r="L1912" s="1" t="s">
        <v>45</v>
      </c>
      <c r="M1912" s="1" t="str">
        <f>TEXT(Table1[[#This Row],[Order Date]],"mmm")</f>
        <v>Nov</v>
      </c>
      <c r="N1912" s="1">
        <f>YEAR(Table1[[#This Row],[Order Date]])</f>
        <v>2023</v>
      </c>
    </row>
    <row r="1913" spans="1:14" x14ac:dyDescent="0.35">
      <c r="A1913" s="1" t="s">
        <v>2672</v>
      </c>
      <c r="B1913" s="1" t="s">
        <v>462</v>
      </c>
      <c r="C1913" s="1" t="s">
        <v>188</v>
      </c>
      <c r="D1913" s="1" t="s">
        <v>133</v>
      </c>
      <c r="E1913" s="1" t="s">
        <v>22</v>
      </c>
      <c r="F1913" s="1" t="s">
        <v>133</v>
      </c>
      <c r="G1913" s="1">
        <v>8</v>
      </c>
      <c r="H1913" s="1">
        <v>50035</v>
      </c>
      <c r="I1913" s="1">
        <v>0.1</v>
      </c>
      <c r="J1913" s="1">
        <v>360252</v>
      </c>
      <c r="K1913" s="1">
        <v>68922.02</v>
      </c>
      <c r="L1913" s="1" t="s">
        <v>23</v>
      </c>
      <c r="M1913" s="1" t="str">
        <f>TEXT(Table1[[#This Row],[Order Date]],"mmm")</f>
        <v>Jul</v>
      </c>
      <c r="N1913" s="1">
        <f>YEAR(Table1[[#This Row],[Order Date]])</f>
        <v>2024</v>
      </c>
    </row>
    <row r="1914" spans="1:14" x14ac:dyDescent="0.35">
      <c r="A1914" s="1" t="s">
        <v>2673</v>
      </c>
      <c r="B1914" s="1" t="s">
        <v>2045</v>
      </c>
      <c r="C1914" s="1" t="s">
        <v>67</v>
      </c>
      <c r="D1914" s="1" t="s">
        <v>64</v>
      </c>
      <c r="E1914" s="1" t="s">
        <v>33</v>
      </c>
      <c r="F1914" s="1" t="s">
        <v>64</v>
      </c>
      <c r="G1914" s="1">
        <v>9</v>
      </c>
      <c r="H1914" s="1">
        <v>26781</v>
      </c>
      <c r="I1914" s="1">
        <v>0.2</v>
      </c>
      <c r="J1914" s="1">
        <v>192823.2</v>
      </c>
      <c r="K1914" s="1">
        <v>39687.65</v>
      </c>
      <c r="L1914" s="1" t="s">
        <v>17</v>
      </c>
      <c r="M1914" s="1" t="str">
        <f>TEXT(Table1[[#This Row],[Order Date]],"mmm")</f>
        <v>Sep</v>
      </c>
      <c r="N1914" s="1">
        <f>YEAR(Table1[[#This Row],[Order Date]])</f>
        <v>2024</v>
      </c>
    </row>
    <row r="1915" spans="1:14" x14ac:dyDescent="0.35">
      <c r="A1915" s="1" t="s">
        <v>2674</v>
      </c>
      <c r="B1915" s="1" t="s">
        <v>794</v>
      </c>
      <c r="C1915" s="1" t="s">
        <v>101</v>
      </c>
      <c r="D1915" s="1" t="s">
        <v>15</v>
      </c>
      <c r="E1915" s="1" t="s">
        <v>16</v>
      </c>
      <c r="F1915" s="1" t="s">
        <v>15</v>
      </c>
      <c r="G1915" s="1">
        <v>2</v>
      </c>
      <c r="H1915" s="1">
        <v>32259</v>
      </c>
      <c r="I1915" s="1">
        <v>0.15</v>
      </c>
      <c r="J1915" s="1">
        <v>54840.3</v>
      </c>
      <c r="K1915" s="1">
        <v>8697.93</v>
      </c>
      <c r="L1915" s="1" t="s">
        <v>45</v>
      </c>
      <c r="M1915" s="1" t="str">
        <f>TEXT(Table1[[#This Row],[Order Date]],"mmm")</f>
        <v>Mar</v>
      </c>
      <c r="N1915" s="1">
        <f>YEAR(Table1[[#This Row],[Order Date]])</f>
        <v>2024</v>
      </c>
    </row>
    <row r="1916" spans="1:14" x14ac:dyDescent="0.35">
      <c r="A1916" s="1" t="s">
        <v>2675</v>
      </c>
      <c r="B1916" s="1" t="s">
        <v>1478</v>
      </c>
      <c r="C1916" s="1" t="s">
        <v>227</v>
      </c>
      <c r="D1916" s="1" t="s">
        <v>52</v>
      </c>
      <c r="E1916" s="1" t="s">
        <v>28</v>
      </c>
      <c r="F1916" s="1" t="s">
        <v>52</v>
      </c>
      <c r="G1916" s="1">
        <v>15</v>
      </c>
      <c r="H1916" s="1">
        <v>1015</v>
      </c>
      <c r="I1916" s="1">
        <v>0.2</v>
      </c>
      <c r="J1916" s="1">
        <v>12180</v>
      </c>
      <c r="K1916" s="1">
        <v>3173.69</v>
      </c>
      <c r="L1916" s="1" t="s">
        <v>70</v>
      </c>
      <c r="M1916" s="1" t="str">
        <f>TEXT(Table1[[#This Row],[Order Date]],"mmm")</f>
        <v>Jan</v>
      </c>
      <c r="N1916" s="1">
        <f>YEAR(Table1[[#This Row],[Order Date]])</f>
        <v>2024</v>
      </c>
    </row>
    <row r="1917" spans="1:14" x14ac:dyDescent="0.35">
      <c r="A1917" s="1" t="s">
        <v>2676</v>
      </c>
      <c r="B1917" s="1" t="s">
        <v>565</v>
      </c>
      <c r="C1917" s="1" t="s">
        <v>59</v>
      </c>
      <c r="D1917" s="1" t="s">
        <v>56</v>
      </c>
      <c r="E1917" s="1" t="s">
        <v>22</v>
      </c>
      <c r="F1917" s="1" t="s">
        <v>56</v>
      </c>
      <c r="G1917" s="1">
        <v>12</v>
      </c>
      <c r="H1917" s="1">
        <v>36058</v>
      </c>
      <c r="I1917" s="1">
        <v>0</v>
      </c>
      <c r="J1917" s="1">
        <v>432696</v>
      </c>
      <c r="K1917" s="1">
        <v>85374.64</v>
      </c>
      <c r="L1917" s="1" t="s">
        <v>70</v>
      </c>
      <c r="M1917" s="1" t="str">
        <f>TEXT(Table1[[#This Row],[Order Date]],"mmm")</f>
        <v>Nov</v>
      </c>
      <c r="N1917" s="1">
        <f>YEAR(Table1[[#This Row],[Order Date]])</f>
        <v>2024</v>
      </c>
    </row>
    <row r="1918" spans="1:14" x14ac:dyDescent="0.35">
      <c r="A1918" s="1" t="s">
        <v>2677</v>
      </c>
      <c r="B1918" s="1" t="s">
        <v>1161</v>
      </c>
      <c r="C1918" s="1" t="s">
        <v>36</v>
      </c>
      <c r="D1918" s="1" t="s">
        <v>179</v>
      </c>
      <c r="E1918" s="1" t="s">
        <v>28</v>
      </c>
      <c r="F1918" s="1" t="s">
        <v>179</v>
      </c>
      <c r="G1918" s="1">
        <v>13</v>
      </c>
      <c r="H1918" s="1">
        <v>7816</v>
      </c>
      <c r="I1918" s="1">
        <v>0.1</v>
      </c>
      <c r="J1918" s="1">
        <v>91447.2</v>
      </c>
      <c r="K1918" s="1">
        <v>19327.41</v>
      </c>
      <c r="L1918" s="1" t="s">
        <v>70</v>
      </c>
      <c r="M1918" s="1" t="str">
        <f>TEXT(Table1[[#This Row],[Order Date]],"mmm")</f>
        <v>Mar</v>
      </c>
      <c r="N1918" s="1">
        <f>YEAR(Table1[[#This Row],[Order Date]])</f>
        <v>2024</v>
      </c>
    </row>
    <row r="1919" spans="1:14" x14ac:dyDescent="0.35">
      <c r="A1919" s="1" t="s">
        <v>2678</v>
      </c>
      <c r="B1919" s="1" t="s">
        <v>1556</v>
      </c>
      <c r="C1919" s="1" t="s">
        <v>40</v>
      </c>
      <c r="D1919" s="1" t="s">
        <v>114</v>
      </c>
      <c r="E1919" s="1" t="s">
        <v>16</v>
      </c>
      <c r="F1919" s="1" t="s">
        <v>114</v>
      </c>
      <c r="G1919" s="1">
        <v>9</v>
      </c>
      <c r="H1919" s="1">
        <v>44149</v>
      </c>
      <c r="I1919" s="1">
        <v>0.15</v>
      </c>
      <c r="J1919" s="1">
        <v>337739.85</v>
      </c>
      <c r="K1919" s="1">
        <v>34040.160000000003</v>
      </c>
      <c r="L1919" s="1" t="s">
        <v>45</v>
      </c>
      <c r="M1919" s="1" t="str">
        <f>TEXT(Table1[[#This Row],[Order Date]],"mmm")</f>
        <v>May</v>
      </c>
      <c r="N1919" s="1">
        <f>YEAR(Table1[[#This Row],[Order Date]])</f>
        <v>2023</v>
      </c>
    </row>
    <row r="1920" spans="1:14" x14ac:dyDescent="0.35">
      <c r="A1920" s="1" t="s">
        <v>2679</v>
      </c>
      <c r="B1920" s="1" t="s">
        <v>897</v>
      </c>
      <c r="C1920" s="1" t="s">
        <v>120</v>
      </c>
      <c r="D1920" s="1" t="s">
        <v>114</v>
      </c>
      <c r="E1920" s="1" t="s">
        <v>16</v>
      </c>
      <c r="F1920" s="1" t="s">
        <v>114</v>
      </c>
      <c r="G1920" s="1">
        <v>3</v>
      </c>
      <c r="H1920" s="1">
        <v>18260</v>
      </c>
      <c r="I1920" s="1">
        <v>0.15</v>
      </c>
      <c r="J1920" s="1">
        <v>46563</v>
      </c>
      <c r="K1920" s="1">
        <v>7991.88</v>
      </c>
      <c r="L1920" s="1" t="s">
        <v>45</v>
      </c>
      <c r="M1920" s="1" t="str">
        <f>TEXT(Table1[[#This Row],[Order Date]],"mmm")</f>
        <v>Dec</v>
      </c>
      <c r="N1920" s="1">
        <f>YEAR(Table1[[#This Row],[Order Date]])</f>
        <v>2023</v>
      </c>
    </row>
    <row r="1921" spans="1:14" x14ac:dyDescent="0.35">
      <c r="A1921" s="1" t="s">
        <v>2680</v>
      </c>
      <c r="B1921" s="1" t="s">
        <v>80</v>
      </c>
      <c r="C1921" s="1" t="s">
        <v>175</v>
      </c>
      <c r="D1921" s="1" t="s">
        <v>41</v>
      </c>
      <c r="E1921" s="1" t="s">
        <v>16</v>
      </c>
      <c r="F1921" s="1" t="s">
        <v>41</v>
      </c>
      <c r="G1921" s="1">
        <v>9</v>
      </c>
      <c r="H1921" s="1">
        <v>53896</v>
      </c>
      <c r="I1921" s="1">
        <v>0.05</v>
      </c>
      <c r="J1921" s="1">
        <v>460810.8</v>
      </c>
      <c r="K1921" s="1">
        <v>119067.69</v>
      </c>
      <c r="L1921" s="1" t="s">
        <v>17</v>
      </c>
      <c r="M1921" s="1" t="str">
        <f>TEXT(Table1[[#This Row],[Order Date]],"mmm")</f>
        <v>Jan</v>
      </c>
      <c r="N1921" s="1">
        <f>YEAR(Table1[[#This Row],[Order Date]])</f>
        <v>2023</v>
      </c>
    </row>
    <row r="1922" spans="1:14" x14ac:dyDescent="0.35">
      <c r="A1922" s="1" t="s">
        <v>2681</v>
      </c>
      <c r="B1922" s="1" t="s">
        <v>657</v>
      </c>
      <c r="C1922" s="1" t="s">
        <v>140</v>
      </c>
      <c r="D1922" s="1" t="s">
        <v>167</v>
      </c>
      <c r="E1922" s="1" t="s">
        <v>16</v>
      </c>
      <c r="F1922" s="1" t="s">
        <v>167</v>
      </c>
      <c r="G1922" s="1">
        <v>2</v>
      </c>
      <c r="H1922" s="1">
        <v>17917</v>
      </c>
      <c r="I1922" s="1">
        <v>0.1</v>
      </c>
      <c r="J1922" s="1">
        <v>32250.6</v>
      </c>
      <c r="K1922" s="1">
        <v>9209.84</v>
      </c>
      <c r="L1922" s="1" t="s">
        <v>17</v>
      </c>
      <c r="M1922" s="1" t="str">
        <f>TEXT(Table1[[#This Row],[Order Date]],"mmm")</f>
        <v>Jan</v>
      </c>
      <c r="N1922" s="1">
        <f>YEAR(Table1[[#This Row],[Order Date]])</f>
        <v>2024</v>
      </c>
    </row>
    <row r="1923" spans="1:14" x14ac:dyDescent="0.35">
      <c r="A1923" s="1" t="s">
        <v>2682</v>
      </c>
      <c r="B1923" s="1" t="s">
        <v>195</v>
      </c>
      <c r="C1923" s="1" t="s">
        <v>20</v>
      </c>
      <c r="D1923" s="1" t="s">
        <v>41</v>
      </c>
      <c r="E1923" s="1" t="s">
        <v>16</v>
      </c>
      <c r="F1923" s="1" t="s">
        <v>41</v>
      </c>
      <c r="G1923" s="1">
        <v>13</v>
      </c>
      <c r="H1923" s="1">
        <v>10787</v>
      </c>
      <c r="I1923" s="1">
        <v>0</v>
      </c>
      <c r="J1923" s="1">
        <v>140231</v>
      </c>
      <c r="K1923" s="1">
        <v>17161.599999999999</v>
      </c>
      <c r="L1923" s="1" t="s">
        <v>70</v>
      </c>
      <c r="M1923" s="1" t="str">
        <f>TEXT(Table1[[#This Row],[Order Date]],"mmm")</f>
        <v>Mar</v>
      </c>
      <c r="N1923" s="1">
        <f>YEAR(Table1[[#This Row],[Order Date]])</f>
        <v>2024</v>
      </c>
    </row>
    <row r="1924" spans="1:14" x14ac:dyDescent="0.35">
      <c r="A1924" s="1" t="s">
        <v>2683</v>
      </c>
      <c r="B1924" s="1" t="s">
        <v>504</v>
      </c>
      <c r="C1924" s="1" t="s">
        <v>158</v>
      </c>
      <c r="D1924" s="1" t="s">
        <v>56</v>
      </c>
      <c r="E1924" s="1" t="s">
        <v>22</v>
      </c>
      <c r="F1924" s="1" t="s">
        <v>56</v>
      </c>
      <c r="G1924" s="1">
        <v>2</v>
      </c>
      <c r="H1924" s="1">
        <v>18676</v>
      </c>
      <c r="I1924" s="1">
        <v>0.2</v>
      </c>
      <c r="J1924" s="1">
        <v>29881.599999999999</v>
      </c>
      <c r="K1924" s="1">
        <v>3227.48</v>
      </c>
      <c r="L1924" s="1" t="s">
        <v>17</v>
      </c>
      <c r="M1924" s="1" t="str">
        <f>TEXT(Table1[[#This Row],[Order Date]],"mmm")</f>
        <v>Aug</v>
      </c>
      <c r="N1924" s="1">
        <f>YEAR(Table1[[#This Row],[Order Date]])</f>
        <v>2023</v>
      </c>
    </row>
    <row r="1925" spans="1:14" x14ac:dyDescent="0.35">
      <c r="A1925" s="1" t="s">
        <v>2684</v>
      </c>
      <c r="B1925" s="1" t="s">
        <v>2070</v>
      </c>
      <c r="C1925" s="1" t="s">
        <v>125</v>
      </c>
      <c r="D1925" s="1" t="s">
        <v>37</v>
      </c>
      <c r="E1925" s="1" t="s">
        <v>16</v>
      </c>
      <c r="F1925" s="1" t="s">
        <v>37</v>
      </c>
      <c r="G1925" s="1">
        <v>4</v>
      </c>
      <c r="H1925" s="1">
        <v>55137</v>
      </c>
      <c r="I1925" s="1">
        <v>0</v>
      </c>
      <c r="J1925" s="1">
        <v>220548</v>
      </c>
      <c r="K1925" s="1">
        <v>21375.9</v>
      </c>
      <c r="L1925" s="1" t="s">
        <v>23</v>
      </c>
      <c r="M1925" s="1" t="str">
        <f>TEXT(Table1[[#This Row],[Order Date]],"mmm")</f>
        <v>Apr</v>
      </c>
      <c r="N1925" s="1">
        <f>YEAR(Table1[[#This Row],[Order Date]])</f>
        <v>2024</v>
      </c>
    </row>
    <row r="1926" spans="1:14" x14ac:dyDescent="0.35">
      <c r="A1926" s="1" t="s">
        <v>2685</v>
      </c>
      <c r="B1926" s="1" t="s">
        <v>867</v>
      </c>
      <c r="C1926" s="1" t="s">
        <v>170</v>
      </c>
      <c r="D1926" s="1" t="s">
        <v>224</v>
      </c>
      <c r="E1926" s="1" t="s">
        <v>33</v>
      </c>
      <c r="F1926" s="1" t="s">
        <v>224</v>
      </c>
      <c r="G1926" s="1">
        <v>10</v>
      </c>
      <c r="H1926" s="1">
        <v>39233</v>
      </c>
      <c r="I1926" s="1">
        <v>0.2</v>
      </c>
      <c r="J1926" s="1">
        <v>313864</v>
      </c>
      <c r="K1926" s="1">
        <v>76115.08</v>
      </c>
      <c r="L1926" s="1" t="s">
        <v>45</v>
      </c>
      <c r="M1926" s="1" t="str">
        <f>TEXT(Table1[[#This Row],[Order Date]],"mmm")</f>
        <v>Aug</v>
      </c>
      <c r="N1926" s="1">
        <f>YEAR(Table1[[#This Row],[Order Date]])</f>
        <v>2024</v>
      </c>
    </row>
    <row r="1927" spans="1:14" x14ac:dyDescent="0.35">
      <c r="A1927" s="1" t="s">
        <v>2686</v>
      </c>
      <c r="B1927" s="1" t="s">
        <v>927</v>
      </c>
      <c r="C1927" s="1" t="s">
        <v>208</v>
      </c>
      <c r="D1927" s="1" t="s">
        <v>60</v>
      </c>
      <c r="E1927" s="1" t="s">
        <v>33</v>
      </c>
      <c r="F1927" s="1" t="s">
        <v>60</v>
      </c>
      <c r="G1927" s="1">
        <v>2</v>
      </c>
      <c r="H1927" s="1">
        <v>48932</v>
      </c>
      <c r="I1927" s="1">
        <v>0</v>
      </c>
      <c r="J1927" s="1">
        <v>97864</v>
      </c>
      <c r="K1927" s="1">
        <v>28995.39</v>
      </c>
      <c r="L1927" s="1" t="s">
        <v>45</v>
      </c>
      <c r="M1927" s="1" t="str">
        <f>TEXT(Table1[[#This Row],[Order Date]],"mmm")</f>
        <v>May</v>
      </c>
      <c r="N1927" s="1">
        <f>YEAR(Table1[[#This Row],[Order Date]])</f>
        <v>2024</v>
      </c>
    </row>
    <row r="1928" spans="1:14" x14ac:dyDescent="0.35">
      <c r="A1928" s="1" t="s">
        <v>2687</v>
      </c>
      <c r="B1928" s="1" t="s">
        <v>2589</v>
      </c>
      <c r="C1928" s="1" t="s">
        <v>203</v>
      </c>
      <c r="D1928" s="1" t="s">
        <v>21</v>
      </c>
      <c r="E1928" s="1" t="s">
        <v>22</v>
      </c>
      <c r="F1928" s="1" t="s">
        <v>21</v>
      </c>
      <c r="G1928" s="1">
        <v>7</v>
      </c>
      <c r="H1928" s="1">
        <v>8119</v>
      </c>
      <c r="I1928" s="1">
        <v>0</v>
      </c>
      <c r="J1928" s="1">
        <v>56833</v>
      </c>
      <c r="K1928" s="1">
        <v>12860.94</v>
      </c>
      <c r="L1928" s="1" t="s">
        <v>23</v>
      </c>
      <c r="M1928" s="1" t="str">
        <f>TEXT(Table1[[#This Row],[Order Date]],"mmm")</f>
        <v>Feb</v>
      </c>
      <c r="N1928" s="1">
        <f>YEAR(Table1[[#This Row],[Order Date]])</f>
        <v>2024</v>
      </c>
    </row>
    <row r="1929" spans="1:14" x14ac:dyDescent="0.35">
      <c r="A1929" s="1" t="s">
        <v>2688</v>
      </c>
      <c r="B1929" s="1" t="s">
        <v>705</v>
      </c>
      <c r="C1929" s="1" t="s">
        <v>84</v>
      </c>
      <c r="D1929" s="1" t="s">
        <v>64</v>
      </c>
      <c r="E1929" s="1" t="s">
        <v>33</v>
      </c>
      <c r="F1929" s="1" t="s">
        <v>64</v>
      </c>
      <c r="G1929" s="1">
        <v>14</v>
      </c>
      <c r="H1929" s="1">
        <v>16442</v>
      </c>
      <c r="I1929" s="1">
        <v>0</v>
      </c>
      <c r="J1929" s="1">
        <v>230188</v>
      </c>
      <c r="K1929" s="1">
        <v>34449.93</v>
      </c>
      <c r="L1929" s="1" t="s">
        <v>45</v>
      </c>
      <c r="M1929" s="1" t="str">
        <f>TEXT(Table1[[#This Row],[Order Date]],"mmm")</f>
        <v>May</v>
      </c>
      <c r="N1929" s="1">
        <f>YEAR(Table1[[#This Row],[Order Date]])</f>
        <v>2024</v>
      </c>
    </row>
    <row r="1930" spans="1:14" x14ac:dyDescent="0.35">
      <c r="A1930" s="1" t="s">
        <v>2689</v>
      </c>
      <c r="B1930" s="1" t="s">
        <v>1942</v>
      </c>
      <c r="C1930" s="1" t="s">
        <v>146</v>
      </c>
      <c r="D1930" s="1" t="s">
        <v>21</v>
      </c>
      <c r="E1930" s="1" t="s">
        <v>22</v>
      </c>
      <c r="F1930" s="1" t="s">
        <v>21</v>
      </c>
      <c r="G1930" s="1">
        <v>13</v>
      </c>
      <c r="H1930" s="1">
        <v>44158</v>
      </c>
      <c r="I1930" s="1">
        <v>0</v>
      </c>
      <c r="J1930" s="1">
        <v>574054</v>
      </c>
      <c r="K1930" s="1">
        <v>133864.79999999999</v>
      </c>
      <c r="L1930" s="1" t="s">
        <v>70</v>
      </c>
      <c r="M1930" s="1" t="str">
        <f>TEXT(Table1[[#This Row],[Order Date]],"mmm")</f>
        <v>Jul</v>
      </c>
      <c r="N1930" s="1">
        <f>YEAR(Table1[[#This Row],[Order Date]])</f>
        <v>2023</v>
      </c>
    </row>
    <row r="1931" spans="1:14" x14ac:dyDescent="0.35">
      <c r="A1931" s="1" t="s">
        <v>2690</v>
      </c>
      <c r="B1931" s="1" t="s">
        <v>280</v>
      </c>
      <c r="C1931" s="1" t="s">
        <v>84</v>
      </c>
      <c r="D1931" s="1" t="s">
        <v>151</v>
      </c>
      <c r="E1931" s="1" t="s">
        <v>22</v>
      </c>
      <c r="F1931" s="1" t="s">
        <v>151</v>
      </c>
      <c r="G1931" s="1">
        <v>9</v>
      </c>
      <c r="H1931" s="1">
        <v>34858</v>
      </c>
      <c r="I1931" s="1">
        <v>0.2</v>
      </c>
      <c r="J1931" s="1">
        <v>250977.6</v>
      </c>
      <c r="K1931" s="1">
        <v>37761.300000000003</v>
      </c>
      <c r="L1931" s="1" t="s">
        <v>17</v>
      </c>
      <c r="M1931" s="1" t="str">
        <f>TEXT(Table1[[#This Row],[Order Date]],"mmm")</f>
        <v>Oct</v>
      </c>
      <c r="N1931" s="1">
        <f>YEAR(Table1[[#This Row],[Order Date]])</f>
        <v>2024</v>
      </c>
    </row>
    <row r="1932" spans="1:14" x14ac:dyDescent="0.35">
      <c r="A1932" s="1" t="s">
        <v>2691</v>
      </c>
      <c r="B1932" s="1" t="s">
        <v>160</v>
      </c>
      <c r="C1932" s="1" t="s">
        <v>51</v>
      </c>
      <c r="D1932" s="1" t="s">
        <v>52</v>
      </c>
      <c r="E1932" s="1" t="s">
        <v>28</v>
      </c>
      <c r="F1932" s="1" t="s">
        <v>52</v>
      </c>
      <c r="G1932" s="1">
        <v>6</v>
      </c>
      <c r="H1932" s="1">
        <v>23111</v>
      </c>
      <c r="I1932" s="1">
        <v>0.15</v>
      </c>
      <c r="J1932" s="1">
        <v>117866.1</v>
      </c>
      <c r="K1932" s="1">
        <v>33774.54</v>
      </c>
      <c r="L1932" s="1" t="s">
        <v>70</v>
      </c>
      <c r="M1932" s="1" t="str">
        <f>TEXT(Table1[[#This Row],[Order Date]],"mmm")</f>
        <v>Feb</v>
      </c>
      <c r="N1932" s="1">
        <f>YEAR(Table1[[#This Row],[Order Date]])</f>
        <v>2023</v>
      </c>
    </row>
    <row r="1933" spans="1:14" x14ac:dyDescent="0.35">
      <c r="A1933" s="1" t="s">
        <v>2692</v>
      </c>
      <c r="B1933" s="1" t="s">
        <v>1131</v>
      </c>
      <c r="C1933" s="1" t="s">
        <v>51</v>
      </c>
      <c r="D1933" s="1" t="s">
        <v>60</v>
      </c>
      <c r="E1933" s="1" t="s">
        <v>33</v>
      </c>
      <c r="F1933" s="1" t="s">
        <v>60</v>
      </c>
      <c r="G1933" s="1">
        <v>14</v>
      </c>
      <c r="H1933" s="1">
        <v>24602</v>
      </c>
      <c r="I1933" s="1">
        <v>0.1</v>
      </c>
      <c r="J1933" s="1">
        <v>309985.2</v>
      </c>
      <c r="K1933" s="1">
        <v>34096.53</v>
      </c>
      <c r="L1933" s="1" t="s">
        <v>23</v>
      </c>
      <c r="M1933" s="1" t="str">
        <f>TEXT(Table1[[#This Row],[Order Date]],"mmm")</f>
        <v>Sep</v>
      </c>
      <c r="N1933" s="1">
        <f>YEAR(Table1[[#This Row],[Order Date]])</f>
        <v>2023</v>
      </c>
    </row>
    <row r="1934" spans="1:14" x14ac:dyDescent="0.35">
      <c r="A1934" s="1" t="s">
        <v>2693</v>
      </c>
      <c r="B1934" s="1" t="s">
        <v>1401</v>
      </c>
      <c r="C1934" s="1" t="s">
        <v>335</v>
      </c>
      <c r="D1934" s="1" t="s">
        <v>179</v>
      </c>
      <c r="E1934" s="1" t="s">
        <v>28</v>
      </c>
      <c r="F1934" s="1" t="s">
        <v>179</v>
      </c>
      <c r="G1934" s="1">
        <v>10</v>
      </c>
      <c r="H1934" s="1">
        <v>27798</v>
      </c>
      <c r="I1934" s="1">
        <v>0.05</v>
      </c>
      <c r="J1934" s="1">
        <v>264081</v>
      </c>
      <c r="K1934" s="1">
        <v>44394.09</v>
      </c>
      <c r="L1934" s="1" t="s">
        <v>23</v>
      </c>
      <c r="M1934" s="1" t="str">
        <f>TEXT(Table1[[#This Row],[Order Date]],"mmm")</f>
        <v>Nov</v>
      </c>
      <c r="N1934" s="1">
        <f>YEAR(Table1[[#This Row],[Order Date]])</f>
        <v>2023</v>
      </c>
    </row>
    <row r="1935" spans="1:14" x14ac:dyDescent="0.35">
      <c r="A1935" s="1" t="s">
        <v>2694</v>
      </c>
      <c r="B1935" s="1" t="s">
        <v>30</v>
      </c>
      <c r="C1935" s="1" t="s">
        <v>362</v>
      </c>
      <c r="D1935" s="1" t="s">
        <v>60</v>
      </c>
      <c r="E1935" s="1" t="s">
        <v>33</v>
      </c>
      <c r="F1935" s="1" t="s">
        <v>60</v>
      </c>
      <c r="G1935" s="1">
        <v>10</v>
      </c>
      <c r="H1935" s="1">
        <v>7345</v>
      </c>
      <c r="I1935" s="1">
        <v>0.15</v>
      </c>
      <c r="J1935" s="1">
        <v>62432.5</v>
      </c>
      <c r="K1935" s="1">
        <v>11874.13</v>
      </c>
      <c r="L1935" s="1" t="s">
        <v>70</v>
      </c>
      <c r="M1935" s="1" t="str">
        <f>TEXT(Table1[[#This Row],[Order Date]],"mmm")</f>
        <v>Apr</v>
      </c>
      <c r="N1935" s="1">
        <f>YEAR(Table1[[#This Row],[Order Date]])</f>
        <v>2023</v>
      </c>
    </row>
    <row r="1936" spans="1:14" x14ac:dyDescent="0.35">
      <c r="A1936" s="1" t="s">
        <v>2695</v>
      </c>
      <c r="B1936" s="1" t="s">
        <v>215</v>
      </c>
      <c r="C1936" s="1" t="s">
        <v>36</v>
      </c>
      <c r="D1936" s="1" t="s">
        <v>56</v>
      </c>
      <c r="E1936" s="1" t="s">
        <v>22</v>
      </c>
      <c r="F1936" s="1" t="s">
        <v>56</v>
      </c>
      <c r="G1936" s="1">
        <v>1</v>
      </c>
      <c r="H1936" s="1">
        <v>31904</v>
      </c>
      <c r="I1936" s="1">
        <v>0.1</v>
      </c>
      <c r="J1936" s="1">
        <v>28713.599999999999</v>
      </c>
      <c r="K1936" s="1">
        <v>4191.6899999999996</v>
      </c>
      <c r="L1936" s="1" t="s">
        <v>23</v>
      </c>
      <c r="M1936" s="1" t="str">
        <f>TEXT(Table1[[#This Row],[Order Date]],"mmm")</f>
        <v>Jul</v>
      </c>
      <c r="N1936" s="1">
        <f>YEAR(Table1[[#This Row],[Order Date]])</f>
        <v>2024</v>
      </c>
    </row>
    <row r="1937" spans="1:14" x14ac:dyDescent="0.35">
      <c r="A1937" s="1" t="s">
        <v>2696</v>
      </c>
      <c r="B1937" s="1" t="s">
        <v>630</v>
      </c>
      <c r="C1937" s="1" t="s">
        <v>59</v>
      </c>
      <c r="D1937" s="1" t="s">
        <v>179</v>
      </c>
      <c r="E1937" s="1" t="s">
        <v>28</v>
      </c>
      <c r="F1937" s="1" t="s">
        <v>179</v>
      </c>
      <c r="G1937" s="1">
        <v>13</v>
      </c>
      <c r="H1937" s="1">
        <v>50978</v>
      </c>
      <c r="I1937" s="1">
        <v>0.2</v>
      </c>
      <c r="J1937" s="1">
        <v>530171.19999999995</v>
      </c>
      <c r="K1937" s="1">
        <v>74432.460000000006</v>
      </c>
      <c r="L1937" s="1" t="s">
        <v>23</v>
      </c>
      <c r="M1937" s="1" t="str">
        <f>TEXT(Table1[[#This Row],[Order Date]],"mmm")</f>
        <v>Aug</v>
      </c>
      <c r="N1937" s="1">
        <f>YEAR(Table1[[#This Row],[Order Date]])</f>
        <v>2023</v>
      </c>
    </row>
    <row r="1938" spans="1:14" x14ac:dyDescent="0.35">
      <c r="A1938" s="1" t="s">
        <v>2697</v>
      </c>
      <c r="B1938" s="1" t="s">
        <v>1354</v>
      </c>
      <c r="C1938" s="1" t="s">
        <v>26</v>
      </c>
      <c r="D1938" s="1" t="s">
        <v>60</v>
      </c>
      <c r="E1938" s="1" t="s">
        <v>33</v>
      </c>
      <c r="F1938" s="1" t="s">
        <v>60</v>
      </c>
      <c r="G1938" s="1">
        <v>6</v>
      </c>
      <c r="H1938" s="1">
        <v>22349</v>
      </c>
      <c r="I1938" s="1">
        <v>0.1</v>
      </c>
      <c r="J1938" s="1">
        <v>120684.6</v>
      </c>
      <c r="K1938" s="1">
        <v>31087.57</v>
      </c>
      <c r="L1938" s="1" t="s">
        <v>23</v>
      </c>
      <c r="M1938" s="1" t="str">
        <f>TEXT(Table1[[#This Row],[Order Date]],"mmm")</f>
        <v>Aug</v>
      </c>
      <c r="N1938" s="1">
        <f>YEAR(Table1[[#This Row],[Order Date]])</f>
        <v>2024</v>
      </c>
    </row>
    <row r="1939" spans="1:14" x14ac:dyDescent="0.35">
      <c r="A1939" s="1" t="s">
        <v>2698</v>
      </c>
      <c r="B1939" s="1" t="s">
        <v>907</v>
      </c>
      <c r="C1939" s="1" t="s">
        <v>640</v>
      </c>
      <c r="D1939" s="1" t="s">
        <v>41</v>
      </c>
      <c r="E1939" s="1" t="s">
        <v>16</v>
      </c>
      <c r="F1939" s="1" t="s">
        <v>41</v>
      </c>
      <c r="G1939" s="1">
        <v>15</v>
      </c>
      <c r="H1939" s="1">
        <v>53077</v>
      </c>
      <c r="I1939" s="1">
        <v>0.05</v>
      </c>
      <c r="J1939" s="1">
        <v>756347.25</v>
      </c>
      <c r="K1939" s="1">
        <v>193242.12</v>
      </c>
      <c r="L1939" s="1" t="s">
        <v>17</v>
      </c>
      <c r="M1939" s="1" t="str">
        <f>TEXT(Table1[[#This Row],[Order Date]],"mmm")</f>
        <v>Mar</v>
      </c>
      <c r="N1939" s="1">
        <f>YEAR(Table1[[#This Row],[Order Date]])</f>
        <v>2023</v>
      </c>
    </row>
    <row r="1940" spans="1:14" x14ac:dyDescent="0.35">
      <c r="A1940" s="1" t="s">
        <v>2699</v>
      </c>
      <c r="B1940" s="1" t="s">
        <v>221</v>
      </c>
      <c r="C1940" s="1" t="s">
        <v>111</v>
      </c>
      <c r="D1940" s="1" t="s">
        <v>21</v>
      </c>
      <c r="E1940" s="1" t="s">
        <v>22</v>
      </c>
      <c r="F1940" s="1" t="s">
        <v>21</v>
      </c>
      <c r="G1940" s="1">
        <v>8</v>
      </c>
      <c r="H1940" s="1">
        <v>16218</v>
      </c>
      <c r="I1940" s="1">
        <v>0.15</v>
      </c>
      <c r="J1940" s="1">
        <v>110282.4</v>
      </c>
      <c r="K1940" s="1">
        <v>19889.32</v>
      </c>
      <c r="L1940" s="1" t="s">
        <v>23</v>
      </c>
      <c r="M1940" s="1" t="str">
        <f>TEXT(Table1[[#This Row],[Order Date]],"mmm")</f>
        <v>Dec</v>
      </c>
      <c r="N1940" s="1">
        <f>YEAR(Table1[[#This Row],[Order Date]])</f>
        <v>2023</v>
      </c>
    </row>
    <row r="1941" spans="1:14" x14ac:dyDescent="0.35">
      <c r="A1941" s="1" t="s">
        <v>2700</v>
      </c>
      <c r="B1941" s="1" t="s">
        <v>278</v>
      </c>
      <c r="C1941" s="1" t="s">
        <v>14</v>
      </c>
      <c r="D1941" s="1" t="s">
        <v>64</v>
      </c>
      <c r="E1941" s="1" t="s">
        <v>33</v>
      </c>
      <c r="F1941" s="1" t="s">
        <v>64</v>
      </c>
      <c r="G1941" s="1">
        <v>12</v>
      </c>
      <c r="H1941" s="1">
        <v>49408</v>
      </c>
      <c r="I1941" s="1">
        <v>0.1</v>
      </c>
      <c r="J1941" s="1">
        <v>533606.40000000002</v>
      </c>
      <c r="K1941" s="1">
        <v>68775.08</v>
      </c>
      <c r="L1941" s="1" t="s">
        <v>70</v>
      </c>
      <c r="M1941" s="1" t="str">
        <f>TEXT(Table1[[#This Row],[Order Date]],"mmm")</f>
        <v>May</v>
      </c>
      <c r="N1941" s="1">
        <f>YEAR(Table1[[#This Row],[Order Date]])</f>
        <v>2024</v>
      </c>
    </row>
    <row r="1942" spans="1:14" x14ac:dyDescent="0.35">
      <c r="A1942" s="1" t="s">
        <v>2701</v>
      </c>
      <c r="B1942" s="1" t="s">
        <v>712</v>
      </c>
      <c r="C1942" s="1" t="s">
        <v>170</v>
      </c>
      <c r="D1942" s="1" t="s">
        <v>91</v>
      </c>
      <c r="E1942" s="1" t="s">
        <v>16</v>
      </c>
      <c r="F1942" s="1" t="s">
        <v>91</v>
      </c>
      <c r="G1942" s="1">
        <v>3</v>
      </c>
      <c r="H1942" s="1">
        <v>44071</v>
      </c>
      <c r="I1942" s="1">
        <v>0.2</v>
      </c>
      <c r="J1942" s="1">
        <v>105770.4</v>
      </c>
      <c r="K1942" s="1">
        <v>15854.33</v>
      </c>
      <c r="L1942" s="1" t="s">
        <v>23</v>
      </c>
      <c r="M1942" s="1" t="str">
        <f>TEXT(Table1[[#This Row],[Order Date]],"mmm")</f>
        <v>Sep</v>
      </c>
      <c r="N1942" s="1">
        <f>YEAR(Table1[[#This Row],[Order Date]])</f>
        <v>2023</v>
      </c>
    </row>
    <row r="1943" spans="1:14" x14ac:dyDescent="0.35">
      <c r="A1943" s="1" t="s">
        <v>2702</v>
      </c>
      <c r="B1943" s="1" t="s">
        <v>1832</v>
      </c>
      <c r="C1943" s="1" t="s">
        <v>170</v>
      </c>
      <c r="D1943" s="1" t="s">
        <v>44</v>
      </c>
      <c r="E1943" s="1" t="s">
        <v>28</v>
      </c>
      <c r="F1943" s="1" t="s">
        <v>44</v>
      </c>
      <c r="G1943" s="1">
        <v>13</v>
      </c>
      <c r="H1943" s="1">
        <v>38661</v>
      </c>
      <c r="I1943" s="1">
        <v>0.1</v>
      </c>
      <c r="J1943" s="1">
        <v>452333.7</v>
      </c>
      <c r="K1943" s="1">
        <v>85945.06</v>
      </c>
      <c r="L1943" s="1" t="s">
        <v>45</v>
      </c>
      <c r="M1943" s="1" t="str">
        <f>TEXT(Table1[[#This Row],[Order Date]],"mmm")</f>
        <v>Sep</v>
      </c>
      <c r="N1943" s="1">
        <f>YEAR(Table1[[#This Row],[Order Date]])</f>
        <v>2023</v>
      </c>
    </row>
    <row r="1944" spans="1:14" x14ac:dyDescent="0.35">
      <c r="A1944" s="1" t="s">
        <v>2703</v>
      </c>
      <c r="B1944" s="1" t="s">
        <v>217</v>
      </c>
      <c r="C1944" s="1" t="s">
        <v>332</v>
      </c>
      <c r="D1944" s="1" t="s">
        <v>37</v>
      </c>
      <c r="E1944" s="1" t="s">
        <v>16</v>
      </c>
      <c r="F1944" s="1" t="s">
        <v>37</v>
      </c>
      <c r="G1944" s="1">
        <v>1</v>
      </c>
      <c r="H1944" s="1">
        <v>40284</v>
      </c>
      <c r="I1944" s="1">
        <v>0.1</v>
      </c>
      <c r="J1944" s="1">
        <v>36255.599999999999</v>
      </c>
      <c r="K1944" s="1">
        <v>10811.5</v>
      </c>
      <c r="L1944" s="1" t="s">
        <v>23</v>
      </c>
      <c r="M1944" s="1" t="str">
        <f>TEXT(Table1[[#This Row],[Order Date]],"mmm")</f>
        <v>Sep</v>
      </c>
      <c r="N1944" s="1">
        <f>YEAR(Table1[[#This Row],[Order Date]])</f>
        <v>2023</v>
      </c>
    </row>
    <row r="1945" spans="1:14" x14ac:dyDescent="0.35">
      <c r="A1945" s="1" t="s">
        <v>2704</v>
      </c>
      <c r="B1945" s="1" t="s">
        <v>327</v>
      </c>
      <c r="C1945" s="1" t="s">
        <v>227</v>
      </c>
      <c r="D1945" s="1" t="s">
        <v>48</v>
      </c>
      <c r="E1945" s="1" t="s">
        <v>16</v>
      </c>
      <c r="F1945" s="1" t="s">
        <v>48</v>
      </c>
      <c r="G1945" s="1">
        <v>11</v>
      </c>
      <c r="H1945" s="1">
        <v>5499</v>
      </c>
      <c r="I1945" s="1">
        <v>0</v>
      </c>
      <c r="J1945" s="1">
        <v>60489</v>
      </c>
      <c r="K1945" s="1">
        <v>10713.4</v>
      </c>
      <c r="L1945" s="1" t="s">
        <v>70</v>
      </c>
      <c r="M1945" s="1" t="str">
        <f>TEXT(Table1[[#This Row],[Order Date]],"mmm")</f>
        <v>Nov</v>
      </c>
      <c r="N1945" s="1">
        <f>YEAR(Table1[[#This Row],[Order Date]])</f>
        <v>2024</v>
      </c>
    </row>
    <row r="1946" spans="1:14" x14ac:dyDescent="0.35">
      <c r="A1946" s="1" t="s">
        <v>2705</v>
      </c>
      <c r="B1946" s="1" t="s">
        <v>2059</v>
      </c>
      <c r="C1946" s="1" t="s">
        <v>227</v>
      </c>
      <c r="D1946" s="1" t="s">
        <v>41</v>
      </c>
      <c r="E1946" s="1" t="s">
        <v>16</v>
      </c>
      <c r="F1946" s="1" t="s">
        <v>41</v>
      </c>
      <c r="G1946" s="1">
        <v>14</v>
      </c>
      <c r="H1946" s="1">
        <v>38996</v>
      </c>
      <c r="I1946" s="1">
        <v>0.1</v>
      </c>
      <c r="J1946" s="1">
        <v>491349.6</v>
      </c>
      <c r="K1946" s="1">
        <v>119720.83</v>
      </c>
      <c r="L1946" s="1" t="s">
        <v>23</v>
      </c>
      <c r="M1946" s="1" t="str">
        <f>TEXT(Table1[[#This Row],[Order Date]],"mmm")</f>
        <v>Nov</v>
      </c>
      <c r="N1946" s="1">
        <f>YEAR(Table1[[#This Row],[Order Date]])</f>
        <v>2023</v>
      </c>
    </row>
    <row r="1947" spans="1:14" x14ac:dyDescent="0.35">
      <c r="A1947" s="1" t="s">
        <v>2706</v>
      </c>
      <c r="B1947" s="1" t="s">
        <v>1720</v>
      </c>
      <c r="C1947" s="1" t="s">
        <v>191</v>
      </c>
      <c r="D1947" s="1" t="s">
        <v>323</v>
      </c>
      <c r="E1947" s="1" t="s">
        <v>33</v>
      </c>
      <c r="F1947" s="1" t="s">
        <v>323</v>
      </c>
      <c r="G1947" s="1">
        <v>10</v>
      </c>
      <c r="H1947" s="1">
        <v>57233</v>
      </c>
      <c r="I1947" s="1">
        <v>0</v>
      </c>
      <c r="J1947" s="1">
        <v>572330</v>
      </c>
      <c r="K1947" s="1">
        <v>135839.93</v>
      </c>
      <c r="L1947" s="1" t="s">
        <v>23</v>
      </c>
      <c r="M1947" s="1" t="str">
        <f>TEXT(Table1[[#This Row],[Order Date]],"mmm")</f>
        <v>Jan</v>
      </c>
      <c r="N1947" s="1">
        <f>YEAR(Table1[[#This Row],[Order Date]])</f>
        <v>2023</v>
      </c>
    </row>
    <row r="1948" spans="1:14" x14ac:dyDescent="0.35">
      <c r="A1948" s="1" t="s">
        <v>2707</v>
      </c>
      <c r="B1948" s="1" t="s">
        <v>694</v>
      </c>
      <c r="C1948" s="1" t="s">
        <v>191</v>
      </c>
      <c r="D1948" s="1" t="s">
        <v>141</v>
      </c>
      <c r="E1948" s="1" t="s">
        <v>22</v>
      </c>
      <c r="F1948" s="1" t="s">
        <v>141</v>
      </c>
      <c r="G1948" s="1">
        <v>7</v>
      </c>
      <c r="H1948" s="1">
        <v>56329</v>
      </c>
      <c r="I1948" s="1">
        <v>0.2</v>
      </c>
      <c r="J1948" s="1">
        <v>315442.40000000002</v>
      </c>
      <c r="K1948" s="1">
        <v>78709.899999999994</v>
      </c>
      <c r="L1948" s="1" t="s">
        <v>70</v>
      </c>
      <c r="M1948" s="1" t="str">
        <f>TEXT(Table1[[#This Row],[Order Date]],"mmm")</f>
        <v>Aug</v>
      </c>
      <c r="N1948" s="1">
        <f>YEAR(Table1[[#This Row],[Order Date]])</f>
        <v>2023</v>
      </c>
    </row>
    <row r="1949" spans="1:14" x14ac:dyDescent="0.35">
      <c r="A1949" s="1" t="s">
        <v>2708</v>
      </c>
      <c r="B1949" s="1" t="s">
        <v>150</v>
      </c>
      <c r="C1949" s="1" t="s">
        <v>227</v>
      </c>
      <c r="D1949" s="1" t="s">
        <v>32</v>
      </c>
      <c r="E1949" s="1" t="s">
        <v>33</v>
      </c>
      <c r="F1949" s="1" t="s">
        <v>32</v>
      </c>
      <c r="G1949" s="1">
        <v>11</v>
      </c>
      <c r="H1949" s="1">
        <v>22351</v>
      </c>
      <c r="I1949" s="1">
        <v>0.2</v>
      </c>
      <c r="J1949" s="1">
        <v>196688.8</v>
      </c>
      <c r="K1949" s="1">
        <v>19177.71</v>
      </c>
      <c r="L1949" s="1" t="s">
        <v>23</v>
      </c>
      <c r="M1949" s="1" t="str">
        <f>TEXT(Table1[[#This Row],[Order Date]],"mmm")</f>
        <v>Aug</v>
      </c>
      <c r="N1949" s="1">
        <f>YEAR(Table1[[#This Row],[Order Date]])</f>
        <v>2023</v>
      </c>
    </row>
    <row r="1950" spans="1:14" x14ac:dyDescent="0.35">
      <c r="A1950" s="1" t="s">
        <v>2709</v>
      </c>
      <c r="B1950" s="1" t="s">
        <v>837</v>
      </c>
      <c r="C1950" s="1" t="s">
        <v>77</v>
      </c>
      <c r="D1950" s="1" t="s">
        <v>41</v>
      </c>
      <c r="E1950" s="1" t="s">
        <v>16</v>
      </c>
      <c r="F1950" s="1" t="s">
        <v>41</v>
      </c>
      <c r="G1950" s="1">
        <v>13</v>
      </c>
      <c r="H1950" s="1">
        <v>53129</v>
      </c>
      <c r="I1950" s="1">
        <v>0.15</v>
      </c>
      <c r="J1950" s="1">
        <v>587075.44999999995</v>
      </c>
      <c r="K1950" s="1">
        <v>93027.53</v>
      </c>
      <c r="L1950" s="1" t="s">
        <v>70</v>
      </c>
      <c r="M1950" s="1" t="str">
        <f>TEXT(Table1[[#This Row],[Order Date]],"mmm")</f>
        <v>Feb</v>
      </c>
      <c r="N1950" s="1">
        <f>YEAR(Table1[[#This Row],[Order Date]])</f>
        <v>2024</v>
      </c>
    </row>
    <row r="1951" spans="1:14" x14ac:dyDescent="0.35">
      <c r="A1951" s="1" t="s">
        <v>2710</v>
      </c>
      <c r="B1951" s="1" t="s">
        <v>575</v>
      </c>
      <c r="C1951" s="1" t="s">
        <v>117</v>
      </c>
      <c r="D1951" s="1" t="s">
        <v>137</v>
      </c>
      <c r="E1951" s="1" t="s">
        <v>22</v>
      </c>
      <c r="F1951" s="1" t="s">
        <v>137</v>
      </c>
      <c r="G1951" s="1">
        <v>2</v>
      </c>
      <c r="H1951" s="1">
        <v>17580</v>
      </c>
      <c r="I1951" s="1">
        <v>0</v>
      </c>
      <c r="J1951" s="1">
        <v>35160</v>
      </c>
      <c r="K1951" s="1">
        <v>3448.19</v>
      </c>
      <c r="L1951" s="1" t="s">
        <v>45</v>
      </c>
      <c r="M1951" s="1" t="str">
        <f>TEXT(Table1[[#This Row],[Order Date]],"mmm")</f>
        <v>Jul</v>
      </c>
      <c r="N1951" s="1">
        <f>YEAR(Table1[[#This Row],[Order Date]])</f>
        <v>2024</v>
      </c>
    </row>
    <row r="1952" spans="1:14" x14ac:dyDescent="0.35">
      <c r="A1952" s="1" t="s">
        <v>2711</v>
      </c>
      <c r="B1952" s="1" t="s">
        <v>549</v>
      </c>
      <c r="C1952" s="1" t="s">
        <v>203</v>
      </c>
      <c r="D1952" s="1" t="s">
        <v>21</v>
      </c>
      <c r="E1952" s="1" t="s">
        <v>22</v>
      </c>
      <c r="F1952" s="1" t="s">
        <v>21</v>
      </c>
      <c r="G1952" s="1">
        <v>2</v>
      </c>
      <c r="H1952" s="1">
        <v>25074</v>
      </c>
      <c r="I1952" s="1">
        <v>0.2</v>
      </c>
      <c r="J1952" s="1">
        <v>40118.400000000001</v>
      </c>
      <c r="K1952" s="1">
        <v>10578.75</v>
      </c>
      <c r="L1952" s="1" t="s">
        <v>17</v>
      </c>
      <c r="M1952" s="1" t="str">
        <f>TEXT(Table1[[#This Row],[Order Date]],"mmm")</f>
        <v>Jan</v>
      </c>
      <c r="N1952" s="1">
        <f>YEAR(Table1[[#This Row],[Order Date]])</f>
        <v>2024</v>
      </c>
    </row>
    <row r="1953" spans="1:14" x14ac:dyDescent="0.35">
      <c r="A1953" s="1" t="s">
        <v>2712</v>
      </c>
      <c r="B1953" s="1" t="s">
        <v>636</v>
      </c>
      <c r="C1953" s="1" t="s">
        <v>26</v>
      </c>
      <c r="D1953" s="1" t="s">
        <v>95</v>
      </c>
      <c r="E1953" s="1" t="s">
        <v>33</v>
      </c>
      <c r="F1953" s="1" t="s">
        <v>95</v>
      </c>
      <c r="G1953" s="1">
        <v>8</v>
      </c>
      <c r="H1953" s="1">
        <v>37815</v>
      </c>
      <c r="I1953" s="1">
        <v>0.15</v>
      </c>
      <c r="J1953" s="1">
        <v>257142</v>
      </c>
      <c r="K1953" s="1">
        <v>21133.21</v>
      </c>
      <c r="L1953" s="1" t="s">
        <v>23</v>
      </c>
      <c r="M1953" s="1" t="str">
        <f>TEXT(Table1[[#This Row],[Order Date]],"mmm")</f>
        <v>Nov</v>
      </c>
      <c r="N1953" s="1">
        <f>YEAR(Table1[[#This Row],[Order Date]])</f>
        <v>2023</v>
      </c>
    </row>
    <row r="1954" spans="1:14" x14ac:dyDescent="0.35">
      <c r="A1954" s="1" t="s">
        <v>2713</v>
      </c>
      <c r="B1954" s="1" t="s">
        <v>2000</v>
      </c>
      <c r="C1954" s="1" t="s">
        <v>84</v>
      </c>
      <c r="D1954" s="1" t="s">
        <v>78</v>
      </c>
      <c r="E1954" s="1" t="s">
        <v>28</v>
      </c>
      <c r="F1954" s="1" t="s">
        <v>78</v>
      </c>
      <c r="G1954" s="1">
        <v>8</v>
      </c>
      <c r="H1954" s="1">
        <v>18835</v>
      </c>
      <c r="I1954" s="1">
        <v>0.1</v>
      </c>
      <c r="J1954" s="1">
        <v>135612</v>
      </c>
      <c r="K1954" s="1">
        <v>36513.57</v>
      </c>
      <c r="L1954" s="1" t="s">
        <v>45</v>
      </c>
      <c r="M1954" s="1" t="str">
        <f>TEXT(Table1[[#This Row],[Order Date]],"mmm")</f>
        <v>Sep</v>
      </c>
      <c r="N1954" s="1">
        <f>YEAR(Table1[[#This Row],[Order Date]])</f>
        <v>2024</v>
      </c>
    </row>
    <row r="1955" spans="1:14" x14ac:dyDescent="0.35">
      <c r="A1955" s="1" t="s">
        <v>2714</v>
      </c>
      <c r="B1955" s="1" t="s">
        <v>850</v>
      </c>
      <c r="C1955" s="1" t="s">
        <v>63</v>
      </c>
      <c r="D1955" s="1" t="s">
        <v>114</v>
      </c>
      <c r="E1955" s="1" t="s">
        <v>16</v>
      </c>
      <c r="F1955" s="1" t="s">
        <v>114</v>
      </c>
      <c r="G1955" s="1">
        <v>14</v>
      </c>
      <c r="H1955" s="1">
        <v>44909</v>
      </c>
      <c r="I1955" s="1">
        <v>0.1</v>
      </c>
      <c r="J1955" s="1">
        <v>565853.4</v>
      </c>
      <c r="K1955" s="1">
        <v>62629.279999999999</v>
      </c>
      <c r="L1955" s="1" t="s">
        <v>23</v>
      </c>
      <c r="M1955" s="1" t="str">
        <f>TEXT(Table1[[#This Row],[Order Date]],"mmm")</f>
        <v>May</v>
      </c>
      <c r="N1955" s="1">
        <f>YEAR(Table1[[#This Row],[Order Date]])</f>
        <v>2024</v>
      </c>
    </row>
    <row r="1956" spans="1:14" x14ac:dyDescent="0.35">
      <c r="A1956" s="1" t="s">
        <v>2715</v>
      </c>
      <c r="B1956" s="1" t="s">
        <v>1854</v>
      </c>
      <c r="C1956" s="1" t="s">
        <v>88</v>
      </c>
      <c r="D1956" s="1" t="s">
        <v>44</v>
      </c>
      <c r="E1956" s="1" t="s">
        <v>28</v>
      </c>
      <c r="F1956" s="1" t="s">
        <v>44</v>
      </c>
      <c r="G1956" s="1">
        <v>15</v>
      </c>
      <c r="H1956" s="1">
        <v>53740</v>
      </c>
      <c r="I1956" s="1">
        <v>0.05</v>
      </c>
      <c r="J1956" s="1">
        <v>765795</v>
      </c>
      <c r="K1956" s="1">
        <v>67455.89</v>
      </c>
      <c r="L1956" s="1" t="s">
        <v>23</v>
      </c>
      <c r="M1956" s="1" t="str">
        <f>TEXT(Table1[[#This Row],[Order Date]],"mmm")</f>
        <v>Jul</v>
      </c>
      <c r="N1956" s="1">
        <f>YEAR(Table1[[#This Row],[Order Date]])</f>
        <v>2023</v>
      </c>
    </row>
    <row r="1957" spans="1:14" x14ac:dyDescent="0.35">
      <c r="A1957" s="1" t="s">
        <v>2716</v>
      </c>
      <c r="B1957" s="1" t="s">
        <v>93</v>
      </c>
      <c r="C1957" s="1" t="s">
        <v>81</v>
      </c>
      <c r="D1957" s="1" t="s">
        <v>56</v>
      </c>
      <c r="E1957" s="1" t="s">
        <v>22</v>
      </c>
      <c r="F1957" s="1" t="s">
        <v>56</v>
      </c>
      <c r="G1957" s="1">
        <v>8</v>
      </c>
      <c r="H1957" s="1">
        <v>26028</v>
      </c>
      <c r="I1957" s="1">
        <v>0.1</v>
      </c>
      <c r="J1957" s="1">
        <v>187401.60000000001</v>
      </c>
      <c r="K1957" s="1">
        <v>16523.509999999998</v>
      </c>
      <c r="L1957" s="1" t="s">
        <v>70</v>
      </c>
      <c r="M1957" s="1" t="str">
        <f>TEXT(Table1[[#This Row],[Order Date]],"mmm")</f>
        <v>Mar</v>
      </c>
      <c r="N1957" s="1">
        <f>YEAR(Table1[[#This Row],[Order Date]])</f>
        <v>2024</v>
      </c>
    </row>
    <row r="1958" spans="1:14" x14ac:dyDescent="0.35">
      <c r="A1958" s="1" t="s">
        <v>2717</v>
      </c>
      <c r="B1958" s="1" t="s">
        <v>357</v>
      </c>
      <c r="C1958" s="1" t="s">
        <v>104</v>
      </c>
      <c r="D1958" s="1" t="s">
        <v>293</v>
      </c>
      <c r="E1958" s="1" t="s">
        <v>33</v>
      </c>
      <c r="F1958" s="1" t="s">
        <v>293</v>
      </c>
      <c r="G1958" s="1">
        <v>5</v>
      </c>
      <c r="H1958" s="1">
        <v>42954</v>
      </c>
      <c r="I1958" s="1">
        <v>0.1</v>
      </c>
      <c r="J1958" s="1">
        <v>193293</v>
      </c>
      <c r="K1958" s="1">
        <v>54403.93</v>
      </c>
      <c r="L1958" s="1" t="s">
        <v>23</v>
      </c>
      <c r="M1958" s="1" t="str">
        <f>TEXT(Table1[[#This Row],[Order Date]],"mmm")</f>
        <v>Apr</v>
      </c>
      <c r="N1958" s="1">
        <f>YEAR(Table1[[#This Row],[Order Date]])</f>
        <v>2023</v>
      </c>
    </row>
    <row r="1959" spans="1:14" x14ac:dyDescent="0.35">
      <c r="A1959" s="1" t="s">
        <v>2718</v>
      </c>
      <c r="B1959" s="1" t="s">
        <v>2719</v>
      </c>
      <c r="C1959" s="1" t="s">
        <v>170</v>
      </c>
      <c r="D1959" s="1" t="s">
        <v>323</v>
      </c>
      <c r="E1959" s="1" t="s">
        <v>33</v>
      </c>
      <c r="F1959" s="1" t="s">
        <v>323</v>
      </c>
      <c r="G1959" s="1">
        <v>1</v>
      </c>
      <c r="H1959" s="1">
        <v>14310</v>
      </c>
      <c r="I1959" s="1">
        <v>0.05</v>
      </c>
      <c r="J1959" s="1">
        <v>13594.5</v>
      </c>
      <c r="K1959" s="1">
        <v>3534.63</v>
      </c>
      <c r="L1959" s="1" t="s">
        <v>45</v>
      </c>
      <c r="M1959" s="1" t="str">
        <f>TEXT(Table1[[#This Row],[Order Date]],"mmm")</f>
        <v>Apr</v>
      </c>
      <c r="N1959" s="1">
        <f>YEAR(Table1[[#This Row],[Order Date]])</f>
        <v>2023</v>
      </c>
    </row>
    <row r="1960" spans="1:14" x14ac:dyDescent="0.35">
      <c r="A1960" s="1" t="s">
        <v>2720</v>
      </c>
      <c r="B1960" s="1" t="s">
        <v>2151</v>
      </c>
      <c r="C1960" s="1" t="s">
        <v>77</v>
      </c>
      <c r="D1960" s="1" t="s">
        <v>85</v>
      </c>
      <c r="E1960" s="1" t="s">
        <v>28</v>
      </c>
      <c r="F1960" s="1" t="s">
        <v>85</v>
      </c>
      <c r="G1960" s="1">
        <v>11</v>
      </c>
      <c r="H1960" s="1">
        <v>29238</v>
      </c>
      <c r="I1960" s="1">
        <v>0.05</v>
      </c>
      <c r="J1960" s="1">
        <v>305537.09999999998</v>
      </c>
      <c r="K1960" s="1">
        <v>46759.32</v>
      </c>
      <c r="L1960" s="1" t="s">
        <v>45</v>
      </c>
      <c r="M1960" s="1" t="str">
        <f>TEXT(Table1[[#This Row],[Order Date]],"mmm")</f>
        <v>Jun</v>
      </c>
      <c r="N1960" s="1">
        <f>YEAR(Table1[[#This Row],[Order Date]])</f>
        <v>2024</v>
      </c>
    </row>
    <row r="1961" spans="1:14" x14ac:dyDescent="0.35">
      <c r="A1961" s="1" t="s">
        <v>2721</v>
      </c>
      <c r="B1961" s="1" t="s">
        <v>2111</v>
      </c>
      <c r="C1961" s="1" t="s">
        <v>111</v>
      </c>
      <c r="D1961" s="1" t="s">
        <v>78</v>
      </c>
      <c r="E1961" s="1" t="s">
        <v>28</v>
      </c>
      <c r="F1961" s="1" t="s">
        <v>78</v>
      </c>
      <c r="G1961" s="1">
        <v>11</v>
      </c>
      <c r="H1961" s="1">
        <v>22597</v>
      </c>
      <c r="I1961" s="1">
        <v>0.1</v>
      </c>
      <c r="J1961" s="1">
        <v>223710.3</v>
      </c>
      <c r="K1961" s="1">
        <v>42636.91</v>
      </c>
      <c r="L1961" s="1" t="s">
        <v>70</v>
      </c>
      <c r="M1961" s="1" t="str">
        <f>TEXT(Table1[[#This Row],[Order Date]],"mmm")</f>
        <v>May</v>
      </c>
      <c r="N1961" s="1">
        <f>YEAR(Table1[[#This Row],[Order Date]])</f>
        <v>2024</v>
      </c>
    </row>
    <row r="1962" spans="1:14" x14ac:dyDescent="0.35">
      <c r="A1962" s="1" t="s">
        <v>2722</v>
      </c>
      <c r="B1962" s="1" t="s">
        <v>679</v>
      </c>
      <c r="C1962" s="1" t="s">
        <v>51</v>
      </c>
      <c r="D1962" s="1" t="s">
        <v>151</v>
      </c>
      <c r="E1962" s="1" t="s">
        <v>22</v>
      </c>
      <c r="F1962" s="1" t="s">
        <v>151</v>
      </c>
      <c r="G1962" s="1">
        <v>15</v>
      </c>
      <c r="H1962" s="1">
        <v>4654</v>
      </c>
      <c r="I1962" s="1">
        <v>0.05</v>
      </c>
      <c r="J1962" s="1">
        <v>66319.5</v>
      </c>
      <c r="K1962" s="1">
        <v>7245.4</v>
      </c>
      <c r="L1962" s="1" t="s">
        <v>45</v>
      </c>
      <c r="M1962" s="1" t="str">
        <f>TEXT(Table1[[#This Row],[Order Date]],"mmm")</f>
        <v>Jul</v>
      </c>
      <c r="N1962" s="1">
        <f>YEAR(Table1[[#This Row],[Order Date]])</f>
        <v>2023</v>
      </c>
    </row>
    <row r="1963" spans="1:14" x14ac:dyDescent="0.35">
      <c r="A1963" s="1" t="s">
        <v>2723</v>
      </c>
      <c r="B1963" s="1" t="s">
        <v>2425</v>
      </c>
      <c r="C1963" s="1" t="s">
        <v>55</v>
      </c>
      <c r="D1963" s="1" t="s">
        <v>15</v>
      </c>
      <c r="E1963" s="1" t="s">
        <v>16</v>
      </c>
      <c r="F1963" s="1" t="s">
        <v>15</v>
      </c>
      <c r="G1963" s="1">
        <v>2</v>
      </c>
      <c r="H1963" s="1">
        <v>671</v>
      </c>
      <c r="I1963" s="1">
        <v>0.1</v>
      </c>
      <c r="J1963" s="1">
        <v>1207.8</v>
      </c>
      <c r="K1963" s="1">
        <v>248.14</v>
      </c>
      <c r="L1963" s="1" t="s">
        <v>17</v>
      </c>
      <c r="M1963" s="1" t="str">
        <f>TEXT(Table1[[#This Row],[Order Date]],"mmm")</f>
        <v>Jun</v>
      </c>
      <c r="N1963" s="1">
        <f>YEAR(Table1[[#This Row],[Order Date]])</f>
        <v>2024</v>
      </c>
    </row>
    <row r="1964" spans="1:14" x14ac:dyDescent="0.35">
      <c r="A1964" s="1" t="s">
        <v>2724</v>
      </c>
      <c r="B1964" s="1" t="s">
        <v>1618</v>
      </c>
      <c r="C1964" s="1" t="s">
        <v>117</v>
      </c>
      <c r="D1964" s="1" t="s">
        <v>74</v>
      </c>
      <c r="E1964" s="1" t="s">
        <v>22</v>
      </c>
      <c r="F1964" s="1" t="s">
        <v>74</v>
      </c>
      <c r="G1964" s="1">
        <v>13</v>
      </c>
      <c r="H1964" s="1">
        <v>10559</v>
      </c>
      <c r="I1964" s="1">
        <v>0.1</v>
      </c>
      <c r="J1964" s="1">
        <v>123540.3</v>
      </c>
      <c r="K1964" s="1">
        <v>20193.68</v>
      </c>
      <c r="L1964" s="1" t="s">
        <v>17</v>
      </c>
      <c r="M1964" s="1" t="str">
        <f>TEXT(Table1[[#This Row],[Order Date]],"mmm")</f>
        <v>Mar</v>
      </c>
      <c r="N1964" s="1">
        <f>YEAR(Table1[[#This Row],[Order Date]])</f>
        <v>2024</v>
      </c>
    </row>
    <row r="1965" spans="1:14" x14ac:dyDescent="0.35">
      <c r="A1965" s="1" t="s">
        <v>2725</v>
      </c>
      <c r="B1965" s="1" t="s">
        <v>1934</v>
      </c>
      <c r="C1965" s="1" t="s">
        <v>77</v>
      </c>
      <c r="D1965" s="1" t="s">
        <v>32</v>
      </c>
      <c r="E1965" s="1" t="s">
        <v>33</v>
      </c>
      <c r="F1965" s="1" t="s">
        <v>32</v>
      </c>
      <c r="G1965" s="1">
        <v>4</v>
      </c>
      <c r="H1965" s="1">
        <v>15677</v>
      </c>
      <c r="I1965" s="1">
        <v>0.2</v>
      </c>
      <c r="J1965" s="1">
        <v>50166.400000000001</v>
      </c>
      <c r="K1965" s="1">
        <v>11793.86</v>
      </c>
      <c r="L1965" s="1" t="s">
        <v>17</v>
      </c>
      <c r="M1965" s="1" t="str">
        <f>TEXT(Table1[[#This Row],[Order Date]],"mmm")</f>
        <v>Jul</v>
      </c>
      <c r="N1965" s="1">
        <f>YEAR(Table1[[#This Row],[Order Date]])</f>
        <v>2024</v>
      </c>
    </row>
    <row r="1966" spans="1:14" x14ac:dyDescent="0.35">
      <c r="A1966" s="1" t="s">
        <v>2726</v>
      </c>
      <c r="B1966" s="1" t="s">
        <v>497</v>
      </c>
      <c r="C1966" s="1" t="s">
        <v>146</v>
      </c>
      <c r="D1966" s="1" t="s">
        <v>64</v>
      </c>
      <c r="E1966" s="1" t="s">
        <v>33</v>
      </c>
      <c r="F1966" s="1" t="s">
        <v>64</v>
      </c>
      <c r="G1966" s="1">
        <v>13</v>
      </c>
      <c r="H1966" s="1">
        <v>455</v>
      </c>
      <c r="I1966" s="1">
        <v>0.1</v>
      </c>
      <c r="J1966" s="1">
        <v>5323.5</v>
      </c>
      <c r="K1966" s="1">
        <v>1340.94</v>
      </c>
      <c r="L1966" s="1" t="s">
        <v>17</v>
      </c>
      <c r="M1966" s="1" t="str">
        <f>TEXT(Table1[[#This Row],[Order Date]],"mmm")</f>
        <v>Jul</v>
      </c>
      <c r="N1966" s="1">
        <f>YEAR(Table1[[#This Row],[Order Date]])</f>
        <v>2024</v>
      </c>
    </row>
    <row r="1967" spans="1:14" x14ac:dyDescent="0.35">
      <c r="A1967" s="1" t="s">
        <v>2727</v>
      </c>
      <c r="B1967" s="1" t="s">
        <v>337</v>
      </c>
      <c r="C1967" s="1" t="s">
        <v>162</v>
      </c>
      <c r="D1967" s="1" t="s">
        <v>133</v>
      </c>
      <c r="E1967" s="1" t="s">
        <v>22</v>
      </c>
      <c r="F1967" s="1" t="s">
        <v>133</v>
      </c>
      <c r="G1967" s="1">
        <v>11</v>
      </c>
      <c r="H1967" s="1">
        <v>25577</v>
      </c>
      <c r="I1967" s="1">
        <v>0.05</v>
      </c>
      <c r="J1967" s="1">
        <v>267279.65000000002</v>
      </c>
      <c r="K1967" s="1">
        <v>26085.91</v>
      </c>
      <c r="L1967" s="1" t="s">
        <v>23</v>
      </c>
      <c r="M1967" s="1" t="str">
        <f>TEXT(Table1[[#This Row],[Order Date]],"mmm")</f>
        <v>May</v>
      </c>
      <c r="N1967" s="1">
        <f>YEAR(Table1[[#This Row],[Order Date]])</f>
        <v>2024</v>
      </c>
    </row>
    <row r="1968" spans="1:14" x14ac:dyDescent="0.35">
      <c r="A1968" s="1" t="s">
        <v>2728</v>
      </c>
      <c r="B1968" s="1" t="s">
        <v>234</v>
      </c>
      <c r="C1968" s="1" t="s">
        <v>107</v>
      </c>
      <c r="D1968" s="1" t="s">
        <v>37</v>
      </c>
      <c r="E1968" s="1" t="s">
        <v>16</v>
      </c>
      <c r="F1968" s="1" t="s">
        <v>37</v>
      </c>
      <c r="G1968" s="1">
        <v>1</v>
      </c>
      <c r="H1968" s="1">
        <v>25986</v>
      </c>
      <c r="I1968" s="1">
        <v>0.05</v>
      </c>
      <c r="J1968" s="1">
        <v>24686.7</v>
      </c>
      <c r="K1968" s="1">
        <v>6837.45</v>
      </c>
      <c r="L1968" s="1" t="s">
        <v>17</v>
      </c>
      <c r="M1968" s="1" t="str">
        <f>TEXT(Table1[[#This Row],[Order Date]],"mmm")</f>
        <v>May</v>
      </c>
      <c r="N1968" s="1">
        <f>YEAR(Table1[[#This Row],[Order Date]])</f>
        <v>2024</v>
      </c>
    </row>
    <row r="1969" spans="1:14" x14ac:dyDescent="0.35">
      <c r="A1969" s="1" t="s">
        <v>2729</v>
      </c>
      <c r="B1969" s="1" t="s">
        <v>1166</v>
      </c>
      <c r="C1969" s="1" t="s">
        <v>77</v>
      </c>
      <c r="D1969" s="1" t="s">
        <v>108</v>
      </c>
      <c r="E1969" s="1" t="s">
        <v>22</v>
      </c>
      <c r="F1969" s="1" t="s">
        <v>108</v>
      </c>
      <c r="G1969" s="1">
        <v>9</v>
      </c>
      <c r="H1969" s="1">
        <v>33499</v>
      </c>
      <c r="I1969" s="1">
        <v>0.1</v>
      </c>
      <c r="J1969" s="1">
        <v>271341.90000000002</v>
      </c>
      <c r="K1969" s="1">
        <v>30340.61</v>
      </c>
      <c r="L1969" s="1" t="s">
        <v>23</v>
      </c>
      <c r="M1969" s="1" t="str">
        <f>TEXT(Table1[[#This Row],[Order Date]],"mmm")</f>
        <v>Oct</v>
      </c>
      <c r="N1969" s="1">
        <f>YEAR(Table1[[#This Row],[Order Date]])</f>
        <v>2024</v>
      </c>
    </row>
    <row r="1970" spans="1:14" x14ac:dyDescent="0.35">
      <c r="A1970" s="1" t="s">
        <v>2730</v>
      </c>
      <c r="B1970" s="1" t="s">
        <v>1379</v>
      </c>
      <c r="C1970" s="1" t="s">
        <v>77</v>
      </c>
      <c r="D1970" s="1" t="s">
        <v>141</v>
      </c>
      <c r="E1970" s="1" t="s">
        <v>22</v>
      </c>
      <c r="F1970" s="1" t="s">
        <v>141</v>
      </c>
      <c r="G1970" s="1">
        <v>1</v>
      </c>
      <c r="H1970" s="1">
        <v>21019</v>
      </c>
      <c r="I1970" s="1">
        <v>0.05</v>
      </c>
      <c r="J1970" s="1">
        <v>19968.05</v>
      </c>
      <c r="K1970" s="1">
        <v>4778.6000000000004</v>
      </c>
      <c r="L1970" s="1" t="s">
        <v>70</v>
      </c>
      <c r="M1970" s="1" t="str">
        <f>TEXT(Table1[[#This Row],[Order Date]],"mmm")</f>
        <v>Mar</v>
      </c>
      <c r="N1970" s="1">
        <f>YEAR(Table1[[#This Row],[Order Date]])</f>
        <v>2023</v>
      </c>
    </row>
    <row r="1971" spans="1:14" x14ac:dyDescent="0.35">
      <c r="A1971" s="1" t="s">
        <v>2731</v>
      </c>
      <c r="B1971" s="1" t="s">
        <v>506</v>
      </c>
      <c r="C1971" s="1" t="s">
        <v>98</v>
      </c>
      <c r="D1971" s="1" t="s">
        <v>224</v>
      </c>
      <c r="E1971" s="1" t="s">
        <v>33</v>
      </c>
      <c r="F1971" s="1" t="s">
        <v>224</v>
      </c>
      <c r="G1971" s="1">
        <v>10</v>
      </c>
      <c r="H1971" s="1">
        <v>50547</v>
      </c>
      <c r="I1971" s="1">
        <v>0.15</v>
      </c>
      <c r="J1971" s="1">
        <v>429649.5</v>
      </c>
      <c r="K1971" s="1">
        <v>47981.23</v>
      </c>
      <c r="L1971" s="1" t="s">
        <v>23</v>
      </c>
      <c r="M1971" s="1" t="str">
        <f>TEXT(Table1[[#This Row],[Order Date]],"mmm")</f>
        <v>Jul</v>
      </c>
      <c r="N1971" s="1">
        <f>YEAR(Table1[[#This Row],[Order Date]])</f>
        <v>2024</v>
      </c>
    </row>
    <row r="1972" spans="1:14" x14ac:dyDescent="0.35">
      <c r="A1972" s="1" t="s">
        <v>2732</v>
      </c>
      <c r="B1972" s="1" t="s">
        <v>1341</v>
      </c>
      <c r="C1972" s="1" t="s">
        <v>203</v>
      </c>
      <c r="D1972" s="1" t="s">
        <v>56</v>
      </c>
      <c r="E1972" s="1" t="s">
        <v>22</v>
      </c>
      <c r="F1972" s="1" t="s">
        <v>56</v>
      </c>
      <c r="G1972" s="1">
        <v>1</v>
      </c>
      <c r="H1972" s="1">
        <v>11551</v>
      </c>
      <c r="I1972" s="1">
        <v>0.2</v>
      </c>
      <c r="J1972" s="1">
        <v>9240.7999999999993</v>
      </c>
      <c r="K1972" s="1">
        <v>1609.1</v>
      </c>
      <c r="L1972" s="1" t="s">
        <v>17</v>
      </c>
      <c r="M1972" s="1" t="str">
        <f>TEXT(Table1[[#This Row],[Order Date]],"mmm")</f>
        <v>Oct</v>
      </c>
      <c r="N1972" s="1">
        <f>YEAR(Table1[[#This Row],[Order Date]])</f>
        <v>2024</v>
      </c>
    </row>
    <row r="1973" spans="1:14" x14ac:dyDescent="0.35">
      <c r="A1973" s="1" t="s">
        <v>2733</v>
      </c>
      <c r="B1973" s="1" t="s">
        <v>2142</v>
      </c>
      <c r="C1973" s="1" t="s">
        <v>349</v>
      </c>
      <c r="D1973" s="1" t="s">
        <v>167</v>
      </c>
      <c r="E1973" s="1" t="s">
        <v>16</v>
      </c>
      <c r="F1973" s="1" t="s">
        <v>167</v>
      </c>
      <c r="G1973" s="1">
        <v>8</v>
      </c>
      <c r="H1973" s="1">
        <v>40533</v>
      </c>
      <c r="I1973" s="1">
        <v>0</v>
      </c>
      <c r="J1973" s="1">
        <v>324264</v>
      </c>
      <c r="K1973" s="1">
        <v>79888.149999999994</v>
      </c>
      <c r="L1973" s="1" t="s">
        <v>23</v>
      </c>
      <c r="M1973" s="1" t="str">
        <f>TEXT(Table1[[#This Row],[Order Date]],"mmm")</f>
        <v>Jan</v>
      </c>
      <c r="N1973" s="1">
        <f>YEAR(Table1[[#This Row],[Order Date]])</f>
        <v>2024</v>
      </c>
    </row>
    <row r="1974" spans="1:14" x14ac:dyDescent="0.35">
      <c r="A1974" s="1" t="s">
        <v>2734</v>
      </c>
      <c r="B1974" s="1" t="s">
        <v>515</v>
      </c>
      <c r="C1974" s="1" t="s">
        <v>36</v>
      </c>
      <c r="D1974" s="1" t="s">
        <v>27</v>
      </c>
      <c r="E1974" s="1" t="s">
        <v>28</v>
      </c>
      <c r="F1974" s="1" t="s">
        <v>27</v>
      </c>
      <c r="G1974" s="1">
        <v>1</v>
      </c>
      <c r="H1974" s="1">
        <v>7824</v>
      </c>
      <c r="I1974" s="1">
        <v>0.15</v>
      </c>
      <c r="J1974" s="1">
        <v>6650.4</v>
      </c>
      <c r="K1974" s="1">
        <v>1717.34</v>
      </c>
      <c r="L1974" s="1" t="s">
        <v>70</v>
      </c>
      <c r="M1974" s="1" t="str">
        <f>TEXT(Table1[[#This Row],[Order Date]],"mmm")</f>
        <v>Apr</v>
      </c>
      <c r="N1974" s="1">
        <f>YEAR(Table1[[#This Row],[Order Date]])</f>
        <v>2024</v>
      </c>
    </row>
    <row r="1975" spans="1:14" x14ac:dyDescent="0.35">
      <c r="A1975" s="1" t="s">
        <v>2735</v>
      </c>
      <c r="B1975" s="1" t="s">
        <v>948</v>
      </c>
      <c r="C1975" s="1" t="s">
        <v>104</v>
      </c>
      <c r="D1975" s="1" t="s">
        <v>21</v>
      </c>
      <c r="E1975" s="1" t="s">
        <v>22</v>
      </c>
      <c r="F1975" s="1" t="s">
        <v>21</v>
      </c>
      <c r="G1975" s="1">
        <v>9</v>
      </c>
      <c r="H1975" s="1">
        <v>332</v>
      </c>
      <c r="I1975" s="1">
        <v>0.2</v>
      </c>
      <c r="J1975" s="1">
        <v>2390.4</v>
      </c>
      <c r="K1975" s="1">
        <v>492.1</v>
      </c>
      <c r="L1975" s="1" t="s">
        <v>17</v>
      </c>
      <c r="M1975" s="1" t="str">
        <f>TEXT(Table1[[#This Row],[Order Date]],"mmm")</f>
        <v>Dec</v>
      </c>
      <c r="N1975" s="1">
        <f>YEAR(Table1[[#This Row],[Order Date]])</f>
        <v>2023</v>
      </c>
    </row>
    <row r="1976" spans="1:14" x14ac:dyDescent="0.35">
      <c r="A1976" s="1" t="s">
        <v>2736</v>
      </c>
      <c r="B1976" s="1" t="s">
        <v>394</v>
      </c>
      <c r="C1976" s="1" t="s">
        <v>117</v>
      </c>
      <c r="D1976" s="1" t="s">
        <v>41</v>
      </c>
      <c r="E1976" s="1" t="s">
        <v>16</v>
      </c>
      <c r="F1976" s="1" t="s">
        <v>41</v>
      </c>
      <c r="G1976" s="1">
        <v>3</v>
      </c>
      <c r="H1976" s="1">
        <v>35242</v>
      </c>
      <c r="I1976" s="1">
        <v>0</v>
      </c>
      <c r="J1976" s="1">
        <v>105726</v>
      </c>
      <c r="K1976" s="1">
        <v>25106.39</v>
      </c>
      <c r="L1976" s="1" t="s">
        <v>23</v>
      </c>
      <c r="M1976" s="1" t="str">
        <f>TEXT(Table1[[#This Row],[Order Date]],"mmm")</f>
        <v>Sep</v>
      </c>
      <c r="N1976" s="1">
        <f>YEAR(Table1[[#This Row],[Order Date]])</f>
        <v>2023</v>
      </c>
    </row>
    <row r="1977" spans="1:14" x14ac:dyDescent="0.35">
      <c r="A1977" s="1" t="s">
        <v>2737</v>
      </c>
      <c r="B1977" s="1" t="s">
        <v>1890</v>
      </c>
      <c r="C1977" s="1" t="s">
        <v>335</v>
      </c>
      <c r="D1977" s="1" t="s">
        <v>60</v>
      </c>
      <c r="E1977" s="1" t="s">
        <v>33</v>
      </c>
      <c r="F1977" s="1" t="s">
        <v>60</v>
      </c>
      <c r="G1977" s="1">
        <v>7</v>
      </c>
      <c r="H1977" s="1">
        <v>55525</v>
      </c>
      <c r="I1977" s="1">
        <v>0.1</v>
      </c>
      <c r="J1977" s="1">
        <v>349807.5</v>
      </c>
      <c r="K1977" s="1">
        <v>73350.289999999994</v>
      </c>
      <c r="L1977" s="1" t="s">
        <v>23</v>
      </c>
      <c r="M1977" s="1" t="str">
        <f>TEXT(Table1[[#This Row],[Order Date]],"mmm")</f>
        <v>Oct</v>
      </c>
      <c r="N1977" s="1">
        <f>YEAR(Table1[[#This Row],[Order Date]])</f>
        <v>2023</v>
      </c>
    </row>
    <row r="1978" spans="1:14" x14ac:dyDescent="0.35">
      <c r="A1978" s="1" t="s">
        <v>2738</v>
      </c>
      <c r="B1978" s="1" t="s">
        <v>1531</v>
      </c>
      <c r="C1978" s="1" t="s">
        <v>31</v>
      </c>
      <c r="D1978" s="1" t="s">
        <v>151</v>
      </c>
      <c r="E1978" s="1" t="s">
        <v>22</v>
      </c>
      <c r="F1978" s="1" t="s">
        <v>151</v>
      </c>
      <c r="G1978" s="1">
        <v>8</v>
      </c>
      <c r="H1978" s="1">
        <v>28916</v>
      </c>
      <c r="I1978" s="1">
        <v>0</v>
      </c>
      <c r="J1978" s="1">
        <v>231328</v>
      </c>
      <c r="K1978" s="1">
        <v>34648.22</v>
      </c>
      <c r="L1978" s="1" t="s">
        <v>45</v>
      </c>
      <c r="M1978" s="1" t="str">
        <f>TEXT(Table1[[#This Row],[Order Date]],"mmm")</f>
        <v>Aug</v>
      </c>
      <c r="N1978" s="1">
        <f>YEAR(Table1[[#This Row],[Order Date]])</f>
        <v>2023</v>
      </c>
    </row>
    <row r="1979" spans="1:14" x14ac:dyDescent="0.35">
      <c r="A1979" s="1" t="s">
        <v>2739</v>
      </c>
      <c r="B1979" s="1" t="s">
        <v>1322</v>
      </c>
      <c r="C1979" s="1" t="s">
        <v>140</v>
      </c>
      <c r="D1979" s="1" t="s">
        <v>137</v>
      </c>
      <c r="E1979" s="1" t="s">
        <v>22</v>
      </c>
      <c r="F1979" s="1" t="s">
        <v>137</v>
      </c>
      <c r="G1979" s="1">
        <v>2</v>
      </c>
      <c r="H1979" s="1">
        <v>59678</v>
      </c>
      <c r="I1979" s="1">
        <v>0.2</v>
      </c>
      <c r="J1979" s="1">
        <v>95484.800000000003</v>
      </c>
      <c r="K1979" s="1">
        <v>12438.72</v>
      </c>
      <c r="L1979" s="1" t="s">
        <v>17</v>
      </c>
      <c r="M1979" s="1" t="str">
        <f>TEXT(Table1[[#This Row],[Order Date]],"mmm")</f>
        <v>Sep</v>
      </c>
      <c r="N1979" s="1">
        <f>YEAR(Table1[[#This Row],[Order Date]])</f>
        <v>2023</v>
      </c>
    </row>
    <row r="1980" spans="1:14" x14ac:dyDescent="0.35">
      <c r="A1980" s="1" t="s">
        <v>2740</v>
      </c>
      <c r="B1980" s="1" t="s">
        <v>453</v>
      </c>
      <c r="C1980" s="1" t="s">
        <v>200</v>
      </c>
      <c r="D1980" s="1" t="s">
        <v>91</v>
      </c>
      <c r="E1980" s="1" t="s">
        <v>16</v>
      </c>
      <c r="F1980" s="1" t="s">
        <v>91</v>
      </c>
      <c r="G1980" s="1">
        <v>5</v>
      </c>
      <c r="H1980" s="1">
        <v>9052</v>
      </c>
      <c r="I1980" s="1">
        <v>0.05</v>
      </c>
      <c r="J1980" s="1">
        <v>42997</v>
      </c>
      <c r="K1980" s="1">
        <v>10196.99</v>
      </c>
      <c r="L1980" s="1" t="s">
        <v>70</v>
      </c>
      <c r="M1980" s="1" t="str">
        <f>TEXT(Table1[[#This Row],[Order Date]],"mmm")</f>
        <v>Jul</v>
      </c>
      <c r="N1980" s="1">
        <f>YEAR(Table1[[#This Row],[Order Date]])</f>
        <v>2023</v>
      </c>
    </row>
    <row r="1981" spans="1:14" x14ac:dyDescent="0.35">
      <c r="A1981" s="1" t="s">
        <v>2741</v>
      </c>
      <c r="B1981" s="1" t="s">
        <v>549</v>
      </c>
      <c r="C1981" s="1" t="s">
        <v>81</v>
      </c>
      <c r="D1981" s="1" t="s">
        <v>179</v>
      </c>
      <c r="E1981" s="1" t="s">
        <v>28</v>
      </c>
      <c r="F1981" s="1" t="s">
        <v>179</v>
      </c>
      <c r="G1981" s="1">
        <v>12</v>
      </c>
      <c r="H1981" s="1">
        <v>7430</v>
      </c>
      <c r="I1981" s="1">
        <v>0.15</v>
      </c>
      <c r="J1981" s="1">
        <v>75786</v>
      </c>
      <c r="K1981" s="1">
        <v>6477.8</v>
      </c>
      <c r="L1981" s="1" t="s">
        <v>70</v>
      </c>
      <c r="M1981" s="1" t="str">
        <f>TEXT(Table1[[#This Row],[Order Date]],"mmm")</f>
        <v>Jan</v>
      </c>
      <c r="N1981" s="1">
        <f>YEAR(Table1[[#This Row],[Order Date]])</f>
        <v>2024</v>
      </c>
    </row>
    <row r="1982" spans="1:14" x14ac:dyDescent="0.35">
      <c r="A1982" s="1" t="s">
        <v>2742</v>
      </c>
      <c r="B1982" s="1" t="s">
        <v>2743</v>
      </c>
      <c r="C1982" s="1" t="s">
        <v>107</v>
      </c>
      <c r="D1982" s="1" t="s">
        <v>52</v>
      </c>
      <c r="E1982" s="1" t="s">
        <v>28</v>
      </c>
      <c r="F1982" s="1" t="s">
        <v>52</v>
      </c>
      <c r="G1982" s="1">
        <v>7</v>
      </c>
      <c r="H1982" s="1">
        <v>53559</v>
      </c>
      <c r="I1982" s="1">
        <v>0.05</v>
      </c>
      <c r="J1982" s="1">
        <v>356167.35</v>
      </c>
      <c r="K1982" s="1">
        <v>104363.46</v>
      </c>
      <c r="L1982" s="1" t="s">
        <v>45</v>
      </c>
      <c r="M1982" s="1" t="str">
        <f>TEXT(Table1[[#This Row],[Order Date]],"mmm")</f>
        <v>Mar</v>
      </c>
      <c r="N1982" s="1">
        <f>YEAR(Table1[[#This Row],[Order Date]])</f>
        <v>2023</v>
      </c>
    </row>
    <row r="1983" spans="1:14" x14ac:dyDescent="0.35">
      <c r="A1983" s="1" t="s">
        <v>2744</v>
      </c>
      <c r="B1983" s="1" t="s">
        <v>1556</v>
      </c>
      <c r="C1983" s="1" t="s">
        <v>136</v>
      </c>
      <c r="D1983" s="1" t="s">
        <v>137</v>
      </c>
      <c r="E1983" s="1" t="s">
        <v>22</v>
      </c>
      <c r="F1983" s="1" t="s">
        <v>137</v>
      </c>
      <c r="G1983" s="1">
        <v>11</v>
      </c>
      <c r="H1983" s="1">
        <v>59493</v>
      </c>
      <c r="I1983" s="1">
        <v>0.2</v>
      </c>
      <c r="J1983" s="1">
        <v>523538.4</v>
      </c>
      <c r="K1983" s="1">
        <v>43625.81</v>
      </c>
      <c r="L1983" s="1" t="s">
        <v>45</v>
      </c>
      <c r="M1983" s="1" t="str">
        <f>TEXT(Table1[[#This Row],[Order Date]],"mmm")</f>
        <v>May</v>
      </c>
      <c r="N1983" s="1">
        <f>YEAR(Table1[[#This Row],[Order Date]])</f>
        <v>2023</v>
      </c>
    </row>
    <row r="1984" spans="1:14" x14ac:dyDescent="0.35">
      <c r="A1984" s="1" t="s">
        <v>2745</v>
      </c>
      <c r="B1984" s="1" t="s">
        <v>2746</v>
      </c>
      <c r="C1984" s="1" t="s">
        <v>98</v>
      </c>
      <c r="D1984" s="1" t="s">
        <v>41</v>
      </c>
      <c r="E1984" s="1" t="s">
        <v>16</v>
      </c>
      <c r="F1984" s="1" t="s">
        <v>41</v>
      </c>
      <c r="G1984" s="1">
        <v>1</v>
      </c>
      <c r="H1984" s="1">
        <v>18715</v>
      </c>
      <c r="I1984" s="1">
        <v>0.2</v>
      </c>
      <c r="J1984" s="1">
        <v>14972</v>
      </c>
      <c r="K1984" s="1">
        <v>2303.1</v>
      </c>
      <c r="L1984" s="1" t="s">
        <v>45</v>
      </c>
      <c r="M1984" s="1" t="str">
        <f>TEXT(Table1[[#This Row],[Order Date]],"mmm")</f>
        <v>Jan</v>
      </c>
      <c r="N1984" s="1">
        <f>YEAR(Table1[[#This Row],[Order Date]])</f>
        <v>2023</v>
      </c>
    </row>
    <row r="1985" spans="1:14" x14ac:dyDescent="0.35">
      <c r="A1985" s="1" t="s">
        <v>2747</v>
      </c>
      <c r="B1985" s="1" t="s">
        <v>698</v>
      </c>
      <c r="C1985" s="1" t="s">
        <v>208</v>
      </c>
      <c r="D1985" s="1" t="s">
        <v>48</v>
      </c>
      <c r="E1985" s="1" t="s">
        <v>16</v>
      </c>
      <c r="F1985" s="1" t="s">
        <v>48</v>
      </c>
      <c r="G1985" s="1">
        <v>5</v>
      </c>
      <c r="H1985" s="1">
        <v>23629</v>
      </c>
      <c r="I1985" s="1">
        <v>0.05</v>
      </c>
      <c r="J1985" s="1">
        <v>112237.75</v>
      </c>
      <c r="K1985" s="1">
        <v>22294.83</v>
      </c>
      <c r="L1985" s="1" t="s">
        <v>23</v>
      </c>
      <c r="M1985" s="1" t="str">
        <f>TEXT(Table1[[#This Row],[Order Date]],"mmm")</f>
        <v>Mar</v>
      </c>
      <c r="N1985" s="1">
        <f>YEAR(Table1[[#This Row],[Order Date]])</f>
        <v>2023</v>
      </c>
    </row>
    <row r="1986" spans="1:14" x14ac:dyDescent="0.35">
      <c r="A1986" s="1" t="s">
        <v>2748</v>
      </c>
      <c r="B1986" s="1" t="s">
        <v>757</v>
      </c>
      <c r="C1986" s="1" t="s">
        <v>81</v>
      </c>
      <c r="D1986" s="1" t="s">
        <v>114</v>
      </c>
      <c r="E1986" s="1" t="s">
        <v>16</v>
      </c>
      <c r="F1986" s="1" t="s">
        <v>114</v>
      </c>
      <c r="G1986" s="1">
        <v>14</v>
      </c>
      <c r="H1986" s="1">
        <v>15468</v>
      </c>
      <c r="I1986" s="1">
        <v>0.05</v>
      </c>
      <c r="J1986" s="1">
        <v>205724.4</v>
      </c>
      <c r="K1986" s="1">
        <v>36914.769999999997</v>
      </c>
      <c r="L1986" s="1" t="s">
        <v>45</v>
      </c>
      <c r="M1986" s="1" t="str">
        <f>TEXT(Table1[[#This Row],[Order Date]],"mmm")</f>
        <v>Dec</v>
      </c>
      <c r="N1986" s="1">
        <f>YEAR(Table1[[#This Row],[Order Date]])</f>
        <v>2023</v>
      </c>
    </row>
    <row r="1987" spans="1:14" x14ac:dyDescent="0.35">
      <c r="A1987" s="1" t="s">
        <v>2749</v>
      </c>
      <c r="B1987" s="1" t="s">
        <v>1638</v>
      </c>
      <c r="C1987" s="1" t="s">
        <v>20</v>
      </c>
      <c r="D1987" s="1" t="s">
        <v>60</v>
      </c>
      <c r="E1987" s="1" t="s">
        <v>33</v>
      </c>
      <c r="F1987" s="1" t="s">
        <v>60</v>
      </c>
      <c r="G1987" s="1">
        <v>1</v>
      </c>
      <c r="H1987" s="1">
        <v>16678</v>
      </c>
      <c r="I1987" s="1">
        <v>0.2</v>
      </c>
      <c r="J1987" s="1">
        <v>13342.4</v>
      </c>
      <c r="K1987" s="1">
        <v>3214.77</v>
      </c>
      <c r="L1987" s="1" t="s">
        <v>17</v>
      </c>
      <c r="M1987" s="1" t="str">
        <f>TEXT(Table1[[#This Row],[Order Date]],"mmm")</f>
        <v>Feb</v>
      </c>
      <c r="N1987" s="1">
        <f>YEAR(Table1[[#This Row],[Order Date]])</f>
        <v>2023</v>
      </c>
    </row>
    <row r="1988" spans="1:14" x14ac:dyDescent="0.35">
      <c r="A1988" s="1" t="s">
        <v>2750</v>
      </c>
      <c r="B1988" s="1" t="s">
        <v>166</v>
      </c>
      <c r="C1988" s="1" t="s">
        <v>107</v>
      </c>
      <c r="D1988" s="1" t="s">
        <v>27</v>
      </c>
      <c r="E1988" s="1" t="s">
        <v>28</v>
      </c>
      <c r="F1988" s="1" t="s">
        <v>27</v>
      </c>
      <c r="G1988" s="1">
        <v>15</v>
      </c>
      <c r="H1988" s="1">
        <v>49861</v>
      </c>
      <c r="I1988" s="1">
        <v>0.1</v>
      </c>
      <c r="J1988" s="1">
        <v>673123.5</v>
      </c>
      <c r="K1988" s="1">
        <v>116739.24</v>
      </c>
      <c r="L1988" s="1" t="s">
        <v>45</v>
      </c>
      <c r="M1988" s="1" t="str">
        <f>TEXT(Table1[[#This Row],[Order Date]],"mmm")</f>
        <v>Jan</v>
      </c>
      <c r="N1988" s="1">
        <f>YEAR(Table1[[#This Row],[Order Date]])</f>
        <v>2024</v>
      </c>
    </row>
    <row r="1989" spans="1:14" x14ac:dyDescent="0.35">
      <c r="A1989" s="1" t="s">
        <v>2751</v>
      </c>
      <c r="B1989" s="1" t="s">
        <v>2752</v>
      </c>
      <c r="C1989" s="1" t="s">
        <v>260</v>
      </c>
      <c r="D1989" s="1" t="s">
        <v>78</v>
      </c>
      <c r="E1989" s="1" t="s">
        <v>28</v>
      </c>
      <c r="F1989" s="1" t="s">
        <v>78</v>
      </c>
      <c r="G1989" s="1">
        <v>8</v>
      </c>
      <c r="H1989" s="1">
        <v>20331</v>
      </c>
      <c r="I1989" s="1">
        <v>0.05</v>
      </c>
      <c r="J1989" s="1">
        <v>154515.6</v>
      </c>
      <c r="K1989" s="1">
        <v>34445.35</v>
      </c>
      <c r="L1989" s="1" t="s">
        <v>23</v>
      </c>
      <c r="M1989" s="1" t="str">
        <f>TEXT(Table1[[#This Row],[Order Date]],"mmm")</f>
        <v>Jan</v>
      </c>
      <c r="N1989" s="1">
        <f>YEAR(Table1[[#This Row],[Order Date]])</f>
        <v>2023</v>
      </c>
    </row>
    <row r="1990" spans="1:14" x14ac:dyDescent="0.35">
      <c r="A1990" s="1" t="s">
        <v>2753</v>
      </c>
      <c r="B1990" s="1" t="s">
        <v>1523</v>
      </c>
      <c r="C1990" s="1" t="s">
        <v>203</v>
      </c>
      <c r="D1990" s="1" t="s">
        <v>74</v>
      </c>
      <c r="E1990" s="1" t="s">
        <v>22</v>
      </c>
      <c r="F1990" s="1" t="s">
        <v>74</v>
      </c>
      <c r="G1990" s="1">
        <v>3</v>
      </c>
      <c r="H1990" s="1">
        <v>58269</v>
      </c>
      <c r="I1990" s="1">
        <v>0.15</v>
      </c>
      <c r="J1990" s="1">
        <v>148585.95000000001</v>
      </c>
      <c r="K1990" s="1">
        <v>13537.58</v>
      </c>
      <c r="L1990" s="1" t="s">
        <v>45</v>
      </c>
      <c r="M1990" s="1" t="str">
        <f>TEXT(Table1[[#This Row],[Order Date]],"mmm")</f>
        <v>Jun</v>
      </c>
      <c r="N1990" s="1">
        <f>YEAR(Table1[[#This Row],[Order Date]])</f>
        <v>2023</v>
      </c>
    </row>
    <row r="1991" spans="1:14" x14ac:dyDescent="0.35">
      <c r="A1991" s="1" t="s">
        <v>2754</v>
      </c>
      <c r="B1991" s="1" t="s">
        <v>2225</v>
      </c>
      <c r="C1991" s="1" t="s">
        <v>104</v>
      </c>
      <c r="D1991" s="1" t="s">
        <v>21</v>
      </c>
      <c r="E1991" s="1" t="s">
        <v>22</v>
      </c>
      <c r="F1991" s="1" t="s">
        <v>21</v>
      </c>
      <c r="G1991" s="1">
        <v>12</v>
      </c>
      <c r="H1991" s="1">
        <v>40690</v>
      </c>
      <c r="I1991" s="1">
        <v>0.2</v>
      </c>
      <c r="J1991" s="1">
        <v>390624</v>
      </c>
      <c r="K1991" s="1">
        <v>115979.07</v>
      </c>
      <c r="L1991" s="1" t="s">
        <v>45</v>
      </c>
      <c r="M1991" s="1" t="str">
        <f>TEXT(Table1[[#This Row],[Order Date]],"mmm")</f>
        <v>Nov</v>
      </c>
      <c r="N1991" s="1">
        <f>YEAR(Table1[[#This Row],[Order Date]])</f>
        <v>2023</v>
      </c>
    </row>
    <row r="1992" spans="1:14" x14ac:dyDescent="0.35">
      <c r="A1992" s="1" t="s">
        <v>2755</v>
      </c>
      <c r="B1992" s="1" t="s">
        <v>93</v>
      </c>
      <c r="C1992" s="1" t="s">
        <v>111</v>
      </c>
      <c r="D1992" s="1" t="s">
        <v>224</v>
      </c>
      <c r="E1992" s="1" t="s">
        <v>33</v>
      </c>
      <c r="F1992" s="1" t="s">
        <v>224</v>
      </c>
      <c r="G1992" s="1">
        <v>13</v>
      </c>
      <c r="H1992" s="1">
        <v>43731</v>
      </c>
      <c r="I1992" s="1">
        <v>0.15</v>
      </c>
      <c r="J1992" s="1">
        <v>483227.55</v>
      </c>
      <c r="K1992" s="1">
        <v>122046.84</v>
      </c>
      <c r="L1992" s="1" t="s">
        <v>45</v>
      </c>
      <c r="M1992" s="1" t="str">
        <f>TEXT(Table1[[#This Row],[Order Date]],"mmm")</f>
        <v>Mar</v>
      </c>
      <c r="N1992" s="1">
        <f>YEAR(Table1[[#This Row],[Order Date]])</f>
        <v>2024</v>
      </c>
    </row>
    <row r="1993" spans="1:14" x14ac:dyDescent="0.35">
      <c r="A1993" s="1" t="s">
        <v>2756</v>
      </c>
      <c r="B1993" s="1" t="s">
        <v>1804</v>
      </c>
      <c r="C1993" s="1" t="s">
        <v>370</v>
      </c>
      <c r="D1993" s="1" t="s">
        <v>74</v>
      </c>
      <c r="E1993" s="1" t="s">
        <v>22</v>
      </c>
      <c r="F1993" s="1" t="s">
        <v>74</v>
      </c>
      <c r="G1993" s="1">
        <v>4</v>
      </c>
      <c r="H1993" s="1">
        <v>7125</v>
      </c>
      <c r="I1993" s="1">
        <v>0.1</v>
      </c>
      <c r="J1993" s="1">
        <v>25650</v>
      </c>
      <c r="K1993" s="1">
        <v>2428.0100000000002</v>
      </c>
      <c r="L1993" s="1" t="s">
        <v>45</v>
      </c>
      <c r="M1993" s="1" t="str">
        <f>TEXT(Table1[[#This Row],[Order Date]],"mmm")</f>
        <v>Nov</v>
      </c>
      <c r="N1993" s="1">
        <f>YEAR(Table1[[#This Row],[Order Date]])</f>
        <v>2023</v>
      </c>
    </row>
    <row r="1994" spans="1:14" x14ac:dyDescent="0.35">
      <c r="A1994" s="1" t="s">
        <v>2757</v>
      </c>
      <c r="B1994" s="1" t="s">
        <v>1537</v>
      </c>
      <c r="C1994" s="1" t="s">
        <v>59</v>
      </c>
      <c r="D1994" s="1" t="s">
        <v>44</v>
      </c>
      <c r="E1994" s="1" t="s">
        <v>28</v>
      </c>
      <c r="F1994" s="1" t="s">
        <v>44</v>
      </c>
      <c r="G1994" s="1">
        <v>3</v>
      </c>
      <c r="H1994" s="1">
        <v>50021</v>
      </c>
      <c r="I1994" s="1">
        <v>0</v>
      </c>
      <c r="J1994" s="1">
        <v>150063</v>
      </c>
      <c r="K1994" s="1">
        <v>36774.879999999997</v>
      </c>
      <c r="L1994" s="1" t="s">
        <v>17</v>
      </c>
      <c r="M1994" s="1" t="str">
        <f>TEXT(Table1[[#This Row],[Order Date]],"mmm")</f>
        <v>Jan</v>
      </c>
      <c r="N1994" s="1">
        <f>YEAR(Table1[[#This Row],[Order Date]])</f>
        <v>2023</v>
      </c>
    </row>
    <row r="1995" spans="1:14" x14ac:dyDescent="0.35">
      <c r="A1995" s="1" t="s">
        <v>2758</v>
      </c>
      <c r="B1995" s="1" t="s">
        <v>1140</v>
      </c>
      <c r="C1995" s="1" t="s">
        <v>125</v>
      </c>
      <c r="D1995" s="1" t="s">
        <v>133</v>
      </c>
      <c r="E1995" s="1" t="s">
        <v>22</v>
      </c>
      <c r="F1995" s="1" t="s">
        <v>133</v>
      </c>
      <c r="G1995" s="1">
        <v>4</v>
      </c>
      <c r="H1995" s="1">
        <v>17032</v>
      </c>
      <c r="I1995" s="1">
        <v>0</v>
      </c>
      <c r="J1995" s="1">
        <v>68128</v>
      </c>
      <c r="K1995" s="1">
        <v>10075.459999999999</v>
      </c>
      <c r="L1995" s="1" t="s">
        <v>23</v>
      </c>
      <c r="M1995" s="1" t="str">
        <f>TEXT(Table1[[#This Row],[Order Date]],"mmm")</f>
        <v>May</v>
      </c>
      <c r="N1995" s="1">
        <f>YEAR(Table1[[#This Row],[Order Date]])</f>
        <v>2024</v>
      </c>
    </row>
    <row r="1996" spans="1:14" x14ac:dyDescent="0.35">
      <c r="A1996" s="1" t="s">
        <v>2759</v>
      </c>
      <c r="B1996" s="1" t="s">
        <v>558</v>
      </c>
      <c r="C1996" s="1" t="s">
        <v>136</v>
      </c>
      <c r="D1996" s="1" t="s">
        <v>114</v>
      </c>
      <c r="E1996" s="1" t="s">
        <v>16</v>
      </c>
      <c r="F1996" s="1" t="s">
        <v>114</v>
      </c>
      <c r="G1996" s="1">
        <v>7</v>
      </c>
      <c r="H1996" s="1">
        <v>19631</v>
      </c>
      <c r="I1996" s="1">
        <v>0</v>
      </c>
      <c r="J1996" s="1">
        <v>137417</v>
      </c>
      <c r="K1996" s="1">
        <v>31498.49</v>
      </c>
      <c r="L1996" s="1" t="s">
        <v>23</v>
      </c>
      <c r="M1996" s="1" t="str">
        <f>TEXT(Table1[[#This Row],[Order Date]],"mmm")</f>
        <v>Nov</v>
      </c>
      <c r="N1996" s="1">
        <f>YEAR(Table1[[#This Row],[Order Date]])</f>
        <v>2023</v>
      </c>
    </row>
    <row r="1997" spans="1:14" x14ac:dyDescent="0.35">
      <c r="A1997" s="1" t="s">
        <v>2760</v>
      </c>
      <c r="B1997" s="1" t="s">
        <v>1664</v>
      </c>
      <c r="C1997" s="1" t="s">
        <v>332</v>
      </c>
      <c r="D1997" s="1" t="s">
        <v>52</v>
      </c>
      <c r="E1997" s="1" t="s">
        <v>28</v>
      </c>
      <c r="F1997" s="1" t="s">
        <v>52</v>
      </c>
      <c r="G1997" s="1">
        <v>9</v>
      </c>
      <c r="H1997" s="1">
        <v>3905</v>
      </c>
      <c r="I1997" s="1">
        <v>0.05</v>
      </c>
      <c r="J1997" s="1">
        <v>33387.75</v>
      </c>
      <c r="K1997" s="1">
        <v>5251.9</v>
      </c>
      <c r="L1997" s="1" t="s">
        <v>23</v>
      </c>
      <c r="M1997" s="1" t="str">
        <f>TEXT(Table1[[#This Row],[Order Date]],"mmm")</f>
        <v>Mar</v>
      </c>
      <c r="N1997" s="1">
        <f>YEAR(Table1[[#This Row],[Order Date]])</f>
        <v>2024</v>
      </c>
    </row>
    <row r="1998" spans="1:14" x14ac:dyDescent="0.35">
      <c r="A1998" s="1" t="s">
        <v>2761</v>
      </c>
      <c r="B1998" s="1" t="s">
        <v>1155</v>
      </c>
      <c r="C1998" s="1" t="s">
        <v>507</v>
      </c>
      <c r="D1998" s="1" t="s">
        <v>91</v>
      </c>
      <c r="E1998" s="1" t="s">
        <v>16</v>
      </c>
      <c r="F1998" s="1" t="s">
        <v>91</v>
      </c>
      <c r="G1998" s="1">
        <v>12</v>
      </c>
      <c r="H1998" s="1">
        <v>38029</v>
      </c>
      <c r="I1998" s="1">
        <v>0</v>
      </c>
      <c r="J1998" s="1">
        <v>456348</v>
      </c>
      <c r="K1998" s="1">
        <v>87752.97</v>
      </c>
      <c r="L1998" s="1" t="s">
        <v>17</v>
      </c>
      <c r="M1998" s="1" t="str">
        <f>TEXT(Table1[[#This Row],[Order Date]],"mmm")</f>
        <v>May</v>
      </c>
      <c r="N1998" s="1">
        <f>YEAR(Table1[[#This Row],[Order Date]])</f>
        <v>2024</v>
      </c>
    </row>
    <row r="1999" spans="1:14" x14ac:dyDescent="0.35">
      <c r="A1999" s="1" t="s">
        <v>2762</v>
      </c>
      <c r="B1999" s="1" t="s">
        <v>110</v>
      </c>
      <c r="C1999" s="1" t="s">
        <v>20</v>
      </c>
      <c r="D1999" s="1" t="s">
        <v>323</v>
      </c>
      <c r="E1999" s="1" t="s">
        <v>33</v>
      </c>
      <c r="F1999" s="1" t="s">
        <v>323</v>
      </c>
      <c r="G1999" s="1">
        <v>13</v>
      </c>
      <c r="H1999" s="1">
        <v>38136</v>
      </c>
      <c r="I1999" s="1">
        <v>0.05</v>
      </c>
      <c r="J1999" s="1">
        <v>470979.6</v>
      </c>
      <c r="K1999" s="1">
        <v>113616.02</v>
      </c>
      <c r="L1999" s="1" t="s">
        <v>70</v>
      </c>
      <c r="M1999" s="1" t="str">
        <f>TEXT(Table1[[#This Row],[Order Date]],"mmm")</f>
        <v>Jan</v>
      </c>
      <c r="N1999" s="1">
        <f>YEAR(Table1[[#This Row],[Order Date]])</f>
        <v>2023</v>
      </c>
    </row>
    <row r="2000" spans="1:14" x14ac:dyDescent="0.35">
      <c r="A2000" s="1" t="s">
        <v>2763</v>
      </c>
      <c r="B2000" s="1" t="s">
        <v>1068</v>
      </c>
      <c r="C2000" s="1" t="s">
        <v>14</v>
      </c>
      <c r="D2000" s="1" t="s">
        <v>44</v>
      </c>
      <c r="E2000" s="1" t="s">
        <v>28</v>
      </c>
      <c r="F2000" s="1" t="s">
        <v>44</v>
      </c>
      <c r="G2000" s="1">
        <v>5</v>
      </c>
      <c r="H2000" s="1">
        <v>51021</v>
      </c>
      <c r="I2000" s="1">
        <v>0.1</v>
      </c>
      <c r="J2000" s="1">
        <v>229594.5</v>
      </c>
      <c r="K2000" s="1">
        <v>28321.14</v>
      </c>
      <c r="L2000" s="1" t="s">
        <v>17</v>
      </c>
      <c r="M2000" s="1" t="str">
        <f>TEXT(Table1[[#This Row],[Order Date]],"mmm")</f>
        <v>Apr</v>
      </c>
      <c r="N2000" s="1">
        <f>YEAR(Table1[[#This Row],[Order Date]])</f>
        <v>2023</v>
      </c>
    </row>
    <row r="2001" spans="1:14" x14ac:dyDescent="0.35">
      <c r="A2001" s="1" t="s">
        <v>2764</v>
      </c>
      <c r="B2001" s="1" t="s">
        <v>2239</v>
      </c>
      <c r="C2001" s="1" t="s">
        <v>332</v>
      </c>
      <c r="D2001" s="1" t="s">
        <v>27</v>
      </c>
      <c r="E2001" s="1" t="s">
        <v>28</v>
      </c>
      <c r="F2001" s="1" t="s">
        <v>27</v>
      </c>
      <c r="G2001" s="1">
        <v>12</v>
      </c>
      <c r="H2001" s="1">
        <v>12048</v>
      </c>
      <c r="I2001" s="1">
        <v>0.1</v>
      </c>
      <c r="J2001" s="1">
        <v>130118.39999999999</v>
      </c>
      <c r="K2001" s="1">
        <v>32201.48</v>
      </c>
      <c r="L2001" s="1" t="s">
        <v>17</v>
      </c>
      <c r="M2001" s="1" t="str">
        <f>TEXT(Table1[[#This Row],[Order Date]],"mmm")</f>
        <v>Oct</v>
      </c>
      <c r="N2001" s="1">
        <f>YEAR(Table1[[#This Row],[Order Date]])</f>
        <v>2023</v>
      </c>
    </row>
    <row r="2002" spans="1:14" x14ac:dyDescent="0.35">
      <c r="A2002" s="1" t="s">
        <v>2765</v>
      </c>
      <c r="B2002" s="1" t="s">
        <v>493</v>
      </c>
      <c r="C2002" s="1" t="s">
        <v>128</v>
      </c>
      <c r="D2002" s="1" t="s">
        <v>32</v>
      </c>
      <c r="E2002" s="1" t="s">
        <v>33</v>
      </c>
      <c r="F2002" s="1" t="s">
        <v>32</v>
      </c>
      <c r="G2002" s="1">
        <v>9</v>
      </c>
      <c r="H2002" s="1">
        <v>21846</v>
      </c>
      <c r="I2002" s="1">
        <v>0.1</v>
      </c>
      <c r="J2002" s="1">
        <v>176952.6</v>
      </c>
      <c r="K2002" s="1">
        <v>26756.21</v>
      </c>
      <c r="L2002" s="1" t="s">
        <v>45</v>
      </c>
      <c r="M2002" s="1" t="str">
        <f>TEXT(Table1[[#This Row],[Order Date]],"mmm")</f>
        <v>Nov</v>
      </c>
      <c r="N2002" s="1">
        <f>YEAR(Table1[[#This Row],[Order Date]])</f>
        <v>2024</v>
      </c>
    </row>
    <row r="2003" spans="1:14" x14ac:dyDescent="0.35">
      <c r="A2003" s="1" t="s">
        <v>2766</v>
      </c>
      <c r="B2003" s="1" t="s">
        <v>2291</v>
      </c>
      <c r="C2003" s="1" t="s">
        <v>349</v>
      </c>
      <c r="D2003" s="1" t="s">
        <v>44</v>
      </c>
      <c r="E2003" s="1" t="s">
        <v>28</v>
      </c>
      <c r="F2003" s="1" t="s">
        <v>44</v>
      </c>
      <c r="G2003" s="1">
        <v>10</v>
      </c>
      <c r="H2003" s="1">
        <v>50851</v>
      </c>
      <c r="I2003" s="1">
        <v>0.15</v>
      </c>
      <c r="J2003" s="1">
        <v>432233.5</v>
      </c>
      <c r="K2003" s="1">
        <v>42427.26</v>
      </c>
      <c r="L2003" s="1" t="s">
        <v>45</v>
      </c>
      <c r="M2003" s="1" t="str">
        <f>TEXT(Table1[[#This Row],[Order Date]],"mmm")</f>
        <v>Sep</v>
      </c>
      <c r="N2003" s="1">
        <f>YEAR(Table1[[#This Row],[Order Date]])</f>
        <v>2023</v>
      </c>
    </row>
    <row r="2004" spans="1:14" x14ac:dyDescent="0.35">
      <c r="A2004" s="1" t="s">
        <v>2767</v>
      </c>
      <c r="B2004" s="1" t="s">
        <v>1716</v>
      </c>
      <c r="C2004" s="1" t="s">
        <v>59</v>
      </c>
      <c r="D2004" s="1" t="s">
        <v>32</v>
      </c>
      <c r="E2004" s="1" t="s">
        <v>33</v>
      </c>
      <c r="F2004" s="1" t="s">
        <v>32</v>
      </c>
      <c r="G2004" s="1">
        <v>3</v>
      </c>
      <c r="H2004" s="1">
        <v>50271</v>
      </c>
      <c r="I2004" s="1">
        <v>0.2</v>
      </c>
      <c r="J2004" s="1">
        <v>120650.4</v>
      </c>
      <c r="K2004" s="1">
        <v>10458.34</v>
      </c>
      <c r="L2004" s="1" t="s">
        <v>70</v>
      </c>
      <c r="M2004" s="1" t="str">
        <f>TEXT(Table1[[#This Row],[Order Date]],"mmm")</f>
        <v>Jul</v>
      </c>
      <c r="N2004" s="1">
        <f>YEAR(Table1[[#This Row],[Order Date]])</f>
        <v>2024</v>
      </c>
    </row>
    <row r="2005" spans="1:14" x14ac:dyDescent="0.35">
      <c r="A2005" s="1" t="s">
        <v>2768</v>
      </c>
      <c r="B2005" s="1" t="s">
        <v>1318</v>
      </c>
      <c r="C2005" s="1" t="s">
        <v>104</v>
      </c>
      <c r="D2005" s="1" t="s">
        <v>151</v>
      </c>
      <c r="E2005" s="1" t="s">
        <v>22</v>
      </c>
      <c r="F2005" s="1" t="s">
        <v>151</v>
      </c>
      <c r="G2005" s="1">
        <v>5</v>
      </c>
      <c r="H2005" s="1">
        <v>20442</v>
      </c>
      <c r="I2005" s="1">
        <v>0.05</v>
      </c>
      <c r="J2005" s="1">
        <v>97099.5</v>
      </c>
      <c r="K2005" s="1">
        <v>9602.58</v>
      </c>
      <c r="L2005" s="1" t="s">
        <v>45</v>
      </c>
      <c r="M2005" s="1" t="str">
        <f>TEXT(Table1[[#This Row],[Order Date]],"mmm")</f>
        <v>Feb</v>
      </c>
      <c r="N2005" s="1">
        <f>YEAR(Table1[[#This Row],[Order Date]])</f>
        <v>2023</v>
      </c>
    </row>
    <row r="2006" spans="1:14" x14ac:dyDescent="0.35">
      <c r="A2006" s="1" t="s">
        <v>2769</v>
      </c>
      <c r="B2006" s="1" t="s">
        <v>617</v>
      </c>
      <c r="C2006" s="1" t="s">
        <v>332</v>
      </c>
      <c r="D2006" s="1" t="s">
        <v>167</v>
      </c>
      <c r="E2006" s="1" t="s">
        <v>16</v>
      </c>
      <c r="F2006" s="1" t="s">
        <v>167</v>
      </c>
      <c r="G2006" s="1">
        <v>4</v>
      </c>
      <c r="H2006" s="1">
        <v>28570</v>
      </c>
      <c r="I2006" s="1">
        <v>0</v>
      </c>
      <c r="J2006" s="1">
        <v>114280</v>
      </c>
      <c r="K2006" s="1">
        <v>21076.32</v>
      </c>
      <c r="L2006" s="1" t="s">
        <v>45</v>
      </c>
      <c r="M2006" s="1" t="str">
        <f>TEXT(Table1[[#This Row],[Order Date]],"mmm")</f>
        <v>Jul</v>
      </c>
      <c r="N2006" s="1">
        <f>YEAR(Table1[[#This Row],[Order Date]])</f>
        <v>2023</v>
      </c>
    </row>
    <row r="2007" spans="1:14" x14ac:dyDescent="0.35">
      <c r="A2007" s="1" t="s">
        <v>2770</v>
      </c>
      <c r="B2007" s="1" t="s">
        <v>221</v>
      </c>
      <c r="C2007" s="1" t="s">
        <v>55</v>
      </c>
      <c r="D2007" s="1" t="s">
        <v>141</v>
      </c>
      <c r="E2007" s="1" t="s">
        <v>22</v>
      </c>
      <c r="F2007" s="1" t="s">
        <v>141</v>
      </c>
      <c r="G2007" s="1">
        <v>4</v>
      </c>
      <c r="H2007" s="1">
        <v>42765</v>
      </c>
      <c r="I2007" s="1">
        <v>0</v>
      </c>
      <c r="J2007" s="1">
        <v>171060</v>
      </c>
      <c r="K2007" s="1">
        <v>24276.639999999999</v>
      </c>
      <c r="L2007" s="1" t="s">
        <v>17</v>
      </c>
      <c r="M2007" s="1" t="str">
        <f>TEXT(Table1[[#This Row],[Order Date]],"mmm")</f>
        <v>Dec</v>
      </c>
      <c r="N2007" s="1">
        <f>YEAR(Table1[[#This Row],[Order Date]])</f>
        <v>2023</v>
      </c>
    </row>
    <row r="2008" spans="1:14" x14ac:dyDescent="0.35">
      <c r="A2008" s="1" t="s">
        <v>2771</v>
      </c>
      <c r="B2008" s="1" t="s">
        <v>1611</v>
      </c>
      <c r="C2008" s="1" t="s">
        <v>227</v>
      </c>
      <c r="D2008" s="1" t="s">
        <v>293</v>
      </c>
      <c r="E2008" s="1" t="s">
        <v>33</v>
      </c>
      <c r="F2008" s="1" t="s">
        <v>293</v>
      </c>
      <c r="G2008" s="1">
        <v>12</v>
      </c>
      <c r="H2008" s="1">
        <v>48609</v>
      </c>
      <c r="I2008" s="1">
        <v>0.15</v>
      </c>
      <c r="J2008" s="1">
        <v>495811.8</v>
      </c>
      <c r="K2008" s="1">
        <v>97906.23</v>
      </c>
      <c r="L2008" s="1" t="s">
        <v>17</v>
      </c>
      <c r="M2008" s="1" t="str">
        <f>TEXT(Table1[[#This Row],[Order Date]],"mmm")</f>
        <v>Jan</v>
      </c>
      <c r="N2008" s="1">
        <f>YEAR(Table1[[#This Row],[Order Date]])</f>
        <v>2023</v>
      </c>
    </row>
    <row r="2009" spans="1:14" x14ac:dyDescent="0.35">
      <c r="A2009" s="1" t="s">
        <v>2772</v>
      </c>
      <c r="B2009" s="1" t="s">
        <v>1487</v>
      </c>
      <c r="C2009" s="1" t="s">
        <v>51</v>
      </c>
      <c r="D2009" s="1" t="s">
        <v>52</v>
      </c>
      <c r="E2009" s="1" t="s">
        <v>28</v>
      </c>
      <c r="F2009" s="1" t="s">
        <v>52</v>
      </c>
      <c r="G2009" s="1">
        <v>13</v>
      </c>
      <c r="H2009" s="1">
        <v>33625</v>
      </c>
      <c r="I2009" s="1">
        <v>0.05</v>
      </c>
      <c r="J2009" s="1">
        <v>415268.75</v>
      </c>
      <c r="K2009" s="1">
        <v>94635.66</v>
      </c>
      <c r="L2009" s="1" t="s">
        <v>45</v>
      </c>
      <c r="M2009" s="1" t="str">
        <f>TEXT(Table1[[#This Row],[Order Date]],"mmm")</f>
        <v>Oct</v>
      </c>
      <c r="N2009" s="1">
        <f>YEAR(Table1[[#This Row],[Order Date]])</f>
        <v>2023</v>
      </c>
    </row>
    <row r="2010" spans="1:14" x14ac:dyDescent="0.35">
      <c r="A2010" s="1" t="s">
        <v>2773</v>
      </c>
      <c r="B2010" s="1" t="s">
        <v>1113</v>
      </c>
      <c r="C2010" s="1" t="s">
        <v>158</v>
      </c>
      <c r="D2010" s="1" t="s">
        <v>64</v>
      </c>
      <c r="E2010" s="1" t="s">
        <v>33</v>
      </c>
      <c r="F2010" s="1" t="s">
        <v>64</v>
      </c>
      <c r="G2010" s="1">
        <v>6</v>
      </c>
      <c r="H2010" s="1">
        <v>50317</v>
      </c>
      <c r="I2010" s="1">
        <v>0.15</v>
      </c>
      <c r="J2010" s="1">
        <v>256616.7</v>
      </c>
      <c r="K2010" s="1">
        <v>25299.27</v>
      </c>
      <c r="L2010" s="1" t="s">
        <v>70</v>
      </c>
      <c r="M2010" s="1" t="str">
        <f>TEXT(Table1[[#This Row],[Order Date]],"mmm")</f>
        <v>Feb</v>
      </c>
      <c r="N2010" s="1">
        <f>YEAR(Table1[[#This Row],[Order Date]])</f>
        <v>2023</v>
      </c>
    </row>
    <row r="2011" spans="1:14" x14ac:dyDescent="0.35">
      <c r="A2011" s="1" t="s">
        <v>2774</v>
      </c>
      <c r="B2011" s="1" t="s">
        <v>226</v>
      </c>
      <c r="C2011" s="1" t="s">
        <v>175</v>
      </c>
      <c r="D2011" s="1" t="s">
        <v>78</v>
      </c>
      <c r="E2011" s="1" t="s">
        <v>28</v>
      </c>
      <c r="F2011" s="1" t="s">
        <v>78</v>
      </c>
      <c r="G2011" s="1">
        <v>3</v>
      </c>
      <c r="H2011" s="1">
        <v>36031</v>
      </c>
      <c r="I2011" s="1">
        <v>0.2</v>
      </c>
      <c r="J2011" s="1">
        <v>86474.4</v>
      </c>
      <c r="K2011" s="1">
        <v>15857.7</v>
      </c>
      <c r="L2011" s="1" t="s">
        <v>17</v>
      </c>
      <c r="M2011" s="1" t="str">
        <f>TEXT(Table1[[#This Row],[Order Date]],"mmm")</f>
        <v>Oct</v>
      </c>
      <c r="N2011" s="1">
        <f>YEAR(Table1[[#This Row],[Order Date]])</f>
        <v>2024</v>
      </c>
    </row>
    <row r="2012" spans="1:14" x14ac:dyDescent="0.35">
      <c r="A2012" s="1" t="s">
        <v>2775</v>
      </c>
      <c r="B2012" s="1" t="s">
        <v>2089</v>
      </c>
      <c r="C2012" s="1" t="s">
        <v>362</v>
      </c>
      <c r="D2012" s="1" t="s">
        <v>108</v>
      </c>
      <c r="E2012" s="1" t="s">
        <v>22</v>
      </c>
      <c r="F2012" s="1" t="s">
        <v>108</v>
      </c>
      <c r="G2012" s="1">
        <v>10</v>
      </c>
      <c r="H2012" s="1">
        <v>1211</v>
      </c>
      <c r="I2012" s="1">
        <v>0.2</v>
      </c>
      <c r="J2012" s="1">
        <v>9688</v>
      </c>
      <c r="K2012" s="1">
        <v>2204.0300000000002</v>
      </c>
      <c r="L2012" s="1" t="s">
        <v>45</v>
      </c>
      <c r="M2012" s="1" t="str">
        <f>TEXT(Table1[[#This Row],[Order Date]],"mmm")</f>
        <v>Nov</v>
      </c>
      <c r="N2012" s="1">
        <f>YEAR(Table1[[#This Row],[Order Date]])</f>
        <v>2024</v>
      </c>
    </row>
    <row r="2013" spans="1:14" x14ac:dyDescent="0.35">
      <c r="A2013" s="1" t="s">
        <v>2776</v>
      </c>
      <c r="B2013" s="1" t="s">
        <v>1559</v>
      </c>
      <c r="C2013" s="1" t="s">
        <v>120</v>
      </c>
      <c r="D2013" s="1" t="s">
        <v>167</v>
      </c>
      <c r="E2013" s="1" t="s">
        <v>16</v>
      </c>
      <c r="F2013" s="1" t="s">
        <v>167</v>
      </c>
      <c r="G2013" s="1">
        <v>1</v>
      </c>
      <c r="H2013" s="1">
        <v>3818</v>
      </c>
      <c r="I2013" s="1">
        <v>0.15</v>
      </c>
      <c r="J2013" s="1">
        <v>3245.3</v>
      </c>
      <c r="K2013" s="1">
        <v>771.42</v>
      </c>
      <c r="L2013" s="1" t="s">
        <v>23</v>
      </c>
      <c r="M2013" s="1" t="str">
        <f>TEXT(Table1[[#This Row],[Order Date]],"mmm")</f>
        <v>Jan</v>
      </c>
      <c r="N2013" s="1">
        <f>YEAR(Table1[[#This Row],[Order Date]])</f>
        <v>2023</v>
      </c>
    </row>
    <row r="2014" spans="1:14" x14ac:dyDescent="0.35">
      <c r="A2014" s="1" t="s">
        <v>2777</v>
      </c>
      <c r="B2014" s="1" t="s">
        <v>770</v>
      </c>
      <c r="C2014" s="1" t="s">
        <v>362</v>
      </c>
      <c r="D2014" s="1" t="s">
        <v>91</v>
      </c>
      <c r="E2014" s="1" t="s">
        <v>16</v>
      </c>
      <c r="F2014" s="1" t="s">
        <v>91</v>
      </c>
      <c r="G2014" s="1">
        <v>9</v>
      </c>
      <c r="H2014" s="1">
        <v>42231</v>
      </c>
      <c r="I2014" s="1">
        <v>0.1</v>
      </c>
      <c r="J2014" s="1">
        <v>342071.1</v>
      </c>
      <c r="K2014" s="1">
        <v>63662.66</v>
      </c>
      <c r="L2014" s="1" t="s">
        <v>70</v>
      </c>
      <c r="M2014" s="1" t="str">
        <f>TEXT(Table1[[#This Row],[Order Date]],"mmm")</f>
        <v>Feb</v>
      </c>
      <c r="N2014" s="1">
        <f>YEAR(Table1[[#This Row],[Order Date]])</f>
        <v>2024</v>
      </c>
    </row>
    <row r="2015" spans="1:14" x14ac:dyDescent="0.35">
      <c r="A2015" s="1" t="s">
        <v>2778</v>
      </c>
      <c r="B2015" s="1" t="s">
        <v>1188</v>
      </c>
      <c r="C2015" s="1" t="s">
        <v>111</v>
      </c>
      <c r="D2015" s="1" t="s">
        <v>56</v>
      </c>
      <c r="E2015" s="1" t="s">
        <v>22</v>
      </c>
      <c r="F2015" s="1" t="s">
        <v>56</v>
      </c>
      <c r="G2015" s="1">
        <v>5</v>
      </c>
      <c r="H2015" s="1">
        <v>31895</v>
      </c>
      <c r="I2015" s="1">
        <v>0</v>
      </c>
      <c r="J2015" s="1">
        <v>159475</v>
      </c>
      <c r="K2015" s="1">
        <v>38758.61</v>
      </c>
      <c r="L2015" s="1" t="s">
        <v>23</v>
      </c>
      <c r="M2015" s="1" t="str">
        <f>TEXT(Table1[[#This Row],[Order Date]],"mmm")</f>
        <v>Oct</v>
      </c>
      <c r="N2015" s="1">
        <f>YEAR(Table1[[#This Row],[Order Date]])</f>
        <v>2024</v>
      </c>
    </row>
    <row r="2016" spans="1:14" x14ac:dyDescent="0.35">
      <c r="A2016" s="1" t="s">
        <v>2779</v>
      </c>
      <c r="B2016" s="1" t="s">
        <v>423</v>
      </c>
      <c r="C2016" s="1" t="s">
        <v>191</v>
      </c>
      <c r="D2016" s="1" t="s">
        <v>74</v>
      </c>
      <c r="E2016" s="1" t="s">
        <v>22</v>
      </c>
      <c r="F2016" s="1" t="s">
        <v>74</v>
      </c>
      <c r="G2016" s="1">
        <v>5</v>
      </c>
      <c r="H2016" s="1">
        <v>34630</v>
      </c>
      <c r="I2016" s="1">
        <v>0.15</v>
      </c>
      <c r="J2016" s="1">
        <v>147177.5</v>
      </c>
      <c r="K2016" s="1">
        <v>14776.07</v>
      </c>
      <c r="L2016" s="1" t="s">
        <v>45</v>
      </c>
      <c r="M2016" s="1" t="str">
        <f>TEXT(Table1[[#This Row],[Order Date]],"mmm")</f>
        <v>May</v>
      </c>
      <c r="N2016" s="1">
        <f>YEAR(Table1[[#This Row],[Order Date]])</f>
        <v>2023</v>
      </c>
    </row>
    <row r="2017" spans="1:14" x14ac:dyDescent="0.35">
      <c r="A2017" s="1" t="s">
        <v>2780</v>
      </c>
      <c r="B2017" s="1" t="s">
        <v>1288</v>
      </c>
      <c r="C2017" s="1" t="s">
        <v>63</v>
      </c>
      <c r="D2017" s="1" t="s">
        <v>52</v>
      </c>
      <c r="E2017" s="1" t="s">
        <v>28</v>
      </c>
      <c r="F2017" s="1" t="s">
        <v>52</v>
      </c>
      <c r="G2017" s="1">
        <v>12</v>
      </c>
      <c r="H2017" s="1">
        <v>44560</v>
      </c>
      <c r="I2017" s="1">
        <v>0.2</v>
      </c>
      <c r="J2017" s="1">
        <v>427776</v>
      </c>
      <c r="K2017" s="1">
        <v>118323.68</v>
      </c>
      <c r="L2017" s="1" t="s">
        <v>23</v>
      </c>
      <c r="M2017" s="1" t="str">
        <f>TEXT(Table1[[#This Row],[Order Date]],"mmm")</f>
        <v>Feb</v>
      </c>
      <c r="N2017" s="1">
        <f>YEAR(Table1[[#This Row],[Order Date]])</f>
        <v>2024</v>
      </c>
    </row>
    <row r="2018" spans="1:14" x14ac:dyDescent="0.35">
      <c r="A2018" s="1" t="s">
        <v>2781</v>
      </c>
      <c r="B2018" s="1" t="s">
        <v>1383</v>
      </c>
      <c r="C2018" s="1" t="s">
        <v>208</v>
      </c>
      <c r="D2018" s="1" t="s">
        <v>32</v>
      </c>
      <c r="E2018" s="1" t="s">
        <v>33</v>
      </c>
      <c r="F2018" s="1" t="s">
        <v>32</v>
      </c>
      <c r="G2018" s="1">
        <v>14</v>
      </c>
      <c r="H2018" s="1">
        <v>38526</v>
      </c>
      <c r="I2018" s="1">
        <v>0.15</v>
      </c>
      <c r="J2018" s="1">
        <v>458459.4</v>
      </c>
      <c r="K2018" s="1">
        <v>107951.76</v>
      </c>
      <c r="L2018" s="1" t="s">
        <v>23</v>
      </c>
      <c r="M2018" s="1" t="str">
        <f>TEXT(Table1[[#This Row],[Order Date]],"mmm")</f>
        <v>Apr</v>
      </c>
      <c r="N2018" s="1">
        <f>YEAR(Table1[[#This Row],[Order Date]])</f>
        <v>2024</v>
      </c>
    </row>
    <row r="2019" spans="1:14" x14ac:dyDescent="0.35">
      <c r="A2019" s="1" t="s">
        <v>2782</v>
      </c>
      <c r="B2019" s="1" t="s">
        <v>197</v>
      </c>
      <c r="C2019" s="1" t="s">
        <v>227</v>
      </c>
      <c r="D2019" s="1" t="s">
        <v>78</v>
      </c>
      <c r="E2019" s="1" t="s">
        <v>28</v>
      </c>
      <c r="F2019" s="1" t="s">
        <v>78</v>
      </c>
      <c r="G2019" s="1">
        <v>8</v>
      </c>
      <c r="H2019" s="1">
        <v>36813</v>
      </c>
      <c r="I2019" s="1">
        <v>0.15</v>
      </c>
      <c r="J2019" s="1">
        <v>250328.4</v>
      </c>
      <c r="K2019" s="1">
        <v>55241.63</v>
      </c>
      <c r="L2019" s="1" t="s">
        <v>17</v>
      </c>
      <c r="M2019" s="1" t="str">
        <f>TEXT(Table1[[#This Row],[Order Date]],"mmm")</f>
        <v>Feb</v>
      </c>
      <c r="N2019" s="1">
        <f>YEAR(Table1[[#This Row],[Order Date]])</f>
        <v>2024</v>
      </c>
    </row>
    <row r="2020" spans="1:14" x14ac:dyDescent="0.35">
      <c r="A2020" s="1" t="s">
        <v>2783</v>
      </c>
      <c r="B2020" s="1" t="s">
        <v>421</v>
      </c>
      <c r="C2020" s="1" t="s">
        <v>36</v>
      </c>
      <c r="D2020" s="1" t="s">
        <v>151</v>
      </c>
      <c r="E2020" s="1" t="s">
        <v>22</v>
      </c>
      <c r="F2020" s="1" t="s">
        <v>151</v>
      </c>
      <c r="G2020" s="1">
        <v>3</v>
      </c>
      <c r="H2020" s="1">
        <v>5820</v>
      </c>
      <c r="I2020" s="1">
        <v>0.1</v>
      </c>
      <c r="J2020" s="1">
        <v>15714</v>
      </c>
      <c r="K2020" s="1">
        <v>2307.92</v>
      </c>
      <c r="L2020" s="1" t="s">
        <v>23</v>
      </c>
      <c r="M2020" s="1" t="str">
        <f>TEXT(Table1[[#This Row],[Order Date]],"mmm")</f>
        <v>Nov</v>
      </c>
      <c r="N2020" s="1">
        <f>YEAR(Table1[[#This Row],[Order Date]])</f>
        <v>2023</v>
      </c>
    </row>
    <row r="2021" spans="1:14" x14ac:dyDescent="0.35">
      <c r="A2021" s="1" t="s">
        <v>2784</v>
      </c>
      <c r="B2021" s="1" t="s">
        <v>265</v>
      </c>
      <c r="C2021" s="1" t="s">
        <v>55</v>
      </c>
      <c r="D2021" s="1" t="s">
        <v>64</v>
      </c>
      <c r="E2021" s="1" t="s">
        <v>33</v>
      </c>
      <c r="F2021" s="1" t="s">
        <v>64</v>
      </c>
      <c r="G2021" s="1">
        <v>9</v>
      </c>
      <c r="H2021" s="1">
        <v>59901</v>
      </c>
      <c r="I2021" s="1">
        <v>0.05</v>
      </c>
      <c r="J2021" s="1">
        <v>512153.55</v>
      </c>
      <c r="K2021" s="1">
        <v>100148.39</v>
      </c>
      <c r="L2021" s="1" t="s">
        <v>45</v>
      </c>
      <c r="M2021" s="1" t="str">
        <f>TEXT(Table1[[#This Row],[Order Date]],"mmm")</f>
        <v>Aug</v>
      </c>
      <c r="N2021" s="1">
        <f>YEAR(Table1[[#This Row],[Order Date]])</f>
        <v>2023</v>
      </c>
    </row>
    <row r="2022" spans="1:14" x14ac:dyDescent="0.35">
      <c r="A2022" s="1" t="s">
        <v>2785</v>
      </c>
      <c r="B2022" s="1" t="s">
        <v>491</v>
      </c>
      <c r="C2022" s="1" t="s">
        <v>155</v>
      </c>
      <c r="D2022" s="1" t="s">
        <v>179</v>
      </c>
      <c r="E2022" s="1" t="s">
        <v>28</v>
      </c>
      <c r="F2022" s="1" t="s">
        <v>179</v>
      </c>
      <c r="G2022" s="1">
        <v>12</v>
      </c>
      <c r="H2022" s="1">
        <v>37300</v>
      </c>
      <c r="I2022" s="1">
        <v>0.1</v>
      </c>
      <c r="J2022" s="1">
        <v>402840</v>
      </c>
      <c r="K2022" s="1">
        <v>66005.759999999995</v>
      </c>
      <c r="L2022" s="1" t="s">
        <v>70</v>
      </c>
      <c r="M2022" s="1" t="str">
        <f>TEXT(Table1[[#This Row],[Order Date]],"mmm")</f>
        <v>Aug</v>
      </c>
      <c r="N2022" s="1">
        <f>YEAR(Table1[[#This Row],[Order Date]])</f>
        <v>2024</v>
      </c>
    </row>
    <row r="2023" spans="1:14" x14ac:dyDescent="0.35">
      <c r="A2023" s="1" t="s">
        <v>2786</v>
      </c>
      <c r="B2023" s="1" t="s">
        <v>1225</v>
      </c>
      <c r="C2023" s="1" t="s">
        <v>146</v>
      </c>
      <c r="D2023" s="1" t="s">
        <v>167</v>
      </c>
      <c r="E2023" s="1" t="s">
        <v>16</v>
      </c>
      <c r="F2023" s="1" t="s">
        <v>167</v>
      </c>
      <c r="G2023" s="1">
        <v>7</v>
      </c>
      <c r="H2023" s="1">
        <v>27965</v>
      </c>
      <c r="I2023" s="1">
        <v>0.2</v>
      </c>
      <c r="J2023" s="1">
        <v>156604</v>
      </c>
      <c r="K2023" s="1">
        <v>25721.74</v>
      </c>
      <c r="L2023" s="1" t="s">
        <v>70</v>
      </c>
      <c r="M2023" s="1" t="str">
        <f>TEXT(Table1[[#This Row],[Order Date]],"mmm")</f>
        <v>May</v>
      </c>
      <c r="N2023" s="1">
        <f>YEAR(Table1[[#This Row],[Order Date]])</f>
        <v>2023</v>
      </c>
    </row>
    <row r="2024" spans="1:14" x14ac:dyDescent="0.35">
      <c r="A2024" s="1" t="s">
        <v>2787</v>
      </c>
      <c r="B2024" s="1" t="s">
        <v>312</v>
      </c>
      <c r="C2024" s="1" t="s">
        <v>170</v>
      </c>
      <c r="D2024" s="1" t="s">
        <v>108</v>
      </c>
      <c r="E2024" s="1" t="s">
        <v>22</v>
      </c>
      <c r="F2024" s="1" t="s">
        <v>108</v>
      </c>
      <c r="G2024" s="1">
        <v>15</v>
      </c>
      <c r="H2024" s="1">
        <v>51707</v>
      </c>
      <c r="I2024" s="1">
        <v>0.1</v>
      </c>
      <c r="J2024" s="1">
        <v>698044.5</v>
      </c>
      <c r="K2024" s="1">
        <v>163915.54</v>
      </c>
      <c r="L2024" s="1" t="s">
        <v>45</v>
      </c>
      <c r="M2024" s="1" t="str">
        <f>TEXT(Table1[[#This Row],[Order Date]],"mmm")</f>
        <v>May</v>
      </c>
      <c r="N2024" s="1">
        <f>YEAR(Table1[[#This Row],[Order Date]])</f>
        <v>2024</v>
      </c>
    </row>
    <row r="2025" spans="1:14" x14ac:dyDescent="0.35">
      <c r="A2025" s="1" t="s">
        <v>2788</v>
      </c>
      <c r="B2025" s="1" t="s">
        <v>1915</v>
      </c>
      <c r="C2025" s="1" t="s">
        <v>349</v>
      </c>
      <c r="D2025" s="1" t="s">
        <v>141</v>
      </c>
      <c r="E2025" s="1" t="s">
        <v>22</v>
      </c>
      <c r="F2025" s="1" t="s">
        <v>141</v>
      </c>
      <c r="G2025" s="1">
        <v>12</v>
      </c>
      <c r="H2025" s="1">
        <v>33274</v>
      </c>
      <c r="I2025" s="1">
        <v>0.1</v>
      </c>
      <c r="J2025" s="1">
        <v>359359.2</v>
      </c>
      <c r="K2025" s="1">
        <v>42800.959999999999</v>
      </c>
      <c r="L2025" s="1" t="s">
        <v>70</v>
      </c>
      <c r="M2025" s="1" t="str">
        <f>TEXT(Table1[[#This Row],[Order Date]],"mmm")</f>
        <v>Apr</v>
      </c>
      <c r="N2025" s="1">
        <f>YEAR(Table1[[#This Row],[Order Date]])</f>
        <v>2023</v>
      </c>
    </row>
    <row r="2026" spans="1:14" x14ac:dyDescent="0.35">
      <c r="A2026" s="1" t="s">
        <v>2789</v>
      </c>
      <c r="B2026" s="1" t="s">
        <v>1781</v>
      </c>
      <c r="C2026" s="1" t="s">
        <v>26</v>
      </c>
      <c r="D2026" s="1" t="s">
        <v>91</v>
      </c>
      <c r="E2026" s="1" t="s">
        <v>16</v>
      </c>
      <c r="F2026" s="1" t="s">
        <v>91</v>
      </c>
      <c r="G2026" s="1">
        <v>2</v>
      </c>
      <c r="H2026" s="1">
        <v>28711</v>
      </c>
      <c r="I2026" s="1">
        <v>0.1</v>
      </c>
      <c r="J2026" s="1">
        <v>51679.8</v>
      </c>
      <c r="K2026" s="1">
        <v>13192.64</v>
      </c>
      <c r="L2026" s="1" t="s">
        <v>17</v>
      </c>
      <c r="M2026" s="1" t="str">
        <f>TEXT(Table1[[#This Row],[Order Date]],"mmm")</f>
        <v>Sep</v>
      </c>
      <c r="N2026" s="1">
        <f>YEAR(Table1[[#This Row],[Order Date]])</f>
        <v>2024</v>
      </c>
    </row>
    <row r="2027" spans="1:14" x14ac:dyDescent="0.35">
      <c r="A2027" s="1" t="s">
        <v>2790</v>
      </c>
      <c r="B2027" s="1" t="s">
        <v>1423</v>
      </c>
      <c r="C2027" s="1" t="s">
        <v>155</v>
      </c>
      <c r="D2027" s="1" t="s">
        <v>137</v>
      </c>
      <c r="E2027" s="1" t="s">
        <v>22</v>
      </c>
      <c r="F2027" s="1" t="s">
        <v>137</v>
      </c>
      <c r="G2027" s="1">
        <v>6</v>
      </c>
      <c r="H2027" s="1">
        <v>40207</v>
      </c>
      <c r="I2027" s="1">
        <v>0.15</v>
      </c>
      <c r="J2027" s="1">
        <v>205055.7</v>
      </c>
      <c r="K2027" s="1">
        <v>57479.56</v>
      </c>
      <c r="L2027" s="1" t="s">
        <v>17</v>
      </c>
      <c r="M2027" s="1" t="str">
        <f>TEXT(Table1[[#This Row],[Order Date]],"mmm")</f>
        <v>Nov</v>
      </c>
      <c r="N2027" s="1">
        <f>YEAR(Table1[[#This Row],[Order Date]])</f>
        <v>2023</v>
      </c>
    </row>
    <row r="2028" spans="1:14" x14ac:dyDescent="0.35">
      <c r="A2028" s="1" t="s">
        <v>2791</v>
      </c>
      <c r="B2028" s="1" t="s">
        <v>1445</v>
      </c>
      <c r="C2028" s="1" t="s">
        <v>640</v>
      </c>
      <c r="D2028" s="1" t="s">
        <v>60</v>
      </c>
      <c r="E2028" s="1" t="s">
        <v>33</v>
      </c>
      <c r="F2028" s="1" t="s">
        <v>60</v>
      </c>
      <c r="G2028" s="1">
        <v>15</v>
      </c>
      <c r="H2028" s="1">
        <v>18945</v>
      </c>
      <c r="I2028" s="1">
        <v>0.1</v>
      </c>
      <c r="J2028" s="1">
        <v>255757.5</v>
      </c>
      <c r="K2028" s="1">
        <v>32872.39</v>
      </c>
      <c r="L2028" s="1" t="s">
        <v>17</v>
      </c>
      <c r="M2028" s="1" t="str">
        <f>TEXT(Table1[[#This Row],[Order Date]],"mmm")</f>
        <v>Jun</v>
      </c>
      <c r="N2028" s="1">
        <f>YEAR(Table1[[#This Row],[Order Date]])</f>
        <v>2023</v>
      </c>
    </row>
    <row r="2029" spans="1:14" x14ac:dyDescent="0.35">
      <c r="A2029" s="1" t="s">
        <v>2792</v>
      </c>
      <c r="B2029" s="1" t="s">
        <v>404</v>
      </c>
      <c r="C2029" s="1" t="s">
        <v>255</v>
      </c>
      <c r="D2029" s="1" t="s">
        <v>56</v>
      </c>
      <c r="E2029" s="1" t="s">
        <v>22</v>
      </c>
      <c r="F2029" s="1" t="s">
        <v>56</v>
      </c>
      <c r="G2029" s="1">
        <v>13</v>
      </c>
      <c r="H2029" s="1">
        <v>7527</v>
      </c>
      <c r="I2029" s="1">
        <v>0.1</v>
      </c>
      <c r="J2029" s="1">
        <v>88065.9</v>
      </c>
      <c r="K2029" s="1">
        <v>7858.68</v>
      </c>
      <c r="L2029" s="1" t="s">
        <v>70</v>
      </c>
      <c r="M2029" s="1" t="str">
        <f>TEXT(Table1[[#This Row],[Order Date]],"mmm")</f>
        <v>Jan</v>
      </c>
      <c r="N2029" s="1">
        <f>YEAR(Table1[[#This Row],[Order Date]])</f>
        <v>2023</v>
      </c>
    </row>
    <row r="2030" spans="1:14" x14ac:dyDescent="0.35">
      <c r="A2030" s="1" t="s">
        <v>2793</v>
      </c>
      <c r="B2030" s="1" t="s">
        <v>1445</v>
      </c>
      <c r="C2030" s="1" t="s">
        <v>120</v>
      </c>
      <c r="D2030" s="1" t="s">
        <v>167</v>
      </c>
      <c r="E2030" s="1" t="s">
        <v>16</v>
      </c>
      <c r="F2030" s="1" t="s">
        <v>167</v>
      </c>
      <c r="G2030" s="1">
        <v>6</v>
      </c>
      <c r="H2030" s="1">
        <v>34470</v>
      </c>
      <c r="I2030" s="1">
        <v>0.2</v>
      </c>
      <c r="J2030" s="1">
        <v>165456</v>
      </c>
      <c r="K2030" s="1">
        <v>23278.6</v>
      </c>
      <c r="L2030" s="1" t="s">
        <v>23</v>
      </c>
      <c r="M2030" s="1" t="str">
        <f>TEXT(Table1[[#This Row],[Order Date]],"mmm")</f>
        <v>Jun</v>
      </c>
      <c r="N2030" s="1">
        <f>YEAR(Table1[[#This Row],[Order Date]])</f>
        <v>2023</v>
      </c>
    </row>
    <row r="2031" spans="1:14" x14ac:dyDescent="0.35">
      <c r="A2031" s="1" t="s">
        <v>2794</v>
      </c>
      <c r="B2031" s="1" t="s">
        <v>921</v>
      </c>
      <c r="C2031" s="1" t="s">
        <v>77</v>
      </c>
      <c r="D2031" s="1" t="s">
        <v>41</v>
      </c>
      <c r="E2031" s="1" t="s">
        <v>16</v>
      </c>
      <c r="F2031" s="1" t="s">
        <v>41</v>
      </c>
      <c r="G2031" s="1">
        <v>8</v>
      </c>
      <c r="H2031" s="1">
        <v>50984</v>
      </c>
      <c r="I2031" s="1">
        <v>0.05</v>
      </c>
      <c r="J2031" s="1">
        <v>387478.4</v>
      </c>
      <c r="K2031" s="1">
        <v>57630</v>
      </c>
      <c r="L2031" s="1" t="s">
        <v>70</v>
      </c>
      <c r="M2031" s="1" t="str">
        <f>TEXT(Table1[[#This Row],[Order Date]],"mmm")</f>
        <v>Jul</v>
      </c>
      <c r="N2031" s="1">
        <f>YEAR(Table1[[#This Row],[Order Date]])</f>
        <v>2023</v>
      </c>
    </row>
    <row r="2032" spans="1:14" x14ac:dyDescent="0.35">
      <c r="A2032" s="1" t="s">
        <v>2795</v>
      </c>
      <c r="B2032" s="1" t="s">
        <v>2796</v>
      </c>
      <c r="C2032" s="1" t="s">
        <v>77</v>
      </c>
      <c r="D2032" s="1" t="s">
        <v>44</v>
      </c>
      <c r="E2032" s="1" t="s">
        <v>28</v>
      </c>
      <c r="F2032" s="1" t="s">
        <v>44</v>
      </c>
      <c r="G2032" s="1">
        <v>6</v>
      </c>
      <c r="H2032" s="1">
        <v>32617</v>
      </c>
      <c r="I2032" s="1">
        <v>0.05</v>
      </c>
      <c r="J2032" s="1">
        <v>185916.9</v>
      </c>
      <c r="K2032" s="1">
        <v>42719.71</v>
      </c>
      <c r="L2032" s="1" t="s">
        <v>23</v>
      </c>
      <c r="M2032" s="1" t="str">
        <f>TEXT(Table1[[#This Row],[Order Date]],"mmm")</f>
        <v>May</v>
      </c>
      <c r="N2032" s="1">
        <f>YEAR(Table1[[#This Row],[Order Date]])</f>
        <v>2024</v>
      </c>
    </row>
    <row r="2033" spans="1:14" x14ac:dyDescent="0.35">
      <c r="A2033" s="1" t="s">
        <v>2797</v>
      </c>
      <c r="B2033" s="1" t="s">
        <v>19</v>
      </c>
      <c r="C2033" s="1" t="s">
        <v>335</v>
      </c>
      <c r="D2033" s="1" t="s">
        <v>74</v>
      </c>
      <c r="E2033" s="1" t="s">
        <v>22</v>
      </c>
      <c r="F2033" s="1" t="s">
        <v>74</v>
      </c>
      <c r="G2033" s="1">
        <v>5</v>
      </c>
      <c r="H2033" s="1">
        <v>24253</v>
      </c>
      <c r="I2033" s="1">
        <v>0.2</v>
      </c>
      <c r="J2033" s="1">
        <v>97012</v>
      </c>
      <c r="K2033" s="1">
        <v>20699.64</v>
      </c>
      <c r="L2033" s="1" t="s">
        <v>17</v>
      </c>
      <c r="M2033" s="1" t="str">
        <f>TEXT(Table1[[#This Row],[Order Date]],"mmm")</f>
        <v>Jul</v>
      </c>
      <c r="N2033" s="1">
        <f>YEAR(Table1[[#This Row],[Order Date]])</f>
        <v>2023</v>
      </c>
    </row>
    <row r="2034" spans="1:14" x14ac:dyDescent="0.35">
      <c r="A2034" s="1" t="s">
        <v>2798</v>
      </c>
      <c r="B2034" s="1" t="s">
        <v>1984</v>
      </c>
      <c r="C2034" s="1" t="s">
        <v>362</v>
      </c>
      <c r="D2034" s="1" t="s">
        <v>141</v>
      </c>
      <c r="E2034" s="1" t="s">
        <v>22</v>
      </c>
      <c r="F2034" s="1" t="s">
        <v>141</v>
      </c>
      <c r="G2034" s="1">
        <v>10</v>
      </c>
      <c r="H2034" s="1">
        <v>29700</v>
      </c>
      <c r="I2034" s="1">
        <v>0.1</v>
      </c>
      <c r="J2034" s="1">
        <v>267300</v>
      </c>
      <c r="K2034" s="1">
        <v>39683.31</v>
      </c>
      <c r="L2034" s="1" t="s">
        <v>70</v>
      </c>
      <c r="M2034" s="1" t="str">
        <f>TEXT(Table1[[#This Row],[Order Date]],"mmm")</f>
        <v>May</v>
      </c>
      <c r="N2034" s="1">
        <f>YEAR(Table1[[#This Row],[Order Date]])</f>
        <v>2024</v>
      </c>
    </row>
    <row r="2035" spans="1:14" x14ac:dyDescent="0.35">
      <c r="A2035" s="1" t="s">
        <v>2799</v>
      </c>
      <c r="B2035" s="1" t="s">
        <v>346</v>
      </c>
      <c r="C2035" s="1" t="s">
        <v>73</v>
      </c>
      <c r="D2035" s="1" t="s">
        <v>15</v>
      </c>
      <c r="E2035" s="1" t="s">
        <v>16</v>
      </c>
      <c r="F2035" s="1" t="s">
        <v>15</v>
      </c>
      <c r="G2035" s="1">
        <v>5</v>
      </c>
      <c r="H2035" s="1">
        <v>45963</v>
      </c>
      <c r="I2035" s="1">
        <v>0.2</v>
      </c>
      <c r="J2035" s="1">
        <v>183852</v>
      </c>
      <c r="K2035" s="1">
        <v>23154.74</v>
      </c>
      <c r="L2035" s="1" t="s">
        <v>17</v>
      </c>
      <c r="M2035" s="1" t="str">
        <f>TEXT(Table1[[#This Row],[Order Date]],"mmm")</f>
        <v>Oct</v>
      </c>
      <c r="N2035" s="1">
        <f>YEAR(Table1[[#This Row],[Order Date]])</f>
        <v>2023</v>
      </c>
    </row>
    <row r="2036" spans="1:14" x14ac:dyDescent="0.35">
      <c r="A2036" s="1" t="s">
        <v>2800</v>
      </c>
      <c r="B2036" s="1" t="s">
        <v>615</v>
      </c>
      <c r="C2036" s="1" t="s">
        <v>77</v>
      </c>
      <c r="D2036" s="1" t="s">
        <v>32</v>
      </c>
      <c r="E2036" s="1" t="s">
        <v>33</v>
      </c>
      <c r="F2036" s="1" t="s">
        <v>32</v>
      </c>
      <c r="G2036" s="1">
        <v>1</v>
      </c>
      <c r="H2036" s="1">
        <v>28028</v>
      </c>
      <c r="I2036" s="1">
        <v>0.1</v>
      </c>
      <c r="J2036" s="1">
        <v>25225.200000000001</v>
      </c>
      <c r="K2036" s="1">
        <v>3379.43</v>
      </c>
      <c r="L2036" s="1" t="s">
        <v>70</v>
      </c>
      <c r="M2036" s="1" t="str">
        <f>TEXT(Table1[[#This Row],[Order Date]],"mmm")</f>
        <v>Jun</v>
      </c>
      <c r="N2036" s="1">
        <f>YEAR(Table1[[#This Row],[Order Date]])</f>
        <v>2024</v>
      </c>
    </row>
    <row r="2037" spans="1:14" x14ac:dyDescent="0.35">
      <c r="A2037" s="1" t="s">
        <v>2801</v>
      </c>
      <c r="B2037" s="1" t="s">
        <v>965</v>
      </c>
      <c r="C2037" s="1" t="s">
        <v>162</v>
      </c>
      <c r="D2037" s="1" t="s">
        <v>114</v>
      </c>
      <c r="E2037" s="1" t="s">
        <v>16</v>
      </c>
      <c r="F2037" s="1" t="s">
        <v>114</v>
      </c>
      <c r="G2037" s="1">
        <v>9</v>
      </c>
      <c r="H2037" s="1">
        <v>30031</v>
      </c>
      <c r="I2037" s="1">
        <v>0.05</v>
      </c>
      <c r="J2037" s="1">
        <v>256765.05</v>
      </c>
      <c r="K2037" s="1">
        <v>50568.03</v>
      </c>
      <c r="L2037" s="1" t="s">
        <v>70</v>
      </c>
      <c r="M2037" s="1" t="str">
        <f>TEXT(Table1[[#This Row],[Order Date]],"mmm")</f>
        <v>Jan</v>
      </c>
      <c r="N2037" s="1">
        <f>YEAR(Table1[[#This Row],[Order Date]])</f>
        <v>2024</v>
      </c>
    </row>
    <row r="2038" spans="1:14" x14ac:dyDescent="0.35">
      <c r="A2038" s="1" t="s">
        <v>2802</v>
      </c>
      <c r="B2038" s="1" t="s">
        <v>580</v>
      </c>
      <c r="C2038" s="1" t="s">
        <v>20</v>
      </c>
      <c r="D2038" s="1" t="s">
        <v>44</v>
      </c>
      <c r="E2038" s="1" t="s">
        <v>28</v>
      </c>
      <c r="F2038" s="1" t="s">
        <v>44</v>
      </c>
      <c r="G2038" s="1">
        <v>8</v>
      </c>
      <c r="H2038" s="1">
        <v>19517</v>
      </c>
      <c r="I2038" s="1">
        <v>0.2</v>
      </c>
      <c r="J2038" s="1">
        <v>124908.8</v>
      </c>
      <c r="K2038" s="1">
        <v>15098.91</v>
      </c>
      <c r="L2038" s="1" t="s">
        <v>17</v>
      </c>
      <c r="M2038" s="1" t="str">
        <f>TEXT(Table1[[#This Row],[Order Date]],"mmm")</f>
        <v>Nov</v>
      </c>
      <c r="N2038" s="1">
        <f>YEAR(Table1[[#This Row],[Order Date]])</f>
        <v>2024</v>
      </c>
    </row>
    <row r="2039" spans="1:14" x14ac:dyDescent="0.35">
      <c r="A2039" s="1" t="s">
        <v>2803</v>
      </c>
      <c r="B2039" s="1" t="s">
        <v>937</v>
      </c>
      <c r="C2039" s="1" t="s">
        <v>349</v>
      </c>
      <c r="D2039" s="1" t="s">
        <v>179</v>
      </c>
      <c r="E2039" s="1" t="s">
        <v>28</v>
      </c>
      <c r="F2039" s="1" t="s">
        <v>179</v>
      </c>
      <c r="G2039" s="1">
        <v>3</v>
      </c>
      <c r="H2039" s="1">
        <v>47551</v>
      </c>
      <c r="I2039" s="1">
        <v>0</v>
      </c>
      <c r="J2039" s="1">
        <v>142653</v>
      </c>
      <c r="K2039" s="1">
        <v>35637.01</v>
      </c>
      <c r="L2039" s="1" t="s">
        <v>17</v>
      </c>
      <c r="M2039" s="1" t="str">
        <f>TEXT(Table1[[#This Row],[Order Date]],"mmm")</f>
        <v>Oct</v>
      </c>
      <c r="N2039" s="1">
        <f>YEAR(Table1[[#This Row],[Order Date]])</f>
        <v>2023</v>
      </c>
    </row>
    <row r="2040" spans="1:14" x14ac:dyDescent="0.35">
      <c r="A2040" s="1" t="s">
        <v>2804</v>
      </c>
      <c r="B2040" s="1" t="s">
        <v>1732</v>
      </c>
      <c r="C2040" s="1" t="s">
        <v>77</v>
      </c>
      <c r="D2040" s="1" t="s">
        <v>21</v>
      </c>
      <c r="E2040" s="1" t="s">
        <v>22</v>
      </c>
      <c r="F2040" s="1" t="s">
        <v>21</v>
      </c>
      <c r="G2040" s="1">
        <v>8</v>
      </c>
      <c r="H2040" s="1">
        <v>26386</v>
      </c>
      <c r="I2040" s="1">
        <v>0.05</v>
      </c>
      <c r="J2040" s="1">
        <v>200533.6</v>
      </c>
      <c r="K2040" s="1">
        <v>49907.34</v>
      </c>
      <c r="L2040" s="1" t="s">
        <v>17</v>
      </c>
      <c r="M2040" s="1" t="str">
        <f>TEXT(Table1[[#This Row],[Order Date]],"mmm")</f>
        <v>Mar</v>
      </c>
      <c r="N2040" s="1">
        <f>YEAR(Table1[[#This Row],[Order Date]])</f>
        <v>2023</v>
      </c>
    </row>
    <row r="2041" spans="1:14" x14ac:dyDescent="0.35">
      <c r="A2041" s="1" t="s">
        <v>2805</v>
      </c>
      <c r="B2041" s="1" t="s">
        <v>2414</v>
      </c>
      <c r="C2041" s="1" t="s">
        <v>73</v>
      </c>
      <c r="D2041" s="1" t="s">
        <v>52</v>
      </c>
      <c r="E2041" s="1" t="s">
        <v>28</v>
      </c>
      <c r="F2041" s="1" t="s">
        <v>52</v>
      </c>
      <c r="G2041" s="1">
        <v>9</v>
      </c>
      <c r="H2041" s="1">
        <v>16192</v>
      </c>
      <c r="I2041" s="1">
        <v>0</v>
      </c>
      <c r="J2041" s="1">
        <v>145728</v>
      </c>
      <c r="K2041" s="1">
        <v>16877.38</v>
      </c>
      <c r="L2041" s="1" t="s">
        <v>17</v>
      </c>
      <c r="M2041" s="1" t="str">
        <f>TEXT(Table1[[#This Row],[Order Date]],"mmm")</f>
        <v>Apr</v>
      </c>
      <c r="N2041" s="1">
        <f>YEAR(Table1[[#This Row],[Order Date]])</f>
        <v>2024</v>
      </c>
    </row>
    <row r="2042" spans="1:14" x14ac:dyDescent="0.35">
      <c r="A2042" s="1" t="s">
        <v>2806</v>
      </c>
      <c r="B2042" s="1" t="s">
        <v>731</v>
      </c>
      <c r="C2042" s="1" t="s">
        <v>362</v>
      </c>
      <c r="D2042" s="1" t="s">
        <v>60</v>
      </c>
      <c r="E2042" s="1" t="s">
        <v>33</v>
      </c>
      <c r="F2042" s="1" t="s">
        <v>60</v>
      </c>
      <c r="G2042" s="1">
        <v>3</v>
      </c>
      <c r="H2042" s="1">
        <v>26763</v>
      </c>
      <c r="I2042" s="1">
        <v>0</v>
      </c>
      <c r="J2042" s="1">
        <v>80289</v>
      </c>
      <c r="K2042" s="1">
        <v>23401.46</v>
      </c>
      <c r="L2042" s="1" t="s">
        <v>17</v>
      </c>
      <c r="M2042" s="1" t="str">
        <f>TEXT(Table1[[#This Row],[Order Date]],"mmm")</f>
        <v>Mar</v>
      </c>
      <c r="N2042" s="1">
        <f>YEAR(Table1[[#This Row],[Order Date]])</f>
        <v>2023</v>
      </c>
    </row>
    <row r="2043" spans="1:14" x14ac:dyDescent="0.35">
      <c r="A2043" s="1" t="s">
        <v>2807</v>
      </c>
      <c r="B2043" s="1" t="s">
        <v>861</v>
      </c>
      <c r="C2043" s="1" t="s">
        <v>178</v>
      </c>
      <c r="D2043" s="1" t="s">
        <v>44</v>
      </c>
      <c r="E2043" s="1" t="s">
        <v>28</v>
      </c>
      <c r="F2043" s="1" t="s">
        <v>44</v>
      </c>
      <c r="G2043" s="1">
        <v>15</v>
      </c>
      <c r="H2043" s="1">
        <v>28243</v>
      </c>
      <c r="I2043" s="1">
        <v>0</v>
      </c>
      <c r="J2043" s="1">
        <v>423645</v>
      </c>
      <c r="K2043" s="1">
        <v>108399.63</v>
      </c>
      <c r="L2043" s="1" t="s">
        <v>23</v>
      </c>
      <c r="M2043" s="1" t="str">
        <f>TEXT(Table1[[#This Row],[Order Date]],"mmm")</f>
        <v>Oct</v>
      </c>
      <c r="N2043" s="1">
        <f>YEAR(Table1[[#This Row],[Order Date]])</f>
        <v>2023</v>
      </c>
    </row>
    <row r="2044" spans="1:14" x14ac:dyDescent="0.35">
      <c r="A2044" s="1" t="s">
        <v>2808</v>
      </c>
      <c r="B2044" s="1" t="s">
        <v>582</v>
      </c>
      <c r="C2044" s="1" t="s">
        <v>370</v>
      </c>
      <c r="D2044" s="1" t="s">
        <v>21</v>
      </c>
      <c r="E2044" s="1" t="s">
        <v>22</v>
      </c>
      <c r="F2044" s="1" t="s">
        <v>21</v>
      </c>
      <c r="G2044" s="1">
        <v>12</v>
      </c>
      <c r="H2044" s="1">
        <v>8446</v>
      </c>
      <c r="I2044" s="1">
        <v>0.05</v>
      </c>
      <c r="J2044" s="1">
        <v>96284.4</v>
      </c>
      <c r="K2044" s="1">
        <v>15087.19</v>
      </c>
      <c r="L2044" s="1" t="s">
        <v>17</v>
      </c>
      <c r="M2044" s="1" t="str">
        <f>TEXT(Table1[[#This Row],[Order Date]],"mmm")</f>
        <v>Apr</v>
      </c>
      <c r="N2044" s="1">
        <f>YEAR(Table1[[#This Row],[Order Date]])</f>
        <v>2024</v>
      </c>
    </row>
    <row r="2045" spans="1:14" x14ac:dyDescent="0.35">
      <c r="A2045" s="1" t="s">
        <v>2809</v>
      </c>
      <c r="B2045" s="1" t="s">
        <v>1878</v>
      </c>
      <c r="C2045" s="1" t="s">
        <v>26</v>
      </c>
      <c r="D2045" s="1" t="s">
        <v>78</v>
      </c>
      <c r="E2045" s="1" t="s">
        <v>28</v>
      </c>
      <c r="F2045" s="1" t="s">
        <v>78</v>
      </c>
      <c r="G2045" s="1">
        <v>4</v>
      </c>
      <c r="H2045" s="1">
        <v>43477</v>
      </c>
      <c r="I2045" s="1">
        <v>0.05</v>
      </c>
      <c r="J2045" s="1">
        <v>165212.6</v>
      </c>
      <c r="K2045" s="1">
        <v>41297.199999999997</v>
      </c>
      <c r="L2045" s="1" t="s">
        <v>70</v>
      </c>
      <c r="M2045" s="1" t="str">
        <f>TEXT(Table1[[#This Row],[Order Date]],"mmm")</f>
        <v>Jun</v>
      </c>
      <c r="N2045" s="1">
        <f>YEAR(Table1[[#This Row],[Order Date]])</f>
        <v>2024</v>
      </c>
    </row>
    <row r="2046" spans="1:14" x14ac:dyDescent="0.35">
      <c r="A2046" s="1" t="s">
        <v>2810</v>
      </c>
      <c r="B2046" s="1" t="s">
        <v>195</v>
      </c>
      <c r="C2046" s="1" t="s">
        <v>104</v>
      </c>
      <c r="D2046" s="1" t="s">
        <v>64</v>
      </c>
      <c r="E2046" s="1" t="s">
        <v>33</v>
      </c>
      <c r="F2046" s="1" t="s">
        <v>64</v>
      </c>
      <c r="G2046" s="1">
        <v>1</v>
      </c>
      <c r="H2046" s="1">
        <v>26047</v>
      </c>
      <c r="I2046" s="1">
        <v>0.15</v>
      </c>
      <c r="J2046" s="1">
        <v>22139.95</v>
      </c>
      <c r="K2046" s="1">
        <v>3624.37</v>
      </c>
      <c r="L2046" s="1" t="s">
        <v>23</v>
      </c>
      <c r="M2046" s="1" t="str">
        <f>TEXT(Table1[[#This Row],[Order Date]],"mmm")</f>
        <v>Mar</v>
      </c>
      <c r="N2046" s="1">
        <f>YEAR(Table1[[#This Row],[Order Date]])</f>
        <v>2024</v>
      </c>
    </row>
    <row r="2047" spans="1:14" x14ac:dyDescent="0.35">
      <c r="A2047" s="1" t="s">
        <v>2811</v>
      </c>
      <c r="B2047" s="1" t="s">
        <v>153</v>
      </c>
      <c r="C2047" s="1" t="s">
        <v>162</v>
      </c>
      <c r="D2047" s="1" t="s">
        <v>151</v>
      </c>
      <c r="E2047" s="1" t="s">
        <v>22</v>
      </c>
      <c r="F2047" s="1" t="s">
        <v>151</v>
      </c>
      <c r="G2047" s="1">
        <v>5</v>
      </c>
      <c r="H2047" s="1">
        <v>54987</v>
      </c>
      <c r="I2047" s="1">
        <v>0.2</v>
      </c>
      <c r="J2047" s="1">
        <v>219948</v>
      </c>
      <c r="K2047" s="1">
        <v>51189.98</v>
      </c>
      <c r="L2047" s="1" t="s">
        <v>17</v>
      </c>
      <c r="M2047" s="1" t="str">
        <f>TEXT(Table1[[#This Row],[Order Date]],"mmm")</f>
        <v>Feb</v>
      </c>
      <c r="N2047" s="1">
        <f>YEAR(Table1[[#This Row],[Order Date]])</f>
        <v>2024</v>
      </c>
    </row>
    <row r="2048" spans="1:14" x14ac:dyDescent="0.35">
      <c r="A2048" s="1" t="s">
        <v>2812</v>
      </c>
      <c r="B2048" s="1" t="s">
        <v>1198</v>
      </c>
      <c r="C2048" s="1" t="s">
        <v>158</v>
      </c>
      <c r="D2048" s="1" t="s">
        <v>15</v>
      </c>
      <c r="E2048" s="1" t="s">
        <v>16</v>
      </c>
      <c r="F2048" s="1" t="s">
        <v>15</v>
      </c>
      <c r="G2048" s="1">
        <v>9</v>
      </c>
      <c r="H2048" s="1">
        <v>23923</v>
      </c>
      <c r="I2048" s="1">
        <v>0</v>
      </c>
      <c r="J2048" s="1">
        <v>215307</v>
      </c>
      <c r="K2048" s="1">
        <v>29892.94</v>
      </c>
      <c r="L2048" s="1" t="s">
        <v>70</v>
      </c>
      <c r="M2048" s="1" t="str">
        <f>TEXT(Table1[[#This Row],[Order Date]],"mmm")</f>
        <v>Mar</v>
      </c>
      <c r="N2048" s="1">
        <f>YEAR(Table1[[#This Row],[Order Date]])</f>
        <v>2023</v>
      </c>
    </row>
    <row r="2049" spans="1:14" x14ac:dyDescent="0.35">
      <c r="A2049" s="1" t="s">
        <v>2813</v>
      </c>
      <c r="B2049" s="1" t="s">
        <v>716</v>
      </c>
      <c r="C2049" s="1" t="s">
        <v>370</v>
      </c>
      <c r="D2049" s="1" t="s">
        <v>167</v>
      </c>
      <c r="E2049" s="1" t="s">
        <v>16</v>
      </c>
      <c r="F2049" s="1" t="s">
        <v>167</v>
      </c>
      <c r="G2049" s="1">
        <v>5</v>
      </c>
      <c r="H2049" s="1">
        <v>1990</v>
      </c>
      <c r="I2049" s="1">
        <v>0.05</v>
      </c>
      <c r="J2049" s="1">
        <v>9452.5</v>
      </c>
      <c r="K2049" s="1">
        <v>2014.57</v>
      </c>
      <c r="L2049" s="1" t="s">
        <v>17</v>
      </c>
      <c r="M2049" s="1" t="str">
        <f>TEXT(Table1[[#This Row],[Order Date]],"mmm")</f>
        <v>Apr</v>
      </c>
      <c r="N2049" s="1">
        <f>YEAR(Table1[[#This Row],[Order Date]])</f>
        <v>2023</v>
      </c>
    </row>
    <row r="2050" spans="1:14" x14ac:dyDescent="0.35">
      <c r="A2050" s="1" t="s">
        <v>2814</v>
      </c>
      <c r="B2050" s="1" t="s">
        <v>2815</v>
      </c>
      <c r="C2050" s="1" t="s">
        <v>107</v>
      </c>
      <c r="D2050" s="1" t="s">
        <v>141</v>
      </c>
      <c r="E2050" s="1" t="s">
        <v>22</v>
      </c>
      <c r="F2050" s="1" t="s">
        <v>141</v>
      </c>
      <c r="G2050" s="1">
        <v>1</v>
      </c>
      <c r="H2050" s="1">
        <v>53758</v>
      </c>
      <c r="I2050" s="1">
        <v>0.05</v>
      </c>
      <c r="J2050" s="1">
        <v>51070.1</v>
      </c>
      <c r="K2050" s="1">
        <v>11835.06</v>
      </c>
      <c r="L2050" s="1" t="s">
        <v>17</v>
      </c>
      <c r="M2050" s="1" t="str">
        <f>TEXT(Table1[[#This Row],[Order Date]],"mmm")</f>
        <v>Mar</v>
      </c>
      <c r="N2050" s="1">
        <f>YEAR(Table1[[#This Row],[Order Date]])</f>
        <v>2024</v>
      </c>
    </row>
    <row r="2051" spans="1:14" x14ac:dyDescent="0.35">
      <c r="A2051" s="1" t="s">
        <v>2816</v>
      </c>
      <c r="B2051" s="1" t="s">
        <v>881</v>
      </c>
      <c r="C2051" s="1" t="s">
        <v>260</v>
      </c>
      <c r="D2051" s="1" t="s">
        <v>224</v>
      </c>
      <c r="E2051" s="1" t="s">
        <v>33</v>
      </c>
      <c r="F2051" s="1" t="s">
        <v>224</v>
      </c>
      <c r="G2051" s="1">
        <v>12</v>
      </c>
      <c r="H2051" s="1">
        <v>10547</v>
      </c>
      <c r="I2051" s="1">
        <v>0</v>
      </c>
      <c r="J2051" s="1">
        <v>126564</v>
      </c>
      <c r="K2051" s="1">
        <v>35258.92</v>
      </c>
      <c r="L2051" s="1" t="s">
        <v>45</v>
      </c>
      <c r="M2051" s="1" t="str">
        <f>TEXT(Table1[[#This Row],[Order Date]],"mmm")</f>
        <v>Oct</v>
      </c>
      <c r="N2051" s="1">
        <f>YEAR(Table1[[#This Row],[Order Date]])</f>
        <v>2024</v>
      </c>
    </row>
    <row r="2052" spans="1:14" x14ac:dyDescent="0.35">
      <c r="A2052" s="1" t="s">
        <v>2817</v>
      </c>
      <c r="B2052" s="1" t="s">
        <v>1720</v>
      </c>
      <c r="C2052" s="1" t="s">
        <v>81</v>
      </c>
      <c r="D2052" s="1" t="s">
        <v>293</v>
      </c>
      <c r="E2052" s="1" t="s">
        <v>33</v>
      </c>
      <c r="F2052" s="1" t="s">
        <v>293</v>
      </c>
      <c r="G2052" s="1">
        <v>11</v>
      </c>
      <c r="H2052" s="1">
        <v>19640</v>
      </c>
      <c r="I2052" s="1">
        <v>0.05</v>
      </c>
      <c r="J2052" s="1">
        <v>205238</v>
      </c>
      <c r="K2052" s="1">
        <v>34723.480000000003</v>
      </c>
      <c r="L2052" s="1" t="s">
        <v>17</v>
      </c>
      <c r="M2052" s="1" t="str">
        <f>TEXT(Table1[[#This Row],[Order Date]],"mmm")</f>
        <v>Jan</v>
      </c>
      <c r="N2052" s="1">
        <f>YEAR(Table1[[#This Row],[Order Date]])</f>
        <v>2023</v>
      </c>
    </row>
    <row r="2053" spans="1:14" x14ac:dyDescent="0.35">
      <c r="A2053" s="1" t="s">
        <v>2818</v>
      </c>
      <c r="B2053" s="1" t="s">
        <v>387</v>
      </c>
      <c r="C2053" s="1" t="s">
        <v>208</v>
      </c>
      <c r="D2053" s="1" t="s">
        <v>52</v>
      </c>
      <c r="E2053" s="1" t="s">
        <v>28</v>
      </c>
      <c r="F2053" s="1" t="s">
        <v>52</v>
      </c>
      <c r="G2053" s="1">
        <v>3</v>
      </c>
      <c r="H2053" s="1">
        <v>38706</v>
      </c>
      <c r="I2053" s="1">
        <v>0.2</v>
      </c>
      <c r="J2053" s="1">
        <v>92894.399999999994</v>
      </c>
      <c r="K2053" s="1">
        <v>11698.2</v>
      </c>
      <c r="L2053" s="1" t="s">
        <v>17</v>
      </c>
      <c r="M2053" s="1" t="str">
        <f>TEXT(Table1[[#This Row],[Order Date]],"mmm")</f>
        <v>May</v>
      </c>
      <c r="N2053" s="1">
        <f>YEAR(Table1[[#This Row],[Order Date]])</f>
        <v>2024</v>
      </c>
    </row>
    <row r="2054" spans="1:14" x14ac:dyDescent="0.35">
      <c r="A2054" s="1" t="s">
        <v>2819</v>
      </c>
      <c r="B2054" s="1" t="s">
        <v>520</v>
      </c>
      <c r="C2054" s="1" t="s">
        <v>362</v>
      </c>
      <c r="D2054" s="1" t="s">
        <v>167</v>
      </c>
      <c r="E2054" s="1" t="s">
        <v>16</v>
      </c>
      <c r="F2054" s="1" t="s">
        <v>167</v>
      </c>
      <c r="G2054" s="1">
        <v>10</v>
      </c>
      <c r="H2054" s="1">
        <v>42683</v>
      </c>
      <c r="I2054" s="1">
        <v>0.2</v>
      </c>
      <c r="J2054" s="1">
        <v>341464</v>
      </c>
      <c r="K2054" s="1">
        <v>59968.33</v>
      </c>
      <c r="L2054" s="1" t="s">
        <v>45</v>
      </c>
      <c r="M2054" s="1" t="str">
        <f>TEXT(Table1[[#This Row],[Order Date]],"mmm")</f>
        <v>Mar</v>
      </c>
      <c r="N2054" s="1">
        <f>YEAR(Table1[[#This Row],[Order Date]])</f>
        <v>2023</v>
      </c>
    </row>
    <row r="2055" spans="1:14" x14ac:dyDescent="0.35">
      <c r="A2055" s="1" t="s">
        <v>2820</v>
      </c>
      <c r="B2055" s="1" t="s">
        <v>2821</v>
      </c>
      <c r="C2055" s="1" t="s">
        <v>59</v>
      </c>
      <c r="D2055" s="1" t="s">
        <v>85</v>
      </c>
      <c r="E2055" s="1" t="s">
        <v>28</v>
      </c>
      <c r="F2055" s="1" t="s">
        <v>85</v>
      </c>
      <c r="G2055" s="1">
        <v>15</v>
      </c>
      <c r="H2055" s="1">
        <v>11935</v>
      </c>
      <c r="I2055" s="1">
        <v>0</v>
      </c>
      <c r="J2055" s="1">
        <v>179025</v>
      </c>
      <c r="K2055" s="1">
        <v>32650.68</v>
      </c>
      <c r="L2055" s="1" t="s">
        <v>17</v>
      </c>
      <c r="M2055" s="1" t="str">
        <f>TEXT(Table1[[#This Row],[Order Date]],"mmm")</f>
        <v>Dec</v>
      </c>
      <c r="N2055" s="1">
        <f>YEAR(Table1[[#This Row],[Order Date]])</f>
        <v>2023</v>
      </c>
    </row>
    <row r="2056" spans="1:14" x14ac:dyDescent="0.35">
      <c r="A2056" s="1" t="s">
        <v>2822</v>
      </c>
      <c r="B2056" s="1" t="s">
        <v>1984</v>
      </c>
      <c r="C2056" s="1" t="s">
        <v>51</v>
      </c>
      <c r="D2056" s="1" t="s">
        <v>56</v>
      </c>
      <c r="E2056" s="1" t="s">
        <v>22</v>
      </c>
      <c r="F2056" s="1" t="s">
        <v>56</v>
      </c>
      <c r="G2056" s="1">
        <v>10</v>
      </c>
      <c r="H2056" s="1">
        <v>15630</v>
      </c>
      <c r="I2056" s="1">
        <v>0</v>
      </c>
      <c r="J2056" s="1">
        <v>156300</v>
      </c>
      <c r="K2056" s="1">
        <v>15817.55</v>
      </c>
      <c r="L2056" s="1" t="s">
        <v>17</v>
      </c>
      <c r="M2056" s="1" t="str">
        <f>TEXT(Table1[[#This Row],[Order Date]],"mmm")</f>
        <v>May</v>
      </c>
      <c r="N2056" s="1">
        <f>YEAR(Table1[[#This Row],[Order Date]])</f>
        <v>2024</v>
      </c>
    </row>
    <row r="2057" spans="1:14" x14ac:dyDescent="0.35">
      <c r="A2057" s="1" t="s">
        <v>2823</v>
      </c>
      <c r="B2057" s="1" t="s">
        <v>1772</v>
      </c>
      <c r="C2057" s="1" t="s">
        <v>191</v>
      </c>
      <c r="D2057" s="1" t="s">
        <v>179</v>
      </c>
      <c r="E2057" s="1" t="s">
        <v>28</v>
      </c>
      <c r="F2057" s="1" t="s">
        <v>179</v>
      </c>
      <c r="G2057" s="1">
        <v>13</v>
      </c>
      <c r="H2057" s="1">
        <v>47139</v>
      </c>
      <c r="I2057" s="1">
        <v>0.2</v>
      </c>
      <c r="J2057" s="1">
        <v>490245.6</v>
      </c>
      <c r="K2057" s="1">
        <v>132342.51</v>
      </c>
      <c r="L2057" s="1" t="s">
        <v>23</v>
      </c>
      <c r="M2057" s="1" t="str">
        <f>TEXT(Table1[[#This Row],[Order Date]],"mmm")</f>
        <v>Jun</v>
      </c>
      <c r="N2057" s="1">
        <f>YEAR(Table1[[#This Row],[Order Date]])</f>
        <v>2024</v>
      </c>
    </row>
    <row r="2058" spans="1:14" x14ac:dyDescent="0.35">
      <c r="A2058" s="1" t="s">
        <v>2824</v>
      </c>
      <c r="B2058" s="1" t="s">
        <v>737</v>
      </c>
      <c r="C2058" s="1" t="s">
        <v>84</v>
      </c>
      <c r="D2058" s="1" t="s">
        <v>95</v>
      </c>
      <c r="E2058" s="1" t="s">
        <v>33</v>
      </c>
      <c r="F2058" s="1" t="s">
        <v>95</v>
      </c>
      <c r="G2058" s="1">
        <v>8</v>
      </c>
      <c r="H2058" s="1">
        <v>51577</v>
      </c>
      <c r="I2058" s="1">
        <v>0.05</v>
      </c>
      <c r="J2058" s="1">
        <v>391985.2</v>
      </c>
      <c r="K2058" s="1">
        <v>80917.570000000007</v>
      </c>
      <c r="L2058" s="1" t="s">
        <v>17</v>
      </c>
      <c r="M2058" s="1" t="str">
        <f>TEXT(Table1[[#This Row],[Order Date]],"mmm")</f>
        <v>Aug</v>
      </c>
      <c r="N2058" s="1">
        <f>YEAR(Table1[[#This Row],[Order Date]])</f>
        <v>2023</v>
      </c>
    </row>
    <row r="2059" spans="1:14" x14ac:dyDescent="0.35">
      <c r="A2059" s="1" t="s">
        <v>2825</v>
      </c>
      <c r="B2059" s="1" t="s">
        <v>2262</v>
      </c>
      <c r="C2059" s="1" t="s">
        <v>77</v>
      </c>
      <c r="D2059" s="1" t="s">
        <v>56</v>
      </c>
      <c r="E2059" s="1" t="s">
        <v>22</v>
      </c>
      <c r="F2059" s="1" t="s">
        <v>56</v>
      </c>
      <c r="G2059" s="1">
        <v>8</v>
      </c>
      <c r="H2059" s="1">
        <v>19506</v>
      </c>
      <c r="I2059" s="1">
        <v>0.15</v>
      </c>
      <c r="J2059" s="1">
        <v>132640.79999999999</v>
      </c>
      <c r="K2059" s="1">
        <v>20609.88</v>
      </c>
      <c r="L2059" s="1" t="s">
        <v>17</v>
      </c>
      <c r="M2059" s="1" t="str">
        <f>TEXT(Table1[[#This Row],[Order Date]],"mmm")</f>
        <v>Aug</v>
      </c>
      <c r="N2059" s="1">
        <f>YEAR(Table1[[#This Row],[Order Date]])</f>
        <v>2024</v>
      </c>
    </row>
    <row r="2060" spans="1:14" x14ac:dyDescent="0.35">
      <c r="A2060" s="1" t="s">
        <v>2826</v>
      </c>
      <c r="B2060" s="1" t="s">
        <v>657</v>
      </c>
      <c r="C2060" s="1" t="s">
        <v>188</v>
      </c>
      <c r="D2060" s="1" t="s">
        <v>293</v>
      </c>
      <c r="E2060" s="1" t="s">
        <v>33</v>
      </c>
      <c r="F2060" s="1" t="s">
        <v>293</v>
      </c>
      <c r="G2060" s="1">
        <v>7</v>
      </c>
      <c r="H2060" s="1">
        <v>46570</v>
      </c>
      <c r="I2060" s="1">
        <v>0.05</v>
      </c>
      <c r="J2060" s="1">
        <v>309690.5</v>
      </c>
      <c r="K2060" s="1">
        <v>25125.84</v>
      </c>
      <c r="L2060" s="1" t="s">
        <v>23</v>
      </c>
      <c r="M2060" s="1" t="str">
        <f>TEXT(Table1[[#This Row],[Order Date]],"mmm")</f>
        <v>Jan</v>
      </c>
      <c r="N2060" s="1">
        <f>YEAR(Table1[[#This Row],[Order Date]])</f>
        <v>2024</v>
      </c>
    </row>
    <row r="2061" spans="1:14" x14ac:dyDescent="0.35">
      <c r="A2061" s="1" t="s">
        <v>2827</v>
      </c>
      <c r="B2061" s="1" t="s">
        <v>1445</v>
      </c>
      <c r="C2061" s="1" t="s">
        <v>40</v>
      </c>
      <c r="D2061" s="1" t="s">
        <v>137</v>
      </c>
      <c r="E2061" s="1" t="s">
        <v>22</v>
      </c>
      <c r="F2061" s="1" t="s">
        <v>137</v>
      </c>
      <c r="G2061" s="1">
        <v>6</v>
      </c>
      <c r="H2061" s="1">
        <v>50712</v>
      </c>
      <c r="I2061" s="1">
        <v>0.15</v>
      </c>
      <c r="J2061" s="1">
        <v>258631.2</v>
      </c>
      <c r="K2061" s="1">
        <v>20997.56</v>
      </c>
      <c r="L2061" s="1" t="s">
        <v>17</v>
      </c>
      <c r="M2061" s="1" t="str">
        <f>TEXT(Table1[[#This Row],[Order Date]],"mmm")</f>
        <v>Jun</v>
      </c>
      <c r="N2061" s="1">
        <f>YEAR(Table1[[#This Row],[Order Date]])</f>
        <v>2023</v>
      </c>
    </row>
    <row r="2062" spans="1:14" x14ac:dyDescent="0.35">
      <c r="A2062" s="1" t="s">
        <v>2828</v>
      </c>
      <c r="B2062" s="1" t="s">
        <v>582</v>
      </c>
      <c r="C2062" s="1" t="s">
        <v>88</v>
      </c>
      <c r="D2062" s="1" t="s">
        <v>78</v>
      </c>
      <c r="E2062" s="1" t="s">
        <v>28</v>
      </c>
      <c r="F2062" s="1" t="s">
        <v>78</v>
      </c>
      <c r="G2062" s="1">
        <v>1</v>
      </c>
      <c r="H2062" s="1">
        <v>45891</v>
      </c>
      <c r="I2062" s="1">
        <v>0.05</v>
      </c>
      <c r="J2062" s="1">
        <v>43596.45</v>
      </c>
      <c r="K2062" s="1">
        <v>6506.66</v>
      </c>
      <c r="L2062" s="1" t="s">
        <v>70</v>
      </c>
      <c r="M2062" s="1" t="str">
        <f>TEXT(Table1[[#This Row],[Order Date]],"mmm")</f>
        <v>Apr</v>
      </c>
      <c r="N2062" s="1">
        <f>YEAR(Table1[[#This Row],[Order Date]])</f>
        <v>2024</v>
      </c>
    </row>
    <row r="2063" spans="1:14" x14ac:dyDescent="0.35">
      <c r="A2063" s="1" t="s">
        <v>2829</v>
      </c>
      <c r="B2063" s="1" t="s">
        <v>2089</v>
      </c>
      <c r="C2063" s="1" t="s">
        <v>81</v>
      </c>
      <c r="D2063" s="1" t="s">
        <v>60</v>
      </c>
      <c r="E2063" s="1" t="s">
        <v>33</v>
      </c>
      <c r="F2063" s="1" t="s">
        <v>60</v>
      </c>
      <c r="G2063" s="1">
        <v>2</v>
      </c>
      <c r="H2063" s="1">
        <v>17313</v>
      </c>
      <c r="I2063" s="1">
        <v>0.1</v>
      </c>
      <c r="J2063" s="1">
        <v>31163.4</v>
      </c>
      <c r="K2063" s="1">
        <v>8676.4</v>
      </c>
      <c r="L2063" s="1" t="s">
        <v>23</v>
      </c>
      <c r="M2063" s="1" t="str">
        <f>TEXT(Table1[[#This Row],[Order Date]],"mmm")</f>
        <v>Nov</v>
      </c>
      <c r="N2063" s="1">
        <f>YEAR(Table1[[#This Row],[Order Date]])</f>
        <v>2024</v>
      </c>
    </row>
    <row r="2064" spans="1:14" x14ac:dyDescent="0.35">
      <c r="A2064" s="1" t="s">
        <v>2830</v>
      </c>
      <c r="B2064" s="1" t="s">
        <v>1290</v>
      </c>
      <c r="C2064" s="1" t="s">
        <v>120</v>
      </c>
      <c r="D2064" s="1" t="s">
        <v>60</v>
      </c>
      <c r="E2064" s="1" t="s">
        <v>33</v>
      </c>
      <c r="F2064" s="1" t="s">
        <v>60</v>
      </c>
      <c r="G2064" s="1">
        <v>10</v>
      </c>
      <c r="H2064" s="1">
        <v>2601</v>
      </c>
      <c r="I2064" s="1">
        <v>0</v>
      </c>
      <c r="J2064" s="1">
        <v>26010</v>
      </c>
      <c r="K2064" s="1">
        <v>5032.24</v>
      </c>
      <c r="L2064" s="1" t="s">
        <v>23</v>
      </c>
      <c r="M2064" s="1" t="str">
        <f>TEXT(Table1[[#This Row],[Order Date]],"mmm")</f>
        <v>Mar</v>
      </c>
      <c r="N2064" s="1">
        <f>YEAR(Table1[[#This Row],[Order Date]])</f>
        <v>2023</v>
      </c>
    </row>
    <row r="2065" spans="1:14" x14ac:dyDescent="0.35">
      <c r="A2065" s="1" t="s">
        <v>2831</v>
      </c>
      <c r="B2065" s="1" t="s">
        <v>1322</v>
      </c>
      <c r="C2065" s="1" t="s">
        <v>158</v>
      </c>
      <c r="D2065" s="1" t="s">
        <v>78</v>
      </c>
      <c r="E2065" s="1" t="s">
        <v>28</v>
      </c>
      <c r="F2065" s="1" t="s">
        <v>78</v>
      </c>
      <c r="G2065" s="1">
        <v>11</v>
      </c>
      <c r="H2065" s="1">
        <v>46720</v>
      </c>
      <c r="I2065" s="1">
        <v>0.1</v>
      </c>
      <c r="J2065" s="1">
        <v>462528</v>
      </c>
      <c r="K2065" s="1">
        <v>129619.95</v>
      </c>
      <c r="L2065" s="1" t="s">
        <v>23</v>
      </c>
      <c r="M2065" s="1" t="str">
        <f>TEXT(Table1[[#This Row],[Order Date]],"mmm")</f>
        <v>Sep</v>
      </c>
      <c r="N2065" s="1">
        <f>YEAR(Table1[[#This Row],[Order Date]])</f>
        <v>2023</v>
      </c>
    </row>
    <row r="2066" spans="1:14" x14ac:dyDescent="0.35">
      <c r="A2066" s="1" t="s">
        <v>2832</v>
      </c>
      <c r="B2066" s="1" t="s">
        <v>835</v>
      </c>
      <c r="C2066" s="1" t="s">
        <v>81</v>
      </c>
      <c r="D2066" s="1" t="s">
        <v>48</v>
      </c>
      <c r="E2066" s="1" t="s">
        <v>16</v>
      </c>
      <c r="F2066" s="1" t="s">
        <v>48</v>
      </c>
      <c r="G2066" s="1">
        <v>13</v>
      </c>
      <c r="H2066" s="1">
        <v>37862</v>
      </c>
      <c r="I2066" s="1">
        <v>0.1</v>
      </c>
      <c r="J2066" s="1">
        <v>442985.4</v>
      </c>
      <c r="K2066" s="1">
        <v>73390.039999999994</v>
      </c>
      <c r="L2066" s="1" t="s">
        <v>70</v>
      </c>
      <c r="M2066" s="1" t="str">
        <f>TEXT(Table1[[#This Row],[Order Date]],"mmm")</f>
        <v>Nov</v>
      </c>
      <c r="N2066" s="1">
        <f>YEAR(Table1[[#This Row],[Order Date]])</f>
        <v>2024</v>
      </c>
    </row>
    <row r="2067" spans="1:14" x14ac:dyDescent="0.35">
      <c r="A2067" s="1" t="s">
        <v>2833</v>
      </c>
      <c r="B2067" s="1" t="s">
        <v>1907</v>
      </c>
      <c r="C2067" s="1" t="s">
        <v>335</v>
      </c>
      <c r="D2067" s="1" t="s">
        <v>293</v>
      </c>
      <c r="E2067" s="1" t="s">
        <v>33</v>
      </c>
      <c r="F2067" s="1" t="s">
        <v>293</v>
      </c>
      <c r="G2067" s="1">
        <v>4</v>
      </c>
      <c r="H2067" s="1">
        <v>51480</v>
      </c>
      <c r="I2067" s="1">
        <v>0.2</v>
      </c>
      <c r="J2067" s="1">
        <v>164736</v>
      </c>
      <c r="K2067" s="1">
        <v>46138.83</v>
      </c>
      <c r="L2067" s="1" t="s">
        <v>70</v>
      </c>
      <c r="M2067" s="1" t="str">
        <f>TEXT(Table1[[#This Row],[Order Date]],"mmm")</f>
        <v>Jan</v>
      </c>
      <c r="N2067" s="1">
        <f>YEAR(Table1[[#This Row],[Order Date]])</f>
        <v>2024</v>
      </c>
    </row>
    <row r="2068" spans="1:14" x14ac:dyDescent="0.35">
      <c r="A2068" s="1" t="s">
        <v>2834</v>
      </c>
      <c r="B2068" s="1" t="s">
        <v>299</v>
      </c>
      <c r="C2068" s="1" t="s">
        <v>94</v>
      </c>
      <c r="D2068" s="1" t="s">
        <v>108</v>
      </c>
      <c r="E2068" s="1" t="s">
        <v>22</v>
      </c>
      <c r="F2068" s="1" t="s">
        <v>108</v>
      </c>
      <c r="G2068" s="1">
        <v>7</v>
      </c>
      <c r="H2068" s="1">
        <v>47331</v>
      </c>
      <c r="I2068" s="1">
        <v>0.15</v>
      </c>
      <c r="J2068" s="1">
        <v>281619.45</v>
      </c>
      <c r="K2068" s="1">
        <v>30030.51</v>
      </c>
      <c r="L2068" s="1" t="s">
        <v>70</v>
      </c>
      <c r="M2068" s="1" t="str">
        <f>TEXT(Table1[[#This Row],[Order Date]],"mmm")</f>
        <v>May</v>
      </c>
      <c r="N2068" s="1">
        <f>YEAR(Table1[[#This Row],[Order Date]])</f>
        <v>2023</v>
      </c>
    </row>
    <row r="2069" spans="1:14" x14ac:dyDescent="0.35">
      <c r="A2069" s="1" t="s">
        <v>2835</v>
      </c>
      <c r="B2069" s="1" t="s">
        <v>135</v>
      </c>
      <c r="C2069" s="1" t="s">
        <v>59</v>
      </c>
      <c r="D2069" s="1" t="s">
        <v>41</v>
      </c>
      <c r="E2069" s="1" t="s">
        <v>16</v>
      </c>
      <c r="F2069" s="1" t="s">
        <v>41</v>
      </c>
      <c r="G2069" s="1">
        <v>2</v>
      </c>
      <c r="H2069" s="1">
        <v>55851</v>
      </c>
      <c r="I2069" s="1">
        <v>0</v>
      </c>
      <c r="J2069" s="1">
        <v>111702</v>
      </c>
      <c r="K2069" s="1">
        <v>13082.31</v>
      </c>
      <c r="L2069" s="1" t="s">
        <v>17</v>
      </c>
      <c r="M2069" s="1" t="str">
        <f>TEXT(Table1[[#This Row],[Order Date]],"mmm")</f>
        <v>Sep</v>
      </c>
      <c r="N2069" s="1">
        <f>YEAR(Table1[[#This Row],[Order Date]])</f>
        <v>2024</v>
      </c>
    </row>
    <row r="2070" spans="1:14" x14ac:dyDescent="0.35">
      <c r="A2070" s="1" t="s">
        <v>2836</v>
      </c>
      <c r="B2070" s="1" t="s">
        <v>538</v>
      </c>
      <c r="C2070" s="1" t="s">
        <v>332</v>
      </c>
      <c r="D2070" s="1" t="s">
        <v>91</v>
      </c>
      <c r="E2070" s="1" t="s">
        <v>16</v>
      </c>
      <c r="F2070" s="1" t="s">
        <v>91</v>
      </c>
      <c r="G2070" s="1">
        <v>7</v>
      </c>
      <c r="H2070" s="1">
        <v>50044</v>
      </c>
      <c r="I2070" s="1">
        <v>0.15</v>
      </c>
      <c r="J2070" s="1">
        <v>297761.8</v>
      </c>
      <c r="K2070" s="1">
        <v>35966.01</v>
      </c>
      <c r="L2070" s="1" t="s">
        <v>17</v>
      </c>
      <c r="M2070" s="1" t="str">
        <f>TEXT(Table1[[#This Row],[Order Date]],"mmm")</f>
        <v>Jan</v>
      </c>
      <c r="N2070" s="1">
        <f>YEAR(Table1[[#This Row],[Order Date]])</f>
        <v>2024</v>
      </c>
    </row>
    <row r="2071" spans="1:14" x14ac:dyDescent="0.35">
      <c r="A2071" s="1" t="s">
        <v>2837</v>
      </c>
      <c r="B2071" s="1" t="s">
        <v>110</v>
      </c>
      <c r="C2071" s="1" t="s">
        <v>125</v>
      </c>
      <c r="D2071" s="1" t="s">
        <v>179</v>
      </c>
      <c r="E2071" s="1" t="s">
        <v>28</v>
      </c>
      <c r="F2071" s="1" t="s">
        <v>179</v>
      </c>
      <c r="G2071" s="1">
        <v>6</v>
      </c>
      <c r="H2071" s="1">
        <v>45841</v>
      </c>
      <c r="I2071" s="1">
        <v>0.05</v>
      </c>
      <c r="J2071" s="1">
        <v>261293.7</v>
      </c>
      <c r="K2071" s="1">
        <v>76349.91</v>
      </c>
      <c r="L2071" s="1" t="s">
        <v>23</v>
      </c>
      <c r="M2071" s="1" t="str">
        <f>TEXT(Table1[[#This Row],[Order Date]],"mmm")</f>
        <v>Jan</v>
      </c>
      <c r="N2071" s="1">
        <f>YEAR(Table1[[#This Row],[Order Date]])</f>
        <v>2023</v>
      </c>
    </row>
    <row r="2072" spans="1:14" x14ac:dyDescent="0.35">
      <c r="A2072" s="1" t="s">
        <v>2838</v>
      </c>
      <c r="B2072" s="1" t="s">
        <v>1755</v>
      </c>
      <c r="C2072" s="1" t="s">
        <v>175</v>
      </c>
      <c r="D2072" s="1" t="s">
        <v>37</v>
      </c>
      <c r="E2072" s="1" t="s">
        <v>16</v>
      </c>
      <c r="F2072" s="1" t="s">
        <v>37</v>
      </c>
      <c r="G2072" s="1">
        <v>8</v>
      </c>
      <c r="H2072" s="1">
        <v>37646</v>
      </c>
      <c r="I2072" s="1">
        <v>0.1</v>
      </c>
      <c r="J2072" s="1">
        <v>271051.2</v>
      </c>
      <c r="K2072" s="1">
        <v>71287.649999999994</v>
      </c>
      <c r="L2072" s="1" t="s">
        <v>45</v>
      </c>
      <c r="M2072" s="1" t="str">
        <f>TEXT(Table1[[#This Row],[Order Date]],"mmm")</f>
        <v>May</v>
      </c>
      <c r="N2072" s="1">
        <f>YEAR(Table1[[#This Row],[Order Date]])</f>
        <v>2024</v>
      </c>
    </row>
    <row r="2073" spans="1:14" x14ac:dyDescent="0.35">
      <c r="A2073" s="1" t="s">
        <v>2839</v>
      </c>
      <c r="B2073" s="1" t="s">
        <v>475</v>
      </c>
      <c r="C2073" s="1" t="s">
        <v>20</v>
      </c>
      <c r="D2073" s="1" t="s">
        <v>323</v>
      </c>
      <c r="E2073" s="1" t="s">
        <v>33</v>
      </c>
      <c r="F2073" s="1" t="s">
        <v>323</v>
      </c>
      <c r="G2073" s="1">
        <v>11</v>
      </c>
      <c r="H2073" s="1">
        <v>38281</v>
      </c>
      <c r="I2073" s="1">
        <v>0</v>
      </c>
      <c r="J2073" s="1">
        <v>421091</v>
      </c>
      <c r="K2073" s="1">
        <v>46792.29</v>
      </c>
      <c r="L2073" s="1" t="s">
        <v>70</v>
      </c>
      <c r="M2073" s="1" t="str">
        <f>TEXT(Table1[[#This Row],[Order Date]],"mmm")</f>
        <v>Jun</v>
      </c>
      <c r="N2073" s="1">
        <f>YEAR(Table1[[#This Row],[Order Date]])</f>
        <v>2023</v>
      </c>
    </row>
    <row r="2074" spans="1:14" x14ac:dyDescent="0.35">
      <c r="A2074" s="1" t="s">
        <v>2840</v>
      </c>
      <c r="B2074" s="1" t="s">
        <v>1209</v>
      </c>
      <c r="C2074" s="1" t="s">
        <v>362</v>
      </c>
      <c r="D2074" s="1" t="s">
        <v>64</v>
      </c>
      <c r="E2074" s="1" t="s">
        <v>33</v>
      </c>
      <c r="F2074" s="1" t="s">
        <v>64</v>
      </c>
      <c r="G2074" s="1">
        <v>1</v>
      </c>
      <c r="H2074" s="1">
        <v>33896</v>
      </c>
      <c r="I2074" s="1">
        <v>0.15</v>
      </c>
      <c r="J2074" s="1">
        <v>28811.599999999999</v>
      </c>
      <c r="K2074" s="1">
        <v>4534.99</v>
      </c>
      <c r="L2074" s="1" t="s">
        <v>70</v>
      </c>
      <c r="M2074" s="1" t="str">
        <f>TEXT(Table1[[#This Row],[Order Date]],"mmm")</f>
        <v>Jan</v>
      </c>
      <c r="N2074" s="1">
        <f>YEAR(Table1[[#This Row],[Order Date]])</f>
        <v>2023</v>
      </c>
    </row>
    <row r="2075" spans="1:14" x14ac:dyDescent="0.35">
      <c r="A2075" s="1" t="s">
        <v>2841</v>
      </c>
      <c r="B2075" s="1" t="s">
        <v>379</v>
      </c>
      <c r="C2075" s="1" t="s">
        <v>51</v>
      </c>
      <c r="D2075" s="1" t="s">
        <v>108</v>
      </c>
      <c r="E2075" s="1" t="s">
        <v>22</v>
      </c>
      <c r="F2075" s="1" t="s">
        <v>108</v>
      </c>
      <c r="G2075" s="1">
        <v>4</v>
      </c>
      <c r="H2075" s="1">
        <v>56618</v>
      </c>
      <c r="I2075" s="1">
        <v>0.1</v>
      </c>
      <c r="J2075" s="1">
        <v>203824.8</v>
      </c>
      <c r="K2075" s="1">
        <v>30304.37</v>
      </c>
      <c r="L2075" s="1" t="s">
        <v>17</v>
      </c>
      <c r="M2075" s="1" t="str">
        <f>TEXT(Table1[[#This Row],[Order Date]],"mmm")</f>
        <v>Feb</v>
      </c>
      <c r="N2075" s="1">
        <f>YEAR(Table1[[#This Row],[Order Date]])</f>
        <v>2023</v>
      </c>
    </row>
    <row r="2076" spans="1:14" x14ac:dyDescent="0.35">
      <c r="A2076" s="1" t="s">
        <v>2842</v>
      </c>
      <c r="B2076" s="1" t="s">
        <v>122</v>
      </c>
      <c r="C2076" s="1" t="s">
        <v>26</v>
      </c>
      <c r="D2076" s="1" t="s">
        <v>95</v>
      </c>
      <c r="E2076" s="1" t="s">
        <v>33</v>
      </c>
      <c r="F2076" s="1" t="s">
        <v>95</v>
      </c>
      <c r="G2076" s="1">
        <v>11</v>
      </c>
      <c r="H2076" s="1">
        <v>4836</v>
      </c>
      <c r="I2076" s="1">
        <v>0.15</v>
      </c>
      <c r="J2076" s="1">
        <v>45216.6</v>
      </c>
      <c r="K2076" s="1">
        <v>4586.88</v>
      </c>
      <c r="L2076" s="1" t="s">
        <v>17</v>
      </c>
      <c r="M2076" s="1" t="str">
        <f>TEXT(Table1[[#This Row],[Order Date]],"mmm")</f>
        <v>Jul</v>
      </c>
      <c r="N2076" s="1">
        <f>YEAR(Table1[[#This Row],[Order Date]])</f>
        <v>2024</v>
      </c>
    </row>
    <row r="2077" spans="1:14" x14ac:dyDescent="0.35">
      <c r="A2077" s="1" t="s">
        <v>2843</v>
      </c>
      <c r="B2077" s="1" t="s">
        <v>624</v>
      </c>
      <c r="C2077" s="1" t="s">
        <v>227</v>
      </c>
      <c r="D2077" s="1" t="s">
        <v>137</v>
      </c>
      <c r="E2077" s="1" t="s">
        <v>22</v>
      </c>
      <c r="F2077" s="1" t="s">
        <v>137</v>
      </c>
      <c r="G2077" s="1">
        <v>14</v>
      </c>
      <c r="H2077" s="1">
        <v>27078</v>
      </c>
      <c r="I2077" s="1">
        <v>0.05</v>
      </c>
      <c r="J2077" s="1">
        <v>360137.4</v>
      </c>
      <c r="K2077" s="1">
        <v>93072.22</v>
      </c>
      <c r="L2077" s="1" t="s">
        <v>23</v>
      </c>
      <c r="M2077" s="1" t="str">
        <f>TEXT(Table1[[#This Row],[Order Date]],"mmm")</f>
        <v>May</v>
      </c>
      <c r="N2077" s="1">
        <f>YEAR(Table1[[#This Row],[Order Date]])</f>
        <v>2023</v>
      </c>
    </row>
    <row r="2078" spans="1:14" x14ac:dyDescent="0.35">
      <c r="A2078" s="1" t="s">
        <v>2844</v>
      </c>
      <c r="B2078" s="1" t="s">
        <v>447</v>
      </c>
      <c r="C2078" s="1" t="s">
        <v>111</v>
      </c>
      <c r="D2078" s="1" t="s">
        <v>224</v>
      </c>
      <c r="E2078" s="1" t="s">
        <v>33</v>
      </c>
      <c r="F2078" s="1" t="s">
        <v>224</v>
      </c>
      <c r="G2078" s="1">
        <v>12</v>
      </c>
      <c r="H2078" s="1">
        <v>19478</v>
      </c>
      <c r="I2078" s="1">
        <v>0.2</v>
      </c>
      <c r="J2078" s="1">
        <v>186988.79999999999</v>
      </c>
      <c r="K2078" s="1">
        <v>34184.76</v>
      </c>
      <c r="L2078" s="1" t="s">
        <v>17</v>
      </c>
      <c r="M2078" s="1" t="str">
        <f>TEXT(Table1[[#This Row],[Order Date]],"mmm")</f>
        <v>Dec</v>
      </c>
      <c r="N2078" s="1">
        <f>YEAR(Table1[[#This Row],[Order Date]])</f>
        <v>2023</v>
      </c>
    </row>
    <row r="2079" spans="1:14" x14ac:dyDescent="0.35">
      <c r="A2079" s="1" t="s">
        <v>2845</v>
      </c>
      <c r="B2079" s="1" t="s">
        <v>2239</v>
      </c>
      <c r="C2079" s="1" t="s">
        <v>125</v>
      </c>
      <c r="D2079" s="1" t="s">
        <v>21</v>
      </c>
      <c r="E2079" s="1" t="s">
        <v>22</v>
      </c>
      <c r="F2079" s="1" t="s">
        <v>21</v>
      </c>
      <c r="G2079" s="1">
        <v>13</v>
      </c>
      <c r="H2079" s="1">
        <v>33372</v>
      </c>
      <c r="I2079" s="1">
        <v>0</v>
      </c>
      <c r="J2079" s="1">
        <v>433836</v>
      </c>
      <c r="K2079" s="1">
        <v>127890.1</v>
      </c>
      <c r="L2079" s="1" t="s">
        <v>23</v>
      </c>
      <c r="M2079" s="1" t="str">
        <f>TEXT(Table1[[#This Row],[Order Date]],"mmm")</f>
        <v>Oct</v>
      </c>
      <c r="N2079" s="1">
        <f>YEAR(Table1[[#This Row],[Order Date]])</f>
        <v>2023</v>
      </c>
    </row>
    <row r="2080" spans="1:14" x14ac:dyDescent="0.35">
      <c r="A2080" s="1" t="s">
        <v>2846</v>
      </c>
      <c r="B2080" s="1" t="s">
        <v>1383</v>
      </c>
      <c r="C2080" s="1" t="s">
        <v>14</v>
      </c>
      <c r="D2080" s="1" t="s">
        <v>141</v>
      </c>
      <c r="E2080" s="1" t="s">
        <v>22</v>
      </c>
      <c r="F2080" s="1" t="s">
        <v>141</v>
      </c>
      <c r="G2080" s="1">
        <v>13</v>
      </c>
      <c r="H2080" s="1">
        <v>38333</v>
      </c>
      <c r="I2080" s="1">
        <v>0.15</v>
      </c>
      <c r="J2080" s="1">
        <v>423579.65</v>
      </c>
      <c r="K2080" s="1">
        <v>125506.49</v>
      </c>
      <c r="L2080" s="1" t="s">
        <v>70</v>
      </c>
      <c r="M2080" s="1" t="str">
        <f>TEXT(Table1[[#This Row],[Order Date]],"mmm")</f>
        <v>Apr</v>
      </c>
      <c r="N2080" s="1">
        <f>YEAR(Table1[[#This Row],[Order Date]])</f>
        <v>2024</v>
      </c>
    </row>
    <row r="2081" spans="1:14" x14ac:dyDescent="0.35">
      <c r="A2081" s="1" t="s">
        <v>2847</v>
      </c>
      <c r="B2081" s="1" t="s">
        <v>624</v>
      </c>
      <c r="C2081" s="1" t="s">
        <v>14</v>
      </c>
      <c r="D2081" s="1" t="s">
        <v>78</v>
      </c>
      <c r="E2081" s="1" t="s">
        <v>28</v>
      </c>
      <c r="F2081" s="1" t="s">
        <v>78</v>
      </c>
      <c r="G2081" s="1">
        <v>13</v>
      </c>
      <c r="H2081" s="1">
        <v>14283</v>
      </c>
      <c r="I2081" s="1">
        <v>0</v>
      </c>
      <c r="J2081" s="1">
        <v>185679</v>
      </c>
      <c r="K2081" s="1">
        <v>47518</v>
      </c>
      <c r="L2081" s="1" t="s">
        <v>23</v>
      </c>
      <c r="M2081" s="1" t="str">
        <f>TEXT(Table1[[#This Row],[Order Date]],"mmm")</f>
        <v>May</v>
      </c>
      <c r="N2081" s="1">
        <f>YEAR(Table1[[#This Row],[Order Date]])</f>
        <v>2023</v>
      </c>
    </row>
    <row r="2082" spans="1:14" x14ac:dyDescent="0.35">
      <c r="A2082" s="1" t="s">
        <v>2848</v>
      </c>
      <c r="B2082" s="1" t="s">
        <v>812</v>
      </c>
      <c r="C2082" s="1" t="s">
        <v>55</v>
      </c>
      <c r="D2082" s="1" t="s">
        <v>60</v>
      </c>
      <c r="E2082" s="1" t="s">
        <v>33</v>
      </c>
      <c r="F2082" s="1" t="s">
        <v>60</v>
      </c>
      <c r="G2082" s="1">
        <v>9</v>
      </c>
      <c r="H2082" s="1">
        <v>24666</v>
      </c>
      <c r="I2082" s="1">
        <v>0.1</v>
      </c>
      <c r="J2082" s="1">
        <v>199794.6</v>
      </c>
      <c r="K2082" s="1">
        <v>17405</v>
      </c>
      <c r="L2082" s="1" t="s">
        <v>17</v>
      </c>
      <c r="M2082" s="1" t="str">
        <f>TEXT(Table1[[#This Row],[Order Date]],"mmm")</f>
        <v>Dec</v>
      </c>
      <c r="N2082" s="1">
        <f>YEAR(Table1[[#This Row],[Order Date]])</f>
        <v>2023</v>
      </c>
    </row>
    <row r="2083" spans="1:14" x14ac:dyDescent="0.35">
      <c r="A2083" s="1" t="s">
        <v>2849</v>
      </c>
      <c r="B2083" s="1" t="s">
        <v>2850</v>
      </c>
      <c r="C2083" s="1" t="s">
        <v>73</v>
      </c>
      <c r="D2083" s="1" t="s">
        <v>179</v>
      </c>
      <c r="E2083" s="1" t="s">
        <v>28</v>
      </c>
      <c r="F2083" s="1" t="s">
        <v>179</v>
      </c>
      <c r="G2083" s="1">
        <v>8</v>
      </c>
      <c r="H2083" s="1">
        <v>44560</v>
      </c>
      <c r="I2083" s="1">
        <v>0</v>
      </c>
      <c r="J2083" s="1">
        <v>356480</v>
      </c>
      <c r="K2083" s="1">
        <v>57513.17</v>
      </c>
      <c r="L2083" s="1" t="s">
        <v>17</v>
      </c>
      <c r="M2083" s="1" t="str">
        <f>TEXT(Table1[[#This Row],[Order Date]],"mmm")</f>
        <v>Dec</v>
      </c>
      <c r="N2083" s="1">
        <f>YEAR(Table1[[#This Row],[Order Date]])</f>
        <v>2023</v>
      </c>
    </row>
    <row r="2084" spans="1:14" x14ac:dyDescent="0.35">
      <c r="A2084" s="1" t="s">
        <v>2851</v>
      </c>
      <c r="B2084" s="1" t="s">
        <v>2032</v>
      </c>
      <c r="C2084" s="1" t="s">
        <v>31</v>
      </c>
      <c r="D2084" s="1" t="s">
        <v>44</v>
      </c>
      <c r="E2084" s="1" t="s">
        <v>28</v>
      </c>
      <c r="F2084" s="1" t="s">
        <v>44</v>
      </c>
      <c r="G2084" s="1">
        <v>11</v>
      </c>
      <c r="H2084" s="1">
        <v>27905</v>
      </c>
      <c r="I2084" s="1">
        <v>0</v>
      </c>
      <c r="J2084" s="1">
        <v>306955</v>
      </c>
      <c r="K2084" s="1">
        <v>73525.279999999999</v>
      </c>
      <c r="L2084" s="1" t="s">
        <v>23</v>
      </c>
      <c r="M2084" s="1" t="str">
        <f>TEXT(Table1[[#This Row],[Order Date]],"mmm")</f>
        <v>Nov</v>
      </c>
      <c r="N2084" s="1">
        <f>YEAR(Table1[[#This Row],[Order Date]])</f>
        <v>2024</v>
      </c>
    </row>
    <row r="2085" spans="1:14" x14ac:dyDescent="0.35">
      <c r="A2085" s="1" t="s">
        <v>2852</v>
      </c>
      <c r="B2085" s="1" t="s">
        <v>1220</v>
      </c>
      <c r="C2085" s="1" t="s">
        <v>170</v>
      </c>
      <c r="D2085" s="1" t="s">
        <v>179</v>
      </c>
      <c r="E2085" s="1" t="s">
        <v>28</v>
      </c>
      <c r="F2085" s="1" t="s">
        <v>179</v>
      </c>
      <c r="G2085" s="1">
        <v>5</v>
      </c>
      <c r="H2085" s="1">
        <v>9010</v>
      </c>
      <c r="I2085" s="1">
        <v>0.2</v>
      </c>
      <c r="J2085" s="1">
        <v>36040</v>
      </c>
      <c r="K2085" s="1">
        <v>10744.86</v>
      </c>
      <c r="L2085" s="1" t="s">
        <v>23</v>
      </c>
      <c r="M2085" s="1" t="str">
        <f>TEXT(Table1[[#This Row],[Order Date]],"mmm")</f>
        <v>Oct</v>
      </c>
      <c r="N2085" s="1">
        <f>YEAR(Table1[[#This Row],[Order Date]])</f>
        <v>2024</v>
      </c>
    </row>
    <row r="2086" spans="1:14" x14ac:dyDescent="0.35">
      <c r="A2086" s="1" t="s">
        <v>2853</v>
      </c>
      <c r="B2086" s="1" t="s">
        <v>719</v>
      </c>
      <c r="C2086" s="1" t="s">
        <v>162</v>
      </c>
      <c r="D2086" s="1" t="s">
        <v>78</v>
      </c>
      <c r="E2086" s="1" t="s">
        <v>28</v>
      </c>
      <c r="F2086" s="1" t="s">
        <v>78</v>
      </c>
      <c r="G2086" s="1">
        <v>4</v>
      </c>
      <c r="H2086" s="1">
        <v>36568</v>
      </c>
      <c r="I2086" s="1">
        <v>0.15</v>
      </c>
      <c r="J2086" s="1">
        <v>124331.2</v>
      </c>
      <c r="K2086" s="1">
        <v>15296.67</v>
      </c>
      <c r="L2086" s="1" t="s">
        <v>45</v>
      </c>
      <c r="M2086" s="1" t="str">
        <f>TEXT(Table1[[#This Row],[Order Date]],"mmm")</f>
        <v>Feb</v>
      </c>
      <c r="N2086" s="1">
        <f>YEAR(Table1[[#This Row],[Order Date]])</f>
        <v>2023</v>
      </c>
    </row>
    <row r="2087" spans="1:14" x14ac:dyDescent="0.35">
      <c r="A2087" s="1" t="s">
        <v>2854</v>
      </c>
      <c r="B2087" s="1" t="s">
        <v>783</v>
      </c>
      <c r="C2087" s="1" t="s">
        <v>20</v>
      </c>
      <c r="D2087" s="1" t="s">
        <v>133</v>
      </c>
      <c r="E2087" s="1" t="s">
        <v>22</v>
      </c>
      <c r="F2087" s="1" t="s">
        <v>133</v>
      </c>
      <c r="G2087" s="1">
        <v>13</v>
      </c>
      <c r="H2087" s="1">
        <v>59114</v>
      </c>
      <c r="I2087" s="1">
        <v>0.1</v>
      </c>
      <c r="J2087" s="1">
        <v>691633.8</v>
      </c>
      <c r="K2087" s="1">
        <v>174273.64</v>
      </c>
      <c r="L2087" s="1" t="s">
        <v>45</v>
      </c>
      <c r="M2087" s="1" t="str">
        <f>TEXT(Table1[[#This Row],[Order Date]],"mmm")</f>
        <v>Jan</v>
      </c>
      <c r="N2087" s="1">
        <f>YEAR(Table1[[#This Row],[Order Date]])</f>
        <v>2024</v>
      </c>
    </row>
    <row r="2088" spans="1:14" x14ac:dyDescent="0.35">
      <c r="A2088" s="1" t="s">
        <v>2855</v>
      </c>
      <c r="B2088" s="1" t="s">
        <v>2752</v>
      </c>
      <c r="C2088" s="1" t="s">
        <v>31</v>
      </c>
      <c r="D2088" s="1" t="s">
        <v>323</v>
      </c>
      <c r="E2088" s="1" t="s">
        <v>33</v>
      </c>
      <c r="F2088" s="1" t="s">
        <v>323</v>
      </c>
      <c r="G2088" s="1">
        <v>8</v>
      </c>
      <c r="H2088" s="1">
        <v>39932</v>
      </c>
      <c r="I2088" s="1">
        <v>0.1</v>
      </c>
      <c r="J2088" s="1">
        <v>287510.40000000002</v>
      </c>
      <c r="K2088" s="1">
        <v>63497.87</v>
      </c>
      <c r="L2088" s="1" t="s">
        <v>17</v>
      </c>
      <c r="M2088" s="1" t="str">
        <f>TEXT(Table1[[#This Row],[Order Date]],"mmm")</f>
        <v>Jan</v>
      </c>
      <c r="N2088" s="1">
        <f>YEAR(Table1[[#This Row],[Order Date]])</f>
        <v>2023</v>
      </c>
    </row>
    <row r="2089" spans="1:14" x14ac:dyDescent="0.35">
      <c r="A2089" s="1" t="s">
        <v>2856</v>
      </c>
      <c r="B2089" s="1" t="s">
        <v>406</v>
      </c>
      <c r="C2089" s="1" t="s">
        <v>14</v>
      </c>
      <c r="D2089" s="1" t="s">
        <v>78</v>
      </c>
      <c r="E2089" s="1" t="s">
        <v>28</v>
      </c>
      <c r="F2089" s="1" t="s">
        <v>78</v>
      </c>
      <c r="G2089" s="1">
        <v>1</v>
      </c>
      <c r="H2089" s="1">
        <v>4629</v>
      </c>
      <c r="I2089" s="1">
        <v>0.2</v>
      </c>
      <c r="J2089" s="1">
        <v>3703.2</v>
      </c>
      <c r="K2089" s="1">
        <v>513.41</v>
      </c>
      <c r="L2089" s="1" t="s">
        <v>70</v>
      </c>
      <c r="M2089" s="1" t="str">
        <f>TEXT(Table1[[#This Row],[Order Date]],"mmm")</f>
        <v>Mar</v>
      </c>
      <c r="N2089" s="1">
        <f>YEAR(Table1[[#This Row],[Order Date]])</f>
        <v>2023</v>
      </c>
    </row>
    <row r="2090" spans="1:14" x14ac:dyDescent="0.35">
      <c r="A2090" s="1" t="s">
        <v>2857</v>
      </c>
      <c r="B2090" s="1" t="s">
        <v>1166</v>
      </c>
      <c r="C2090" s="1" t="s">
        <v>98</v>
      </c>
      <c r="D2090" s="1" t="s">
        <v>95</v>
      </c>
      <c r="E2090" s="1" t="s">
        <v>33</v>
      </c>
      <c r="F2090" s="1" t="s">
        <v>95</v>
      </c>
      <c r="G2090" s="1">
        <v>3</v>
      </c>
      <c r="H2090" s="1">
        <v>49183</v>
      </c>
      <c r="I2090" s="1">
        <v>0</v>
      </c>
      <c r="J2090" s="1">
        <v>147549</v>
      </c>
      <c r="K2090" s="1">
        <v>11972.25</v>
      </c>
      <c r="L2090" s="1" t="s">
        <v>45</v>
      </c>
      <c r="M2090" s="1" t="str">
        <f>TEXT(Table1[[#This Row],[Order Date]],"mmm")</f>
        <v>Oct</v>
      </c>
      <c r="N2090" s="1">
        <f>YEAR(Table1[[#This Row],[Order Date]])</f>
        <v>2024</v>
      </c>
    </row>
    <row r="2091" spans="1:14" x14ac:dyDescent="0.35">
      <c r="A2091" s="1" t="s">
        <v>2858</v>
      </c>
      <c r="B2091" s="1" t="s">
        <v>406</v>
      </c>
      <c r="C2091" s="1" t="s">
        <v>125</v>
      </c>
      <c r="D2091" s="1" t="s">
        <v>27</v>
      </c>
      <c r="E2091" s="1" t="s">
        <v>28</v>
      </c>
      <c r="F2091" s="1" t="s">
        <v>27</v>
      </c>
      <c r="G2091" s="1">
        <v>15</v>
      </c>
      <c r="H2091" s="1">
        <v>47706</v>
      </c>
      <c r="I2091" s="1">
        <v>0.05</v>
      </c>
      <c r="J2091" s="1">
        <v>679810.5</v>
      </c>
      <c r="K2091" s="1">
        <v>64985.33</v>
      </c>
      <c r="L2091" s="1" t="s">
        <v>70</v>
      </c>
      <c r="M2091" s="1" t="str">
        <f>TEXT(Table1[[#This Row],[Order Date]],"mmm")</f>
        <v>Mar</v>
      </c>
      <c r="N2091" s="1">
        <f>YEAR(Table1[[#This Row],[Order Date]])</f>
        <v>2023</v>
      </c>
    </row>
    <row r="2092" spans="1:14" x14ac:dyDescent="0.35">
      <c r="A2092" s="1" t="s">
        <v>2859</v>
      </c>
      <c r="B2092" s="1" t="s">
        <v>278</v>
      </c>
      <c r="C2092" s="1" t="s">
        <v>640</v>
      </c>
      <c r="D2092" s="1" t="s">
        <v>108</v>
      </c>
      <c r="E2092" s="1" t="s">
        <v>22</v>
      </c>
      <c r="F2092" s="1" t="s">
        <v>108</v>
      </c>
      <c r="G2092" s="1">
        <v>8</v>
      </c>
      <c r="H2092" s="1">
        <v>6992</v>
      </c>
      <c r="I2092" s="1">
        <v>0</v>
      </c>
      <c r="J2092" s="1">
        <v>55936</v>
      </c>
      <c r="K2092" s="1">
        <v>12222.91</v>
      </c>
      <c r="L2092" s="1" t="s">
        <v>17</v>
      </c>
      <c r="M2092" s="1" t="str">
        <f>TEXT(Table1[[#This Row],[Order Date]],"mmm")</f>
        <v>May</v>
      </c>
      <c r="N2092" s="1">
        <f>YEAR(Table1[[#This Row],[Order Date]])</f>
        <v>2024</v>
      </c>
    </row>
    <row r="2093" spans="1:14" x14ac:dyDescent="0.35">
      <c r="A2093" s="1" t="s">
        <v>2860</v>
      </c>
      <c r="B2093" s="1" t="s">
        <v>2355</v>
      </c>
      <c r="C2093" s="1" t="s">
        <v>162</v>
      </c>
      <c r="D2093" s="1" t="s">
        <v>85</v>
      </c>
      <c r="E2093" s="1" t="s">
        <v>28</v>
      </c>
      <c r="F2093" s="1" t="s">
        <v>85</v>
      </c>
      <c r="G2093" s="1">
        <v>13</v>
      </c>
      <c r="H2093" s="1">
        <v>36185</v>
      </c>
      <c r="I2093" s="1">
        <v>0</v>
      </c>
      <c r="J2093" s="1">
        <v>470405</v>
      </c>
      <c r="K2093" s="1">
        <v>98208.08</v>
      </c>
      <c r="L2093" s="1" t="s">
        <v>23</v>
      </c>
      <c r="M2093" s="1" t="str">
        <f>TEXT(Table1[[#This Row],[Order Date]],"mmm")</f>
        <v>Oct</v>
      </c>
      <c r="N2093" s="1">
        <f>YEAR(Table1[[#This Row],[Order Date]])</f>
        <v>2023</v>
      </c>
    </row>
    <row r="2094" spans="1:14" x14ac:dyDescent="0.35">
      <c r="A2094" s="1" t="s">
        <v>2861</v>
      </c>
      <c r="B2094" s="1" t="s">
        <v>160</v>
      </c>
      <c r="C2094" s="1" t="s">
        <v>98</v>
      </c>
      <c r="D2094" s="1" t="s">
        <v>167</v>
      </c>
      <c r="E2094" s="1" t="s">
        <v>16</v>
      </c>
      <c r="F2094" s="1" t="s">
        <v>167</v>
      </c>
      <c r="G2094" s="1">
        <v>6</v>
      </c>
      <c r="H2094" s="1">
        <v>48163</v>
      </c>
      <c r="I2094" s="1">
        <v>0.1</v>
      </c>
      <c r="J2094" s="1">
        <v>260080.2</v>
      </c>
      <c r="K2094" s="1">
        <v>53673.31</v>
      </c>
      <c r="L2094" s="1" t="s">
        <v>70</v>
      </c>
      <c r="M2094" s="1" t="str">
        <f>TEXT(Table1[[#This Row],[Order Date]],"mmm")</f>
        <v>Feb</v>
      </c>
      <c r="N2094" s="1">
        <f>YEAR(Table1[[#This Row],[Order Date]])</f>
        <v>2023</v>
      </c>
    </row>
    <row r="2095" spans="1:14" x14ac:dyDescent="0.35">
      <c r="A2095" s="1" t="s">
        <v>2862</v>
      </c>
      <c r="B2095" s="1" t="s">
        <v>1755</v>
      </c>
      <c r="C2095" s="1" t="s">
        <v>178</v>
      </c>
      <c r="D2095" s="1" t="s">
        <v>78</v>
      </c>
      <c r="E2095" s="1" t="s">
        <v>28</v>
      </c>
      <c r="F2095" s="1" t="s">
        <v>78</v>
      </c>
      <c r="G2095" s="1">
        <v>7</v>
      </c>
      <c r="H2095" s="1">
        <v>25272</v>
      </c>
      <c r="I2095" s="1">
        <v>0.1</v>
      </c>
      <c r="J2095" s="1">
        <v>159213.6</v>
      </c>
      <c r="K2095" s="1">
        <v>44741.53</v>
      </c>
      <c r="L2095" s="1" t="s">
        <v>23</v>
      </c>
      <c r="M2095" s="1" t="str">
        <f>TEXT(Table1[[#This Row],[Order Date]],"mmm")</f>
        <v>May</v>
      </c>
      <c r="N2095" s="1">
        <f>YEAR(Table1[[#This Row],[Order Date]])</f>
        <v>2024</v>
      </c>
    </row>
    <row r="2096" spans="1:14" x14ac:dyDescent="0.35">
      <c r="A2096" s="1" t="s">
        <v>2863</v>
      </c>
      <c r="B2096" s="1" t="s">
        <v>2864</v>
      </c>
      <c r="C2096" s="1" t="s">
        <v>125</v>
      </c>
      <c r="D2096" s="1" t="s">
        <v>323</v>
      </c>
      <c r="E2096" s="1" t="s">
        <v>33</v>
      </c>
      <c r="F2096" s="1" t="s">
        <v>323</v>
      </c>
      <c r="G2096" s="1">
        <v>14</v>
      </c>
      <c r="H2096" s="1">
        <v>47469</v>
      </c>
      <c r="I2096" s="1">
        <v>0.05</v>
      </c>
      <c r="J2096" s="1">
        <v>631337.69999999995</v>
      </c>
      <c r="K2096" s="1">
        <v>62496.01</v>
      </c>
      <c r="L2096" s="1" t="s">
        <v>23</v>
      </c>
      <c r="M2096" s="1" t="str">
        <f>TEXT(Table1[[#This Row],[Order Date]],"mmm")</f>
        <v>Dec</v>
      </c>
      <c r="N2096" s="1">
        <f>YEAR(Table1[[#This Row],[Order Date]])</f>
        <v>2023</v>
      </c>
    </row>
    <row r="2097" spans="1:14" x14ac:dyDescent="0.35">
      <c r="A2097" s="1" t="s">
        <v>2865</v>
      </c>
      <c r="B2097" s="1" t="s">
        <v>859</v>
      </c>
      <c r="C2097" s="1" t="s">
        <v>175</v>
      </c>
      <c r="D2097" s="1" t="s">
        <v>179</v>
      </c>
      <c r="E2097" s="1" t="s">
        <v>28</v>
      </c>
      <c r="F2097" s="1" t="s">
        <v>179</v>
      </c>
      <c r="G2097" s="1">
        <v>4</v>
      </c>
      <c r="H2097" s="1">
        <v>43553</v>
      </c>
      <c r="I2097" s="1">
        <v>0.2</v>
      </c>
      <c r="J2097" s="1">
        <v>139369.60000000001</v>
      </c>
      <c r="K2097" s="1">
        <v>37924.11</v>
      </c>
      <c r="L2097" s="1" t="s">
        <v>17</v>
      </c>
      <c r="M2097" s="1" t="str">
        <f>TEXT(Table1[[#This Row],[Order Date]],"mmm")</f>
        <v>Mar</v>
      </c>
      <c r="N2097" s="1">
        <f>YEAR(Table1[[#This Row],[Order Date]])</f>
        <v>2023</v>
      </c>
    </row>
    <row r="2098" spans="1:14" x14ac:dyDescent="0.35">
      <c r="A2098" s="1" t="s">
        <v>2866</v>
      </c>
      <c r="B2098" s="1" t="s">
        <v>1629</v>
      </c>
      <c r="C2098" s="1" t="s">
        <v>31</v>
      </c>
      <c r="D2098" s="1" t="s">
        <v>91</v>
      </c>
      <c r="E2098" s="1" t="s">
        <v>16</v>
      </c>
      <c r="F2098" s="1" t="s">
        <v>91</v>
      </c>
      <c r="G2098" s="1">
        <v>13</v>
      </c>
      <c r="H2098" s="1">
        <v>36955</v>
      </c>
      <c r="I2098" s="1">
        <v>0</v>
      </c>
      <c r="J2098" s="1">
        <v>480415</v>
      </c>
      <c r="K2098" s="1">
        <v>129292.91</v>
      </c>
      <c r="L2098" s="1" t="s">
        <v>45</v>
      </c>
      <c r="M2098" s="1" t="str">
        <f>TEXT(Table1[[#This Row],[Order Date]],"mmm")</f>
        <v>Jan</v>
      </c>
      <c r="N2098" s="1">
        <f>YEAR(Table1[[#This Row],[Order Date]])</f>
        <v>2023</v>
      </c>
    </row>
    <row r="2099" spans="1:14" x14ac:dyDescent="0.35">
      <c r="A2099" s="1" t="s">
        <v>2867</v>
      </c>
      <c r="B2099" s="1" t="s">
        <v>2635</v>
      </c>
      <c r="C2099" s="1" t="s">
        <v>31</v>
      </c>
      <c r="D2099" s="1" t="s">
        <v>91</v>
      </c>
      <c r="E2099" s="1" t="s">
        <v>16</v>
      </c>
      <c r="F2099" s="1" t="s">
        <v>91</v>
      </c>
      <c r="G2099" s="1">
        <v>9</v>
      </c>
      <c r="H2099" s="1">
        <v>16333</v>
      </c>
      <c r="I2099" s="1">
        <v>0.15</v>
      </c>
      <c r="J2099" s="1">
        <v>124947.45</v>
      </c>
      <c r="K2099" s="1">
        <v>12780.84</v>
      </c>
      <c r="L2099" s="1" t="s">
        <v>45</v>
      </c>
      <c r="M2099" s="1" t="str">
        <f>TEXT(Table1[[#This Row],[Order Date]],"mmm")</f>
        <v>Jun</v>
      </c>
      <c r="N2099" s="1">
        <f>YEAR(Table1[[#This Row],[Order Date]])</f>
        <v>2023</v>
      </c>
    </row>
    <row r="2100" spans="1:14" x14ac:dyDescent="0.35">
      <c r="A2100" s="1" t="s">
        <v>2868</v>
      </c>
      <c r="B2100" s="1" t="s">
        <v>1168</v>
      </c>
      <c r="C2100" s="1" t="s">
        <v>175</v>
      </c>
      <c r="D2100" s="1" t="s">
        <v>91</v>
      </c>
      <c r="E2100" s="1" t="s">
        <v>16</v>
      </c>
      <c r="F2100" s="1" t="s">
        <v>91</v>
      </c>
      <c r="G2100" s="1">
        <v>14</v>
      </c>
      <c r="H2100" s="1">
        <v>25144</v>
      </c>
      <c r="I2100" s="1">
        <v>0.1</v>
      </c>
      <c r="J2100" s="1">
        <v>316814.40000000002</v>
      </c>
      <c r="K2100" s="1">
        <v>89325.52</v>
      </c>
      <c r="L2100" s="1" t="s">
        <v>70</v>
      </c>
      <c r="M2100" s="1" t="str">
        <f>TEXT(Table1[[#This Row],[Order Date]],"mmm")</f>
        <v>Sep</v>
      </c>
      <c r="N2100" s="1">
        <f>YEAR(Table1[[#This Row],[Order Date]])</f>
        <v>2024</v>
      </c>
    </row>
    <row r="2101" spans="1:14" x14ac:dyDescent="0.35">
      <c r="A2101" s="1" t="s">
        <v>2869</v>
      </c>
      <c r="B2101" s="1" t="s">
        <v>1598</v>
      </c>
      <c r="C2101" s="1" t="s">
        <v>136</v>
      </c>
      <c r="D2101" s="1" t="s">
        <v>21</v>
      </c>
      <c r="E2101" s="1" t="s">
        <v>22</v>
      </c>
      <c r="F2101" s="1" t="s">
        <v>21</v>
      </c>
      <c r="G2101" s="1">
        <v>7</v>
      </c>
      <c r="H2101" s="1">
        <v>4352</v>
      </c>
      <c r="I2101" s="1">
        <v>0.05</v>
      </c>
      <c r="J2101" s="1">
        <v>28940.799999999999</v>
      </c>
      <c r="K2101" s="1">
        <v>5093.97</v>
      </c>
      <c r="L2101" s="1" t="s">
        <v>70</v>
      </c>
      <c r="M2101" s="1" t="str">
        <f>TEXT(Table1[[#This Row],[Order Date]],"mmm")</f>
        <v>Sep</v>
      </c>
      <c r="N2101" s="1">
        <f>YEAR(Table1[[#This Row],[Order Date]])</f>
        <v>2023</v>
      </c>
    </row>
    <row r="2102" spans="1:14" x14ac:dyDescent="0.35">
      <c r="A2102" s="1" t="s">
        <v>2870</v>
      </c>
      <c r="B2102" s="1" t="s">
        <v>509</v>
      </c>
      <c r="C2102" s="1" t="s">
        <v>203</v>
      </c>
      <c r="D2102" s="1" t="s">
        <v>32</v>
      </c>
      <c r="E2102" s="1" t="s">
        <v>33</v>
      </c>
      <c r="F2102" s="1" t="s">
        <v>32</v>
      </c>
      <c r="G2102" s="1">
        <v>15</v>
      </c>
      <c r="H2102" s="1">
        <v>33354</v>
      </c>
      <c r="I2102" s="1">
        <v>0.15</v>
      </c>
      <c r="J2102" s="1">
        <v>425263.5</v>
      </c>
      <c r="K2102" s="1">
        <v>119487.98</v>
      </c>
      <c r="L2102" s="1" t="s">
        <v>45</v>
      </c>
      <c r="M2102" s="1" t="str">
        <f>TEXT(Table1[[#This Row],[Order Date]],"mmm")</f>
        <v>Jan</v>
      </c>
      <c r="N2102" s="1">
        <f>YEAR(Table1[[#This Row],[Order Date]])</f>
        <v>2023</v>
      </c>
    </row>
    <row r="2103" spans="1:14" x14ac:dyDescent="0.35">
      <c r="A2103" s="1" t="s">
        <v>2871</v>
      </c>
      <c r="B2103" s="1" t="s">
        <v>2023</v>
      </c>
      <c r="C2103" s="1" t="s">
        <v>640</v>
      </c>
      <c r="D2103" s="1" t="s">
        <v>37</v>
      </c>
      <c r="E2103" s="1" t="s">
        <v>16</v>
      </c>
      <c r="F2103" s="1" t="s">
        <v>37</v>
      </c>
      <c r="G2103" s="1">
        <v>3</v>
      </c>
      <c r="H2103" s="1">
        <v>18947</v>
      </c>
      <c r="I2103" s="1">
        <v>0</v>
      </c>
      <c r="J2103" s="1">
        <v>56841</v>
      </c>
      <c r="K2103" s="1">
        <v>12880.48</v>
      </c>
      <c r="L2103" s="1" t="s">
        <v>70</v>
      </c>
      <c r="M2103" s="1" t="str">
        <f>TEXT(Table1[[#This Row],[Order Date]],"mmm")</f>
        <v>Jul</v>
      </c>
      <c r="N2103" s="1">
        <f>YEAR(Table1[[#This Row],[Order Date]])</f>
        <v>2023</v>
      </c>
    </row>
    <row r="2104" spans="1:14" x14ac:dyDescent="0.35">
      <c r="A2104" s="1" t="s">
        <v>2872</v>
      </c>
      <c r="B2104" s="1" t="s">
        <v>1638</v>
      </c>
      <c r="C2104" s="1" t="s">
        <v>146</v>
      </c>
      <c r="D2104" s="1" t="s">
        <v>95</v>
      </c>
      <c r="E2104" s="1" t="s">
        <v>33</v>
      </c>
      <c r="F2104" s="1" t="s">
        <v>95</v>
      </c>
      <c r="G2104" s="1">
        <v>4</v>
      </c>
      <c r="H2104" s="1">
        <v>2969</v>
      </c>
      <c r="I2104" s="1">
        <v>0.1</v>
      </c>
      <c r="J2104" s="1">
        <v>10688.4</v>
      </c>
      <c r="K2104" s="1">
        <v>2817.05</v>
      </c>
      <c r="L2104" s="1" t="s">
        <v>70</v>
      </c>
      <c r="M2104" s="1" t="str">
        <f>TEXT(Table1[[#This Row],[Order Date]],"mmm")</f>
        <v>Feb</v>
      </c>
      <c r="N2104" s="1">
        <f>YEAR(Table1[[#This Row],[Order Date]])</f>
        <v>2023</v>
      </c>
    </row>
    <row r="2105" spans="1:14" x14ac:dyDescent="0.35">
      <c r="A2105" s="1" t="s">
        <v>2873</v>
      </c>
      <c r="B2105" s="1" t="s">
        <v>1765</v>
      </c>
      <c r="C2105" s="1" t="s">
        <v>370</v>
      </c>
      <c r="D2105" s="1" t="s">
        <v>137</v>
      </c>
      <c r="E2105" s="1" t="s">
        <v>22</v>
      </c>
      <c r="F2105" s="1" t="s">
        <v>137</v>
      </c>
      <c r="G2105" s="1">
        <v>14</v>
      </c>
      <c r="H2105" s="1">
        <v>4212</v>
      </c>
      <c r="I2105" s="1">
        <v>0.2</v>
      </c>
      <c r="J2105" s="1">
        <v>47174.400000000001</v>
      </c>
      <c r="K2105" s="1">
        <v>12799.6</v>
      </c>
      <c r="L2105" s="1" t="s">
        <v>17</v>
      </c>
      <c r="M2105" s="1" t="str">
        <f>TEXT(Table1[[#This Row],[Order Date]],"mmm")</f>
        <v>May</v>
      </c>
      <c r="N2105" s="1">
        <f>YEAR(Table1[[#This Row],[Order Date]])</f>
        <v>2023</v>
      </c>
    </row>
    <row r="2106" spans="1:14" x14ac:dyDescent="0.35">
      <c r="A2106" s="1" t="s">
        <v>2874</v>
      </c>
      <c r="B2106" s="1" t="s">
        <v>1760</v>
      </c>
      <c r="C2106" s="1" t="s">
        <v>191</v>
      </c>
      <c r="D2106" s="1" t="s">
        <v>21</v>
      </c>
      <c r="E2106" s="1" t="s">
        <v>22</v>
      </c>
      <c r="F2106" s="1" t="s">
        <v>21</v>
      </c>
      <c r="G2106" s="1">
        <v>7</v>
      </c>
      <c r="H2106" s="1">
        <v>29995</v>
      </c>
      <c r="I2106" s="1">
        <v>0.15</v>
      </c>
      <c r="J2106" s="1">
        <v>178470.25</v>
      </c>
      <c r="K2106" s="1">
        <v>37728.68</v>
      </c>
      <c r="L2106" s="1" t="s">
        <v>70</v>
      </c>
      <c r="M2106" s="1" t="str">
        <f>TEXT(Table1[[#This Row],[Order Date]],"mmm")</f>
        <v>Aug</v>
      </c>
      <c r="N2106" s="1">
        <f>YEAR(Table1[[#This Row],[Order Date]])</f>
        <v>2024</v>
      </c>
    </row>
    <row r="2107" spans="1:14" x14ac:dyDescent="0.35">
      <c r="A2107" s="1" t="s">
        <v>2875</v>
      </c>
      <c r="B2107" s="1" t="s">
        <v>127</v>
      </c>
      <c r="C2107" s="1" t="s">
        <v>203</v>
      </c>
      <c r="D2107" s="1" t="s">
        <v>56</v>
      </c>
      <c r="E2107" s="1" t="s">
        <v>22</v>
      </c>
      <c r="F2107" s="1" t="s">
        <v>56</v>
      </c>
      <c r="G2107" s="1">
        <v>2</v>
      </c>
      <c r="H2107" s="1">
        <v>51809</v>
      </c>
      <c r="I2107" s="1">
        <v>0.05</v>
      </c>
      <c r="J2107" s="1">
        <v>98437.1</v>
      </c>
      <c r="K2107" s="1">
        <v>26648.39</v>
      </c>
      <c r="L2107" s="1" t="s">
        <v>23</v>
      </c>
      <c r="M2107" s="1" t="str">
        <f>TEXT(Table1[[#This Row],[Order Date]],"mmm")</f>
        <v>Nov</v>
      </c>
      <c r="N2107" s="1">
        <f>YEAR(Table1[[#This Row],[Order Date]])</f>
        <v>2024</v>
      </c>
    </row>
    <row r="2108" spans="1:14" x14ac:dyDescent="0.35">
      <c r="A2108" s="1" t="s">
        <v>2876</v>
      </c>
      <c r="B2108" s="1" t="s">
        <v>705</v>
      </c>
      <c r="C2108" s="1" t="s">
        <v>335</v>
      </c>
      <c r="D2108" s="1" t="s">
        <v>56</v>
      </c>
      <c r="E2108" s="1" t="s">
        <v>22</v>
      </c>
      <c r="F2108" s="1" t="s">
        <v>56</v>
      </c>
      <c r="G2108" s="1">
        <v>11</v>
      </c>
      <c r="H2108" s="1">
        <v>47760</v>
      </c>
      <c r="I2108" s="1">
        <v>0.15</v>
      </c>
      <c r="J2108" s="1">
        <v>446556</v>
      </c>
      <c r="K2108" s="1">
        <v>105685.72</v>
      </c>
      <c r="L2108" s="1" t="s">
        <v>45</v>
      </c>
      <c r="M2108" s="1" t="str">
        <f>TEXT(Table1[[#This Row],[Order Date]],"mmm")</f>
        <v>May</v>
      </c>
      <c r="N2108" s="1">
        <f>YEAR(Table1[[#This Row],[Order Date]])</f>
        <v>2024</v>
      </c>
    </row>
    <row r="2109" spans="1:14" x14ac:dyDescent="0.35">
      <c r="A2109" s="1" t="s">
        <v>2877</v>
      </c>
      <c r="B2109" s="1" t="s">
        <v>698</v>
      </c>
      <c r="C2109" s="1" t="s">
        <v>170</v>
      </c>
      <c r="D2109" s="1" t="s">
        <v>52</v>
      </c>
      <c r="E2109" s="1" t="s">
        <v>28</v>
      </c>
      <c r="F2109" s="1" t="s">
        <v>52</v>
      </c>
      <c r="G2109" s="1">
        <v>2</v>
      </c>
      <c r="H2109" s="1">
        <v>13036</v>
      </c>
      <c r="I2109" s="1">
        <v>0.15</v>
      </c>
      <c r="J2109" s="1">
        <v>22161.200000000001</v>
      </c>
      <c r="K2109" s="1">
        <v>3119.7</v>
      </c>
      <c r="L2109" s="1" t="s">
        <v>23</v>
      </c>
      <c r="M2109" s="1" t="str">
        <f>TEXT(Table1[[#This Row],[Order Date]],"mmm")</f>
        <v>Mar</v>
      </c>
      <c r="N2109" s="1">
        <f>YEAR(Table1[[#This Row],[Order Date]])</f>
        <v>2023</v>
      </c>
    </row>
    <row r="2110" spans="1:14" x14ac:dyDescent="0.35">
      <c r="A2110" s="1" t="s">
        <v>2878</v>
      </c>
      <c r="B2110" s="1" t="s">
        <v>1781</v>
      </c>
      <c r="C2110" s="1" t="s">
        <v>335</v>
      </c>
      <c r="D2110" s="1" t="s">
        <v>48</v>
      </c>
      <c r="E2110" s="1" t="s">
        <v>16</v>
      </c>
      <c r="F2110" s="1" t="s">
        <v>48</v>
      </c>
      <c r="G2110" s="1">
        <v>10</v>
      </c>
      <c r="H2110" s="1">
        <v>35652</v>
      </c>
      <c r="I2110" s="1">
        <v>0.2</v>
      </c>
      <c r="J2110" s="1">
        <v>285216</v>
      </c>
      <c r="K2110" s="1">
        <v>36619.949999999997</v>
      </c>
      <c r="L2110" s="1" t="s">
        <v>23</v>
      </c>
      <c r="M2110" s="1" t="str">
        <f>TEXT(Table1[[#This Row],[Order Date]],"mmm")</f>
        <v>Sep</v>
      </c>
      <c r="N2110" s="1">
        <f>YEAR(Table1[[#This Row],[Order Date]])</f>
        <v>2024</v>
      </c>
    </row>
    <row r="2111" spans="1:14" x14ac:dyDescent="0.35">
      <c r="A2111" s="1" t="s">
        <v>2879</v>
      </c>
      <c r="B2111" s="1" t="s">
        <v>103</v>
      </c>
      <c r="C2111" s="1" t="s">
        <v>31</v>
      </c>
      <c r="D2111" s="1" t="s">
        <v>137</v>
      </c>
      <c r="E2111" s="1" t="s">
        <v>22</v>
      </c>
      <c r="F2111" s="1" t="s">
        <v>137</v>
      </c>
      <c r="G2111" s="1">
        <v>1</v>
      </c>
      <c r="H2111" s="1">
        <v>50457</v>
      </c>
      <c r="I2111" s="1">
        <v>0.1</v>
      </c>
      <c r="J2111" s="1">
        <v>45411.3</v>
      </c>
      <c r="K2111" s="1">
        <v>10151.799999999999</v>
      </c>
      <c r="L2111" s="1" t="s">
        <v>23</v>
      </c>
      <c r="M2111" s="1" t="str">
        <f>TEXT(Table1[[#This Row],[Order Date]],"mmm")</f>
        <v>Nov</v>
      </c>
      <c r="N2111" s="1">
        <f>YEAR(Table1[[#This Row],[Order Date]])</f>
        <v>2023</v>
      </c>
    </row>
    <row r="2112" spans="1:14" x14ac:dyDescent="0.35">
      <c r="A2112" s="1" t="s">
        <v>2880</v>
      </c>
      <c r="B2112" s="1" t="s">
        <v>1705</v>
      </c>
      <c r="C2112" s="1" t="s">
        <v>170</v>
      </c>
      <c r="D2112" s="1" t="s">
        <v>15</v>
      </c>
      <c r="E2112" s="1" t="s">
        <v>16</v>
      </c>
      <c r="F2112" s="1" t="s">
        <v>15</v>
      </c>
      <c r="G2112" s="1">
        <v>12</v>
      </c>
      <c r="H2112" s="1">
        <v>58141</v>
      </c>
      <c r="I2112" s="1">
        <v>0.05</v>
      </c>
      <c r="J2112" s="1">
        <v>662807.4</v>
      </c>
      <c r="K2112" s="1">
        <v>114172.06</v>
      </c>
      <c r="L2112" s="1" t="s">
        <v>45</v>
      </c>
      <c r="M2112" s="1" t="str">
        <f>TEXT(Table1[[#This Row],[Order Date]],"mmm")</f>
        <v>Oct</v>
      </c>
      <c r="N2112" s="1">
        <f>YEAR(Table1[[#This Row],[Order Date]])</f>
        <v>2024</v>
      </c>
    </row>
    <row r="2113" spans="1:14" x14ac:dyDescent="0.35">
      <c r="A2113" s="1" t="s">
        <v>2881</v>
      </c>
      <c r="B2113" s="1" t="s">
        <v>1984</v>
      </c>
      <c r="C2113" s="1" t="s">
        <v>362</v>
      </c>
      <c r="D2113" s="1" t="s">
        <v>21</v>
      </c>
      <c r="E2113" s="1" t="s">
        <v>22</v>
      </c>
      <c r="F2113" s="1" t="s">
        <v>21</v>
      </c>
      <c r="G2113" s="1">
        <v>6</v>
      </c>
      <c r="H2113" s="1">
        <v>38696</v>
      </c>
      <c r="I2113" s="1">
        <v>0.15</v>
      </c>
      <c r="J2113" s="1">
        <v>197349.6</v>
      </c>
      <c r="K2113" s="1">
        <v>28563.07</v>
      </c>
      <c r="L2113" s="1" t="s">
        <v>70</v>
      </c>
      <c r="M2113" s="1" t="str">
        <f>TEXT(Table1[[#This Row],[Order Date]],"mmm")</f>
        <v>May</v>
      </c>
      <c r="N2113" s="1">
        <f>YEAR(Table1[[#This Row],[Order Date]])</f>
        <v>2024</v>
      </c>
    </row>
    <row r="2114" spans="1:14" x14ac:dyDescent="0.35">
      <c r="A2114" s="1" t="s">
        <v>2882</v>
      </c>
      <c r="B2114" s="1" t="s">
        <v>2421</v>
      </c>
      <c r="C2114" s="1" t="s">
        <v>255</v>
      </c>
      <c r="D2114" s="1" t="s">
        <v>27</v>
      </c>
      <c r="E2114" s="1" t="s">
        <v>28</v>
      </c>
      <c r="F2114" s="1" t="s">
        <v>27</v>
      </c>
      <c r="G2114" s="1">
        <v>11</v>
      </c>
      <c r="H2114" s="1">
        <v>39577</v>
      </c>
      <c r="I2114" s="1">
        <v>0.15</v>
      </c>
      <c r="J2114" s="1">
        <v>370044.95</v>
      </c>
      <c r="K2114" s="1">
        <v>54342.400000000001</v>
      </c>
      <c r="L2114" s="1" t="s">
        <v>70</v>
      </c>
      <c r="M2114" s="1" t="str">
        <f>TEXT(Table1[[#This Row],[Order Date]],"mmm")</f>
        <v>Jun</v>
      </c>
      <c r="N2114" s="1">
        <f>YEAR(Table1[[#This Row],[Order Date]])</f>
        <v>2024</v>
      </c>
    </row>
    <row r="2115" spans="1:14" x14ac:dyDescent="0.35">
      <c r="A2115" s="1" t="s">
        <v>2883</v>
      </c>
      <c r="B2115" s="1" t="s">
        <v>116</v>
      </c>
      <c r="C2115" s="1" t="s">
        <v>59</v>
      </c>
      <c r="D2115" s="1" t="s">
        <v>32</v>
      </c>
      <c r="E2115" s="1" t="s">
        <v>33</v>
      </c>
      <c r="F2115" s="1" t="s">
        <v>32</v>
      </c>
      <c r="G2115" s="1">
        <v>3</v>
      </c>
      <c r="H2115" s="1">
        <v>5094</v>
      </c>
      <c r="I2115" s="1">
        <v>0.1</v>
      </c>
      <c r="J2115" s="1">
        <v>13753.8</v>
      </c>
      <c r="K2115" s="1">
        <v>3933.7</v>
      </c>
      <c r="L2115" s="1" t="s">
        <v>23</v>
      </c>
      <c r="M2115" s="1" t="str">
        <f>TEXT(Table1[[#This Row],[Order Date]],"mmm")</f>
        <v>Jan</v>
      </c>
      <c r="N2115" s="1">
        <f>YEAR(Table1[[#This Row],[Order Date]])</f>
        <v>2023</v>
      </c>
    </row>
    <row r="2116" spans="1:14" x14ac:dyDescent="0.35">
      <c r="A2116" s="1" t="s">
        <v>2884</v>
      </c>
      <c r="B2116" s="1" t="s">
        <v>62</v>
      </c>
      <c r="C2116" s="1" t="s">
        <v>51</v>
      </c>
      <c r="D2116" s="1" t="s">
        <v>37</v>
      </c>
      <c r="E2116" s="1" t="s">
        <v>16</v>
      </c>
      <c r="F2116" s="1" t="s">
        <v>37</v>
      </c>
      <c r="G2116" s="1">
        <v>14</v>
      </c>
      <c r="H2116" s="1">
        <v>50949</v>
      </c>
      <c r="I2116" s="1">
        <v>0.15</v>
      </c>
      <c r="J2116" s="1">
        <v>606293.1</v>
      </c>
      <c r="K2116" s="1">
        <v>74847.88</v>
      </c>
      <c r="L2116" s="1" t="s">
        <v>17</v>
      </c>
      <c r="M2116" s="1" t="str">
        <f>TEXT(Table1[[#This Row],[Order Date]],"mmm")</f>
        <v>Dec</v>
      </c>
      <c r="N2116" s="1">
        <f>YEAR(Table1[[#This Row],[Order Date]])</f>
        <v>2023</v>
      </c>
    </row>
    <row r="2117" spans="1:14" x14ac:dyDescent="0.35">
      <c r="A2117" s="1" t="s">
        <v>2885</v>
      </c>
      <c r="B2117" s="1" t="s">
        <v>355</v>
      </c>
      <c r="C2117" s="1" t="s">
        <v>162</v>
      </c>
      <c r="D2117" s="1" t="s">
        <v>60</v>
      </c>
      <c r="E2117" s="1" t="s">
        <v>33</v>
      </c>
      <c r="F2117" s="1" t="s">
        <v>60</v>
      </c>
      <c r="G2117" s="1">
        <v>9</v>
      </c>
      <c r="H2117" s="1">
        <v>53169</v>
      </c>
      <c r="I2117" s="1">
        <v>0.15</v>
      </c>
      <c r="J2117" s="1">
        <v>406742.85</v>
      </c>
      <c r="K2117" s="1">
        <v>58093.14</v>
      </c>
      <c r="L2117" s="1" t="s">
        <v>23</v>
      </c>
      <c r="M2117" s="1" t="str">
        <f>TEXT(Table1[[#This Row],[Order Date]],"mmm")</f>
        <v>Dec</v>
      </c>
      <c r="N2117" s="1">
        <f>YEAR(Table1[[#This Row],[Order Date]])</f>
        <v>2023</v>
      </c>
    </row>
    <row r="2118" spans="1:14" x14ac:dyDescent="0.35">
      <c r="A2118" s="1" t="s">
        <v>2886</v>
      </c>
      <c r="B2118" s="1" t="s">
        <v>1559</v>
      </c>
      <c r="C2118" s="1" t="s">
        <v>255</v>
      </c>
      <c r="D2118" s="1" t="s">
        <v>27</v>
      </c>
      <c r="E2118" s="1" t="s">
        <v>28</v>
      </c>
      <c r="F2118" s="1" t="s">
        <v>27</v>
      </c>
      <c r="G2118" s="1">
        <v>13</v>
      </c>
      <c r="H2118" s="1">
        <v>37562</v>
      </c>
      <c r="I2118" s="1">
        <v>0.1</v>
      </c>
      <c r="J2118" s="1">
        <v>439475.4</v>
      </c>
      <c r="K2118" s="1">
        <v>72697.2</v>
      </c>
      <c r="L2118" s="1" t="s">
        <v>17</v>
      </c>
      <c r="M2118" s="1" t="str">
        <f>TEXT(Table1[[#This Row],[Order Date]],"mmm")</f>
        <v>Jan</v>
      </c>
      <c r="N2118" s="1">
        <f>YEAR(Table1[[#This Row],[Order Date]])</f>
        <v>2023</v>
      </c>
    </row>
    <row r="2119" spans="1:14" x14ac:dyDescent="0.35">
      <c r="A2119" s="1" t="s">
        <v>2887</v>
      </c>
      <c r="B2119" s="1" t="s">
        <v>187</v>
      </c>
      <c r="C2119" s="1" t="s">
        <v>26</v>
      </c>
      <c r="D2119" s="1" t="s">
        <v>52</v>
      </c>
      <c r="E2119" s="1" t="s">
        <v>28</v>
      </c>
      <c r="F2119" s="1" t="s">
        <v>52</v>
      </c>
      <c r="G2119" s="1">
        <v>12</v>
      </c>
      <c r="H2119" s="1">
        <v>41014</v>
      </c>
      <c r="I2119" s="1">
        <v>0.2</v>
      </c>
      <c r="J2119" s="1">
        <v>393734.40000000002</v>
      </c>
      <c r="K2119" s="1">
        <v>37867.019999999997</v>
      </c>
      <c r="L2119" s="1" t="s">
        <v>17</v>
      </c>
      <c r="M2119" s="1" t="str">
        <f>TEXT(Table1[[#This Row],[Order Date]],"mmm")</f>
        <v>Sep</v>
      </c>
      <c r="N2119" s="1">
        <f>YEAR(Table1[[#This Row],[Order Date]])</f>
        <v>2024</v>
      </c>
    </row>
    <row r="2120" spans="1:14" x14ac:dyDescent="0.35">
      <c r="A2120" s="1" t="s">
        <v>2888</v>
      </c>
      <c r="B2120" s="1" t="s">
        <v>195</v>
      </c>
      <c r="C2120" s="1" t="s">
        <v>362</v>
      </c>
      <c r="D2120" s="1" t="s">
        <v>21</v>
      </c>
      <c r="E2120" s="1" t="s">
        <v>22</v>
      </c>
      <c r="F2120" s="1" t="s">
        <v>21</v>
      </c>
      <c r="G2120" s="1">
        <v>9</v>
      </c>
      <c r="H2120" s="1">
        <v>53109</v>
      </c>
      <c r="I2120" s="1">
        <v>0.05</v>
      </c>
      <c r="J2120" s="1">
        <v>454081.95</v>
      </c>
      <c r="K2120" s="1">
        <v>83858.2</v>
      </c>
      <c r="L2120" s="1" t="s">
        <v>45</v>
      </c>
      <c r="M2120" s="1" t="str">
        <f>TEXT(Table1[[#This Row],[Order Date]],"mmm")</f>
        <v>Mar</v>
      </c>
      <c r="N2120" s="1">
        <f>YEAR(Table1[[#This Row],[Order Date]])</f>
        <v>2024</v>
      </c>
    </row>
    <row r="2121" spans="1:14" x14ac:dyDescent="0.35">
      <c r="A2121" s="1" t="s">
        <v>2889</v>
      </c>
      <c r="B2121" s="1" t="s">
        <v>2890</v>
      </c>
      <c r="C2121" s="1" t="s">
        <v>51</v>
      </c>
      <c r="D2121" s="1" t="s">
        <v>78</v>
      </c>
      <c r="E2121" s="1" t="s">
        <v>28</v>
      </c>
      <c r="F2121" s="1" t="s">
        <v>78</v>
      </c>
      <c r="G2121" s="1">
        <v>1</v>
      </c>
      <c r="H2121" s="1">
        <v>10765</v>
      </c>
      <c r="I2121" s="1">
        <v>0.15</v>
      </c>
      <c r="J2121" s="1">
        <v>9150.25</v>
      </c>
      <c r="K2121" s="1">
        <v>1338.61</v>
      </c>
      <c r="L2121" s="1" t="s">
        <v>17</v>
      </c>
      <c r="M2121" s="1" t="str">
        <f>TEXT(Table1[[#This Row],[Order Date]],"mmm")</f>
        <v>Aug</v>
      </c>
      <c r="N2121" s="1">
        <f>YEAR(Table1[[#This Row],[Order Date]])</f>
        <v>2023</v>
      </c>
    </row>
    <row r="2122" spans="1:14" x14ac:dyDescent="0.35">
      <c r="A2122" s="1" t="s">
        <v>2891</v>
      </c>
      <c r="B2122" s="1" t="s">
        <v>726</v>
      </c>
      <c r="C2122" s="1" t="s">
        <v>136</v>
      </c>
      <c r="D2122" s="1" t="s">
        <v>108</v>
      </c>
      <c r="E2122" s="1" t="s">
        <v>22</v>
      </c>
      <c r="F2122" s="1" t="s">
        <v>108</v>
      </c>
      <c r="G2122" s="1">
        <v>8</v>
      </c>
      <c r="H2122" s="1">
        <v>51410</v>
      </c>
      <c r="I2122" s="1">
        <v>0.1</v>
      </c>
      <c r="J2122" s="1">
        <v>370152</v>
      </c>
      <c r="K2122" s="1">
        <v>43260.4</v>
      </c>
      <c r="L2122" s="1" t="s">
        <v>17</v>
      </c>
      <c r="M2122" s="1" t="str">
        <f>TEXT(Table1[[#This Row],[Order Date]],"mmm")</f>
        <v>Apr</v>
      </c>
      <c r="N2122" s="1">
        <f>YEAR(Table1[[#This Row],[Order Date]])</f>
        <v>2024</v>
      </c>
    </row>
    <row r="2123" spans="1:14" x14ac:dyDescent="0.35">
      <c r="A2123" s="1" t="s">
        <v>2892</v>
      </c>
      <c r="B2123" s="1" t="s">
        <v>812</v>
      </c>
      <c r="C2123" s="1" t="s">
        <v>178</v>
      </c>
      <c r="D2123" s="1" t="s">
        <v>323</v>
      </c>
      <c r="E2123" s="1" t="s">
        <v>33</v>
      </c>
      <c r="F2123" s="1" t="s">
        <v>323</v>
      </c>
      <c r="G2123" s="1">
        <v>9</v>
      </c>
      <c r="H2123" s="1">
        <v>58446</v>
      </c>
      <c r="I2123" s="1">
        <v>0.1</v>
      </c>
      <c r="J2123" s="1">
        <v>473412.6</v>
      </c>
      <c r="K2123" s="1">
        <v>79749.350000000006</v>
      </c>
      <c r="L2123" s="1" t="s">
        <v>45</v>
      </c>
      <c r="M2123" s="1" t="str">
        <f>TEXT(Table1[[#This Row],[Order Date]],"mmm")</f>
        <v>Dec</v>
      </c>
      <c r="N2123" s="1">
        <f>YEAR(Table1[[#This Row],[Order Date]])</f>
        <v>2023</v>
      </c>
    </row>
    <row r="2124" spans="1:14" x14ac:dyDescent="0.35">
      <c r="A2124" s="1" t="s">
        <v>2893</v>
      </c>
      <c r="B2124" s="1" t="s">
        <v>774</v>
      </c>
      <c r="C2124" s="1" t="s">
        <v>260</v>
      </c>
      <c r="D2124" s="1" t="s">
        <v>52</v>
      </c>
      <c r="E2124" s="1" t="s">
        <v>28</v>
      </c>
      <c r="F2124" s="1" t="s">
        <v>52</v>
      </c>
      <c r="G2124" s="1">
        <v>5</v>
      </c>
      <c r="H2124" s="1">
        <v>38495</v>
      </c>
      <c r="I2124" s="1">
        <v>0.1</v>
      </c>
      <c r="J2124" s="1">
        <v>173227.5</v>
      </c>
      <c r="K2124" s="1">
        <v>32422.14</v>
      </c>
      <c r="L2124" s="1" t="s">
        <v>23</v>
      </c>
      <c r="M2124" s="1" t="str">
        <f>TEXT(Table1[[#This Row],[Order Date]],"mmm")</f>
        <v>Mar</v>
      </c>
      <c r="N2124" s="1">
        <f>YEAR(Table1[[#This Row],[Order Date]])</f>
        <v>2024</v>
      </c>
    </row>
    <row r="2125" spans="1:14" x14ac:dyDescent="0.35">
      <c r="A2125" s="1" t="s">
        <v>2894</v>
      </c>
      <c r="B2125" s="1" t="s">
        <v>670</v>
      </c>
      <c r="C2125" s="1" t="s">
        <v>125</v>
      </c>
      <c r="D2125" s="1" t="s">
        <v>133</v>
      </c>
      <c r="E2125" s="1" t="s">
        <v>22</v>
      </c>
      <c r="F2125" s="1" t="s">
        <v>133</v>
      </c>
      <c r="G2125" s="1">
        <v>5</v>
      </c>
      <c r="H2125" s="1">
        <v>4097</v>
      </c>
      <c r="I2125" s="1">
        <v>0.2</v>
      </c>
      <c r="J2125" s="1">
        <v>16388</v>
      </c>
      <c r="K2125" s="1">
        <v>4605.25</v>
      </c>
      <c r="L2125" s="1" t="s">
        <v>70</v>
      </c>
      <c r="M2125" s="1" t="str">
        <f>TEXT(Table1[[#This Row],[Order Date]],"mmm")</f>
        <v>Feb</v>
      </c>
      <c r="N2125" s="1">
        <f>YEAR(Table1[[#This Row],[Order Date]])</f>
        <v>2024</v>
      </c>
    </row>
    <row r="2126" spans="1:14" x14ac:dyDescent="0.35">
      <c r="A2126" s="1" t="s">
        <v>2895</v>
      </c>
      <c r="B2126" s="1" t="s">
        <v>819</v>
      </c>
      <c r="C2126" s="1" t="s">
        <v>98</v>
      </c>
      <c r="D2126" s="1" t="s">
        <v>60</v>
      </c>
      <c r="E2126" s="1" t="s">
        <v>33</v>
      </c>
      <c r="F2126" s="1" t="s">
        <v>60</v>
      </c>
      <c r="G2126" s="1">
        <v>12</v>
      </c>
      <c r="H2126" s="1">
        <v>14392</v>
      </c>
      <c r="I2126" s="1">
        <v>0.2</v>
      </c>
      <c r="J2126" s="1">
        <v>138163.20000000001</v>
      </c>
      <c r="K2126" s="1">
        <v>23593.119999999999</v>
      </c>
      <c r="L2126" s="1" t="s">
        <v>70</v>
      </c>
      <c r="M2126" s="1" t="str">
        <f>TEXT(Table1[[#This Row],[Order Date]],"mmm")</f>
        <v>Sep</v>
      </c>
      <c r="N2126" s="1">
        <f>YEAR(Table1[[#This Row],[Order Date]])</f>
        <v>2024</v>
      </c>
    </row>
    <row r="2127" spans="1:14" x14ac:dyDescent="0.35">
      <c r="A2127" s="1" t="s">
        <v>2896</v>
      </c>
      <c r="B2127" s="1" t="s">
        <v>735</v>
      </c>
      <c r="C2127" s="1" t="s">
        <v>188</v>
      </c>
      <c r="D2127" s="1" t="s">
        <v>60</v>
      </c>
      <c r="E2127" s="1" t="s">
        <v>33</v>
      </c>
      <c r="F2127" s="1" t="s">
        <v>60</v>
      </c>
      <c r="G2127" s="1">
        <v>8</v>
      </c>
      <c r="H2127" s="1">
        <v>22792</v>
      </c>
      <c r="I2127" s="1">
        <v>0.2</v>
      </c>
      <c r="J2127" s="1">
        <v>145868.79999999999</v>
      </c>
      <c r="K2127" s="1">
        <v>12152.17</v>
      </c>
      <c r="L2127" s="1" t="s">
        <v>17</v>
      </c>
      <c r="M2127" s="1" t="str">
        <f>TEXT(Table1[[#This Row],[Order Date]],"mmm")</f>
        <v>Aug</v>
      </c>
      <c r="N2127" s="1">
        <f>YEAR(Table1[[#This Row],[Order Date]])</f>
        <v>2024</v>
      </c>
    </row>
    <row r="2128" spans="1:14" x14ac:dyDescent="0.35">
      <c r="A2128" s="1" t="s">
        <v>2897</v>
      </c>
      <c r="B2128" s="1" t="s">
        <v>348</v>
      </c>
      <c r="C2128" s="1" t="s">
        <v>73</v>
      </c>
      <c r="D2128" s="1" t="s">
        <v>21</v>
      </c>
      <c r="E2128" s="1" t="s">
        <v>22</v>
      </c>
      <c r="F2128" s="1" t="s">
        <v>21</v>
      </c>
      <c r="G2128" s="1">
        <v>11</v>
      </c>
      <c r="H2128" s="1">
        <v>49681</v>
      </c>
      <c r="I2128" s="1">
        <v>0</v>
      </c>
      <c r="J2128" s="1">
        <v>546491</v>
      </c>
      <c r="K2128" s="1">
        <v>152433.29999999999</v>
      </c>
      <c r="L2128" s="1" t="s">
        <v>45</v>
      </c>
      <c r="M2128" s="1" t="str">
        <f>TEXT(Table1[[#This Row],[Order Date]],"mmm")</f>
        <v>May</v>
      </c>
      <c r="N2128" s="1">
        <f>YEAR(Table1[[#This Row],[Order Date]])</f>
        <v>2024</v>
      </c>
    </row>
    <row r="2129" spans="1:14" x14ac:dyDescent="0.35">
      <c r="A2129" s="1" t="s">
        <v>2898</v>
      </c>
      <c r="B2129" s="1" t="s">
        <v>66</v>
      </c>
      <c r="C2129" s="1" t="s">
        <v>51</v>
      </c>
      <c r="D2129" s="1" t="s">
        <v>293</v>
      </c>
      <c r="E2129" s="1" t="s">
        <v>33</v>
      </c>
      <c r="F2129" s="1" t="s">
        <v>293</v>
      </c>
      <c r="G2129" s="1">
        <v>8</v>
      </c>
      <c r="H2129" s="1">
        <v>50418</v>
      </c>
      <c r="I2129" s="1">
        <v>0.1</v>
      </c>
      <c r="J2129" s="1">
        <v>363009.6</v>
      </c>
      <c r="K2129" s="1">
        <v>97808.94</v>
      </c>
      <c r="L2129" s="1" t="s">
        <v>70</v>
      </c>
      <c r="M2129" s="1" t="str">
        <f>TEXT(Table1[[#This Row],[Order Date]],"mmm")</f>
        <v>Sep</v>
      </c>
      <c r="N2129" s="1">
        <f>YEAR(Table1[[#This Row],[Order Date]])</f>
        <v>2024</v>
      </c>
    </row>
    <row r="2130" spans="1:14" x14ac:dyDescent="0.35">
      <c r="A2130" s="1" t="s">
        <v>2899</v>
      </c>
      <c r="B2130" s="1" t="s">
        <v>875</v>
      </c>
      <c r="C2130" s="1" t="s">
        <v>349</v>
      </c>
      <c r="D2130" s="1" t="s">
        <v>179</v>
      </c>
      <c r="E2130" s="1" t="s">
        <v>28</v>
      </c>
      <c r="F2130" s="1" t="s">
        <v>179</v>
      </c>
      <c r="G2130" s="1">
        <v>10</v>
      </c>
      <c r="H2130" s="1">
        <v>17566</v>
      </c>
      <c r="I2130" s="1">
        <v>0</v>
      </c>
      <c r="J2130" s="1">
        <v>175660</v>
      </c>
      <c r="K2130" s="1">
        <v>41233.82</v>
      </c>
      <c r="L2130" s="1" t="s">
        <v>70</v>
      </c>
      <c r="M2130" s="1" t="str">
        <f>TEXT(Table1[[#This Row],[Order Date]],"mmm")</f>
        <v>Mar</v>
      </c>
      <c r="N2130" s="1">
        <f>YEAR(Table1[[#This Row],[Order Date]])</f>
        <v>2024</v>
      </c>
    </row>
    <row r="2131" spans="1:14" x14ac:dyDescent="0.35">
      <c r="A2131" s="1" t="s">
        <v>2900</v>
      </c>
      <c r="B2131" s="1" t="s">
        <v>1240</v>
      </c>
      <c r="C2131" s="1" t="s">
        <v>175</v>
      </c>
      <c r="D2131" s="1" t="s">
        <v>108</v>
      </c>
      <c r="E2131" s="1" t="s">
        <v>22</v>
      </c>
      <c r="F2131" s="1" t="s">
        <v>108</v>
      </c>
      <c r="G2131" s="1">
        <v>3</v>
      </c>
      <c r="H2131" s="1">
        <v>30485</v>
      </c>
      <c r="I2131" s="1">
        <v>0</v>
      </c>
      <c r="J2131" s="1">
        <v>91455</v>
      </c>
      <c r="K2131" s="1">
        <v>9168.74</v>
      </c>
      <c r="L2131" s="1" t="s">
        <v>17</v>
      </c>
      <c r="M2131" s="1" t="str">
        <f>TEXT(Table1[[#This Row],[Order Date]],"mmm")</f>
        <v>Jan</v>
      </c>
      <c r="N2131" s="1">
        <f>YEAR(Table1[[#This Row],[Order Date]])</f>
        <v>2024</v>
      </c>
    </row>
    <row r="2132" spans="1:14" x14ac:dyDescent="0.35">
      <c r="A2132" s="1" t="s">
        <v>2901</v>
      </c>
      <c r="B2132" s="1" t="s">
        <v>267</v>
      </c>
      <c r="C2132" s="1" t="s">
        <v>188</v>
      </c>
      <c r="D2132" s="1" t="s">
        <v>323</v>
      </c>
      <c r="E2132" s="1" t="s">
        <v>33</v>
      </c>
      <c r="F2132" s="1" t="s">
        <v>323</v>
      </c>
      <c r="G2132" s="1">
        <v>14</v>
      </c>
      <c r="H2132" s="1">
        <v>48411</v>
      </c>
      <c r="I2132" s="1">
        <v>0</v>
      </c>
      <c r="J2132" s="1">
        <v>677754</v>
      </c>
      <c r="K2132" s="1">
        <v>65557.27</v>
      </c>
      <c r="L2132" s="1" t="s">
        <v>45</v>
      </c>
      <c r="M2132" s="1" t="str">
        <f>TEXT(Table1[[#This Row],[Order Date]],"mmm")</f>
        <v>Jun</v>
      </c>
      <c r="N2132" s="1">
        <f>YEAR(Table1[[#This Row],[Order Date]])</f>
        <v>2023</v>
      </c>
    </row>
    <row r="2133" spans="1:14" x14ac:dyDescent="0.35">
      <c r="A2133" s="1" t="s">
        <v>2902</v>
      </c>
      <c r="B2133" s="1" t="s">
        <v>1790</v>
      </c>
      <c r="C2133" s="1" t="s">
        <v>507</v>
      </c>
      <c r="D2133" s="1" t="s">
        <v>167</v>
      </c>
      <c r="E2133" s="1" t="s">
        <v>16</v>
      </c>
      <c r="F2133" s="1" t="s">
        <v>167</v>
      </c>
      <c r="G2133" s="1">
        <v>13</v>
      </c>
      <c r="H2133" s="1">
        <v>9497</v>
      </c>
      <c r="I2133" s="1">
        <v>0.15</v>
      </c>
      <c r="J2133" s="1">
        <v>104941.85</v>
      </c>
      <c r="K2133" s="1">
        <v>21506.32</v>
      </c>
      <c r="L2133" s="1" t="s">
        <v>23</v>
      </c>
      <c r="M2133" s="1" t="str">
        <f>TEXT(Table1[[#This Row],[Order Date]],"mmm")</f>
        <v>Jan</v>
      </c>
      <c r="N2133" s="1">
        <f>YEAR(Table1[[#This Row],[Order Date]])</f>
        <v>2023</v>
      </c>
    </row>
    <row r="2134" spans="1:14" x14ac:dyDescent="0.35">
      <c r="A2134" s="1" t="s">
        <v>2903</v>
      </c>
      <c r="B2134" s="1" t="s">
        <v>760</v>
      </c>
      <c r="C2134" s="1" t="s">
        <v>88</v>
      </c>
      <c r="D2134" s="1" t="s">
        <v>224</v>
      </c>
      <c r="E2134" s="1" t="s">
        <v>33</v>
      </c>
      <c r="F2134" s="1" t="s">
        <v>224</v>
      </c>
      <c r="G2134" s="1">
        <v>3</v>
      </c>
      <c r="H2134" s="1">
        <v>20612</v>
      </c>
      <c r="I2134" s="1">
        <v>0</v>
      </c>
      <c r="J2134" s="1">
        <v>61836</v>
      </c>
      <c r="K2134" s="1">
        <v>6225.25</v>
      </c>
      <c r="L2134" s="1" t="s">
        <v>23</v>
      </c>
      <c r="M2134" s="1" t="str">
        <f>TEXT(Table1[[#This Row],[Order Date]],"mmm")</f>
        <v>Jan</v>
      </c>
      <c r="N2134" s="1">
        <f>YEAR(Table1[[#This Row],[Order Date]])</f>
        <v>2023</v>
      </c>
    </row>
    <row r="2135" spans="1:14" x14ac:dyDescent="0.35">
      <c r="A2135" s="1" t="s">
        <v>2904</v>
      </c>
      <c r="B2135" s="1" t="s">
        <v>615</v>
      </c>
      <c r="C2135" s="1" t="s">
        <v>332</v>
      </c>
      <c r="D2135" s="1" t="s">
        <v>133</v>
      </c>
      <c r="E2135" s="1" t="s">
        <v>22</v>
      </c>
      <c r="F2135" s="1" t="s">
        <v>133</v>
      </c>
      <c r="G2135" s="1">
        <v>9</v>
      </c>
      <c r="H2135" s="1">
        <v>1617</v>
      </c>
      <c r="I2135" s="1">
        <v>0.15</v>
      </c>
      <c r="J2135" s="1">
        <v>12370.05</v>
      </c>
      <c r="K2135" s="1">
        <v>2045.64</v>
      </c>
      <c r="L2135" s="1" t="s">
        <v>45</v>
      </c>
      <c r="M2135" s="1" t="str">
        <f>TEXT(Table1[[#This Row],[Order Date]],"mmm")</f>
        <v>Jun</v>
      </c>
      <c r="N2135" s="1">
        <f>YEAR(Table1[[#This Row],[Order Date]])</f>
        <v>2024</v>
      </c>
    </row>
    <row r="2136" spans="1:14" x14ac:dyDescent="0.35">
      <c r="A2136" s="1" t="s">
        <v>2905</v>
      </c>
      <c r="B2136" s="1" t="s">
        <v>1059</v>
      </c>
      <c r="C2136" s="1" t="s">
        <v>104</v>
      </c>
      <c r="D2136" s="1" t="s">
        <v>74</v>
      </c>
      <c r="E2136" s="1" t="s">
        <v>22</v>
      </c>
      <c r="F2136" s="1" t="s">
        <v>74</v>
      </c>
      <c r="G2136" s="1">
        <v>3</v>
      </c>
      <c r="H2136" s="1">
        <v>53668</v>
      </c>
      <c r="I2136" s="1">
        <v>0.2</v>
      </c>
      <c r="J2136" s="1">
        <v>128803.2</v>
      </c>
      <c r="K2136" s="1">
        <v>15411.65</v>
      </c>
      <c r="L2136" s="1" t="s">
        <v>17</v>
      </c>
      <c r="M2136" s="1" t="str">
        <f>TEXT(Table1[[#This Row],[Order Date]],"mmm")</f>
        <v>Nov</v>
      </c>
      <c r="N2136" s="1">
        <f>YEAR(Table1[[#This Row],[Order Date]])</f>
        <v>2024</v>
      </c>
    </row>
    <row r="2137" spans="1:14" x14ac:dyDescent="0.35">
      <c r="A2137" s="1" t="s">
        <v>2906</v>
      </c>
      <c r="B2137" s="1" t="s">
        <v>113</v>
      </c>
      <c r="C2137" s="1" t="s">
        <v>203</v>
      </c>
      <c r="D2137" s="1" t="s">
        <v>179</v>
      </c>
      <c r="E2137" s="1" t="s">
        <v>28</v>
      </c>
      <c r="F2137" s="1" t="s">
        <v>179</v>
      </c>
      <c r="G2137" s="1">
        <v>12</v>
      </c>
      <c r="H2137" s="1">
        <v>21169</v>
      </c>
      <c r="I2137" s="1">
        <v>0.05</v>
      </c>
      <c r="J2137" s="1">
        <v>241326.6</v>
      </c>
      <c r="K2137" s="1">
        <v>70265.27</v>
      </c>
      <c r="L2137" s="1" t="s">
        <v>70</v>
      </c>
      <c r="M2137" s="1" t="str">
        <f>TEXT(Table1[[#This Row],[Order Date]],"mmm")</f>
        <v>Jul</v>
      </c>
      <c r="N2137" s="1">
        <f>YEAR(Table1[[#This Row],[Order Date]])</f>
        <v>2023</v>
      </c>
    </row>
    <row r="2138" spans="1:14" x14ac:dyDescent="0.35">
      <c r="A2138" s="1" t="s">
        <v>2907</v>
      </c>
      <c r="B2138" s="1" t="s">
        <v>2908</v>
      </c>
      <c r="C2138" s="1" t="s">
        <v>170</v>
      </c>
      <c r="D2138" s="1" t="s">
        <v>179</v>
      </c>
      <c r="E2138" s="1" t="s">
        <v>28</v>
      </c>
      <c r="F2138" s="1" t="s">
        <v>179</v>
      </c>
      <c r="G2138" s="1">
        <v>8</v>
      </c>
      <c r="H2138" s="1">
        <v>39556</v>
      </c>
      <c r="I2138" s="1">
        <v>0.1</v>
      </c>
      <c r="J2138" s="1">
        <v>284803.20000000001</v>
      </c>
      <c r="K2138" s="1">
        <v>59277.62</v>
      </c>
      <c r="L2138" s="1" t="s">
        <v>45</v>
      </c>
      <c r="M2138" s="1" t="str">
        <f>TEXT(Table1[[#This Row],[Order Date]],"mmm")</f>
        <v>Sep</v>
      </c>
      <c r="N2138" s="1">
        <f>YEAR(Table1[[#This Row],[Order Date]])</f>
        <v>2024</v>
      </c>
    </row>
    <row r="2139" spans="1:14" x14ac:dyDescent="0.35">
      <c r="A2139" s="1" t="s">
        <v>2909</v>
      </c>
      <c r="B2139" s="1" t="s">
        <v>2262</v>
      </c>
      <c r="C2139" s="1" t="s">
        <v>200</v>
      </c>
      <c r="D2139" s="1" t="s">
        <v>91</v>
      </c>
      <c r="E2139" s="1" t="s">
        <v>16</v>
      </c>
      <c r="F2139" s="1" t="s">
        <v>91</v>
      </c>
      <c r="G2139" s="1">
        <v>2</v>
      </c>
      <c r="H2139" s="1">
        <v>44661</v>
      </c>
      <c r="I2139" s="1">
        <v>0.2</v>
      </c>
      <c r="J2139" s="1">
        <v>71457.600000000006</v>
      </c>
      <c r="K2139" s="1">
        <v>12841.65</v>
      </c>
      <c r="L2139" s="1" t="s">
        <v>23</v>
      </c>
      <c r="M2139" s="1" t="str">
        <f>TEXT(Table1[[#This Row],[Order Date]],"mmm")</f>
        <v>Aug</v>
      </c>
      <c r="N2139" s="1">
        <f>YEAR(Table1[[#This Row],[Order Date]])</f>
        <v>2024</v>
      </c>
    </row>
    <row r="2140" spans="1:14" x14ac:dyDescent="0.35">
      <c r="A2140" s="1" t="s">
        <v>2910</v>
      </c>
      <c r="B2140" s="1" t="s">
        <v>2911</v>
      </c>
      <c r="C2140" s="1" t="s">
        <v>227</v>
      </c>
      <c r="D2140" s="1" t="s">
        <v>32</v>
      </c>
      <c r="E2140" s="1" t="s">
        <v>33</v>
      </c>
      <c r="F2140" s="1" t="s">
        <v>32</v>
      </c>
      <c r="G2140" s="1">
        <v>9</v>
      </c>
      <c r="H2140" s="1">
        <v>44074</v>
      </c>
      <c r="I2140" s="1">
        <v>0.1</v>
      </c>
      <c r="J2140" s="1">
        <v>356999.4</v>
      </c>
      <c r="K2140" s="1">
        <v>39854.01</v>
      </c>
      <c r="L2140" s="1" t="s">
        <v>17</v>
      </c>
      <c r="M2140" s="1" t="str">
        <f>TEXT(Table1[[#This Row],[Order Date]],"mmm")</f>
        <v>Nov</v>
      </c>
      <c r="N2140" s="1">
        <f>YEAR(Table1[[#This Row],[Order Date]])</f>
        <v>2023</v>
      </c>
    </row>
    <row r="2141" spans="1:14" x14ac:dyDescent="0.35">
      <c r="A2141" s="1" t="s">
        <v>2912</v>
      </c>
      <c r="B2141" s="1" t="s">
        <v>976</v>
      </c>
      <c r="C2141" s="1" t="s">
        <v>111</v>
      </c>
      <c r="D2141" s="1" t="s">
        <v>151</v>
      </c>
      <c r="E2141" s="1" t="s">
        <v>22</v>
      </c>
      <c r="F2141" s="1" t="s">
        <v>151</v>
      </c>
      <c r="G2141" s="1">
        <v>1</v>
      </c>
      <c r="H2141" s="1">
        <v>59405</v>
      </c>
      <c r="I2141" s="1">
        <v>0.15</v>
      </c>
      <c r="J2141" s="1">
        <v>50494.25</v>
      </c>
      <c r="K2141" s="1">
        <v>7754.31</v>
      </c>
      <c r="L2141" s="1" t="s">
        <v>17</v>
      </c>
      <c r="M2141" s="1" t="str">
        <f>TEXT(Table1[[#This Row],[Order Date]],"mmm")</f>
        <v>Oct</v>
      </c>
      <c r="N2141" s="1">
        <f>YEAR(Table1[[#This Row],[Order Date]])</f>
        <v>2024</v>
      </c>
    </row>
    <row r="2142" spans="1:14" x14ac:dyDescent="0.35">
      <c r="A2142" s="1" t="s">
        <v>2913</v>
      </c>
      <c r="B2142" s="1" t="s">
        <v>1324</v>
      </c>
      <c r="C2142" s="1" t="s">
        <v>362</v>
      </c>
      <c r="D2142" s="1" t="s">
        <v>41</v>
      </c>
      <c r="E2142" s="1" t="s">
        <v>16</v>
      </c>
      <c r="F2142" s="1" t="s">
        <v>41</v>
      </c>
      <c r="G2142" s="1">
        <v>8</v>
      </c>
      <c r="H2142" s="1">
        <v>602</v>
      </c>
      <c r="I2142" s="1">
        <v>0</v>
      </c>
      <c r="J2142" s="1">
        <v>4816</v>
      </c>
      <c r="K2142" s="1">
        <v>1060.8499999999999</v>
      </c>
      <c r="L2142" s="1" t="s">
        <v>23</v>
      </c>
      <c r="M2142" s="1" t="str">
        <f>TEXT(Table1[[#This Row],[Order Date]],"mmm")</f>
        <v>Aug</v>
      </c>
      <c r="N2142" s="1">
        <f>YEAR(Table1[[#This Row],[Order Date]])</f>
        <v>2024</v>
      </c>
    </row>
    <row r="2143" spans="1:14" x14ac:dyDescent="0.35">
      <c r="A2143" s="1" t="s">
        <v>2914</v>
      </c>
      <c r="B2143" s="1" t="s">
        <v>2915</v>
      </c>
      <c r="C2143" s="1" t="s">
        <v>14</v>
      </c>
      <c r="D2143" s="1" t="s">
        <v>32</v>
      </c>
      <c r="E2143" s="1" t="s">
        <v>33</v>
      </c>
      <c r="F2143" s="1" t="s">
        <v>32</v>
      </c>
      <c r="G2143" s="1">
        <v>6</v>
      </c>
      <c r="H2143" s="1">
        <v>46126</v>
      </c>
      <c r="I2143" s="1">
        <v>0.1</v>
      </c>
      <c r="J2143" s="1">
        <v>249080.4</v>
      </c>
      <c r="K2143" s="1">
        <v>34310.78</v>
      </c>
      <c r="L2143" s="1" t="s">
        <v>23</v>
      </c>
      <c r="M2143" s="1" t="str">
        <f>TEXT(Table1[[#This Row],[Order Date]],"mmm")</f>
        <v>Mar</v>
      </c>
      <c r="N2143" s="1">
        <f>YEAR(Table1[[#This Row],[Order Date]])</f>
        <v>2024</v>
      </c>
    </row>
    <row r="2144" spans="1:14" x14ac:dyDescent="0.35">
      <c r="A2144" s="1" t="s">
        <v>2916</v>
      </c>
      <c r="B2144" s="1" t="s">
        <v>97</v>
      </c>
      <c r="C2144" s="1" t="s">
        <v>101</v>
      </c>
      <c r="D2144" s="1" t="s">
        <v>60</v>
      </c>
      <c r="E2144" s="1" t="s">
        <v>33</v>
      </c>
      <c r="F2144" s="1" t="s">
        <v>60</v>
      </c>
      <c r="G2144" s="1">
        <v>8</v>
      </c>
      <c r="H2144" s="1">
        <v>35812</v>
      </c>
      <c r="I2144" s="1">
        <v>0.15</v>
      </c>
      <c r="J2144" s="1">
        <v>243521.6</v>
      </c>
      <c r="K2144" s="1">
        <v>31173.08</v>
      </c>
      <c r="L2144" s="1" t="s">
        <v>70</v>
      </c>
      <c r="M2144" s="1" t="str">
        <f>TEXT(Table1[[#This Row],[Order Date]],"mmm")</f>
        <v>Oct</v>
      </c>
      <c r="N2144" s="1">
        <f>YEAR(Table1[[#This Row],[Order Date]])</f>
        <v>2023</v>
      </c>
    </row>
    <row r="2145" spans="1:14" x14ac:dyDescent="0.35">
      <c r="A2145" s="1" t="s">
        <v>2917</v>
      </c>
      <c r="B2145" s="1" t="s">
        <v>1845</v>
      </c>
      <c r="C2145" s="1" t="s">
        <v>67</v>
      </c>
      <c r="D2145" s="1" t="s">
        <v>95</v>
      </c>
      <c r="E2145" s="1" t="s">
        <v>33</v>
      </c>
      <c r="F2145" s="1" t="s">
        <v>95</v>
      </c>
      <c r="G2145" s="1">
        <v>6</v>
      </c>
      <c r="H2145" s="1">
        <v>40799</v>
      </c>
      <c r="I2145" s="1">
        <v>0.05</v>
      </c>
      <c r="J2145" s="1">
        <v>232554.3</v>
      </c>
      <c r="K2145" s="1">
        <v>56175.14</v>
      </c>
      <c r="L2145" s="1" t="s">
        <v>70</v>
      </c>
      <c r="M2145" s="1" t="str">
        <f>TEXT(Table1[[#This Row],[Order Date]],"mmm")</f>
        <v>Mar</v>
      </c>
      <c r="N2145" s="1">
        <f>YEAR(Table1[[#This Row],[Order Date]])</f>
        <v>2023</v>
      </c>
    </row>
    <row r="2146" spans="1:14" x14ac:dyDescent="0.35">
      <c r="A2146" s="1" t="s">
        <v>2918</v>
      </c>
      <c r="B2146" s="1" t="s">
        <v>334</v>
      </c>
      <c r="C2146" s="1" t="s">
        <v>155</v>
      </c>
      <c r="D2146" s="1" t="s">
        <v>21</v>
      </c>
      <c r="E2146" s="1" t="s">
        <v>22</v>
      </c>
      <c r="F2146" s="1" t="s">
        <v>21</v>
      </c>
      <c r="G2146" s="1">
        <v>5</v>
      </c>
      <c r="H2146" s="1">
        <v>21343</v>
      </c>
      <c r="I2146" s="1">
        <v>0</v>
      </c>
      <c r="J2146" s="1">
        <v>106715</v>
      </c>
      <c r="K2146" s="1">
        <v>20685.03</v>
      </c>
      <c r="L2146" s="1" t="s">
        <v>23</v>
      </c>
      <c r="M2146" s="1" t="str">
        <f>TEXT(Table1[[#This Row],[Order Date]],"mmm")</f>
        <v>Sep</v>
      </c>
      <c r="N2146" s="1">
        <f>YEAR(Table1[[#This Row],[Order Date]])</f>
        <v>2023</v>
      </c>
    </row>
    <row r="2147" spans="1:14" x14ac:dyDescent="0.35">
      <c r="A2147" s="1" t="s">
        <v>2919</v>
      </c>
      <c r="B2147" s="1" t="s">
        <v>1876</v>
      </c>
      <c r="C2147" s="1" t="s">
        <v>117</v>
      </c>
      <c r="D2147" s="1" t="s">
        <v>108</v>
      </c>
      <c r="E2147" s="1" t="s">
        <v>22</v>
      </c>
      <c r="F2147" s="1" t="s">
        <v>108</v>
      </c>
      <c r="G2147" s="1">
        <v>9</v>
      </c>
      <c r="H2147" s="1">
        <v>7606</v>
      </c>
      <c r="I2147" s="1">
        <v>0.05</v>
      </c>
      <c r="J2147" s="1">
        <v>65031.3</v>
      </c>
      <c r="K2147" s="1">
        <v>14442.78</v>
      </c>
      <c r="L2147" s="1" t="s">
        <v>23</v>
      </c>
      <c r="M2147" s="1" t="str">
        <f>TEXT(Table1[[#This Row],[Order Date]],"mmm")</f>
        <v>Feb</v>
      </c>
      <c r="N2147" s="1">
        <f>YEAR(Table1[[#This Row],[Order Date]])</f>
        <v>2024</v>
      </c>
    </row>
    <row r="2148" spans="1:14" x14ac:dyDescent="0.35">
      <c r="A2148" s="1" t="s">
        <v>2920</v>
      </c>
      <c r="B2148" s="1" t="s">
        <v>1218</v>
      </c>
      <c r="C2148" s="1" t="s">
        <v>260</v>
      </c>
      <c r="D2148" s="1" t="s">
        <v>224</v>
      </c>
      <c r="E2148" s="1" t="s">
        <v>33</v>
      </c>
      <c r="F2148" s="1" t="s">
        <v>224</v>
      </c>
      <c r="G2148" s="1">
        <v>8</v>
      </c>
      <c r="H2148" s="1">
        <v>20996</v>
      </c>
      <c r="I2148" s="1">
        <v>0.2</v>
      </c>
      <c r="J2148" s="1">
        <v>134374.39999999999</v>
      </c>
      <c r="K2148" s="1">
        <v>38468.46</v>
      </c>
      <c r="L2148" s="1" t="s">
        <v>45</v>
      </c>
      <c r="M2148" s="1" t="str">
        <f>TEXT(Table1[[#This Row],[Order Date]],"mmm")</f>
        <v>May</v>
      </c>
      <c r="N2148" s="1">
        <f>YEAR(Table1[[#This Row],[Order Date]])</f>
        <v>2024</v>
      </c>
    </row>
    <row r="2149" spans="1:14" x14ac:dyDescent="0.35">
      <c r="A2149" s="1" t="s">
        <v>2921</v>
      </c>
      <c r="B2149" s="1" t="s">
        <v>1196</v>
      </c>
      <c r="C2149" s="1" t="s">
        <v>36</v>
      </c>
      <c r="D2149" s="1" t="s">
        <v>21</v>
      </c>
      <c r="E2149" s="1" t="s">
        <v>22</v>
      </c>
      <c r="F2149" s="1" t="s">
        <v>21</v>
      </c>
      <c r="G2149" s="1">
        <v>9</v>
      </c>
      <c r="H2149" s="1">
        <v>33865</v>
      </c>
      <c r="I2149" s="1">
        <v>0</v>
      </c>
      <c r="J2149" s="1">
        <v>304785</v>
      </c>
      <c r="K2149" s="1">
        <v>27451.71</v>
      </c>
      <c r="L2149" s="1" t="s">
        <v>70</v>
      </c>
      <c r="M2149" s="1" t="str">
        <f>TEXT(Table1[[#This Row],[Order Date]],"mmm")</f>
        <v>May</v>
      </c>
      <c r="N2149" s="1">
        <f>YEAR(Table1[[#This Row],[Order Date]])</f>
        <v>2023</v>
      </c>
    </row>
    <row r="2150" spans="1:14" x14ac:dyDescent="0.35">
      <c r="A2150" s="1" t="s">
        <v>2922</v>
      </c>
      <c r="B2150" s="1" t="s">
        <v>1005</v>
      </c>
      <c r="C2150" s="1" t="s">
        <v>117</v>
      </c>
      <c r="D2150" s="1" t="s">
        <v>37</v>
      </c>
      <c r="E2150" s="1" t="s">
        <v>16</v>
      </c>
      <c r="F2150" s="1" t="s">
        <v>37</v>
      </c>
      <c r="G2150" s="1">
        <v>11</v>
      </c>
      <c r="H2150" s="1">
        <v>54028</v>
      </c>
      <c r="I2150" s="1">
        <v>0</v>
      </c>
      <c r="J2150" s="1">
        <v>594308</v>
      </c>
      <c r="K2150" s="1">
        <v>130119.48</v>
      </c>
      <c r="L2150" s="1" t="s">
        <v>23</v>
      </c>
      <c r="M2150" s="1" t="str">
        <f>TEXT(Table1[[#This Row],[Order Date]],"mmm")</f>
        <v>Aug</v>
      </c>
      <c r="N2150" s="1">
        <f>YEAR(Table1[[#This Row],[Order Date]])</f>
        <v>2023</v>
      </c>
    </row>
    <row r="2151" spans="1:14" x14ac:dyDescent="0.35">
      <c r="A2151" s="1" t="s">
        <v>2923</v>
      </c>
      <c r="B2151" s="1" t="s">
        <v>1274</v>
      </c>
      <c r="C2151" s="1" t="s">
        <v>191</v>
      </c>
      <c r="D2151" s="1" t="s">
        <v>15</v>
      </c>
      <c r="E2151" s="1" t="s">
        <v>16</v>
      </c>
      <c r="F2151" s="1" t="s">
        <v>15</v>
      </c>
      <c r="G2151" s="1">
        <v>15</v>
      </c>
      <c r="H2151" s="1">
        <v>26305</v>
      </c>
      <c r="I2151" s="1">
        <v>0.1</v>
      </c>
      <c r="J2151" s="1">
        <v>355117.5</v>
      </c>
      <c r="K2151" s="1">
        <v>69454.81</v>
      </c>
      <c r="L2151" s="1" t="s">
        <v>70</v>
      </c>
      <c r="M2151" s="1" t="str">
        <f>TEXT(Table1[[#This Row],[Order Date]],"mmm")</f>
        <v>Feb</v>
      </c>
      <c r="N2151" s="1">
        <f>YEAR(Table1[[#This Row],[Order Date]])</f>
        <v>2023</v>
      </c>
    </row>
    <row r="2152" spans="1:14" x14ac:dyDescent="0.35">
      <c r="A2152" s="1" t="s">
        <v>2924</v>
      </c>
      <c r="B2152" s="1" t="s">
        <v>451</v>
      </c>
      <c r="C2152" s="1" t="s">
        <v>178</v>
      </c>
      <c r="D2152" s="1" t="s">
        <v>151</v>
      </c>
      <c r="E2152" s="1" t="s">
        <v>22</v>
      </c>
      <c r="F2152" s="1" t="s">
        <v>151</v>
      </c>
      <c r="G2152" s="1">
        <v>14</v>
      </c>
      <c r="H2152" s="1">
        <v>59375</v>
      </c>
      <c r="I2152" s="1">
        <v>0.2</v>
      </c>
      <c r="J2152" s="1">
        <v>665000</v>
      </c>
      <c r="K2152" s="1">
        <v>164614.49</v>
      </c>
      <c r="L2152" s="1" t="s">
        <v>45</v>
      </c>
      <c r="M2152" s="1" t="str">
        <f>TEXT(Table1[[#This Row],[Order Date]],"mmm")</f>
        <v>Nov</v>
      </c>
      <c r="N2152" s="1">
        <f>YEAR(Table1[[#This Row],[Order Date]])</f>
        <v>2024</v>
      </c>
    </row>
    <row r="2153" spans="1:14" x14ac:dyDescent="0.35">
      <c r="A2153" s="1" t="s">
        <v>2925</v>
      </c>
      <c r="B2153" s="1" t="s">
        <v>667</v>
      </c>
      <c r="C2153" s="1" t="s">
        <v>507</v>
      </c>
      <c r="D2153" s="1" t="s">
        <v>151</v>
      </c>
      <c r="E2153" s="1" t="s">
        <v>22</v>
      </c>
      <c r="F2153" s="1" t="s">
        <v>151</v>
      </c>
      <c r="G2153" s="1">
        <v>9</v>
      </c>
      <c r="H2153" s="1">
        <v>2624</v>
      </c>
      <c r="I2153" s="1">
        <v>0</v>
      </c>
      <c r="J2153" s="1">
        <v>23616</v>
      </c>
      <c r="K2153" s="1">
        <v>5824.36</v>
      </c>
      <c r="L2153" s="1" t="s">
        <v>70</v>
      </c>
      <c r="M2153" s="1" t="str">
        <f>TEXT(Table1[[#This Row],[Order Date]],"mmm")</f>
        <v>Jun</v>
      </c>
      <c r="N2153" s="1">
        <f>YEAR(Table1[[#This Row],[Order Date]])</f>
        <v>2024</v>
      </c>
    </row>
    <row r="2154" spans="1:14" x14ac:dyDescent="0.35">
      <c r="A2154" s="1" t="s">
        <v>2926</v>
      </c>
      <c r="B2154" s="1" t="s">
        <v>322</v>
      </c>
      <c r="C2154" s="1" t="s">
        <v>507</v>
      </c>
      <c r="D2154" s="1" t="s">
        <v>167</v>
      </c>
      <c r="E2154" s="1" t="s">
        <v>16</v>
      </c>
      <c r="F2154" s="1" t="s">
        <v>167</v>
      </c>
      <c r="G2154" s="1">
        <v>11</v>
      </c>
      <c r="H2154" s="1">
        <v>4041</v>
      </c>
      <c r="I2154" s="1">
        <v>0.05</v>
      </c>
      <c r="J2154" s="1">
        <v>42228.45</v>
      </c>
      <c r="K2154" s="1">
        <v>7715.33</v>
      </c>
      <c r="L2154" s="1" t="s">
        <v>70</v>
      </c>
      <c r="M2154" s="1" t="str">
        <f>TEXT(Table1[[#This Row],[Order Date]],"mmm")</f>
        <v>Sep</v>
      </c>
      <c r="N2154" s="1">
        <f>YEAR(Table1[[#This Row],[Order Date]])</f>
        <v>2023</v>
      </c>
    </row>
    <row r="2155" spans="1:14" x14ac:dyDescent="0.35">
      <c r="A2155" s="1" t="s">
        <v>2927</v>
      </c>
      <c r="B2155" s="1" t="s">
        <v>1502</v>
      </c>
      <c r="C2155" s="1" t="s">
        <v>98</v>
      </c>
      <c r="D2155" s="1" t="s">
        <v>48</v>
      </c>
      <c r="E2155" s="1" t="s">
        <v>16</v>
      </c>
      <c r="F2155" s="1" t="s">
        <v>48</v>
      </c>
      <c r="G2155" s="1">
        <v>1</v>
      </c>
      <c r="H2155" s="1">
        <v>29147</v>
      </c>
      <c r="I2155" s="1">
        <v>0.2</v>
      </c>
      <c r="J2155" s="1">
        <v>23317.599999999999</v>
      </c>
      <c r="K2155" s="1">
        <v>6429.41</v>
      </c>
      <c r="L2155" s="1" t="s">
        <v>23</v>
      </c>
      <c r="M2155" s="1" t="str">
        <f>TEXT(Table1[[#This Row],[Order Date]],"mmm")</f>
        <v>Jul</v>
      </c>
      <c r="N2155" s="1">
        <f>YEAR(Table1[[#This Row],[Order Date]])</f>
        <v>2023</v>
      </c>
    </row>
    <row r="2156" spans="1:14" x14ac:dyDescent="0.35">
      <c r="A2156" s="1" t="s">
        <v>2928</v>
      </c>
      <c r="B2156" s="1" t="s">
        <v>1101</v>
      </c>
      <c r="C2156" s="1" t="s">
        <v>55</v>
      </c>
      <c r="D2156" s="1" t="s">
        <v>52</v>
      </c>
      <c r="E2156" s="1" t="s">
        <v>28</v>
      </c>
      <c r="F2156" s="1" t="s">
        <v>52</v>
      </c>
      <c r="G2156" s="1">
        <v>7</v>
      </c>
      <c r="H2156" s="1">
        <v>33209</v>
      </c>
      <c r="I2156" s="1">
        <v>0.2</v>
      </c>
      <c r="J2156" s="1">
        <v>185970.4</v>
      </c>
      <c r="K2156" s="1">
        <v>15529.33</v>
      </c>
      <c r="L2156" s="1" t="s">
        <v>17</v>
      </c>
      <c r="M2156" s="1" t="str">
        <f>TEXT(Table1[[#This Row],[Order Date]],"mmm")</f>
        <v>Jun</v>
      </c>
      <c r="N2156" s="1">
        <f>YEAR(Table1[[#This Row],[Order Date]])</f>
        <v>2024</v>
      </c>
    </row>
    <row r="2157" spans="1:14" x14ac:dyDescent="0.35">
      <c r="A2157" s="1" t="s">
        <v>2929</v>
      </c>
      <c r="B2157" s="1" t="s">
        <v>288</v>
      </c>
      <c r="C2157" s="1" t="s">
        <v>162</v>
      </c>
      <c r="D2157" s="1" t="s">
        <v>52</v>
      </c>
      <c r="E2157" s="1" t="s">
        <v>28</v>
      </c>
      <c r="F2157" s="1" t="s">
        <v>52</v>
      </c>
      <c r="G2157" s="1">
        <v>9</v>
      </c>
      <c r="H2157" s="1">
        <v>7840</v>
      </c>
      <c r="I2157" s="1">
        <v>0</v>
      </c>
      <c r="J2157" s="1">
        <v>70560</v>
      </c>
      <c r="K2157" s="1">
        <v>19662.22</v>
      </c>
      <c r="L2157" s="1" t="s">
        <v>17</v>
      </c>
      <c r="M2157" s="1" t="str">
        <f>TEXT(Table1[[#This Row],[Order Date]],"mmm")</f>
        <v>Jun</v>
      </c>
      <c r="N2157" s="1">
        <f>YEAR(Table1[[#This Row],[Order Date]])</f>
        <v>2024</v>
      </c>
    </row>
    <row r="2158" spans="1:14" x14ac:dyDescent="0.35">
      <c r="A2158" s="1" t="s">
        <v>2930</v>
      </c>
      <c r="B2158" s="1" t="s">
        <v>1104</v>
      </c>
      <c r="C2158" s="1" t="s">
        <v>175</v>
      </c>
      <c r="D2158" s="1" t="s">
        <v>27</v>
      </c>
      <c r="E2158" s="1" t="s">
        <v>28</v>
      </c>
      <c r="F2158" s="1" t="s">
        <v>27</v>
      </c>
      <c r="G2158" s="1">
        <v>11</v>
      </c>
      <c r="H2158" s="1">
        <v>27443</v>
      </c>
      <c r="I2158" s="1">
        <v>0.05</v>
      </c>
      <c r="J2158" s="1">
        <v>286779.34999999998</v>
      </c>
      <c r="K2158" s="1">
        <v>36641.21</v>
      </c>
      <c r="L2158" s="1" t="s">
        <v>45</v>
      </c>
      <c r="M2158" s="1" t="str">
        <f>TEXT(Table1[[#This Row],[Order Date]],"mmm")</f>
        <v>Oct</v>
      </c>
      <c r="N2158" s="1">
        <f>YEAR(Table1[[#This Row],[Order Date]])</f>
        <v>2023</v>
      </c>
    </row>
    <row r="2159" spans="1:14" x14ac:dyDescent="0.35">
      <c r="A2159" s="1" t="s">
        <v>2931</v>
      </c>
      <c r="B2159" s="1" t="s">
        <v>879</v>
      </c>
      <c r="C2159" s="1" t="s">
        <v>77</v>
      </c>
      <c r="D2159" s="1" t="s">
        <v>52</v>
      </c>
      <c r="E2159" s="1" t="s">
        <v>28</v>
      </c>
      <c r="F2159" s="1" t="s">
        <v>52</v>
      </c>
      <c r="G2159" s="1">
        <v>10</v>
      </c>
      <c r="H2159" s="1">
        <v>24527</v>
      </c>
      <c r="I2159" s="1">
        <v>0.15</v>
      </c>
      <c r="J2159" s="1">
        <v>208479.5</v>
      </c>
      <c r="K2159" s="1">
        <v>55606.74</v>
      </c>
      <c r="L2159" s="1" t="s">
        <v>45</v>
      </c>
      <c r="M2159" s="1" t="str">
        <f>TEXT(Table1[[#This Row],[Order Date]],"mmm")</f>
        <v>Jul</v>
      </c>
      <c r="N2159" s="1">
        <f>YEAR(Table1[[#This Row],[Order Date]])</f>
        <v>2023</v>
      </c>
    </row>
    <row r="2160" spans="1:14" x14ac:dyDescent="0.35">
      <c r="A2160" s="1" t="s">
        <v>2932</v>
      </c>
      <c r="B2160" s="1" t="s">
        <v>489</v>
      </c>
      <c r="C2160" s="1" t="s">
        <v>104</v>
      </c>
      <c r="D2160" s="1" t="s">
        <v>27</v>
      </c>
      <c r="E2160" s="1" t="s">
        <v>28</v>
      </c>
      <c r="F2160" s="1" t="s">
        <v>27</v>
      </c>
      <c r="G2160" s="1">
        <v>8</v>
      </c>
      <c r="H2160" s="1">
        <v>27637</v>
      </c>
      <c r="I2160" s="1">
        <v>0.2</v>
      </c>
      <c r="J2160" s="1">
        <v>176876.79999999999</v>
      </c>
      <c r="K2160" s="1">
        <v>37100.18</v>
      </c>
      <c r="L2160" s="1" t="s">
        <v>45</v>
      </c>
      <c r="M2160" s="1" t="str">
        <f>TEXT(Table1[[#This Row],[Order Date]],"mmm")</f>
        <v>Aug</v>
      </c>
      <c r="N2160" s="1">
        <f>YEAR(Table1[[#This Row],[Order Date]])</f>
        <v>2023</v>
      </c>
    </row>
    <row r="2161" spans="1:14" x14ac:dyDescent="0.35">
      <c r="A2161" s="1" t="s">
        <v>2933</v>
      </c>
      <c r="B2161" s="1" t="s">
        <v>624</v>
      </c>
      <c r="C2161" s="1" t="s">
        <v>136</v>
      </c>
      <c r="D2161" s="1" t="s">
        <v>133</v>
      </c>
      <c r="E2161" s="1" t="s">
        <v>22</v>
      </c>
      <c r="F2161" s="1" t="s">
        <v>133</v>
      </c>
      <c r="G2161" s="1">
        <v>2</v>
      </c>
      <c r="H2161" s="1">
        <v>5725</v>
      </c>
      <c r="I2161" s="1">
        <v>0.15</v>
      </c>
      <c r="J2161" s="1">
        <v>9732.5</v>
      </c>
      <c r="K2161" s="1">
        <v>1618.24</v>
      </c>
      <c r="L2161" s="1" t="s">
        <v>70</v>
      </c>
      <c r="M2161" s="1" t="str">
        <f>TEXT(Table1[[#This Row],[Order Date]],"mmm")</f>
        <v>May</v>
      </c>
      <c r="N2161" s="1">
        <f>YEAR(Table1[[#This Row],[Order Date]])</f>
        <v>2023</v>
      </c>
    </row>
    <row r="2162" spans="1:14" x14ac:dyDescent="0.35">
      <c r="A2162" s="1" t="s">
        <v>2934</v>
      </c>
      <c r="B2162" s="1" t="s">
        <v>2447</v>
      </c>
      <c r="C2162" s="1" t="s">
        <v>125</v>
      </c>
      <c r="D2162" s="1" t="s">
        <v>108</v>
      </c>
      <c r="E2162" s="1" t="s">
        <v>22</v>
      </c>
      <c r="F2162" s="1" t="s">
        <v>108</v>
      </c>
      <c r="G2162" s="1">
        <v>10</v>
      </c>
      <c r="H2162" s="1">
        <v>10706</v>
      </c>
      <c r="I2162" s="1">
        <v>0</v>
      </c>
      <c r="J2162" s="1">
        <v>107060</v>
      </c>
      <c r="K2162" s="1">
        <v>12215.06</v>
      </c>
      <c r="L2162" s="1" t="s">
        <v>17</v>
      </c>
      <c r="M2162" s="1" t="str">
        <f>TEXT(Table1[[#This Row],[Order Date]],"mmm")</f>
        <v>Jun</v>
      </c>
      <c r="N2162" s="1">
        <f>YEAR(Table1[[#This Row],[Order Date]])</f>
        <v>2024</v>
      </c>
    </row>
    <row r="2163" spans="1:14" x14ac:dyDescent="0.35">
      <c r="A2163" s="1" t="s">
        <v>2935</v>
      </c>
      <c r="B2163" s="1" t="s">
        <v>2274</v>
      </c>
      <c r="C2163" s="1" t="s">
        <v>107</v>
      </c>
      <c r="D2163" s="1" t="s">
        <v>167</v>
      </c>
      <c r="E2163" s="1" t="s">
        <v>16</v>
      </c>
      <c r="F2163" s="1" t="s">
        <v>167</v>
      </c>
      <c r="G2163" s="1">
        <v>13</v>
      </c>
      <c r="H2163" s="1">
        <v>24782</v>
      </c>
      <c r="I2163" s="1">
        <v>0.1</v>
      </c>
      <c r="J2163" s="1">
        <v>289949.40000000002</v>
      </c>
      <c r="K2163" s="1">
        <v>48412.54</v>
      </c>
      <c r="L2163" s="1" t="s">
        <v>17</v>
      </c>
      <c r="M2163" s="1" t="str">
        <f>TEXT(Table1[[#This Row],[Order Date]],"mmm")</f>
        <v>Jan</v>
      </c>
      <c r="N2163" s="1">
        <f>YEAR(Table1[[#This Row],[Order Date]])</f>
        <v>2024</v>
      </c>
    </row>
    <row r="2164" spans="1:14" x14ac:dyDescent="0.35">
      <c r="A2164" s="1" t="s">
        <v>2936</v>
      </c>
      <c r="B2164" s="1" t="s">
        <v>804</v>
      </c>
      <c r="C2164" s="1" t="s">
        <v>125</v>
      </c>
      <c r="D2164" s="1" t="s">
        <v>137</v>
      </c>
      <c r="E2164" s="1" t="s">
        <v>22</v>
      </c>
      <c r="F2164" s="1" t="s">
        <v>137</v>
      </c>
      <c r="G2164" s="1">
        <v>15</v>
      </c>
      <c r="H2164" s="1">
        <v>8260</v>
      </c>
      <c r="I2164" s="1">
        <v>0.15</v>
      </c>
      <c r="J2164" s="1">
        <v>105315</v>
      </c>
      <c r="K2164" s="1">
        <v>20557.27</v>
      </c>
      <c r="L2164" s="1" t="s">
        <v>70</v>
      </c>
      <c r="M2164" s="1" t="str">
        <f>TEXT(Table1[[#This Row],[Order Date]],"mmm")</f>
        <v>Apr</v>
      </c>
      <c r="N2164" s="1">
        <f>YEAR(Table1[[#This Row],[Order Date]])</f>
        <v>2023</v>
      </c>
    </row>
    <row r="2165" spans="1:14" x14ac:dyDescent="0.35">
      <c r="A2165" s="1" t="s">
        <v>2937</v>
      </c>
      <c r="B2165" s="1" t="s">
        <v>558</v>
      </c>
      <c r="C2165" s="1" t="s">
        <v>507</v>
      </c>
      <c r="D2165" s="1" t="s">
        <v>27</v>
      </c>
      <c r="E2165" s="1" t="s">
        <v>28</v>
      </c>
      <c r="F2165" s="1" t="s">
        <v>27</v>
      </c>
      <c r="G2165" s="1">
        <v>10</v>
      </c>
      <c r="H2165" s="1">
        <v>35982</v>
      </c>
      <c r="I2165" s="1">
        <v>0.2</v>
      </c>
      <c r="J2165" s="1">
        <v>287856</v>
      </c>
      <c r="K2165" s="1">
        <v>79701.47</v>
      </c>
      <c r="L2165" s="1" t="s">
        <v>23</v>
      </c>
      <c r="M2165" s="1" t="str">
        <f>TEXT(Table1[[#This Row],[Order Date]],"mmm")</f>
        <v>Nov</v>
      </c>
      <c r="N2165" s="1">
        <f>YEAR(Table1[[#This Row],[Order Date]])</f>
        <v>2023</v>
      </c>
    </row>
    <row r="2166" spans="1:14" x14ac:dyDescent="0.35">
      <c r="A2166" s="1" t="s">
        <v>2938</v>
      </c>
      <c r="B2166" s="1" t="s">
        <v>35</v>
      </c>
      <c r="C2166" s="1" t="s">
        <v>188</v>
      </c>
      <c r="D2166" s="1" t="s">
        <v>85</v>
      </c>
      <c r="E2166" s="1" t="s">
        <v>28</v>
      </c>
      <c r="F2166" s="1" t="s">
        <v>85</v>
      </c>
      <c r="G2166" s="1">
        <v>9</v>
      </c>
      <c r="H2166" s="1">
        <v>18956</v>
      </c>
      <c r="I2166" s="1">
        <v>0.2</v>
      </c>
      <c r="J2166" s="1">
        <v>136483.20000000001</v>
      </c>
      <c r="K2166" s="1">
        <v>13984.75</v>
      </c>
      <c r="L2166" s="1" t="s">
        <v>45</v>
      </c>
      <c r="M2166" s="1" t="str">
        <f>TEXT(Table1[[#This Row],[Order Date]],"mmm")</f>
        <v>Jan</v>
      </c>
      <c r="N2166" s="1">
        <f>YEAR(Table1[[#This Row],[Order Date]])</f>
        <v>2023</v>
      </c>
    </row>
    <row r="2167" spans="1:14" x14ac:dyDescent="0.35">
      <c r="A2167" s="1" t="s">
        <v>2939</v>
      </c>
      <c r="B2167" s="1" t="s">
        <v>226</v>
      </c>
      <c r="C2167" s="1" t="s">
        <v>188</v>
      </c>
      <c r="D2167" s="1" t="s">
        <v>74</v>
      </c>
      <c r="E2167" s="1" t="s">
        <v>22</v>
      </c>
      <c r="F2167" s="1" t="s">
        <v>74</v>
      </c>
      <c r="G2167" s="1">
        <v>2</v>
      </c>
      <c r="H2167" s="1">
        <v>13239</v>
      </c>
      <c r="I2167" s="1">
        <v>0</v>
      </c>
      <c r="J2167" s="1">
        <v>26478</v>
      </c>
      <c r="K2167" s="1">
        <v>2201.86</v>
      </c>
      <c r="L2167" s="1" t="s">
        <v>23</v>
      </c>
      <c r="M2167" s="1" t="str">
        <f>TEXT(Table1[[#This Row],[Order Date]],"mmm")</f>
        <v>Oct</v>
      </c>
      <c r="N2167" s="1">
        <f>YEAR(Table1[[#This Row],[Order Date]])</f>
        <v>2024</v>
      </c>
    </row>
    <row r="2168" spans="1:14" x14ac:dyDescent="0.35">
      <c r="A2168" s="1" t="s">
        <v>2940</v>
      </c>
      <c r="B2168" s="1" t="s">
        <v>231</v>
      </c>
      <c r="C2168" s="1" t="s">
        <v>55</v>
      </c>
      <c r="D2168" s="1" t="s">
        <v>15</v>
      </c>
      <c r="E2168" s="1" t="s">
        <v>16</v>
      </c>
      <c r="F2168" s="1" t="s">
        <v>15</v>
      </c>
      <c r="G2168" s="1">
        <v>15</v>
      </c>
      <c r="H2168" s="1">
        <v>52118</v>
      </c>
      <c r="I2168" s="1">
        <v>0.1</v>
      </c>
      <c r="J2168" s="1">
        <v>703593</v>
      </c>
      <c r="K2168" s="1">
        <v>87727.44</v>
      </c>
      <c r="L2168" s="1" t="s">
        <v>45</v>
      </c>
      <c r="M2168" s="1" t="str">
        <f>TEXT(Table1[[#This Row],[Order Date]],"mmm")</f>
        <v>Sep</v>
      </c>
      <c r="N2168" s="1">
        <f>YEAR(Table1[[#This Row],[Order Date]])</f>
        <v>2024</v>
      </c>
    </row>
    <row r="2169" spans="1:14" x14ac:dyDescent="0.35">
      <c r="A2169" s="1" t="s">
        <v>2941</v>
      </c>
      <c r="B2169" s="1" t="s">
        <v>459</v>
      </c>
      <c r="C2169" s="1" t="s">
        <v>125</v>
      </c>
      <c r="D2169" s="1" t="s">
        <v>108</v>
      </c>
      <c r="E2169" s="1" t="s">
        <v>22</v>
      </c>
      <c r="F2169" s="1" t="s">
        <v>108</v>
      </c>
      <c r="G2169" s="1">
        <v>14</v>
      </c>
      <c r="H2169" s="1">
        <v>12723</v>
      </c>
      <c r="I2169" s="1">
        <v>0.05</v>
      </c>
      <c r="J2169" s="1">
        <v>169215.9</v>
      </c>
      <c r="K2169" s="1">
        <v>50269.31</v>
      </c>
      <c r="L2169" s="1" t="s">
        <v>45</v>
      </c>
      <c r="M2169" s="1" t="str">
        <f>TEXT(Table1[[#This Row],[Order Date]],"mmm")</f>
        <v>Feb</v>
      </c>
      <c r="N2169" s="1">
        <f>YEAR(Table1[[#This Row],[Order Date]])</f>
        <v>2023</v>
      </c>
    </row>
    <row r="2170" spans="1:14" x14ac:dyDescent="0.35">
      <c r="A2170" s="1" t="s">
        <v>2942</v>
      </c>
      <c r="B2170" s="1" t="s">
        <v>815</v>
      </c>
      <c r="C2170" s="1" t="s">
        <v>55</v>
      </c>
      <c r="D2170" s="1" t="s">
        <v>85</v>
      </c>
      <c r="E2170" s="1" t="s">
        <v>28</v>
      </c>
      <c r="F2170" s="1" t="s">
        <v>85</v>
      </c>
      <c r="G2170" s="1">
        <v>4</v>
      </c>
      <c r="H2170" s="1">
        <v>55627</v>
      </c>
      <c r="I2170" s="1">
        <v>0.15</v>
      </c>
      <c r="J2170" s="1">
        <v>189131.8</v>
      </c>
      <c r="K2170" s="1">
        <v>34498.39</v>
      </c>
      <c r="L2170" s="1" t="s">
        <v>70</v>
      </c>
      <c r="M2170" s="1" t="str">
        <f>TEXT(Table1[[#This Row],[Order Date]],"mmm")</f>
        <v>Mar</v>
      </c>
      <c r="N2170" s="1">
        <f>YEAR(Table1[[#This Row],[Order Date]])</f>
        <v>2023</v>
      </c>
    </row>
    <row r="2171" spans="1:14" x14ac:dyDescent="0.35">
      <c r="A2171" s="1" t="s">
        <v>2943</v>
      </c>
      <c r="B2171" s="1" t="s">
        <v>1265</v>
      </c>
      <c r="C2171" s="1" t="s">
        <v>73</v>
      </c>
      <c r="D2171" s="1" t="s">
        <v>114</v>
      </c>
      <c r="E2171" s="1" t="s">
        <v>16</v>
      </c>
      <c r="F2171" s="1" t="s">
        <v>114</v>
      </c>
      <c r="G2171" s="1">
        <v>9</v>
      </c>
      <c r="H2171" s="1">
        <v>30962</v>
      </c>
      <c r="I2171" s="1">
        <v>0.2</v>
      </c>
      <c r="J2171" s="1">
        <v>222926.4</v>
      </c>
      <c r="K2171" s="1">
        <v>47548.71</v>
      </c>
      <c r="L2171" s="1" t="s">
        <v>70</v>
      </c>
      <c r="M2171" s="1" t="str">
        <f>TEXT(Table1[[#This Row],[Order Date]],"mmm")</f>
        <v>Mar</v>
      </c>
      <c r="N2171" s="1">
        <f>YEAR(Table1[[#This Row],[Order Date]])</f>
        <v>2023</v>
      </c>
    </row>
    <row r="2172" spans="1:14" x14ac:dyDescent="0.35">
      <c r="A2172" s="1" t="s">
        <v>2944</v>
      </c>
      <c r="B2172" s="1" t="s">
        <v>1109</v>
      </c>
      <c r="C2172" s="1" t="s">
        <v>370</v>
      </c>
      <c r="D2172" s="1" t="s">
        <v>52</v>
      </c>
      <c r="E2172" s="1" t="s">
        <v>28</v>
      </c>
      <c r="F2172" s="1" t="s">
        <v>52</v>
      </c>
      <c r="G2172" s="1">
        <v>12</v>
      </c>
      <c r="H2172" s="1">
        <v>1059</v>
      </c>
      <c r="I2172" s="1">
        <v>0.1</v>
      </c>
      <c r="J2172" s="1">
        <v>11437.2</v>
      </c>
      <c r="K2172" s="1">
        <v>2470.9899999999998</v>
      </c>
      <c r="L2172" s="1" t="s">
        <v>45</v>
      </c>
      <c r="M2172" s="1" t="str">
        <f>TEXT(Table1[[#This Row],[Order Date]],"mmm")</f>
        <v>Nov</v>
      </c>
      <c r="N2172" s="1">
        <f>YEAR(Table1[[#This Row],[Order Date]])</f>
        <v>2023</v>
      </c>
    </row>
    <row r="2173" spans="1:14" x14ac:dyDescent="0.35">
      <c r="A2173" s="1" t="s">
        <v>2945</v>
      </c>
      <c r="B2173" s="1" t="s">
        <v>580</v>
      </c>
      <c r="C2173" s="1" t="s">
        <v>335</v>
      </c>
      <c r="D2173" s="1" t="s">
        <v>60</v>
      </c>
      <c r="E2173" s="1" t="s">
        <v>33</v>
      </c>
      <c r="F2173" s="1" t="s">
        <v>60</v>
      </c>
      <c r="G2173" s="1">
        <v>1</v>
      </c>
      <c r="H2173" s="1">
        <v>35724</v>
      </c>
      <c r="I2173" s="1">
        <v>0.15</v>
      </c>
      <c r="J2173" s="1">
        <v>30365.4</v>
      </c>
      <c r="K2173" s="1">
        <v>7247.75</v>
      </c>
      <c r="L2173" s="1" t="s">
        <v>70</v>
      </c>
      <c r="M2173" s="1" t="str">
        <f>TEXT(Table1[[#This Row],[Order Date]],"mmm")</f>
        <v>Nov</v>
      </c>
      <c r="N2173" s="1">
        <f>YEAR(Table1[[#This Row],[Order Date]])</f>
        <v>2024</v>
      </c>
    </row>
    <row r="2174" spans="1:14" x14ac:dyDescent="0.35">
      <c r="A2174" s="1" t="s">
        <v>2946</v>
      </c>
      <c r="B2174" s="1" t="s">
        <v>2239</v>
      </c>
      <c r="C2174" s="1" t="s">
        <v>107</v>
      </c>
      <c r="D2174" s="1" t="s">
        <v>137</v>
      </c>
      <c r="E2174" s="1" t="s">
        <v>22</v>
      </c>
      <c r="F2174" s="1" t="s">
        <v>137</v>
      </c>
      <c r="G2174" s="1">
        <v>5</v>
      </c>
      <c r="H2174" s="1">
        <v>51186</v>
      </c>
      <c r="I2174" s="1">
        <v>0.15</v>
      </c>
      <c r="J2174" s="1">
        <v>217540.5</v>
      </c>
      <c r="K2174" s="1">
        <v>33387.86</v>
      </c>
      <c r="L2174" s="1" t="s">
        <v>45</v>
      </c>
      <c r="M2174" s="1" t="str">
        <f>TEXT(Table1[[#This Row],[Order Date]],"mmm")</f>
        <v>Oct</v>
      </c>
      <c r="N2174" s="1">
        <f>YEAR(Table1[[#This Row],[Order Date]])</f>
        <v>2023</v>
      </c>
    </row>
    <row r="2175" spans="1:14" x14ac:dyDescent="0.35">
      <c r="A2175" s="1" t="s">
        <v>2947</v>
      </c>
      <c r="B2175" s="1" t="s">
        <v>608</v>
      </c>
      <c r="C2175" s="1" t="s">
        <v>31</v>
      </c>
      <c r="D2175" s="1" t="s">
        <v>78</v>
      </c>
      <c r="E2175" s="1" t="s">
        <v>28</v>
      </c>
      <c r="F2175" s="1" t="s">
        <v>78</v>
      </c>
      <c r="G2175" s="1">
        <v>4</v>
      </c>
      <c r="H2175" s="1">
        <v>17151</v>
      </c>
      <c r="I2175" s="1">
        <v>0.2</v>
      </c>
      <c r="J2175" s="1">
        <v>54883.199999999997</v>
      </c>
      <c r="K2175" s="1">
        <v>6221.6</v>
      </c>
      <c r="L2175" s="1" t="s">
        <v>23</v>
      </c>
      <c r="M2175" s="1" t="str">
        <f>TEXT(Table1[[#This Row],[Order Date]],"mmm")</f>
        <v>May</v>
      </c>
      <c r="N2175" s="1">
        <f>YEAR(Table1[[#This Row],[Order Date]])</f>
        <v>2024</v>
      </c>
    </row>
    <row r="2176" spans="1:14" x14ac:dyDescent="0.35">
      <c r="A2176" s="1" t="s">
        <v>2948</v>
      </c>
      <c r="B2176" s="1" t="s">
        <v>1792</v>
      </c>
      <c r="C2176" s="1" t="s">
        <v>200</v>
      </c>
      <c r="D2176" s="1" t="s">
        <v>64</v>
      </c>
      <c r="E2176" s="1" t="s">
        <v>33</v>
      </c>
      <c r="F2176" s="1" t="s">
        <v>64</v>
      </c>
      <c r="G2176" s="1">
        <v>1</v>
      </c>
      <c r="H2176" s="1">
        <v>29879</v>
      </c>
      <c r="I2176" s="1">
        <v>0.05</v>
      </c>
      <c r="J2176" s="1">
        <v>28385.05</v>
      </c>
      <c r="K2176" s="1">
        <v>4494.93</v>
      </c>
      <c r="L2176" s="1" t="s">
        <v>17</v>
      </c>
      <c r="M2176" s="1" t="str">
        <f>TEXT(Table1[[#This Row],[Order Date]],"mmm")</f>
        <v>Apr</v>
      </c>
      <c r="N2176" s="1">
        <f>YEAR(Table1[[#This Row],[Order Date]])</f>
        <v>2023</v>
      </c>
    </row>
    <row r="2177" spans="1:14" x14ac:dyDescent="0.35">
      <c r="A2177" s="1" t="s">
        <v>2949</v>
      </c>
      <c r="B2177" s="1" t="s">
        <v>1401</v>
      </c>
      <c r="C2177" s="1" t="s">
        <v>94</v>
      </c>
      <c r="D2177" s="1" t="s">
        <v>21</v>
      </c>
      <c r="E2177" s="1" t="s">
        <v>22</v>
      </c>
      <c r="F2177" s="1" t="s">
        <v>21</v>
      </c>
      <c r="G2177" s="1">
        <v>1</v>
      </c>
      <c r="H2177" s="1">
        <v>36526</v>
      </c>
      <c r="I2177" s="1">
        <v>0.05</v>
      </c>
      <c r="J2177" s="1">
        <v>34699.699999999997</v>
      </c>
      <c r="K2177" s="1">
        <v>10014.879999999999</v>
      </c>
      <c r="L2177" s="1" t="s">
        <v>45</v>
      </c>
      <c r="M2177" s="1" t="str">
        <f>TEXT(Table1[[#This Row],[Order Date]],"mmm")</f>
        <v>Nov</v>
      </c>
      <c r="N2177" s="1">
        <f>YEAR(Table1[[#This Row],[Order Date]])</f>
        <v>2023</v>
      </c>
    </row>
    <row r="2178" spans="1:14" x14ac:dyDescent="0.35">
      <c r="A2178" s="1" t="s">
        <v>2950</v>
      </c>
      <c r="B2178" s="1" t="s">
        <v>1092</v>
      </c>
      <c r="C2178" s="1" t="s">
        <v>125</v>
      </c>
      <c r="D2178" s="1" t="s">
        <v>64</v>
      </c>
      <c r="E2178" s="1" t="s">
        <v>33</v>
      </c>
      <c r="F2178" s="1" t="s">
        <v>64</v>
      </c>
      <c r="G2178" s="1">
        <v>3</v>
      </c>
      <c r="H2178" s="1">
        <v>14530</v>
      </c>
      <c r="I2178" s="1">
        <v>0.15</v>
      </c>
      <c r="J2178" s="1">
        <v>37051.5</v>
      </c>
      <c r="K2178" s="1">
        <v>9063.99</v>
      </c>
      <c r="L2178" s="1" t="s">
        <v>45</v>
      </c>
      <c r="M2178" s="1" t="str">
        <f>TEXT(Table1[[#This Row],[Order Date]],"mmm")</f>
        <v>Feb</v>
      </c>
      <c r="N2178" s="1">
        <f>YEAR(Table1[[#This Row],[Order Date]])</f>
        <v>2024</v>
      </c>
    </row>
    <row r="2179" spans="1:14" x14ac:dyDescent="0.35">
      <c r="A2179" s="1" t="s">
        <v>2951</v>
      </c>
      <c r="B2179" s="1" t="s">
        <v>1097</v>
      </c>
      <c r="C2179" s="1" t="s">
        <v>158</v>
      </c>
      <c r="D2179" s="1" t="s">
        <v>44</v>
      </c>
      <c r="E2179" s="1" t="s">
        <v>28</v>
      </c>
      <c r="F2179" s="1" t="s">
        <v>44</v>
      </c>
      <c r="G2179" s="1">
        <v>3</v>
      </c>
      <c r="H2179" s="1">
        <v>24262</v>
      </c>
      <c r="I2179" s="1">
        <v>0</v>
      </c>
      <c r="J2179" s="1">
        <v>72786</v>
      </c>
      <c r="K2179" s="1">
        <v>12254.1</v>
      </c>
      <c r="L2179" s="1" t="s">
        <v>17</v>
      </c>
      <c r="M2179" s="1" t="str">
        <f>TEXT(Table1[[#This Row],[Order Date]],"mmm")</f>
        <v>Sep</v>
      </c>
      <c r="N2179" s="1">
        <f>YEAR(Table1[[#This Row],[Order Date]])</f>
        <v>2024</v>
      </c>
    </row>
    <row r="2180" spans="1:14" x14ac:dyDescent="0.35">
      <c r="A2180" s="1" t="s">
        <v>2952</v>
      </c>
      <c r="B2180" s="1" t="s">
        <v>2953</v>
      </c>
      <c r="C2180" s="1" t="s">
        <v>208</v>
      </c>
      <c r="D2180" s="1" t="s">
        <v>52</v>
      </c>
      <c r="E2180" s="1" t="s">
        <v>28</v>
      </c>
      <c r="F2180" s="1" t="s">
        <v>52</v>
      </c>
      <c r="G2180" s="1">
        <v>10</v>
      </c>
      <c r="H2180" s="1">
        <v>1796</v>
      </c>
      <c r="I2180" s="1">
        <v>0</v>
      </c>
      <c r="J2180" s="1">
        <v>17960</v>
      </c>
      <c r="K2180" s="1">
        <v>4445.8</v>
      </c>
      <c r="L2180" s="1" t="s">
        <v>17</v>
      </c>
      <c r="M2180" s="1" t="str">
        <f>TEXT(Table1[[#This Row],[Order Date]],"mmm")</f>
        <v>Jun</v>
      </c>
      <c r="N2180" s="1">
        <f>YEAR(Table1[[#This Row],[Order Date]])</f>
        <v>2023</v>
      </c>
    </row>
    <row r="2181" spans="1:14" x14ac:dyDescent="0.35">
      <c r="A2181" s="1" t="s">
        <v>2954</v>
      </c>
      <c r="B2181" s="1" t="s">
        <v>615</v>
      </c>
      <c r="C2181" s="1" t="s">
        <v>136</v>
      </c>
      <c r="D2181" s="1" t="s">
        <v>60</v>
      </c>
      <c r="E2181" s="1" t="s">
        <v>33</v>
      </c>
      <c r="F2181" s="1" t="s">
        <v>60</v>
      </c>
      <c r="G2181" s="1">
        <v>10</v>
      </c>
      <c r="H2181" s="1">
        <v>55415</v>
      </c>
      <c r="I2181" s="1">
        <v>0.2</v>
      </c>
      <c r="J2181" s="1">
        <v>443320</v>
      </c>
      <c r="K2181" s="1">
        <v>107406.54</v>
      </c>
      <c r="L2181" s="1" t="s">
        <v>17</v>
      </c>
      <c r="M2181" s="1" t="str">
        <f>TEXT(Table1[[#This Row],[Order Date]],"mmm")</f>
        <v>Jun</v>
      </c>
      <c r="N2181" s="1">
        <f>YEAR(Table1[[#This Row],[Order Date]])</f>
        <v>2024</v>
      </c>
    </row>
    <row r="2182" spans="1:14" x14ac:dyDescent="0.35">
      <c r="A2182" s="1" t="s">
        <v>2955</v>
      </c>
      <c r="B2182" s="1" t="s">
        <v>927</v>
      </c>
      <c r="C2182" s="1" t="s">
        <v>14</v>
      </c>
      <c r="D2182" s="1" t="s">
        <v>179</v>
      </c>
      <c r="E2182" s="1" t="s">
        <v>28</v>
      </c>
      <c r="F2182" s="1" t="s">
        <v>179</v>
      </c>
      <c r="G2182" s="1">
        <v>3</v>
      </c>
      <c r="H2182" s="1">
        <v>55846</v>
      </c>
      <c r="I2182" s="1">
        <v>0.1</v>
      </c>
      <c r="J2182" s="1">
        <v>150784.20000000001</v>
      </c>
      <c r="K2182" s="1">
        <v>32155.8</v>
      </c>
      <c r="L2182" s="1" t="s">
        <v>70</v>
      </c>
      <c r="M2182" s="1" t="str">
        <f>TEXT(Table1[[#This Row],[Order Date]],"mmm")</f>
        <v>May</v>
      </c>
      <c r="N2182" s="1">
        <f>YEAR(Table1[[#This Row],[Order Date]])</f>
        <v>2024</v>
      </c>
    </row>
    <row r="2183" spans="1:14" x14ac:dyDescent="0.35">
      <c r="A2183" s="1" t="s">
        <v>2956</v>
      </c>
      <c r="B2183" s="1" t="s">
        <v>2560</v>
      </c>
      <c r="C2183" s="1" t="s">
        <v>170</v>
      </c>
      <c r="D2183" s="1" t="s">
        <v>52</v>
      </c>
      <c r="E2183" s="1" t="s">
        <v>28</v>
      </c>
      <c r="F2183" s="1" t="s">
        <v>52</v>
      </c>
      <c r="G2183" s="1">
        <v>2</v>
      </c>
      <c r="H2183" s="1">
        <v>43839</v>
      </c>
      <c r="I2183" s="1">
        <v>0.2</v>
      </c>
      <c r="J2183" s="1">
        <v>70142.399999999994</v>
      </c>
      <c r="K2183" s="1">
        <v>11215.91</v>
      </c>
      <c r="L2183" s="1" t="s">
        <v>23</v>
      </c>
      <c r="M2183" s="1" t="str">
        <f>TEXT(Table1[[#This Row],[Order Date]],"mmm")</f>
        <v>Jun</v>
      </c>
      <c r="N2183" s="1">
        <f>YEAR(Table1[[#This Row],[Order Date]])</f>
        <v>2024</v>
      </c>
    </row>
    <row r="2184" spans="1:14" x14ac:dyDescent="0.35">
      <c r="A2184" s="1" t="s">
        <v>2957</v>
      </c>
      <c r="B2184" s="1" t="s">
        <v>153</v>
      </c>
      <c r="C2184" s="1" t="s">
        <v>640</v>
      </c>
      <c r="D2184" s="1" t="s">
        <v>323</v>
      </c>
      <c r="E2184" s="1" t="s">
        <v>33</v>
      </c>
      <c r="F2184" s="1" t="s">
        <v>323</v>
      </c>
      <c r="G2184" s="1">
        <v>7</v>
      </c>
      <c r="H2184" s="1">
        <v>35215</v>
      </c>
      <c r="I2184" s="1">
        <v>0.15</v>
      </c>
      <c r="J2184" s="1">
        <v>209529.25</v>
      </c>
      <c r="K2184" s="1">
        <v>21333.759999999998</v>
      </c>
      <c r="L2184" s="1" t="s">
        <v>45</v>
      </c>
      <c r="M2184" s="1" t="str">
        <f>TEXT(Table1[[#This Row],[Order Date]],"mmm")</f>
        <v>Feb</v>
      </c>
      <c r="N2184" s="1">
        <f>YEAR(Table1[[#This Row],[Order Date]])</f>
        <v>2024</v>
      </c>
    </row>
    <row r="2185" spans="1:14" x14ac:dyDescent="0.35">
      <c r="A2185" s="1" t="s">
        <v>2958</v>
      </c>
      <c r="B2185" s="1" t="s">
        <v>709</v>
      </c>
      <c r="C2185" s="1" t="s">
        <v>36</v>
      </c>
      <c r="D2185" s="1" t="s">
        <v>323</v>
      </c>
      <c r="E2185" s="1" t="s">
        <v>33</v>
      </c>
      <c r="F2185" s="1" t="s">
        <v>323</v>
      </c>
      <c r="G2185" s="1">
        <v>10</v>
      </c>
      <c r="H2185" s="1">
        <v>37667</v>
      </c>
      <c r="I2185" s="1">
        <v>0</v>
      </c>
      <c r="J2185" s="1">
        <v>376670</v>
      </c>
      <c r="K2185" s="1">
        <v>38693.26</v>
      </c>
      <c r="L2185" s="1" t="s">
        <v>70</v>
      </c>
      <c r="M2185" s="1" t="str">
        <f>TEXT(Table1[[#This Row],[Order Date]],"mmm")</f>
        <v>Feb</v>
      </c>
      <c r="N2185" s="1">
        <f>YEAR(Table1[[#This Row],[Order Date]])</f>
        <v>2023</v>
      </c>
    </row>
    <row r="2186" spans="1:14" x14ac:dyDescent="0.35">
      <c r="A2186" s="1" t="s">
        <v>2959</v>
      </c>
      <c r="B2186" s="1" t="s">
        <v>113</v>
      </c>
      <c r="C2186" s="1" t="s">
        <v>20</v>
      </c>
      <c r="D2186" s="1" t="s">
        <v>114</v>
      </c>
      <c r="E2186" s="1" t="s">
        <v>16</v>
      </c>
      <c r="F2186" s="1" t="s">
        <v>114</v>
      </c>
      <c r="G2186" s="1">
        <v>7</v>
      </c>
      <c r="H2186" s="1">
        <v>58736</v>
      </c>
      <c r="I2186" s="1">
        <v>0.2</v>
      </c>
      <c r="J2186" s="1">
        <v>328921.59999999998</v>
      </c>
      <c r="K2186" s="1">
        <v>66059.05</v>
      </c>
      <c r="L2186" s="1" t="s">
        <v>23</v>
      </c>
      <c r="M2186" s="1" t="str">
        <f>TEXT(Table1[[#This Row],[Order Date]],"mmm")</f>
        <v>Jul</v>
      </c>
      <c r="N2186" s="1">
        <f>YEAR(Table1[[#This Row],[Order Date]])</f>
        <v>2023</v>
      </c>
    </row>
    <row r="2187" spans="1:14" x14ac:dyDescent="0.35">
      <c r="A2187" s="1" t="s">
        <v>2960</v>
      </c>
      <c r="B2187" s="1" t="s">
        <v>1168</v>
      </c>
      <c r="C2187" s="1" t="s">
        <v>349</v>
      </c>
      <c r="D2187" s="1" t="s">
        <v>48</v>
      </c>
      <c r="E2187" s="1" t="s">
        <v>16</v>
      </c>
      <c r="F2187" s="1" t="s">
        <v>48</v>
      </c>
      <c r="G2187" s="1">
        <v>13</v>
      </c>
      <c r="H2187" s="1">
        <v>27008</v>
      </c>
      <c r="I2187" s="1">
        <v>0</v>
      </c>
      <c r="J2187" s="1">
        <v>351104</v>
      </c>
      <c r="K2187" s="1">
        <v>100532.54</v>
      </c>
      <c r="L2187" s="1" t="s">
        <v>45</v>
      </c>
      <c r="M2187" s="1" t="str">
        <f>TEXT(Table1[[#This Row],[Order Date]],"mmm")</f>
        <v>Sep</v>
      </c>
      <c r="N2187" s="1">
        <f>YEAR(Table1[[#This Row],[Order Date]])</f>
        <v>2024</v>
      </c>
    </row>
    <row r="2188" spans="1:14" x14ac:dyDescent="0.35">
      <c r="A2188" s="1" t="s">
        <v>2961</v>
      </c>
      <c r="B2188" s="1" t="s">
        <v>802</v>
      </c>
      <c r="C2188" s="1" t="s">
        <v>200</v>
      </c>
      <c r="D2188" s="1" t="s">
        <v>15</v>
      </c>
      <c r="E2188" s="1" t="s">
        <v>16</v>
      </c>
      <c r="F2188" s="1" t="s">
        <v>15</v>
      </c>
      <c r="G2188" s="1">
        <v>15</v>
      </c>
      <c r="H2188" s="1">
        <v>49022</v>
      </c>
      <c r="I2188" s="1">
        <v>0.05</v>
      </c>
      <c r="J2188" s="1">
        <v>698563.5</v>
      </c>
      <c r="K2188" s="1">
        <v>147247.32999999999</v>
      </c>
      <c r="L2188" s="1" t="s">
        <v>70</v>
      </c>
      <c r="M2188" s="1" t="str">
        <f>TEXT(Table1[[#This Row],[Order Date]],"mmm")</f>
        <v>Jan</v>
      </c>
      <c r="N2188" s="1">
        <f>YEAR(Table1[[#This Row],[Order Date]])</f>
        <v>2024</v>
      </c>
    </row>
    <row r="2189" spans="1:14" x14ac:dyDescent="0.35">
      <c r="A2189" s="1" t="s">
        <v>2962</v>
      </c>
      <c r="B2189" s="1" t="s">
        <v>2009</v>
      </c>
      <c r="C2189" s="1" t="s">
        <v>120</v>
      </c>
      <c r="D2189" s="1" t="s">
        <v>151</v>
      </c>
      <c r="E2189" s="1" t="s">
        <v>22</v>
      </c>
      <c r="F2189" s="1" t="s">
        <v>151</v>
      </c>
      <c r="G2189" s="1">
        <v>7</v>
      </c>
      <c r="H2189" s="1">
        <v>736</v>
      </c>
      <c r="I2189" s="1">
        <v>0.05</v>
      </c>
      <c r="J2189" s="1">
        <v>4894.3999999999996</v>
      </c>
      <c r="K2189" s="1">
        <v>1242.18</v>
      </c>
      <c r="L2189" s="1" t="s">
        <v>70</v>
      </c>
      <c r="M2189" s="1" t="str">
        <f>TEXT(Table1[[#This Row],[Order Date]],"mmm")</f>
        <v>Jun</v>
      </c>
      <c r="N2189" s="1">
        <f>YEAR(Table1[[#This Row],[Order Date]])</f>
        <v>2024</v>
      </c>
    </row>
    <row r="2190" spans="1:14" x14ac:dyDescent="0.35">
      <c r="A2190" s="1" t="s">
        <v>2963</v>
      </c>
      <c r="B2190" s="1" t="s">
        <v>1178</v>
      </c>
      <c r="C2190" s="1" t="s">
        <v>120</v>
      </c>
      <c r="D2190" s="1" t="s">
        <v>85</v>
      </c>
      <c r="E2190" s="1" t="s">
        <v>28</v>
      </c>
      <c r="F2190" s="1" t="s">
        <v>85</v>
      </c>
      <c r="G2190" s="1">
        <v>15</v>
      </c>
      <c r="H2190" s="1">
        <v>3331</v>
      </c>
      <c r="I2190" s="1">
        <v>0</v>
      </c>
      <c r="J2190" s="1">
        <v>49965</v>
      </c>
      <c r="K2190" s="1">
        <v>13487.84</v>
      </c>
      <c r="L2190" s="1" t="s">
        <v>23</v>
      </c>
      <c r="M2190" s="1" t="str">
        <f>TEXT(Table1[[#This Row],[Order Date]],"mmm")</f>
        <v>Feb</v>
      </c>
      <c r="N2190" s="1">
        <f>YEAR(Table1[[#This Row],[Order Date]])</f>
        <v>2023</v>
      </c>
    </row>
    <row r="2191" spans="1:14" x14ac:dyDescent="0.35">
      <c r="A2191" s="1" t="s">
        <v>2964</v>
      </c>
      <c r="B2191" s="1" t="s">
        <v>1629</v>
      </c>
      <c r="C2191" s="1" t="s">
        <v>84</v>
      </c>
      <c r="D2191" s="1" t="s">
        <v>95</v>
      </c>
      <c r="E2191" s="1" t="s">
        <v>33</v>
      </c>
      <c r="F2191" s="1" t="s">
        <v>95</v>
      </c>
      <c r="G2191" s="1">
        <v>14</v>
      </c>
      <c r="H2191" s="1">
        <v>13817</v>
      </c>
      <c r="I2191" s="1">
        <v>0.2</v>
      </c>
      <c r="J2191" s="1">
        <v>154750.39999999999</v>
      </c>
      <c r="K2191" s="1">
        <v>16050.31</v>
      </c>
      <c r="L2191" s="1" t="s">
        <v>17</v>
      </c>
      <c r="M2191" s="1" t="str">
        <f>TEXT(Table1[[#This Row],[Order Date]],"mmm")</f>
        <v>Jan</v>
      </c>
      <c r="N2191" s="1">
        <f>YEAR(Table1[[#This Row],[Order Date]])</f>
        <v>2023</v>
      </c>
    </row>
    <row r="2192" spans="1:14" x14ac:dyDescent="0.35">
      <c r="A2192" s="1" t="s">
        <v>2965</v>
      </c>
      <c r="B2192" s="1" t="s">
        <v>1464</v>
      </c>
      <c r="C2192" s="1" t="s">
        <v>36</v>
      </c>
      <c r="D2192" s="1" t="s">
        <v>323</v>
      </c>
      <c r="E2192" s="1" t="s">
        <v>33</v>
      </c>
      <c r="F2192" s="1" t="s">
        <v>323</v>
      </c>
      <c r="G2192" s="1">
        <v>4</v>
      </c>
      <c r="H2192" s="1">
        <v>37247</v>
      </c>
      <c r="I2192" s="1">
        <v>0.2</v>
      </c>
      <c r="J2192" s="1">
        <v>119190.39999999999</v>
      </c>
      <c r="K2192" s="1">
        <v>22781.96</v>
      </c>
      <c r="L2192" s="1" t="s">
        <v>23</v>
      </c>
      <c r="M2192" s="1" t="str">
        <f>TEXT(Table1[[#This Row],[Order Date]],"mmm")</f>
        <v>May</v>
      </c>
      <c r="N2192" s="1">
        <f>YEAR(Table1[[#This Row],[Order Date]])</f>
        <v>2023</v>
      </c>
    </row>
    <row r="2193" spans="1:14" x14ac:dyDescent="0.35">
      <c r="A2193" s="1" t="s">
        <v>2966</v>
      </c>
      <c r="B2193" s="1" t="s">
        <v>346</v>
      </c>
      <c r="C2193" s="1" t="s">
        <v>155</v>
      </c>
      <c r="D2193" s="1" t="s">
        <v>41</v>
      </c>
      <c r="E2193" s="1" t="s">
        <v>16</v>
      </c>
      <c r="F2193" s="1" t="s">
        <v>41</v>
      </c>
      <c r="G2193" s="1">
        <v>7</v>
      </c>
      <c r="H2193" s="1">
        <v>7560</v>
      </c>
      <c r="I2193" s="1">
        <v>0.15</v>
      </c>
      <c r="J2193" s="1">
        <v>44982</v>
      </c>
      <c r="K2193" s="1">
        <v>6915.77</v>
      </c>
      <c r="L2193" s="1" t="s">
        <v>17</v>
      </c>
      <c r="M2193" s="1" t="str">
        <f>TEXT(Table1[[#This Row],[Order Date]],"mmm")</f>
        <v>Oct</v>
      </c>
      <c r="N2193" s="1">
        <f>YEAR(Table1[[#This Row],[Order Date]])</f>
        <v>2023</v>
      </c>
    </row>
    <row r="2194" spans="1:14" x14ac:dyDescent="0.35">
      <c r="A2194" s="1" t="s">
        <v>2967</v>
      </c>
      <c r="B2194" s="1" t="s">
        <v>621</v>
      </c>
      <c r="C2194" s="1" t="s">
        <v>203</v>
      </c>
      <c r="D2194" s="1" t="s">
        <v>167</v>
      </c>
      <c r="E2194" s="1" t="s">
        <v>16</v>
      </c>
      <c r="F2194" s="1" t="s">
        <v>167</v>
      </c>
      <c r="G2194" s="1">
        <v>5</v>
      </c>
      <c r="H2194" s="1">
        <v>32400</v>
      </c>
      <c r="I2194" s="1">
        <v>0.15</v>
      </c>
      <c r="J2194" s="1">
        <v>137700</v>
      </c>
      <c r="K2194" s="1">
        <v>21643.71</v>
      </c>
      <c r="L2194" s="1" t="s">
        <v>23</v>
      </c>
      <c r="M2194" s="1" t="str">
        <f>TEXT(Table1[[#This Row],[Order Date]],"mmm")</f>
        <v>Jan</v>
      </c>
      <c r="N2194" s="1">
        <f>YEAR(Table1[[#This Row],[Order Date]])</f>
        <v>2024</v>
      </c>
    </row>
    <row r="2195" spans="1:14" x14ac:dyDescent="0.35">
      <c r="A2195" s="1" t="s">
        <v>2968</v>
      </c>
      <c r="B2195" s="1" t="s">
        <v>744</v>
      </c>
      <c r="C2195" s="1" t="s">
        <v>117</v>
      </c>
      <c r="D2195" s="1" t="s">
        <v>91</v>
      </c>
      <c r="E2195" s="1" t="s">
        <v>16</v>
      </c>
      <c r="F2195" s="1" t="s">
        <v>91</v>
      </c>
      <c r="G2195" s="1">
        <v>13</v>
      </c>
      <c r="H2195" s="1">
        <v>41743</v>
      </c>
      <c r="I2195" s="1">
        <v>0.2</v>
      </c>
      <c r="J2195" s="1">
        <v>434127.2</v>
      </c>
      <c r="K2195" s="1">
        <v>75463.38</v>
      </c>
      <c r="L2195" s="1" t="s">
        <v>70</v>
      </c>
      <c r="M2195" s="1" t="str">
        <f>TEXT(Table1[[#This Row],[Order Date]],"mmm")</f>
        <v>May</v>
      </c>
      <c r="N2195" s="1">
        <f>YEAR(Table1[[#This Row],[Order Date]])</f>
        <v>2023</v>
      </c>
    </row>
    <row r="2196" spans="1:14" x14ac:dyDescent="0.35">
      <c r="A2196" s="1" t="s">
        <v>2969</v>
      </c>
      <c r="B2196" s="1" t="s">
        <v>367</v>
      </c>
      <c r="C2196" s="1" t="s">
        <v>158</v>
      </c>
      <c r="D2196" s="1" t="s">
        <v>137</v>
      </c>
      <c r="E2196" s="1" t="s">
        <v>22</v>
      </c>
      <c r="F2196" s="1" t="s">
        <v>137</v>
      </c>
      <c r="G2196" s="1">
        <v>7</v>
      </c>
      <c r="H2196" s="1">
        <v>47027</v>
      </c>
      <c r="I2196" s="1">
        <v>0.2</v>
      </c>
      <c r="J2196" s="1">
        <v>263351.2</v>
      </c>
      <c r="K2196" s="1">
        <v>73869.56</v>
      </c>
      <c r="L2196" s="1" t="s">
        <v>70</v>
      </c>
      <c r="M2196" s="1" t="str">
        <f>TEXT(Table1[[#This Row],[Order Date]],"mmm")</f>
        <v>Mar</v>
      </c>
      <c r="N2196" s="1">
        <f>YEAR(Table1[[#This Row],[Order Date]])</f>
        <v>2024</v>
      </c>
    </row>
    <row r="2197" spans="1:14" x14ac:dyDescent="0.35">
      <c r="A2197" s="1" t="s">
        <v>2970</v>
      </c>
      <c r="B2197" s="1" t="s">
        <v>193</v>
      </c>
      <c r="C2197" s="1" t="s">
        <v>104</v>
      </c>
      <c r="D2197" s="1" t="s">
        <v>60</v>
      </c>
      <c r="E2197" s="1" t="s">
        <v>33</v>
      </c>
      <c r="F2197" s="1" t="s">
        <v>60</v>
      </c>
      <c r="G2197" s="1">
        <v>12</v>
      </c>
      <c r="H2197" s="1">
        <v>15439</v>
      </c>
      <c r="I2197" s="1">
        <v>0.05</v>
      </c>
      <c r="J2197" s="1">
        <v>176004.6</v>
      </c>
      <c r="K2197" s="1">
        <v>43384.34</v>
      </c>
      <c r="L2197" s="1" t="s">
        <v>17</v>
      </c>
      <c r="M2197" s="1" t="str">
        <f>TEXT(Table1[[#This Row],[Order Date]],"mmm")</f>
        <v>Jun</v>
      </c>
      <c r="N2197" s="1">
        <f>YEAR(Table1[[#This Row],[Order Date]])</f>
        <v>2023</v>
      </c>
    </row>
    <row r="2198" spans="1:14" x14ac:dyDescent="0.35">
      <c r="A2198" s="1" t="s">
        <v>2971</v>
      </c>
      <c r="B2198" s="1" t="s">
        <v>1146</v>
      </c>
      <c r="C2198" s="1" t="s">
        <v>98</v>
      </c>
      <c r="D2198" s="1" t="s">
        <v>141</v>
      </c>
      <c r="E2198" s="1" t="s">
        <v>22</v>
      </c>
      <c r="F2198" s="1" t="s">
        <v>141</v>
      </c>
      <c r="G2198" s="1">
        <v>6</v>
      </c>
      <c r="H2198" s="1">
        <v>3005</v>
      </c>
      <c r="I2198" s="1">
        <v>0</v>
      </c>
      <c r="J2198" s="1">
        <v>18030</v>
      </c>
      <c r="K2198" s="1">
        <v>3175.86</v>
      </c>
      <c r="L2198" s="1" t="s">
        <v>45</v>
      </c>
      <c r="M2198" s="1" t="str">
        <f>TEXT(Table1[[#This Row],[Order Date]],"mmm")</f>
        <v>Apr</v>
      </c>
      <c r="N2198" s="1">
        <f>YEAR(Table1[[#This Row],[Order Date]])</f>
        <v>2024</v>
      </c>
    </row>
    <row r="2199" spans="1:14" x14ac:dyDescent="0.35">
      <c r="A2199" s="1" t="s">
        <v>2972</v>
      </c>
      <c r="B2199" s="1" t="s">
        <v>692</v>
      </c>
      <c r="C2199" s="1" t="s">
        <v>146</v>
      </c>
      <c r="D2199" s="1" t="s">
        <v>293</v>
      </c>
      <c r="E2199" s="1" t="s">
        <v>33</v>
      </c>
      <c r="F2199" s="1" t="s">
        <v>293</v>
      </c>
      <c r="G2199" s="1">
        <v>4</v>
      </c>
      <c r="H2199" s="1">
        <v>5141</v>
      </c>
      <c r="I2199" s="1">
        <v>0.15</v>
      </c>
      <c r="J2199" s="1">
        <v>17479.400000000001</v>
      </c>
      <c r="K2199" s="1">
        <v>2464.75</v>
      </c>
      <c r="L2199" s="1" t="s">
        <v>70</v>
      </c>
      <c r="M2199" s="1" t="str">
        <f>TEXT(Table1[[#This Row],[Order Date]],"mmm")</f>
        <v>Nov</v>
      </c>
      <c r="N2199" s="1">
        <f>YEAR(Table1[[#This Row],[Order Date]])</f>
        <v>2023</v>
      </c>
    </row>
    <row r="2200" spans="1:14" x14ac:dyDescent="0.35">
      <c r="A2200" s="1" t="s">
        <v>2973</v>
      </c>
      <c r="B2200" s="1" t="s">
        <v>1371</v>
      </c>
      <c r="C2200" s="1" t="s">
        <v>31</v>
      </c>
      <c r="D2200" s="1" t="s">
        <v>37</v>
      </c>
      <c r="E2200" s="1" t="s">
        <v>16</v>
      </c>
      <c r="F2200" s="1" t="s">
        <v>37</v>
      </c>
      <c r="G2200" s="1">
        <v>9</v>
      </c>
      <c r="H2200" s="1">
        <v>4338</v>
      </c>
      <c r="I2200" s="1">
        <v>0.15</v>
      </c>
      <c r="J2200" s="1">
        <v>33185.699999999997</v>
      </c>
      <c r="K2200" s="1">
        <v>6380.66</v>
      </c>
      <c r="L2200" s="1" t="s">
        <v>45</v>
      </c>
      <c r="M2200" s="1" t="str">
        <f>TEXT(Table1[[#This Row],[Order Date]],"mmm")</f>
        <v>Jan</v>
      </c>
      <c r="N2200" s="1">
        <f>YEAR(Table1[[#This Row],[Order Date]])</f>
        <v>2023</v>
      </c>
    </row>
    <row r="2201" spans="1:14" x14ac:dyDescent="0.35">
      <c r="A2201" s="1" t="s">
        <v>2974</v>
      </c>
      <c r="B2201" s="1" t="s">
        <v>1876</v>
      </c>
      <c r="C2201" s="1" t="s">
        <v>140</v>
      </c>
      <c r="D2201" s="1" t="s">
        <v>74</v>
      </c>
      <c r="E2201" s="1" t="s">
        <v>22</v>
      </c>
      <c r="F2201" s="1" t="s">
        <v>74</v>
      </c>
      <c r="G2201" s="1">
        <v>1</v>
      </c>
      <c r="H2201" s="1">
        <v>6540</v>
      </c>
      <c r="I2201" s="1">
        <v>0.15</v>
      </c>
      <c r="J2201" s="1">
        <v>5559</v>
      </c>
      <c r="K2201" s="1">
        <v>892.48</v>
      </c>
      <c r="L2201" s="1" t="s">
        <v>70</v>
      </c>
      <c r="M2201" s="1" t="str">
        <f>TEXT(Table1[[#This Row],[Order Date]],"mmm")</f>
        <v>Feb</v>
      </c>
      <c r="N2201" s="1">
        <f>YEAR(Table1[[#This Row],[Order Date]])</f>
        <v>2024</v>
      </c>
    </row>
    <row r="2202" spans="1:14" x14ac:dyDescent="0.35">
      <c r="A2202" s="1" t="s">
        <v>2975</v>
      </c>
      <c r="B2202" s="1" t="s">
        <v>1798</v>
      </c>
      <c r="C2202" s="1" t="s">
        <v>55</v>
      </c>
      <c r="D2202" s="1" t="s">
        <v>60</v>
      </c>
      <c r="E2202" s="1" t="s">
        <v>33</v>
      </c>
      <c r="F2202" s="1" t="s">
        <v>60</v>
      </c>
      <c r="G2202" s="1">
        <v>2</v>
      </c>
      <c r="H2202" s="1">
        <v>45086</v>
      </c>
      <c r="I2202" s="1">
        <v>0.1</v>
      </c>
      <c r="J2202" s="1">
        <v>81154.8</v>
      </c>
      <c r="K2202" s="1">
        <v>20016.580000000002</v>
      </c>
      <c r="L2202" s="1" t="s">
        <v>17</v>
      </c>
      <c r="M2202" s="1" t="str">
        <f>TEXT(Table1[[#This Row],[Order Date]],"mmm")</f>
        <v>Jan</v>
      </c>
      <c r="N2202" s="1">
        <f>YEAR(Table1[[#This Row],[Order Date]])</f>
        <v>2024</v>
      </c>
    </row>
    <row r="2203" spans="1:14" x14ac:dyDescent="0.35">
      <c r="A2203" s="1" t="s">
        <v>2976</v>
      </c>
      <c r="B2203" s="1" t="s">
        <v>513</v>
      </c>
      <c r="C2203" s="1" t="s">
        <v>81</v>
      </c>
      <c r="D2203" s="1" t="s">
        <v>133</v>
      </c>
      <c r="E2203" s="1" t="s">
        <v>22</v>
      </c>
      <c r="F2203" s="1" t="s">
        <v>133</v>
      </c>
      <c r="G2203" s="1">
        <v>15</v>
      </c>
      <c r="H2203" s="1">
        <v>3883</v>
      </c>
      <c r="I2203" s="1">
        <v>0</v>
      </c>
      <c r="J2203" s="1">
        <v>58245</v>
      </c>
      <c r="K2203" s="1">
        <v>14300.77</v>
      </c>
      <c r="L2203" s="1" t="s">
        <v>17</v>
      </c>
      <c r="M2203" s="1" t="str">
        <f>TEXT(Table1[[#This Row],[Order Date]],"mmm")</f>
        <v>Sep</v>
      </c>
      <c r="N2203" s="1">
        <f>YEAR(Table1[[#This Row],[Order Date]])</f>
        <v>2023</v>
      </c>
    </row>
    <row r="2204" spans="1:14" x14ac:dyDescent="0.35">
      <c r="A2204" s="1" t="s">
        <v>2977</v>
      </c>
      <c r="B2204" s="1" t="s">
        <v>1198</v>
      </c>
      <c r="C2204" s="1" t="s">
        <v>84</v>
      </c>
      <c r="D2204" s="1" t="s">
        <v>56</v>
      </c>
      <c r="E2204" s="1" t="s">
        <v>22</v>
      </c>
      <c r="F2204" s="1" t="s">
        <v>56</v>
      </c>
      <c r="G2204" s="1">
        <v>8</v>
      </c>
      <c r="H2204" s="1">
        <v>2176</v>
      </c>
      <c r="I2204" s="1">
        <v>0.2</v>
      </c>
      <c r="J2204" s="1">
        <v>13926.4</v>
      </c>
      <c r="K2204" s="1">
        <v>3295.62</v>
      </c>
      <c r="L2204" s="1" t="s">
        <v>17</v>
      </c>
      <c r="M2204" s="1" t="str">
        <f>TEXT(Table1[[#This Row],[Order Date]],"mmm")</f>
        <v>Mar</v>
      </c>
      <c r="N2204" s="1">
        <f>YEAR(Table1[[#This Row],[Order Date]])</f>
        <v>2023</v>
      </c>
    </row>
    <row r="2205" spans="1:14" x14ac:dyDescent="0.35">
      <c r="A2205" s="1" t="s">
        <v>2978</v>
      </c>
      <c r="B2205" s="1" t="s">
        <v>1163</v>
      </c>
      <c r="C2205" s="1" t="s">
        <v>14</v>
      </c>
      <c r="D2205" s="1" t="s">
        <v>137</v>
      </c>
      <c r="E2205" s="1" t="s">
        <v>22</v>
      </c>
      <c r="F2205" s="1" t="s">
        <v>137</v>
      </c>
      <c r="G2205" s="1">
        <v>1</v>
      </c>
      <c r="H2205" s="1">
        <v>16492</v>
      </c>
      <c r="I2205" s="1">
        <v>0</v>
      </c>
      <c r="J2205" s="1">
        <v>16492</v>
      </c>
      <c r="K2205" s="1">
        <v>1650.99</v>
      </c>
      <c r="L2205" s="1" t="s">
        <v>17</v>
      </c>
      <c r="M2205" s="1" t="str">
        <f>TEXT(Table1[[#This Row],[Order Date]],"mmm")</f>
        <v>Jun</v>
      </c>
      <c r="N2205" s="1">
        <f>YEAR(Table1[[#This Row],[Order Date]])</f>
        <v>2023</v>
      </c>
    </row>
    <row r="2206" spans="1:14" x14ac:dyDescent="0.35">
      <c r="A2206" s="1" t="s">
        <v>2979</v>
      </c>
      <c r="B2206" s="1" t="s">
        <v>110</v>
      </c>
      <c r="C2206" s="1" t="s">
        <v>117</v>
      </c>
      <c r="D2206" s="1" t="s">
        <v>137</v>
      </c>
      <c r="E2206" s="1" t="s">
        <v>22</v>
      </c>
      <c r="F2206" s="1" t="s">
        <v>137</v>
      </c>
      <c r="G2206" s="1">
        <v>12</v>
      </c>
      <c r="H2206" s="1">
        <v>31528</v>
      </c>
      <c r="I2206" s="1">
        <v>0</v>
      </c>
      <c r="J2206" s="1">
        <v>378336</v>
      </c>
      <c r="K2206" s="1">
        <v>84745.13</v>
      </c>
      <c r="L2206" s="1" t="s">
        <v>45</v>
      </c>
      <c r="M2206" s="1" t="str">
        <f>TEXT(Table1[[#This Row],[Order Date]],"mmm")</f>
        <v>Jan</v>
      </c>
      <c r="N2206" s="1">
        <f>YEAR(Table1[[#This Row],[Order Date]])</f>
        <v>2023</v>
      </c>
    </row>
    <row r="2207" spans="1:14" x14ac:dyDescent="0.35">
      <c r="A2207" s="1" t="s">
        <v>2980</v>
      </c>
      <c r="B2207" s="1" t="s">
        <v>337</v>
      </c>
      <c r="C2207" s="1" t="s">
        <v>84</v>
      </c>
      <c r="D2207" s="1" t="s">
        <v>224</v>
      </c>
      <c r="E2207" s="1" t="s">
        <v>33</v>
      </c>
      <c r="F2207" s="1" t="s">
        <v>224</v>
      </c>
      <c r="G2207" s="1">
        <v>13</v>
      </c>
      <c r="H2207" s="1">
        <v>39766</v>
      </c>
      <c r="I2207" s="1">
        <v>0.05</v>
      </c>
      <c r="J2207" s="1">
        <v>491110.1</v>
      </c>
      <c r="K2207" s="1">
        <v>105521.57</v>
      </c>
      <c r="L2207" s="1" t="s">
        <v>17</v>
      </c>
      <c r="M2207" s="1" t="str">
        <f>TEXT(Table1[[#This Row],[Order Date]],"mmm")</f>
        <v>May</v>
      </c>
      <c r="N2207" s="1">
        <f>YEAR(Table1[[#This Row],[Order Date]])</f>
        <v>2024</v>
      </c>
    </row>
    <row r="2208" spans="1:14" x14ac:dyDescent="0.35">
      <c r="A2208" s="1" t="s">
        <v>2981</v>
      </c>
      <c r="B2208" s="1" t="s">
        <v>30</v>
      </c>
      <c r="C2208" s="1" t="s">
        <v>507</v>
      </c>
      <c r="D2208" s="1" t="s">
        <v>85</v>
      </c>
      <c r="E2208" s="1" t="s">
        <v>28</v>
      </c>
      <c r="F2208" s="1" t="s">
        <v>85</v>
      </c>
      <c r="G2208" s="1">
        <v>4</v>
      </c>
      <c r="H2208" s="1">
        <v>29453</v>
      </c>
      <c r="I2208" s="1">
        <v>0.1</v>
      </c>
      <c r="J2208" s="1">
        <v>106030.8</v>
      </c>
      <c r="K2208" s="1">
        <v>22369.87</v>
      </c>
      <c r="L2208" s="1" t="s">
        <v>45</v>
      </c>
      <c r="M2208" s="1" t="str">
        <f>TEXT(Table1[[#This Row],[Order Date]],"mmm")</f>
        <v>Apr</v>
      </c>
      <c r="N2208" s="1">
        <f>YEAR(Table1[[#This Row],[Order Date]])</f>
        <v>2023</v>
      </c>
    </row>
    <row r="2209" spans="1:14" x14ac:dyDescent="0.35">
      <c r="A2209" s="1" t="s">
        <v>2982</v>
      </c>
      <c r="B2209" s="1" t="s">
        <v>2340</v>
      </c>
      <c r="C2209" s="1" t="s">
        <v>136</v>
      </c>
      <c r="D2209" s="1" t="s">
        <v>21</v>
      </c>
      <c r="E2209" s="1" t="s">
        <v>22</v>
      </c>
      <c r="F2209" s="1" t="s">
        <v>21</v>
      </c>
      <c r="G2209" s="1">
        <v>3</v>
      </c>
      <c r="H2209" s="1">
        <v>4997</v>
      </c>
      <c r="I2209" s="1">
        <v>0</v>
      </c>
      <c r="J2209" s="1">
        <v>14991</v>
      </c>
      <c r="K2209" s="1">
        <v>3392.95</v>
      </c>
      <c r="L2209" s="1" t="s">
        <v>23</v>
      </c>
      <c r="M2209" s="1" t="str">
        <f>TEXT(Table1[[#This Row],[Order Date]],"mmm")</f>
        <v>Sep</v>
      </c>
      <c r="N2209" s="1">
        <f>YEAR(Table1[[#This Row],[Order Date]])</f>
        <v>2023</v>
      </c>
    </row>
    <row r="2210" spans="1:14" x14ac:dyDescent="0.35">
      <c r="A2210" s="1" t="s">
        <v>2983</v>
      </c>
      <c r="B2210" s="1" t="s">
        <v>1196</v>
      </c>
      <c r="C2210" s="1" t="s">
        <v>81</v>
      </c>
      <c r="D2210" s="1" t="s">
        <v>27</v>
      </c>
      <c r="E2210" s="1" t="s">
        <v>28</v>
      </c>
      <c r="F2210" s="1" t="s">
        <v>27</v>
      </c>
      <c r="G2210" s="1">
        <v>12</v>
      </c>
      <c r="H2210" s="1">
        <v>49543</v>
      </c>
      <c r="I2210" s="1">
        <v>0</v>
      </c>
      <c r="J2210" s="1">
        <v>594516</v>
      </c>
      <c r="K2210" s="1">
        <v>135520.14000000001</v>
      </c>
      <c r="L2210" s="1" t="s">
        <v>45</v>
      </c>
      <c r="M2210" s="1" t="str">
        <f>TEXT(Table1[[#This Row],[Order Date]],"mmm")</f>
        <v>May</v>
      </c>
      <c r="N2210" s="1">
        <f>YEAR(Table1[[#This Row],[Order Date]])</f>
        <v>2023</v>
      </c>
    </row>
    <row r="2211" spans="1:14" x14ac:dyDescent="0.35">
      <c r="A2211" s="1" t="s">
        <v>2984</v>
      </c>
      <c r="B2211" s="1" t="s">
        <v>339</v>
      </c>
      <c r="C2211" s="1" t="s">
        <v>255</v>
      </c>
      <c r="D2211" s="1" t="s">
        <v>91</v>
      </c>
      <c r="E2211" s="1" t="s">
        <v>16</v>
      </c>
      <c r="F2211" s="1" t="s">
        <v>91</v>
      </c>
      <c r="G2211" s="1">
        <v>9</v>
      </c>
      <c r="H2211" s="1">
        <v>28402</v>
      </c>
      <c r="I2211" s="1">
        <v>0.2</v>
      </c>
      <c r="J2211" s="1">
        <v>204494.4</v>
      </c>
      <c r="K2211" s="1">
        <v>60519.7</v>
      </c>
      <c r="L2211" s="1" t="s">
        <v>45</v>
      </c>
      <c r="M2211" s="1" t="str">
        <f>TEXT(Table1[[#This Row],[Order Date]],"mmm")</f>
        <v>Jun</v>
      </c>
      <c r="N2211" s="1">
        <f>YEAR(Table1[[#This Row],[Order Date]])</f>
        <v>2024</v>
      </c>
    </row>
    <row r="2212" spans="1:14" x14ac:dyDescent="0.35">
      <c r="A2212" s="1" t="s">
        <v>2985</v>
      </c>
      <c r="B2212" s="1" t="s">
        <v>1109</v>
      </c>
      <c r="C2212" s="1" t="s">
        <v>155</v>
      </c>
      <c r="D2212" s="1" t="s">
        <v>44</v>
      </c>
      <c r="E2212" s="1" t="s">
        <v>28</v>
      </c>
      <c r="F2212" s="1" t="s">
        <v>44</v>
      </c>
      <c r="G2212" s="1">
        <v>8</v>
      </c>
      <c r="H2212" s="1">
        <v>5771</v>
      </c>
      <c r="I2212" s="1">
        <v>0.15</v>
      </c>
      <c r="J2212" s="1">
        <v>39242.800000000003</v>
      </c>
      <c r="K2212" s="1">
        <v>11714.93</v>
      </c>
      <c r="L2212" s="1" t="s">
        <v>17</v>
      </c>
      <c r="M2212" s="1" t="str">
        <f>TEXT(Table1[[#This Row],[Order Date]],"mmm")</f>
        <v>Nov</v>
      </c>
      <c r="N2212" s="1">
        <f>YEAR(Table1[[#This Row],[Order Date]])</f>
        <v>2023</v>
      </c>
    </row>
    <row r="2213" spans="1:14" x14ac:dyDescent="0.35">
      <c r="A2213" s="1" t="s">
        <v>2986</v>
      </c>
      <c r="B2213" s="1" t="s">
        <v>2321</v>
      </c>
      <c r="C2213" s="1" t="s">
        <v>260</v>
      </c>
      <c r="D2213" s="1" t="s">
        <v>44</v>
      </c>
      <c r="E2213" s="1" t="s">
        <v>28</v>
      </c>
      <c r="F2213" s="1" t="s">
        <v>44</v>
      </c>
      <c r="G2213" s="1">
        <v>10</v>
      </c>
      <c r="H2213" s="1">
        <v>25937</v>
      </c>
      <c r="I2213" s="1">
        <v>0.05</v>
      </c>
      <c r="J2213" s="1">
        <v>246401.5</v>
      </c>
      <c r="K2213" s="1">
        <v>60791.85</v>
      </c>
      <c r="L2213" s="1" t="s">
        <v>70</v>
      </c>
      <c r="M2213" s="1" t="str">
        <f>TEXT(Table1[[#This Row],[Order Date]],"mmm")</f>
        <v>Feb</v>
      </c>
      <c r="N2213" s="1">
        <f>YEAR(Table1[[#This Row],[Order Date]])</f>
        <v>2023</v>
      </c>
    </row>
    <row r="2214" spans="1:14" x14ac:dyDescent="0.35">
      <c r="A2214" s="1" t="s">
        <v>2987</v>
      </c>
      <c r="B2214" s="1" t="s">
        <v>2746</v>
      </c>
      <c r="C2214" s="1" t="s">
        <v>260</v>
      </c>
      <c r="D2214" s="1" t="s">
        <v>27</v>
      </c>
      <c r="E2214" s="1" t="s">
        <v>28</v>
      </c>
      <c r="F2214" s="1" t="s">
        <v>27</v>
      </c>
      <c r="G2214" s="1">
        <v>15</v>
      </c>
      <c r="H2214" s="1">
        <v>19156</v>
      </c>
      <c r="I2214" s="1">
        <v>0.05</v>
      </c>
      <c r="J2214" s="1">
        <v>272973</v>
      </c>
      <c r="K2214" s="1">
        <v>60172.19</v>
      </c>
      <c r="L2214" s="1" t="s">
        <v>17</v>
      </c>
      <c r="M2214" s="1" t="str">
        <f>TEXT(Table1[[#This Row],[Order Date]],"mmm")</f>
        <v>Jan</v>
      </c>
      <c r="N2214" s="1">
        <f>YEAR(Table1[[#This Row],[Order Date]])</f>
        <v>2023</v>
      </c>
    </row>
    <row r="2215" spans="1:14" x14ac:dyDescent="0.35">
      <c r="A2215" s="1" t="s">
        <v>2988</v>
      </c>
      <c r="B2215" s="1" t="s">
        <v>726</v>
      </c>
      <c r="C2215" s="1" t="s">
        <v>67</v>
      </c>
      <c r="D2215" s="1" t="s">
        <v>64</v>
      </c>
      <c r="E2215" s="1" t="s">
        <v>33</v>
      </c>
      <c r="F2215" s="1" t="s">
        <v>64</v>
      </c>
      <c r="G2215" s="1">
        <v>4</v>
      </c>
      <c r="H2215" s="1">
        <v>10966</v>
      </c>
      <c r="I2215" s="1">
        <v>0.1</v>
      </c>
      <c r="J2215" s="1">
        <v>39477.599999999999</v>
      </c>
      <c r="K2215" s="1">
        <v>10159.530000000001</v>
      </c>
      <c r="L2215" s="1" t="s">
        <v>23</v>
      </c>
      <c r="M2215" s="1" t="str">
        <f>TEXT(Table1[[#This Row],[Order Date]],"mmm")</f>
        <v>Apr</v>
      </c>
      <c r="N2215" s="1">
        <f>YEAR(Table1[[#This Row],[Order Date]])</f>
        <v>2024</v>
      </c>
    </row>
    <row r="2216" spans="1:14" x14ac:dyDescent="0.35">
      <c r="A2216" s="1" t="s">
        <v>2989</v>
      </c>
      <c r="B2216" s="1" t="s">
        <v>2421</v>
      </c>
      <c r="C2216" s="1" t="s">
        <v>94</v>
      </c>
      <c r="D2216" s="1" t="s">
        <v>137</v>
      </c>
      <c r="E2216" s="1" t="s">
        <v>22</v>
      </c>
      <c r="F2216" s="1" t="s">
        <v>137</v>
      </c>
      <c r="G2216" s="1">
        <v>13</v>
      </c>
      <c r="H2216" s="1">
        <v>13402</v>
      </c>
      <c r="I2216" s="1">
        <v>0.1</v>
      </c>
      <c r="J2216" s="1">
        <v>156803.4</v>
      </c>
      <c r="K2216" s="1">
        <v>25054.36</v>
      </c>
      <c r="L2216" s="1" t="s">
        <v>70</v>
      </c>
      <c r="M2216" s="1" t="str">
        <f>TEXT(Table1[[#This Row],[Order Date]],"mmm")</f>
        <v>Jun</v>
      </c>
      <c r="N2216" s="1">
        <f>YEAR(Table1[[#This Row],[Order Date]])</f>
        <v>2024</v>
      </c>
    </row>
    <row r="2217" spans="1:14" x14ac:dyDescent="0.35">
      <c r="A2217" s="1" t="s">
        <v>2990</v>
      </c>
      <c r="B2217" s="1" t="s">
        <v>259</v>
      </c>
      <c r="C2217" s="1" t="s">
        <v>208</v>
      </c>
      <c r="D2217" s="1" t="s">
        <v>44</v>
      </c>
      <c r="E2217" s="1" t="s">
        <v>28</v>
      </c>
      <c r="F2217" s="1" t="s">
        <v>44</v>
      </c>
      <c r="G2217" s="1">
        <v>3</v>
      </c>
      <c r="H2217" s="1">
        <v>1778</v>
      </c>
      <c r="I2217" s="1">
        <v>0</v>
      </c>
      <c r="J2217" s="1">
        <v>5334</v>
      </c>
      <c r="K2217" s="1">
        <v>1380.2</v>
      </c>
      <c r="L2217" s="1" t="s">
        <v>45</v>
      </c>
      <c r="M2217" s="1" t="str">
        <f>TEXT(Table1[[#This Row],[Order Date]],"mmm")</f>
        <v>Oct</v>
      </c>
      <c r="N2217" s="1">
        <f>YEAR(Table1[[#This Row],[Order Date]])</f>
        <v>2024</v>
      </c>
    </row>
    <row r="2218" spans="1:14" x14ac:dyDescent="0.35">
      <c r="A2218" s="1" t="s">
        <v>2991</v>
      </c>
      <c r="B2218" s="1" t="s">
        <v>451</v>
      </c>
      <c r="C2218" s="1" t="s">
        <v>140</v>
      </c>
      <c r="D2218" s="1" t="s">
        <v>91</v>
      </c>
      <c r="E2218" s="1" t="s">
        <v>16</v>
      </c>
      <c r="F2218" s="1" t="s">
        <v>91</v>
      </c>
      <c r="G2218" s="1">
        <v>15</v>
      </c>
      <c r="H2218" s="1">
        <v>56606</v>
      </c>
      <c r="I2218" s="1">
        <v>0.1</v>
      </c>
      <c r="J2218" s="1">
        <v>764181</v>
      </c>
      <c r="K2218" s="1">
        <v>145068.06</v>
      </c>
      <c r="L2218" s="1" t="s">
        <v>23</v>
      </c>
      <c r="M2218" s="1" t="str">
        <f>TEXT(Table1[[#This Row],[Order Date]],"mmm")</f>
        <v>Nov</v>
      </c>
      <c r="N2218" s="1">
        <f>YEAR(Table1[[#This Row],[Order Date]])</f>
        <v>2024</v>
      </c>
    </row>
    <row r="2219" spans="1:14" x14ac:dyDescent="0.35">
      <c r="A2219" s="1" t="s">
        <v>2992</v>
      </c>
      <c r="B2219" s="1" t="s">
        <v>1489</v>
      </c>
      <c r="C2219" s="1" t="s">
        <v>63</v>
      </c>
      <c r="D2219" s="1" t="s">
        <v>95</v>
      </c>
      <c r="E2219" s="1" t="s">
        <v>33</v>
      </c>
      <c r="F2219" s="1" t="s">
        <v>95</v>
      </c>
      <c r="G2219" s="1">
        <v>2</v>
      </c>
      <c r="H2219" s="1">
        <v>17594</v>
      </c>
      <c r="I2219" s="1">
        <v>0.05</v>
      </c>
      <c r="J2219" s="1">
        <v>33428.6</v>
      </c>
      <c r="K2219" s="1">
        <v>4510.1899999999996</v>
      </c>
      <c r="L2219" s="1" t="s">
        <v>17</v>
      </c>
      <c r="M2219" s="1" t="str">
        <f>TEXT(Table1[[#This Row],[Order Date]],"mmm")</f>
        <v>Mar</v>
      </c>
      <c r="N2219" s="1">
        <f>YEAR(Table1[[#This Row],[Order Date]])</f>
        <v>2023</v>
      </c>
    </row>
    <row r="2220" spans="1:14" x14ac:dyDescent="0.35">
      <c r="A2220" s="1" t="s">
        <v>2993</v>
      </c>
      <c r="B2220" s="1" t="s">
        <v>515</v>
      </c>
      <c r="C2220" s="1" t="s">
        <v>81</v>
      </c>
      <c r="D2220" s="1" t="s">
        <v>52</v>
      </c>
      <c r="E2220" s="1" t="s">
        <v>28</v>
      </c>
      <c r="F2220" s="1" t="s">
        <v>52</v>
      </c>
      <c r="G2220" s="1">
        <v>10</v>
      </c>
      <c r="H2220" s="1">
        <v>43775</v>
      </c>
      <c r="I2220" s="1">
        <v>0.1</v>
      </c>
      <c r="J2220" s="1">
        <v>393975</v>
      </c>
      <c r="K2220" s="1">
        <v>38223.449999999997</v>
      </c>
      <c r="L2220" s="1" t="s">
        <v>23</v>
      </c>
      <c r="M2220" s="1" t="str">
        <f>TEXT(Table1[[#This Row],[Order Date]],"mmm")</f>
        <v>Apr</v>
      </c>
      <c r="N2220" s="1">
        <f>YEAR(Table1[[#This Row],[Order Date]])</f>
        <v>2024</v>
      </c>
    </row>
    <row r="2221" spans="1:14" x14ac:dyDescent="0.35">
      <c r="A2221" s="1" t="s">
        <v>2994</v>
      </c>
      <c r="B2221" s="1" t="s">
        <v>2421</v>
      </c>
      <c r="C2221" s="1" t="s">
        <v>101</v>
      </c>
      <c r="D2221" s="1" t="s">
        <v>108</v>
      </c>
      <c r="E2221" s="1" t="s">
        <v>22</v>
      </c>
      <c r="F2221" s="1" t="s">
        <v>108</v>
      </c>
      <c r="G2221" s="1">
        <v>4</v>
      </c>
      <c r="H2221" s="1">
        <v>21178</v>
      </c>
      <c r="I2221" s="1">
        <v>0</v>
      </c>
      <c r="J2221" s="1">
        <v>84712</v>
      </c>
      <c r="K2221" s="1">
        <v>15283.79</v>
      </c>
      <c r="L2221" s="1" t="s">
        <v>70</v>
      </c>
      <c r="M2221" s="1" t="str">
        <f>TEXT(Table1[[#This Row],[Order Date]],"mmm")</f>
        <v>Jun</v>
      </c>
      <c r="N2221" s="1">
        <f>YEAR(Table1[[#This Row],[Order Date]])</f>
        <v>2024</v>
      </c>
    </row>
    <row r="2222" spans="1:14" x14ac:dyDescent="0.35">
      <c r="A2222" s="1" t="s">
        <v>2995</v>
      </c>
      <c r="B2222" s="1" t="s">
        <v>1310</v>
      </c>
      <c r="C2222" s="1" t="s">
        <v>178</v>
      </c>
      <c r="D2222" s="1" t="s">
        <v>64</v>
      </c>
      <c r="E2222" s="1" t="s">
        <v>33</v>
      </c>
      <c r="F2222" s="1" t="s">
        <v>64</v>
      </c>
      <c r="G2222" s="1">
        <v>13</v>
      </c>
      <c r="H2222" s="1">
        <v>39677</v>
      </c>
      <c r="I2222" s="1">
        <v>0.15</v>
      </c>
      <c r="J2222" s="1">
        <v>438430.85</v>
      </c>
      <c r="K2222" s="1">
        <v>49753.75</v>
      </c>
      <c r="L2222" s="1" t="s">
        <v>17</v>
      </c>
      <c r="M2222" s="1" t="str">
        <f>TEXT(Table1[[#This Row],[Order Date]],"mmm")</f>
        <v>Jan</v>
      </c>
      <c r="N2222" s="1">
        <f>YEAR(Table1[[#This Row],[Order Date]])</f>
        <v>2024</v>
      </c>
    </row>
    <row r="2223" spans="1:14" x14ac:dyDescent="0.35">
      <c r="A2223" s="1" t="s">
        <v>2996</v>
      </c>
      <c r="B2223" s="1" t="s">
        <v>1823</v>
      </c>
      <c r="C2223" s="1" t="s">
        <v>191</v>
      </c>
      <c r="D2223" s="1" t="s">
        <v>37</v>
      </c>
      <c r="E2223" s="1" t="s">
        <v>16</v>
      </c>
      <c r="F2223" s="1" t="s">
        <v>37</v>
      </c>
      <c r="G2223" s="1">
        <v>12</v>
      </c>
      <c r="H2223" s="1">
        <v>2947</v>
      </c>
      <c r="I2223" s="1">
        <v>0</v>
      </c>
      <c r="J2223" s="1">
        <v>35364</v>
      </c>
      <c r="K2223" s="1">
        <v>4077.46</v>
      </c>
      <c r="L2223" s="1" t="s">
        <v>45</v>
      </c>
      <c r="M2223" s="1" t="str">
        <f>TEXT(Table1[[#This Row],[Order Date]],"mmm")</f>
        <v>Feb</v>
      </c>
      <c r="N2223" s="1">
        <f>YEAR(Table1[[#This Row],[Order Date]])</f>
        <v>2023</v>
      </c>
    </row>
    <row r="2224" spans="1:14" x14ac:dyDescent="0.35">
      <c r="A2224" s="1" t="s">
        <v>2997</v>
      </c>
      <c r="B2224" s="1" t="s">
        <v>2601</v>
      </c>
      <c r="C2224" s="1" t="s">
        <v>20</v>
      </c>
      <c r="D2224" s="1" t="s">
        <v>179</v>
      </c>
      <c r="E2224" s="1" t="s">
        <v>28</v>
      </c>
      <c r="F2224" s="1" t="s">
        <v>179</v>
      </c>
      <c r="G2224" s="1">
        <v>2</v>
      </c>
      <c r="H2224" s="1">
        <v>6225</v>
      </c>
      <c r="I2224" s="1">
        <v>0.05</v>
      </c>
      <c r="J2224" s="1">
        <v>11827.5</v>
      </c>
      <c r="K2224" s="1">
        <v>2165.1</v>
      </c>
      <c r="L2224" s="1" t="s">
        <v>23</v>
      </c>
      <c r="M2224" s="1" t="str">
        <f>TEXT(Table1[[#This Row],[Order Date]],"mmm")</f>
        <v>Aug</v>
      </c>
      <c r="N2224" s="1">
        <f>YEAR(Table1[[#This Row],[Order Date]])</f>
        <v>2023</v>
      </c>
    </row>
    <row r="2225" spans="1:14" x14ac:dyDescent="0.35">
      <c r="A2225" s="1" t="s">
        <v>2998</v>
      </c>
      <c r="B2225" s="1" t="s">
        <v>421</v>
      </c>
      <c r="C2225" s="1" t="s">
        <v>227</v>
      </c>
      <c r="D2225" s="1" t="s">
        <v>37</v>
      </c>
      <c r="E2225" s="1" t="s">
        <v>16</v>
      </c>
      <c r="F2225" s="1" t="s">
        <v>37</v>
      </c>
      <c r="G2225" s="1">
        <v>1</v>
      </c>
      <c r="H2225" s="1">
        <v>55490</v>
      </c>
      <c r="I2225" s="1">
        <v>0.05</v>
      </c>
      <c r="J2225" s="1">
        <v>52715.5</v>
      </c>
      <c r="K2225" s="1">
        <v>6619.59</v>
      </c>
      <c r="L2225" s="1" t="s">
        <v>45</v>
      </c>
      <c r="M2225" s="1" t="str">
        <f>TEXT(Table1[[#This Row],[Order Date]],"mmm")</f>
        <v>Nov</v>
      </c>
      <c r="N2225" s="1">
        <f>YEAR(Table1[[#This Row],[Order Date]])</f>
        <v>2023</v>
      </c>
    </row>
    <row r="2226" spans="1:14" x14ac:dyDescent="0.35">
      <c r="A2226" s="1" t="s">
        <v>2999</v>
      </c>
      <c r="B2226" s="1" t="s">
        <v>3000</v>
      </c>
      <c r="C2226" s="1" t="s">
        <v>59</v>
      </c>
      <c r="D2226" s="1" t="s">
        <v>41</v>
      </c>
      <c r="E2226" s="1" t="s">
        <v>16</v>
      </c>
      <c r="F2226" s="1" t="s">
        <v>41</v>
      </c>
      <c r="G2226" s="1">
        <v>10</v>
      </c>
      <c r="H2226" s="1">
        <v>35945</v>
      </c>
      <c r="I2226" s="1">
        <v>0.05</v>
      </c>
      <c r="J2226" s="1">
        <v>341477.5</v>
      </c>
      <c r="K2226" s="1">
        <v>93218.7</v>
      </c>
      <c r="L2226" s="1" t="s">
        <v>17</v>
      </c>
      <c r="M2226" s="1" t="str">
        <f>TEXT(Table1[[#This Row],[Order Date]],"mmm")</f>
        <v>Mar</v>
      </c>
      <c r="N2226" s="1">
        <f>YEAR(Table1[[#This Row],[Order Date]])</f>
        <v>2024</v>
      </c>
    </row>
    <row r="2227" spans="1:14" x14ac:dyDescent="0.35">
      <c r="A2227" s="1" t="s">
        <v>3001</v>
      </c>
      <c r="B2227" s="1" t="s">
        <v>166</v>
      </c>
      <c r="C2227" s="1" t="s">
        <v>332</v>
      </c>
      <c r="D2227" s="1" t="s">
        <v>44</v>
      </c>
      <c r="E2227" s="1" t="s">
        <v>28</v>
      </c>
      <c r="F2227" s="1" t="s">
        <v>44</v>
      </c>
      <c r="G2227" s="1">
        <v>10</v>
      </c>
      <c r="H2227" s="1">
        <v>57000</v>
      </c>
      <c r="I2227" s="1">
        <v>0</v>
      </c>
      <c r="J2227" s="1">
        <v>570000</v>
      </c>
      <c r="K2227" s="1">
        <v>142945.04999999999</v>
      </c>
      <c r="L2227" s="1" t="s">
        <v>45</v>
      </c>
      <c r="M2227" s="1" t="str">
        <f>TEXT(Table1[[#This Row],[Order Date]],"mmm")</f>
        <v>Jan</v>
      </c>
      <c r="N2227" s="1">
        <f>YEAR(Table1[[#This Row],[Order Date]])</f>
        <v>2024</v>
      </c>
    </row>
    <row r="2228" spans="1:14" x14ac:dyDescent="0.35">
      <c r="A2228" s="1" t="s">
        <v>3002</v>
      </c>
      <c r="B2228" s="1" t="s">
        <v>1218</v>
      </c>
      <c r="C2228" s="1" t="s">
        <v>332</v>
      </c>
      <c r="D2228" s="1" t="s">
        <v>56</v>
      </c>
      <c r="E2228" s="1" t="s">
        <v>22</v>
      </c>
      <c r="F2228" s="1" t="s">
        <v>56</v>
      </c>
      <c r="G2228" s="1">
        <v>1</v>
      </c>
      <c r="H2228" s="1">
        <v>14608</v>
      </c>
      <c r="I2228" s="1">
        <v>0.2</v>
      </c>
      <c r="J2228" s="1">
        <v>11686.4</v>
      </c>
      <c r="K2228" s="1">
        <v>2254.5100000000002</v>
      </c>
      <c r="L2228" s="1" t="s">
        <v>23</v>
      </c>
      <c r="M2228" s="1" t="str">
        <f>TEXT(Table1[[#This Row],[Order Date]],"mmm")</f>
        <v>May</v>
      </c>
      <c r="N2228" s="1">
        <f>YEAR(Table1[[#This Row],[Order Date]])</f>
        <v>2024</v>
      </c>
    </row>
    <row r="2229" spans="1:14" x14ac:dyDescent="0.35">
      <c r="A2229" s="1" t="s">
        <v>3003</v>
      </c>
      <c r="B2229" s="1" t="s">
        <v>927</v>
      </c>
      <c r="C2229" s="1" t="s">
        <v>84</v>
      </c>
      <c r="D2229" s="1" t="s">
        <v>64</v>
      </c>
      <c r="E2229" s="1" t="s">
        <v>33</v>
      </c>
      <c r="F2229" s="1" t="s">
        <v>64</v>
      </c>
      <c r="G2229" s="1">
        <v>12</v>
      </c>
      <c r="H2229" s="1">
        <v>5911</v>
      </c>
      <c r="I2229" s="1">
        <v>0.05</v>
      </c>
      <c r="J2229" s="1">
        <v>67385.399999999994</v>
      </c>
      <c r="K2229" s="1">
        <v>5711.46</v>
      </c>
      <c r="L2229" s="1" t="s">
        <v>70</v>
      </c>
      <c r="M2229" s="1" t="str">
        <f>TEXT(Table1[[#This Row],[Order Date]],"mmm")</f>
        <v>May</v>
      </c>
      <c r="N2229" s="1">
        <f>YEAR(Table1[[#This Row],[Order Date]])</f>
        <v>2024</v>
      </c>
    </row>
    <row r="2230" spans="1:14" x14ac:dyDescent="0.35">
      <c r="A2230" s="1" t="s">
        <v>3004</v>
      </c>
      <c r="B2230" s="1" t="s">
        <v>135</v>
      </c>
      <c r="C2230" s="1" t="s">
        <v>67</v>
      </c>
      <c r="D2230" s="1" t="s">
        <v>52</v>
      </c>
      <c r="E2230" s="1" t="s">
        <v>28</v>
      </c>
      <c r="F2230" s="1" t="s">
        <v>52</v>
      </c>
      <c r="G2230" s="1">
        <v>7</v>
      </c>
      <c r="H2230" s="1">
        <v>8328</v>
      </c>
      <c r="I2230" s="1">
        <v>0</v>
      </c>
      <c r="J2230" s="1">
        <v>58296</v>
      </c>
      <c r="K2230" s="1">
        <v>6822.75</v>
      </c>
      <c r="L2230" s="1" t="s">
        <v>23</v>
      </c>
      <c r="M2230" s="1" t="str">
        <f>TEXT(Table1[[#This Row],[Order Date]],"mmm")</f>
        <v>Sep</v>
      </c>
      <c r="N2230" s="1">
        <f>YEAR(Table1[[#This Row],[Order Date]])</f>
        <v>2024</v>
      </c>
    </row>
    <row r="2231" spans="1:14" x14ac:dyDescent="0.35">
      <c r="A2231" s="1" t="s">
        <v>3005</v>
      </c>
      <c r="B2231" s="1" t="s">
        <v>930</v>
      </c>
      <c r="C2231" s="1" t="s">
        <v>104</v>
      </c>
      <c r="D2231" s="1" t="s">
        <v>37</v>
      </c>
      <c r="E2231" s="1" t="s">
        <v>16</v>
      </c>
      <c r="F2231" s="1" t="s">
        <v>37</v>
      </c>
      <c r="G2231" s="1">
        <v>2</v>
      </c>
      <c r="H2231" s="1">
        <v>41978</v>
      </c>
      <c r="I2231" s="1">
        <v>0.05</v>
      </c>
      <c r="J2231" s="1">
        <v>79758.2</v>
      </c>
      <c r="K2231" s="1">
        <v>22683.65</v>
      </c>
      <c r="L2231" s="1" t="s">
        <v>70</v>
      </c>
      <c r="M2231" s="1" t="str">
        <f>TEXT(Table1[[#This Row],[Order Date]],"mmm")</f>
        <v>Apr</v>
      </c>
      <c r="N2231" s="1">
        <f>YEAR(Table1[[#This Row],[Order Date]])</f>
        <v>2024</v>
      </c>
    </row>
    <row r="2232" spans="1:14" x14ac:dyDescent="0.35">
      <c r="A2232" s="1" t="s">
        <v>3006</v>
      </c>
      <c r="B2232" s="1" t="s">
        <v>1792</v>
      </c>
      <c r="C2232" s="1" t="s">
        <v>84</v>
      </c>
      <c r="D2232" s="1" t="s">
        <v>167</v>
      </c>
      <c r="E2232" s="1" t="s">
        <v>16</v>
      </c>
      <c r="F2232" s="1" t="s">
        <v>167</v>
      </c>
      <c r="G2232" s="1">
        <v>2</v>
      </c>
      <c r="H2232" s="1">
        <v>23614</v>
      </c>
      <c r="I2232" s="1">
        <v>0</v>
      </c>
      <c r="J2232" s="1">
        <v>47228</v>
      </c>
      <c r="K2232" s="1">
        <v>3951.22</v>
      </c>
      <c r="L2232" s="1" t="s">
        <v>23</v>
      </c>
      <c r="M2232" s="1" t="str">
        <f>TEXT(Table1[[#This Row],[Order Date]],"mmm")</f>
        <v>Apr</v>
      </c>
      <c r="N2232" s="1">
        <f>YEAR(Table1[[#This Row],[Order Date]])</f>
        <v>2023</v>
      </c>
    </row>
    <row r="2233" spans="1:14" x14ac:dyDescent="0.35">
      <c r="A2233" s="1" t="s">
        <v>3007</v>
      </c>
      <c r="B2233" s="1" t="s">
        <v>2594</v>
      </c>
      <c r="C2233" s="1" t="s">
        <v>349</v>
      </c>
      <c r="D2233" s="1" t="s">
        <v>91</v>
      </c>
      <c r="E2233" s="1" t="s">
        <v>16</v>
      </c>
      <c r="F2233" s="1" t="s">
        <v>91</v>
      </c>
      <c r="G2233" s="1">
        <v>13</v>
      </c>
      <c r="H2233" s="1">
        <v>43184</v>
      </c>
      <c r="I2233" s="1">
        <v>0.05</v>
      </c>
      <c r="J2233" s="1">
        <v>533322.4</v>
      </c>
      <c r="K2233" s="1">
        <v>63772.26</v>
      </c>
      <c r="L2233" s="1" t="s">
        <v>17</v>
      </c>
      <c r="M2233" s="1" t="str">
        <f>TEXT(Table1[[#This Row],[Order Date]],"mmm")</f>
        <v>Jul</v>
      </c>
      <c r="N2233" s="1">
        <f>YEAR(Table1[[#This Row],[Order Date]])</f>
        <v>2023</v>
      </c>
    </row>
    <row r="2234" spans="1:14" x14ac:dyDescent="0.35">
      <c r="A2234" s="1" t="s">
        <v>3008</v>
      </c>
      <c r="B2234" s="1" t="s">
        <v>346</v>
      </c>
      <c r="C2234" s="1" t="s">
        <v>40</v>
      </c>
      <c r="D2234" s="1" t="s">
        <v>114</v>
      </c>
      <c r="E2234" s="1" t="s">
        <v>16</v>
      </c>
      <c r="F2234" s="1" t="s">
        <v>114</v>
      </c>
      <c r="G2234" s="1">
        <v>13</v>
      </c>
      <c r="H2234" s="1">
        <v>18284</v>
      </c>
      <c r="I2234" s="1">
        <v>0.1</v>
      </c>
      <c r="J2234" s="1">
        <v>213922.8</v>
      </c>
      <c r="K2234" s="1">
        <v>22073.97</v>
      </c>
      <c r="L2234" s="1" t="s">
        <v>45</v>
      </c>
      <c r="M2234" s="1" t="str">
        <f>TEXT(Table1[[#This Row],[Order Date]],"mmm")</f>
        <v>Oct</v>
      </c>
      <c r="N2234" s="1">
        <f>YEAR(Table1[[#This Row],[Order Date]])</f>
        <v>2023</v>
      </c>
    </row>
    <row r="2235" spans="1:14" x14ac:dyDescent="0.35">
      <c r="A2235" s="1" t="s">
        <v>3009</v>
      </c>
      <c r="B2235" s="1" t="s">
        <v>164</v>
      </c>
      <c r="C2235" s="1" t="s">
        <v>59</v>
      </c>
      <c r="D2235" s="1" t="s">
        <v>133</v>
      </c>
      <c r="E2235" s="1" t="s">
        <v>22</v>
      </c>
      <c r="F2235" s="1" t="s">
        <v>133</v>
      </c>
      <c r="G2235" s="1">
        <v>4</v>
      </c>
      <c r="H2235" s="1">
        <v>305</v>
      </c>
      <c r="I2235" s="1">
        <v>0.1</v>
      </c>
      <c r="J2235" s="1">
        <v>1098</v>
      </c>
      <c r="K2235" s="1">
        <v>301.82</v>
      </c>
      <c r="L2235" s="1" t="s">
        <v>45</v>
      </c>
      <c r="M2235" s="1" t="str">
        <f>TEXT(Table1[[#This Row],[Order Date]],"mmm")</f>
        <v>May</v>
      </c>
      <c r="N2235" s="1">
        <f>YEAR(Table1[[#This Row],[Order Date]])</f>
        <v>2023</v>
      </c>
    </row>
    <row r="2236" spans="1:14" x14ac:dyDescent="0.35">
      <c r="A2236" s="1" t="s">
        <v>3010</v>
      </c>
      <c r="B2236" s="1" t="s">
        <v>2009</v>
      </c>
      <c r="C2236" s="1" t="s">
        <v>349</v>
      </c>
      <c r="D2236" s="1" t="s">
        <v>48</v>
      </c>
      <c r="E2236" s="1" t="s">
        <v>16</v>
      </c>
      <c r="F2236" s="1" t="s">
        <v>48</v>
      </c>
      <c r="G2236" s="1">
        <v>14</v>
      </c>
      <c r="H2236" s="1">
        <v>17681</v>
      </c>
      <c r="I2236" s="1">
        <v>0.2</v>
      </c>
      <c r="J2236" s="1">
        <v>198027.2</v>
      </c>
      <c r="K2236" s="1">
        <v>37813.839999999997</v>
      </c>
      <c r="L2236" s="1" t="s">
        <v>23</v>
      </c>
      <c r="M2236" s="1" t="str">
        <f>TEXT(Table1[[#This Row],[Order Date]],"mmm")</f>
        <v>Jun</v>
      </c>
      <c r="N2236" s="1">
        <f>YEAR(Table1[[#This Row],[Order Date]])</f>
        <v>2024</v>
      </c>
    </row>
    <row r="2237" spans="1:14" x14ac:dyDescent="0.35">
      <c r="A2237" s="1" t="s">
        <v>3011</v>
      </c>
      <c r="B2237" s="1" t="s">
        <v>515</v>
      </c>
      <c r="C2237" s="1" t="s">
        <v>332</v>
      </c>
      <c r="D2237" s="1" t="s">
        <v>108</v>
      </c>
      <c r="E2237" s="1" t="s">
        <v>22</v>
      </c>
      <c r="F2237" s="1" t="s">
        <v>108</v>
      </c>
      <c r="G2237" s="1">
        <v>3</v>
      </c>
      <c r="H2237" s="1">
        <v>55594</v>
      </c>
      <c r="I2237" s="1">
        <v>0.05</v>
      </c>
      <c r="J2237" s="1">
        <v>158442.9</v>
      </c>
      <c r="K2237" s="1">
        <v>44198.78</v>
      </c>
      <c r="L2237" s="1" t="s">
        <v>23</v>
      </c>
      <c r="M2237" s="1" t="str">
        <f>TEXT(Table1[[#This Row],[Order Date]],"mmm")</f>
        <v>Apr</v>
      </c>
      <c r="N2237" s="1">
        <f>YEAR(Table1[[#This Row],[Order Date]])</f>
        <v>2024</v>
      </c>
    </row>
    <row r="2238" spans="1:14" x14ac:dyDescent="0.35">
      <c r="A2238" s="1" t="s">
        <v>3012</v>
      </c>
      <c r="B2238" s="1" t="s">
        <v>325</v>
      </c>
      <c r="C2238" s="1" t="s">
        <v>104</v>
      </c>
      <c r="D2238" s="1" t="s">
        <v>167</v>
      </c>
      <c r="E2238" s="1" t="s">
        <v>16</v>
      </c>
      <c r="F2238" s="1" t="s">
        <v>167</v>
      </c>
      <c r="G2238" s="1">
        <v>13</v>
      </c>
      <c r="H2238" s="1">
        <v>59463</v>
      </c>
      <c r="I2238" s="1">
        <v>0.05</v>
      </c>
      <c r="J2238" s="1">
        <v>734368.05</v>
      </c>
      <c r="K2238" s="1">
        <v>160567.01999999999</v>
      </c>
      <c r="L2238" s="1" t="s">
        <v>23</v>
      </c>
      <c r="M2238" s="1" t="str">
        <f>TEXT(Table1[[#This Row],[Order Date]],"mmm")</f>
        <v>Aug</v>
      </c>
      <c r="N2238" s="1">
        <f>YEAR(Table1[[#This Row],[Order Date]])</f>
        <v>2023</v>
      </c>
    </row>
    <row r="2239" spans="1:14" x14ac:dyDescent="0.35">
      <c r="A2239" s="1" t="s">
        <v>3013</v>
      </c>
      <c r="B2239" s="1" t="s">
        <v>497</v>
      </c>
      <c r="C2239" s="1" t="s">
        <v>507</v>
      </c>
      <c r="D2239" s="1" t="s">
        <v>21</v>
      </c>
      <c r="E2239" s="1" t="s">
        <v>22</v>
      </c>
      <c r="F2239" s="1" t="s">
        <v>21</v>
      </c>
      <c r="G2239" s="1">
        <v>7</v>
      </c>
      <c r="H2239" s="1">
        <v>41557</v>
      </c>
      <c r="I2239" s="1">
        <v>0.1</v>
      </c>
      <c r="J2239" s="1">
        <v>261809.1</v>
      </c>
      <c r="K2239" s="1">
        <v>33858.44</v>
      </c>
      <c r="L2239" s="1" t="s">
        <v>17</v>
      </c>
      <c r="M2239" s="1" t="str">
        <f>TEXT(Table1[[#This Row],[Order Date]],"mmm")</f>
        <v>Jul</v>
      </c>
      <c r="N2239" s="1">
        <f>YEAR(Table1[[#This Row],[Order Date]])</f>
        <v>2024</v>
      </c>
    </row>
    <row r="2240" spans="1:14" x14ac:dyDescent="0.35">
      <c r="A2240" s="1" t="s">
        <v>3014</v>
      </c>
      <c r="B2240" s="1" t="s">
        <v>3015</v>
      </c>
      <c r="C2240" s="1" t="s">
        <v>162</v>
      </c>
      <c r="D2240" s="1" t="s">
        <v>15</v>
      </c>
      <c r="E2240" s="1" t="s">
        <v>16</v>
      </c>
      <c r="F2240" s="1" t="s">
        <v>15</v>
      </c>
      <c r="G2240" s="1">
        <v>15</v>
      </c>
      <c r="H2240" s="1">
        <v>16149</v>
      </c>
      <c r="I2240" s="1">
        <v>0.15</v>
      </c>
      <c r="J2240" s="1">
        <v>205899.75</v>
      </c>
      <c r="K2240" s="1">
        <v>22631.32</v>
      </c>
      <c r="L2240" s="1" t="s">
        <v>17</v>
      </c>
      <c r="M2240" s="1" t="str">
        <f>TEXT(Table1[[#This Row],[Order Date]],"mmm")</f>
        <v>Jan</v>
      </c>
      <c r="N2240" s="1">
        <f>YEAR(Table1[[#This Row],[Order Date]])</f>
        <v>2024</v>
      </c>
    </row>
    <row r="2241" spans="1:14" x14ac:dyDescent="0.35">
      <c r="A2241" s="1" t="s">
        <v>3016</v>
      </c>
      <c r="B2241" s="1" t="s">
        <v>2089</v>
      </c>
      <c r="C2241" s="1" t="s">
        <v>59</v>
      </c>
      <c r="D2241" s="1" t="s">
        <v>27</v>
      </c>
      <c r="E2241" s="1" t="s">
        <v>28</v>
      </c>
      <c r="F2241" s="1" t="s">
        <v>27</v>
      </c>
      <c r="G2241" s="1">
        <v>8</v>
      </c>
      <c r="H2241" s="1">
        <v>59305</v>
      </c>
      <c r="I2241" s="1">
        <v>0.15</v>
      </c>
      <c r="J2241" s="1">
        <v>403274</v>
      </c>
      <c r="K2241" s="1">
        <v>78876.84</v>
      </c>
      <c r="L2241" s="1" t="s">
        <v>23</v>
      </c>
      <c r="M2241" s="1" t="str">
        <f>TEXT(Table1[[#This Row],[Order Date]],"mmm")</f>
        <v>Nov</v>
      </c>
      <c r="N2241" s="1">
        <f>YEAR(Table1[[#This Row],[Order Date]])</f>
        <v>2024</v>
      </c>
    </row>
    <row r="2242" spans="1:14" x14ac:dyDescent="0.35">
      <c r="A2242" s="1" t="s">
        <v>3017</v>
      </c>
      <c r="B2242" s="1" t="s">
        <v>1604</v>
      </c>
      <c r="C2242" s="1" t="s">
        <v>20</v>
      </c>
      <c r="D2242" s="1" t="s">
        <v>141</v>
      </c>
      <c r="E2242" s="1" t="s">
        <v>22</v>
      </c>
      <c r="F2242" s="1" t="s">
        <v>141</v>
      </c>
      <c r="G2242" s="1">
        <v>1</v>
      </c>
      <c r="H2242" s="1">
        <v>8345</v>
      </c>
      <c r="I2242" s="1">
        <v>0</v>
      </c>
      <c r="J2242" s="1">
        <v>8345</v>
      </c>
      <c r="K2242" s="1">
        <v>2226.4299999999998</v>
      </c>
      <c r="L2242" s="1" t="s">
        <v>45</v>
      </c>
      <c r="M2242" s="1" t="str">
        <f>TEXT(Table1[[#This Row],[Order Date]],"mmm")</f>
        <v>May</v>
      </c>
      <c r="N2242" s="1">
        <f>YEAR(Table1[[#This Row],[Order Date]])</f>
        <v>2024</v>
      </c>
    </row>
    <row r="2243" spans="1:14" x14ac:dyDescent="0.35">
      <c r="A2243" s="1" t="s">
        <v>3018</v>
      </c>
      <c r="B2243" s="1" t="s">
        <v>327</v>
      </c>
      <c r="C2243" s="1" t="s">
        <v>128</v>
      </c>
      <c r="D2243" s="1" t="s">
        <v>224</v>
      </c>
      <c r="E2243" s="1" t="s">
        <v>33</v>
      </c>
      <c r="F2243" s="1" t="s">
        <v>224</v>
      </c>
      <c r="G2243" s="1">
        <v>1</v>
      </c>
      <c r="H2243" s="1">
        <v>5706</v>
      </c>
      <c r="I2243" s="1">
        <v>0.1</v>
      </c>
      <c r="J2243" s="1">
        <v>5135.3999999999996</v>
      </c>
      <c r="K2243" s="1">
        <v>1497.12</v>
      </c>
      <c r="L2243" s="1" t="s">
        <v>45</v>
      </c>
      <c r="M2243" s="1" t="str">
        <f>TEXT(Table1[[#This Row],[Order Date]],"mmm")</f>
        <v>Nov</v>
      </c>
      <c r="N2243" s="1">
        <f>YEAR(Table1[[#This Row],[Order Date]])</f>
        <v>2024</v>
      </c>
    </row>
    <row r="2244" spans="1:14" x14ac:dyDescent="0.35">
      <c r="A2244" s="1" t="s">
        <v>3019</v>
      </c>
      <c r="B2244" s="1" t="s">
        <v>1460</v>
      </c>
      <c r="C2244" s="1" t="s">
        <v>200</v>
      </c>
      <c r="D2244" s="1" t="s">
        <v>323</v>
      </c>
      <c r="E2244" s="1" t="s">
        <v>33</v>
      </c>
      <c r="F2244" s="1" t="s">
        <v>323</v>
      </c>
      <c r="G2244" s="1">
        <v>11</v>
      </c>
      <c r="H2244" s="1">
        <v>43150</v>
      </c>
      <c r="I2244" s="1">
        <v>0.15</v>
      </c>
      <c r="J2244" s="1">
        <v>403452.5</v>
      </c>
      <c r="K2244" s="1">
        <v>60252.97</v>
      </c>
      <c r="L2244" s="1" t="s">
        <v>70</v>
      </c>
      <c r="M2244" s="1" t="str">
        <f>TEXT(Table1[[#This Row],[Order Date]],"mmm")</f>
        <v>Feb</v>
      </c>
      <c r="N2244" s="1">
        <f>YEAR(Table1[[#This Row],[Order Date]])</f>
        <v>2023</v>
      </c>
    </row>
    <row r="2245" spans="1:14" x14ac:dyDescent="0.35">
      <c r="A2245" s="1" t="s">
        <v>3020</v>
      </c>
      <c r="B2245" s="1" t="s">
        <v>207</v>
      </c>
      <c r="C2245" s="1" t="s">
        <v>84</v>
      </c>
      <c r="D2245" s="1" t="s">
        <v>293</v>
      </c>
      <c r="E2245" s="1" t="s">
        <v>33</v>
      </c>
      <c r="F2245" s="1" t="s">
        <v>293</v>
      </c>
      <c r="G2245" s="1">
        <v>15</v>
      </c>
      <c r="H2245" s="1">
        <v>35053</v>
      </c>
      <c r="I2245" s="1">
        <v>0</v>
      </c>
      <c r="J2245" s="1">
        <v>525795</v>
      </c>
      <c r="K2245" s="1">
        <v>138689.35999999999</v>
      </c>
      <c r="L2245" s="1" t="s">
        <v>70</v>
      </c>
      <c r="M2245" s="1" t="str">
        <f>TEXT(Table1[[#This Row],[Order Date]],"mmm")</f>
        <v>Jun</v>
      </c>
      <c r="N2245" s="1">
        <f>YEAR(Table1[[#This Row],[Order Date]])</f>
        <v>2024</v>
      </c>
    </row>
    <row r="2246" spans="1:14" x14ac:dyDescent="0.35">
      <c r="A2246" s="1" t="s">
        <v>3021</v>
      </c>
      <c r="B2246" s="1" t="s">
        <v>1104</v>
      </c>
      <c r="C2246" s="1" t="s">
        <v>40</v>
      </c>
      <c r="D2246" s="1" t="s">
        <v>133</v>
      </c>
      <c r="E2246" s="1" t="s">
        <v>22</v>
      </c>
      <c r="F2246" s="1" t="s">
        <v>133</v>
      </c>
      <c r="G2246" s="1">
        <v>13</v>
      </c>
      <c r="H2246" s="1">
        <v>27027</v>
      </c>
      <c r="I2246" s="1">
        <v>0.05</v>
      </c>
      <c r="J2246" s="1">
        <v>333783.45</v>
      </c>
      <c r="K2246" s="1">
        <v>37542.29</v>
      </c>
      <c r="L2246" s="1" t="s">
        <v>23</v>
      </c>
      <c r="M2246" s="1" t="str">
        <f>TEXT(Table1[[#This Row],[Order Date]],"mmm")</f>
        <v>Oct</v>
      </c>
      <c r="N2246" s="1">
        <f>YEAR(Table1[[#This Row],[Order Date]])</f>
        <v>2023</v>
      </c>
    </row>
    <row r="2247" spans="1:14" x14ac:dyDescent="0.35">
      <c r="A2247" s="1" t="s">
        <v>3022</v>
      </c>
      <c r="B2247" s="1" t="s">
        <v>1970</v>
      </c>
      <c r="C2247" s="1" t="s">
        <v>158</v>
      </c>
      <c r="D2247" s="1" t="s">
        <v>293</v>
      </c>
      <c r="E2247" s="1" t="s">
        <v>33</v>
      </c>
      <c r="F2247" s="1" t="s">
        <v>293</v>
      </c>
      <c r="G2247" s="1">
        <v>15</v>
      </c>
      <c r="H2247" s="1">
        <v>27207</v>
      </c>
      <c r="I2247" s="1">
        <v>0.05</v>
      </c>
      <c r="J2247" s="1">
        <v>387699.75</v>
      </c>
      <c r="K2247" s="1">
        <v>109722.27</v>
      </c>
      <c r="L2247" s="1" t="s">
        <v>23</v>
      </c>
      <c r="M2247" s="1" t="str">
        <f>TEXT(Table1[[#This Row],[Order Date]],"mmm")</f>
        <v>Feb</v>
      </c>
      <c r="N2247" s="1">
        <f>YEAR(Table1[[#This Row],[Order Date]])</f>
        <v>2024</v>
      </c>
    </row>
    <row r="2248" spans="1:14" x14ac:dyDescent="0.35">
      <c r="A2248" s="1" t="s">
        <v>3023</v>
      </c>
      <c r="B2248" s="1" t="s">
        <v>1333</v>
      </c>
      <c r="C2248" s="1" t="s">
        <v>40</v>
      </c>
      <c r="D2248" s="1" t="s">
        <v>27</v>
      </c>
      <c r="E2248" s="1" t="s">
        <v>28</v>
      </c>
      <c r="F2248" s="1" t="s">
        <v>27</v>
      </c>
      <c r="G2248" s="1">
        <v>9</v>
      </c>
      <c r="H2248" s="1">
        <v>18588</v>
      </c>
      <c r="I2248" s="1">
        <v>0.1</v>
      </c>
      <c r="J2248" s="1">
        <v>150562.79999999999</v>
      </c>
      <c r="K2248" s="1">
        <v>14970.36</v>
      </c>
      <c r="L2248" s="1" t="s">
        <v>70</v>
      </c>
      <c r="M2248" s="1" t="str">
        <f>TEXT(Table1[[#This Row],[Order Date]],"mmm")</f>
        <v>Jan</v>
      </c>
      <c r="N2248" s="1">
        <f>YEAR(Table1[[#This Row],[Order Date]])</f>
        <v>2024</v>
      </c>
    </row>
    <row r="2249" spans="1:14" x14ac:dyDescent="0.35">
      <c r="A2249" s="1" t="s">
        <v>3024</v>
      </c>
      <c r="B2249" s="1" t="s">
        <v>69</v>
      </c>
      <c r="C2249" s="1" t="s">
        <v>507</v>
      </c>
      <c r="D2249" s="1" t="s">
        <v>85</v>
      </c>
      <c r="E2249" s="1" t="s">
        <v>28</v>
      </c>
      <c r="F2249" s="1" t="s">
        <v>85</v>
      </c>
      <c r="G2249" s="1">
        <v>4</v>
      </c>
      <c r="H2249" s="1">
        <v>8361</v>
      </c>
      <c r="I2249" s="1">
        <v>0.15</v>
      </c>
      <c r="J2249" s="1">
        <v>28427.4</v>
      </c>
      <c r="K2249" s="1">
        <v>3439.52</v>
      </c>
      <c r="L2249" s="1" t="s">
        <v>70</v>
      </c>
      <c r="M2249" s="1" t="str">
        <f>TEXT(Table1[[#This Row],[Order Date]],"mmm")</f>
        <v>Mar</v>
      </c>
      <c r="N2249" s="1">
        <f>YEAR(Table1[[#This Row],[Order Date]])</f>
        <v>2023</v>
      </c>
    </row>
    <row r="2250" spans="1:14" x14ac:dyDescent="0.35">
      <c r="A2250" s="1" t="s">
        <v>3025</v>
      </c>
      <c r="B2250" s="1" t="s">
        <v>1198</v>
      </c>
      <c r="C2250" s="1" t="s">
        <v>117</v>
      </c>
      <c r="D2250" s="1" t="s">
        <v>78</v>
      </c>
      <c r="E2250" s="1" t="s">
        <v>28</v>
      </c>
      <c r="F2250" s="1" t="s">
        <v>78</v>
      </c>
      <c r="G2250" s="1">
        <v>12</v>
      </c>
      <c r="H2250" s="1">
        <v>28025</v>
      </c>
      <c r="I2250" s="1">
        <v>0</v>
      </c>
      <c r="J2250" s="1">
        <v>336300</v>
      </c>
      <c r="K2250" s="1">
        <v>52404.04</v>
      </c>
      <c r="L2250" s="1" t="s">
        <v>70</v>
      </c>
      <c r="M2250" s="1" t="str">
        <f>TEXT(Table1[[#This Row],[Order Date]],"mmm")</f>
        <v>Mar</v>
      </c>
      <c r="N2250" s="1">
        <f>YEAR(Table1[[#This Row],[Order Date]])</f>
        <v>2023</v>
      </c>
    </row>
    <row r="2251" spans="1:14" x14ac:dyDescent="0.35">
      <c r="A2251" s="1" t="s">
        <v>3026</v>
      </c>
      <c r="B2251" s="1" t="s">
        <v>1460</v>
      </c>
      <c r="C2251" s="1" t="s">
        <v>200</v>
      </c>
      <c r="D2251" s="1" t="s">
        <v>151</v>
      </c>
      <c r="E2251" s="1" t="s">
        <v>22</v>
      </c>
      <c r="F2251" s="1" t="s">
        <v>151</v>
      </c>
      <c r="G2251" s="1">
        <v>9</v>
      </c>
      <c r="H2251" s="1">
        <v>53471</v>
      </c>
      <c r="I2251" s="1">
        <v>0.2</v>
      </c>
      <c r="J2251" s="1">
        <v>384991.2</v>
      </c>
      <c r="K2251" s="1">
        <v>34158.44</v>
      </c>
      <c r="L2251" s="1" t="s">
        <v>23</v>
      </c>
      <c r="M2251" s="1" t="str">
        <f>TEXT(Table1[[#This Row],[Order Date]],"mmm")</f>
        <v>Feb</v>
      </c>
      <c r="N2251" s="1">
        <f>YEAR(Table1[[#This Row],[Order Date]])</f>
        <v>2023</v>
      </c>
    </row>
    <row r="2252" spans="1:14" x14ac:dyDescent="0.35">
      <c r="A2252" s="1" t="s">
        <v>3027</v>
      </c>
      <c r="B2252" s="1" t="s">
        <v>776</v>
      </c>
      <c r="C2252" s="1" t="s">
        <v>73</v>
      </c>
      <c r="D2252" s="1" t="s">
        <v>95</v>
      </c>
      <c r="E2252" s="1" t="s">
        <v>33</v>
      </c>
      <c r="F2252" s="1" t="s">
        <v>95</v>
      </c>
      <c r="G2252" s="1">
        <v>15</v>
      </c>
      <c r="H2252" s="1">
        <v>25831</v>
      </c>
      <c r="I2252" s="1">
        <v>0.05</v>
      </c>
      <c r="J2252" s="1">
        <v>368091.75</v>
      </c>
      <c r="K2252" s="1">
        <v>103392.02</v>
      </c>
      <c r="L2252" s="1" t="s">
        <v>23</v>
      </c>
      <c r="M2252" s="1" t="str">
        <f>TEXT(Table1[[#This Row],[Order Date]],"mmm")</f>
        <v>Feb</v>
      </c>
      <c r="N2252" s="1">
        <f>YEAR(Table1[[#This Row],[Order Date]])</f>
        <v>2024</v>
      </c>
    </row>
    <row r="2253" spans="1:14" x14ac:dyDescent="0.35">
      <c r="A2253" s="1" t="s">
        <v>3028</v>
      </c>
      <c r="B2253" s="1" t="s">
        <v>2340</v>
      </c>
      <c r="C2253" s="1" t="s">
        <v>162</v>
      </c>
      <c r="D2253" s="1" t="s">
        <v>27</v>
      </c>
      <c r="E2253" s="1" t="s">
        <v>28</v>
      </c>
      <c r="F2253" s="1" t="s">
        <v>27</v>
      </c>
      <c r="G2253" s="1">
        <v>6</v>
      </c>
      <c r="H2253" s="1">
        <v>32279</v>
      </c>
      <c r="I2253" s="1">
        <v>0.15</v>
      </c>
      <c r="J2253" s="1">
        <v>164622.9</v>
      </c>
      <c r="K2253" s="1">
        <v>47816.13</v>
      </c>
      <c r="L2253" s="1" t="s">
        <v>70</v>
      </c>
      <c r="M2253" s="1" t="str">
        <f>TEXT(Table1[[#This Row],[Order Date]],"mmm")</f>
        <v>Sep</v>
      </c>
      <c r="N2253" s="1">
        <f>YEAR(Table1[[#This Row],[Order Date]])</f>
        <v>2023</v>
      </c>
    </row>
    <row r="2254" spans="1:14" x14ac:dyDescent="0.35">
      <c r="A2254" s="1" t="s">
        <v>3029</v>
      </c>
      <c r="B2254" s="1" t="s">
        <v>379</v>
      </c>
      <c r="C2254" s="1" t="s">
        <v>208</v>
      </c>
      <c r="D2254" s="1" t="s">
        <v>41</v>
      </c>
      <c r="E2254" s="1" t="s">
        <v>16</v>
      </c>
      <c r="F2254" s="1" t="s">
        <v>41</v>
      </c>
      <c r="G2254" s="1">
        <v>5</v>
      </c>
      <c r="H2254" s="1">
        <v>38684</v>
      </c>
      <c r="I2254" s="1">
        <v>0.1</v>
      </c>
      <c r="J2254" s="1">
        <v>174078</v>
      </c>
      <c r="K2254" s="1">
        <v>29642.81</v>
      </c>
      <c r="L2254" s="1" t="s">
        <v>45</v>
      </c>
      <c r="M2254" s="1" t="str">
        <f>TEXT(Table1[[#This Row],[Order Date]],"mmm")</f>
        <v>Feb</v>
      </c>
      <c r="N2254" s="1">
        <f>YEAR(Table1[[#This Row],[Order Date]])</f>
        <v>2023</v>
      </c>
    </row>
    <row r="2255" spans="1:14" x14ac:dyDescent="0.35">
      <c r="A2255" s="1" t="s">
        <v>3030</v>
      </c>
      <c r="B2255" s="1" t="s">
        <v>742</v>
      </c>
      <c r="C2255" s="1" t="s">
        <v>101</v>
      </c>
      <c r="D2255" s="1" t="s">
        <v>48</v>
      </c>
      <c r="E2255" s="1" t="s">
        <v>16</v>
      </c>
      <c r="F2255" s="1" t="s">
        <v>48</v>
      </c>
      <c r="G2255" s="1">
        <v>4</v>
      </c>
      <c r="H2255" s="1">
        <v>38123</v>
      </c>
      <c r="I2255" s="1">
        <v>0</v>
      </c>
      <c r="J2255" s="1">
        <v>152492</v>
      </c>
      <c r="K2255" s="1">
        <v>44248.480000000003</v>
      </c>
      <c r="L2255" s="1" t="s">
        <v>70</v>
      </c>
      <c r="M2255" s="1" t="str">
        <f>TEXT(Table1[[#This Row],[Order Date]],"mmm")</f>
        <v>Aug</v>
      </c>
      <c r="N2255" s="1">
        <f>YEAR(Table1[[#This Row],[Order Date]])</f>
        <v>2023</v>
      </c>
    </row>
    <row r="2256" spans="1:14" x14ac:dyDescent="0.35">
      <c r="A2256" s="1" t="s">
        <v>3031</v>
      </c>
      <c r="B2256" s="1" t="s">
        <v>724</v>
      </c>
      <c r="C2256" s="1" t="s">
        <v>140</v>
      </c>
      <c r="D2256" s="1" t="s">
        <v>323</v>
      </c>
      <c r="E2256" s="1" t="s">
        <v>33</v>
      </c>
      <c r="F2256" s="1" t="s">
        <v>323</v>
      </c>
      <c r="G2256" s="1">
        <v>1</v>
      </c>
      <c r="H2256" s="1">
        <v>30530</v>
      </c>
      <c r="I2256" s="1">
        <v>0.1</v>
      </c>
      <c r="J2256" s="1">
        <v>27477</v>
      </c>
      <c r="K2256" s="1">
        <v>2404.46</v>
      </c>
      <c r="L2256" s="1" t="s">
        <v>23</v>
      </c>
      <c r="M2256" s="1" t="str">
        <f>TEXT(Table1[[#This Row],[Order Date]],"mmm")</f>
        <v>Feb</v>
      </c>
      <c r="N2256" s="1">
        <f>YEAR(Table1[[#This Row],[Order Date]])</f>
        <v>2023</v>
      </c>
    </row>
    <row r="2257" spans="1:14" x14ac:dyDescent="0.35">
      <c r="A2257" s="1" t="s">
        <v>3032</v>
      </c>
      <c r="B2257" s="1" t="s">
        <v>698</v>
      </c>
      <c r="C2257" s="1" t="s">
        <v>175</v>
      </c>
      <c r="D2257" s="1" t="s">
        <v>91</v>
      </c>
      <c r="E2257" s="1" t="s">
        <v>16</v>
      </c>
      <c r="F2257" s="1" t="s">
        <v>91</v>
      </c>
      <c r="G2257" s="1">
        <v>3</v>
      </c>
      <c r="H2257" s="1">
        <v>28474</v>
      </c>
      <c r="I2257" s="1">
        <v>0</v>
      </c>
      <c r="J2257" s="1">
        <v>85422</v>
      </c>
      <c r="K2257" s="1">
        <v>25397.74</v>
      </c>
      <c r="L2257" s="1" t="s">
        <v>23</v>
      </c>
      <c r="M2257" s="1" t="str">
        <f>TEXT(Table1[[#This Row],[Order Date]],"mmm")</f>
        <v>Mar</v>
      </c>
      <c r="N2257" s="1">
        <f>YEAR(Table1[[#This Row],[Order Date]])</f>
        <v>2023</v>
      </c>
    </row>
    <row r="2258" spans="1:14" x14ac:dyDescent="0.35">
      <c r="A2258" s="1" t="s">
        <v>3033</v>
      </c>
      <c r="B2258" s="1" t="s">
        <v>1438</v>
      </c>
      <c r="C2258" s="1" t="s">
        <v>117</v>
      </c>
      <c r="D2258" s="1" t="s">
        <v>108</v>
      </c>
      <c r="E2258" s="1" t="s">
        <v>22</v>
      </c>
      <c r="F2258" s="1" t="s">
        <v>108</v>
      </c>
      <c r="G2258" s="1">
        <v>3</v>
      </c>
      <c r="H2258" s="1">
        <v>14570</v>
      </c>
      <c r="I2258" s="1">
        <v>0</v>
      </c>
      <c r="J2258" s="1">
        <v>43710</v>
      </c>
      <c r="K2258" s="1">
        <v>6633.48</v>
      </c>
      <c r="L2258" s="1" t="s">
        <v>45</v>
      </c>
      <c r="M2258" s="1" t="str">
        <f>TEXT(Table1[[#This Row],[Order Date]],"mmm")</f>
        <v>Nov</v>
      </c>
      <c r="N2258" s="1">
        <f>YEAR(Table1[[#This Row],[Order Date]])</f>
        <v>2024</v>
      </c>
    </row>
    <row r="2259" spans="1:14" x14ac:dyDescent="0.35">
      <c r="A2259" s="1" t="s">
        <v>3034</v>
      </c>
      <c r="B2259" s="1" t="s">
        <v>244</v>
      </c>
      <c r="C2259" s="1" t="s">
        <v>170</v>
      </c>
      <c r="D2259" s="1" t="s">
        <v>293</v>
      </c>
      <c r="E2259" s="1" t="s">
        <v>33</v>
      </c>
      <c r="F2259" s="1" t="s">
        <v>293</v>
      </c>
      <c r="G2259" s="1">
        <v>2</v>
      </c>
      <c r="H2259" s="1">
        <v>41960</v>
      </c>
      <c r="I2259" s="1">
        <v>0</v>
      </c>
      <c r="J2259" s="1">
        <v>83920</v>
      </c>
      <c r="K2259" s="1">
        <v>22158.37</v>
      </c>
      <c r="L2259" s="1" t="s">
        <v>23</v>
      </c>
      <c r="M2259" s="1" t="str">
        <f>TEXT(Table1[[#This Row],[Order Date]],"mmm")</f>
        <v>Dec</v>
      </c>
      <c r="N2259" s="1">
        <f>YEAR(Table1[[#This Row],[Order Date]])</f>
        <v>2023</v>
      </c>
    </row>
    <row r="2260" spans="1:14" x14ac:dyDescent="0.35">
      <c r="A2260" s="1" t="s">
        <v>3035</v>
      </c>
      <c r="B2260" s="1" t="s">
        <v>374</v>
      </c>
      <c r="C2260" s="1" t="s">
        <v>77</v>
      </c>
      <c r="D2260" s="1" t="s">
        <v>179</v>
      </c>
      <c r="E2260" s="1" t="s">
        <v>28</v>
      </c>
      <c r="F2260" s="1" t="s">
        <v>179</v>
      </c>
      <c r="G2260" s="1">
        <v>13</v>
      </c>
      <c r="H2260" s="1">
        <v>46994</v>
      </c>
      <c r="I2260" s="1">
        <v>0.1</v>
      </c>
      <c r="J2260" s="1">
        <v>549829.80000000005</v>
      </c>
      <c r="K2260" s="1">
        <v>144753.31</v>
      </c>
      <c r="L2260" s="1" t="s">
        <v>23</v>
      </c>
      <c r="M2260" s="1" t="str">
        <f>TEXT(Table1[[#This Row],[Order Date]],"mmm")</f>
        <v>Oct</v>
      </c>
      <c r="N2260" s="1">
        <f>YEAR(Table1[[#This Row],[Order Date]])</f>
        <v>2023</v>
      </c>
    </row>
    <row r="2261" spans="1:14" x14ac:dyDescent="0.35">
      <c r="A2261" s="1" t="s">
        <v>3036</v>
      </c>
      <c r="B2261" s="1" t="s">
        <v>1092</v>
      </c>
      <c r="C2261" s="1" t="s">
        <v>136</v>
      </c>
      <c r="D2261" s="1" t="s">
        <v>133</v>
      </c>
      <c r="E2261" s="1" t="s">
        <v>22</v>
      </c>
      <c r="F2261" s="1" t="s">
        <v>133</v>
      </c>
      <c r="G2261" s="1">
        <v>4</v>
      </c>
      <c r="H2261" s="1">
        <v>23065</v>
      </c>
      <c r="I2261" s="1">
        <v>0</v>
      </c>
      <c r="J2261" s="1">
        <v>92260</v>
      </c>
      <c r="K2261" s="1">
        <v>19893.740000000002</v>
      </c>
      <c r="L2261" s="1" t="s">
        <v>45</v>
      </c>
      <c r="M2261" s="1" t="str">
        <f>TEXT(Table1[[#This Row],[Order Date]],"mmm")</f>
        <v>Feb</v>
      </c>
      <c r="N2261" s="1">
        <f>YEAR(Table1[[#This Row],[Order Date]])</f>
        <v>2024</v>
      </c>
    </row>
    <row r="2262" spans="1:14" x14ac:dyDescent="0.35">
      <c r="A2262" s="1" t="s">
        <v>3037</v>
      </c>
      <c r="B2262" s="1" t="s">
        <v>520</v>
      </c>
      <c r="C2262" s="1" t="s">
        <v>55</v>
      </c>
      <c r="D2262" s="1" t="s">
        <v>37</v>
      </c>
      <c r="E2262" s="1" t="s">
        <v>16</v>
      </c>
      <c r="F2262" s="1" t="s">
        <v>37</v>
      </c>
      <c r="G2262" s="1">
        <v>15</v>
      </c>
      <c r="H2262" s="1">
        <v>24678</v>
      </c>
      <c r="I2262" s="1">
        <v>0</v>
      </c>
      <c r="J2262" s="1">
        <v>370170</v>
      </c>
      <c r="K2262" s="1">
        <v>83485.63</v>
      </c>
      <c r="L2262" s="1" t="s">
        <v>45</v>
      </c>
      <c r="M2262" s="1" t="str">
        <f>TEXT(Table1[[#This Row],[Order Date]],"mmm")</f>
        <v>Mar</v>
      </c>
      <c r="N2262" s="1">
        <f>YEAR(Table1[[#This Row],[Order Date]])</f>
        <v>2023</v>
      </c>
    </row>
    <row r="2263" spans="1:14" x14ac:dyDescent="0.35">
      <c r="A2263" s="1" t="s">
        <v>3038</v>
      </c>
      <c r="B2263" s="1" t="s">
        <v>292</v>
      </c>
      <c r="C2263" s="1" t="s">
        <v>640</v>
      </c>
      <c r="D2263" s="1" t="s">
        <v>85</v>
      </c>
      <c r="E2263" s="1" t="s">
        <v>28</v>
      </c>
      <c r="F2263" s="1" t="s">
        <v>85</v>
      </c>
      <c r="G2263" s="1">
        <v>5</v>
      </c>
      <c r="H2263" s="1">
        <v>45837</v>
      </c>
      <c r="I2263" s="1">
        <v>0.2</v>
      </c>
      <c r="J2263" s="1">
        <v>183348</v>
      </c>
      <c r="K2263" s="1">
        <v>33059.050000000003</v>
      </c>
      <c r="L2263" s="1" t="s">
        <v>23</v>
      </c>
      <c r="M2263" s="1" t="str">
        <f>TEXT(Table1[[#This Row],[Order Date]],"mmm")</f>
        <v>Aug</v>
      </c>
      <c r="N2263" s="1">
        <f>YEAR(Table1[[#This Row],[Order Date]])</f>
        <v>2024</v>
      </c>
    </row>
    <row r="2264" spans="1:14" x14ac:dyDescent="0.35">
      <c r="A2264" s="1" t="s">
        <v>3039</v>
      </c>
      <c r="B2264" s="1" t="s">
        <v>3040</v>
      </c>
      <c r="C2264" s="1" t="s">
        <v>40</v>
      </c>
      <c r="D2264" s="1" t="s">
        <v>78</v>
      </c>
      <c r="E2264" s="1" t="s">
        <v>28</v>
      </c>
      <c r="F2264" s="1" t="s">
        <v>78</v>
      </c>
      <c r="G2264" s="1">
        <v>3</v>
      </c>
      <c r="H2264" s="1">
        <v>1641</v>
      </c>
      <c r="I2264" s="1">
        <v>0.2</v>
      </c>
      <c r="J2264" s="1">
        <v>3938.4</v>
      </c>
      <c r="K2264" s="1">
        <v>938.45</v>
      </c>
      <c r="L2264" s="1" t="s">
        <v>17</v>
      </c>
      <c r="M2264" s="1" t="str">
        <f>TEXT(Table1[[#This Row],[Order Date]],"mmm")</f>
        <v>Jul</v>
      </c>
      <c r="N2264" s="1">
        <f>YEAR(Table1[[#This Row],[Order Date]])</f>
        <v>2023</v>
      </c>
    </row>
    <row r="2265" spans="1:14" x14ac:dyDescent="0.35">
      <c r="A2265" s="1" t="s">
        <v>3041</v>
      </c>
      <c r="B2265" s="1" t="s">
        <v>636</v>
      </c>
      <c r="C2265" s="1" t="s">
        <v>77</v>
      </c>
      <c r="D2265" s="1" t="s">
        <v>167</v>
      </c>
      <c r="E2265" s="1" t="s">
        <v>16</v>
      </c>
      <c r="F2265" s="1" t="s">
        <v>167</v>
      </c>
      <c r="G2265" s="1">
        <v>10</v>
      </c>
      <c r="H2265" s="1">
        <v>25076</v>
      </c>
      <c r="I2265" s="1">
        <v>0.2</v>
      </c>
      <c r="J2265" s="1">
        <v>200608</v>
      </c>
      <c r="K2265" s="1">
        <v>27598.87</v>
      </c>
      <c r="L2265" s="1" t="s">
        <v>45</v>
      </c>
      <c r="M2265" s="1" t="str">
        <f>TEXT(Table1[[#This Row],[Order Date]],"mmm")</f>
        <v>Nov</v>
      </c>
      <c r="N2265" s="1">
        <f>YEAR(Table1[[#This Row],[Order Date]])</f>
        <v>2023</v>
      </c>
    </row>
    <row r="2266" spans="1:14" x14ac:dyDescent="0.35">
      <c r="A2266" s="1" t="s">
        <v>3042</v>
      </c>
      <c r="B2266" s="1" t="s">
        <v>1258</v>
      </c>
      <c r="C2266" s="1" t="s">
        <v>20</v>
      </c>
      <c r="D2266" s="1" t="s">
        <v>85</v>
      </c>
      <c r="E2266" s="1" t="s">
        <v>28</v>
      </c>
      <c r="F2266" s="1" t="s">
        <v>85</v>
      </c>
      <c r="G2266" s="1">
        <v>2</v>
      </c>
      <c r="H2266" s="1">
        <v>42210</v>
      </c>
      <c r="I2266" s="1">
        <v>0.2</v>
      </c>
      <c r="J2266" s="1">
        <v>67536</v>
      </c>
      <c r="K2266" s="1">
        <v>17819.32</v>
      </c>
      <c r="L2266" s="1" t="s">
        <v>23</v>
      </c>
      <c r="M2266" s="1" t="str">
        <f>TEXT(Table1[[#This Row],[Order Date]],"mmm")</f>
        <v>Jun</v>
      </c>
      <c r="N2266" s="1">
        <f>YEAR(Table1[[#This Row],[Order Date]])</f>
        <v>2023</v>
      </c>
    </row>
    <row r="2267" spans="1:14" x14ac:dyDescent="0.35">
      <c r="A2267" s="1" t="s">
        <v>3043</v>
      </c>
      <c r="B2267" s="1" t="s">
        <v>511</v>
      </c>
      <c r="C2267" s="1" t="s">
        <v>188</v>
      </c>
      <c r="D2267" s="1" t="s">
        <v>78</v>
      </c>
      <c r="E2267" s="1" t="s">
        <v>28</v>
      </c>
      <c r="F2267" s="1" t="s">
        <v>78</v>
      </c>
      <c r="G2267" s="1">
        <v>8</v>
      </c>
      <c r="H2267" s="1">
        <v>41784</v>
      </c>
      <c r="I2267" s="1">
        <v>0</v>
      </c>
      <c r="J2267" s="1">
        <v>334272</v>
      </c>
      <c r="K2267" s="1">
        <v>87475.93</v>
      </c>
      <c r="L2267" s="1" t="s">
        <v>23</v>
      </c>
      <c r="M2267" s="1" t="str">
        <f>TEXT(Table1[[#This Row],[Order Date]],"mmm")</f>
        <v>Sep</v>
      </c>
      <c r="N2267" s="1">
        <f>YEAR(Table1[[#This Row],[Order Date]])</f>
        <v>2023</v>
      </c>
    </row>
    <row r="2268" spans="1:14" x14ac:dyDescent="0.35">
      <c r="A2268" s="1" t="s">
        <v>3044</v>
      </c>
      <c r="B2268" s="1" t="s">
        <v>1166</v>
      </c>
      <c r="C2268" s="1" t="s">
        <v>88</v>
      </c>
      <c r="D2268" s="1" t="s">
        <v>85</v>
      </c>
      <c r="E2268" s="1" t="s">
        <v>28</v>
      </c>
      <c r="F2268" s="1" t="s">
        <v>85</v>
      </c>
      <c r="G2268" s="1">
        <v>10</v>
      </c>
      <c r="H2268" s="1">
        <v>5335</v>
      </c>
      <c r="I2268" s="1">
        <v>0.2</v>
      </c>
      <c r="J2268" s="1">
        <v>42680</v>
      </c>
      <c r="K2268" s="1">
        <v>8175.32</v>
      </c>
      <c r="L2268" s="1" t="s">
        <v>23</v>
      </c>
      <c r="M2268" s="1" t="str">
        <f>TEXT(Table1[[#This Row],[Order Date]],"mmm")</f>
        <v>Oct</v>
      </c>
      <c r="N2268" s="1">
        <f>YEAR(Table1[[#This Row],[Order Date]])</f>
        <v>2024</v>
      </c>
    </row>
    <row r="2269" spans="1:14" x14ac:dyDescent="0.35">
      <c r="A2269" s="1" t="s">
        <v>3045</v>
      </c>
      <c r="B2269" s="1" t="s">
        <v>1681</v>
      </c>
      <c r="C2269" s="1" t="s">
        <v>120</v>
      </c>
      <c r="D2269" s="1" t="s">
        <v>74</v>
      </c>
      <c r="E2269" s="1" t="s">
        <v>22</v>
      </c>
      <c r="F2269" s="1" t="s">
        <v>74</v>
      </c>
      <c r="G2269" s="1">
        <v>3</v>
      </c>
      <c r="H2269" s="1">
        <v>19699</v>
      </c>
      <c r="I2269" s="1">
        <v>0.15</v>
      </c>
      <c r="J2269" s="1">
        <v>50232.45</v>
      </c>
      <c r="K2269" s="1">
        <v>5866.21</v>
      </c>
      <c r="L2269" s="1" t="s">
        <v>70</v>
      </c>
      <c r="M2269" s="1" t="str">
        <f>TEXT(Table1[[#This Row],[Order Date]],"mmm")</f>
        <v>May</v>
      </c>
      <c r="N2269" s="1">
        <f>YEAR(Table1[[#This Row],[Order Date]])</f>
        <v>2023</v>
      </c>
    </row>
    <row r="2270" spans="1:14" x14ac:dyDescent="0.35">
      <c r="A2270" s="1" t="s">
        <v>3046</v>
      </c>
      <c r="B2270" s="1" t="s">
        <v>605</v>
      </c>
      <c r="C2270" s="1" t="s">
        <v>51</v>
      </c>
      <c r="D2270" s="1" t="s">
        <v>41</v>
      </c>
      <c r="E2270" s="1" t="s">
        <v>16</v>
      </c>
      <c r="F2270" s="1" t="s">
        <v>41</v>
      </c>
      <c r="G2270" s="1">
        <v>6</v>
      </c>
      <c r="H2270" s="1">
        <v>1202</v>
      </c>
      <c r="I2270" s="1">
        <v>0.2</v>
      </c>
      <c r="J2270" s="1">
        <v>5769.6</v>
      </c>
      <c r="K2270" s="1">
        <v>1119.51</v>
      </c>
      <c r="L2270" s="1" t="s">
        <v>23</v>
      </c>
      <c r="M2270" s="1" t="str">
        <f>TEXT(Table1[[#This Row],[Order Date]],"mmm")</f>
        <v>Oct</v>
      </c>
      <c r="N2270" s="1">
        <f>YEAR(Table1[[#This Row],[Order Date]])</f>
        <v>2023</v>
      </c>
    </row>
    <row r="2271" spans="1:14" x14ac:dyDescent="0.35">
      <c r="A2271" s="1" t="s">
        <v>3047</v>
      </c>
      <c r="B2271" s="1" t="s">
        <v>122</v>
      </c>
      <c r="C2271" s="1" t="s">
        <v>203</v>
      </c>
      <c r="D2271" s="1" t="s">
        <v>64</v>
      </c>
      <c r="E2271" s="1" t="s">
        <v>33</v>
      </c>
      <c r="F2271" s="1" t="s">
        <v>64</v>
      </c>
      <c r="G2271" s="1">
        <v>15</v>
      </c>
      <c r="H2271" s="1">
        <v>6257</v>
      </c>
      <c r="I2271" s="1">
        <v>0.05</v>
      </c>
      <c r="J2271" s="1">
        <v>89162.25</v>
      </c>
      <c r="K2271" s="1">
        <v>22086.84</v>
      </c>
      <c r="L2271" s="1" t="s">
        <v>17</v>
      </c>
      <c r="M2271" s="1" t="str">
        <f>TEXT(Table1[[#This Row],[Order Date]],"mmm")</f>
        <v>Jul</v>
      </c>
      <c r="N2271" s="1">
        <f>YEAR(Table1[[#This Row],[Order Date]])</f>
        <v>2024</v>
      </c>
    </row>
    <row r="2272" spans="1:14" x14ac:dyDescent="0.35">
      <c r="A2272" s="1" t="s">
        <v>3048</v>
      </c>
      <c r="B2272" s="1" t="s">
        <v>124</v>
      </c>
      <c r="C2272" s="1" t="s">
        <v>94</v>
      </c>
      <c r="D2272" s="1" t="s">
        <v>137</v>
      </c>
      <c r="E2272" s="1" t="s">
        <v>22</v>
      </c>
      <c r="F2272" s="1" t="s">
        <v>137</v>
      </c>
      <c r="G2272" s="1">
        <v>6</v>
      </c>
      <c r="H2272" s="1">
        <v>8306</v>
      </c>
      <c r="I2272" s="1">
        <v>0.2</v>
      </c>
      <c r="J2272" s="1">
        <v>39868.800000000003</v>
      </c>
      <c r="K2272" s="1">
        <v>10014.11</v>
      </c>
      <c r="L2272" s="1" t="s">
        <v>23</v>
      </c>
      <c r="M2272" s="1" t="str">
        <f>TEXT(Table1[[#This Row],[Order Date]],"mmm")</f>
        <v>Apr</v>
      </c>
      <c r="N2272" s="1">
        <f>YEAR(Table1[[#This Row],[Order Date]])</f>
        <v>2024</v>
      </c>
    </row>
    <row r="2273" spans="1:14" x14ac:dyDescent="0.35">
      <c r="A2273" s="1" t="s">
        <v>3049</v>
      </c>
      <c r="B2273" s="1" t="s">
        <v>1440</v>
      </c>
      <c r="C2273" s="1" t="s">
        <v>51</v>
      </c>
      <c r="D2273" s="1" t="s">
        <v>91</v>
      </c>
      <c r="E2273" s="1" t="s">
        <v>16</v>
      </c>
      <c r="F2273" s="1" t="s">
        <v>91</v>
      </c>
      <c r="G2273" s="1">
        <v>5</v>
      </c>
      <c r="H2273" s="1">
        <v>31423</v>
      </c>
      <c r="I2273" s="1">
        <v>0.15</v>
      </c>
      <c r="J2273" s="1">
        <v>133547.75</v>
      </c>
      <c r="K2273" s="1">
        <v>22286.29</v>
      </c>
      <c r="L2273" s="1" t="s">
        <v>17</v>
      </c>
      <c r="M2273" s="1" t="str">
        <f>TEXT(Table1[[#This Row],[Order Date]],"mmm")</f>
        <v>Mar</v>
      </c>
      <c r="N2273" s="1">
        <f>YEAR(Table1[[#This Row],[Order Date]])</f>
        <v>2023</v>
      </c>
    </row>
    <row r="2274" spans="1:14" x14ac:dyDescent="0.35">
      <c r="A2274" s="1" t="s">
        <v>3050</v>
      </c>
      <c r="B2274" s="1" t="s">
        <v>800</v>
      </c>
      <c r="C2274" s="1" t="s">
        <v>101</v>
      </c>
      <c r="D2274" s="1" t="s">
        <v>85</v>
      </c>
      <c r="E2274" s="1" t="s">
        <v>28</v>
      </c>
      <c r="F2274" s="1" t="s">
        <v>85</v>
      </c>
      <c r="G2274" s="1">
        <v>1</v>
      </c>
      <c r="H2274" s="1">
        <v>58178</v>
      </c>
      <c r="I2274" s="1">
        <v>0.2</v>
      </c>
      <c r="J2274" s="1">
        <v>46542.400000000001</v>
      </c>
      <c r="K2274" s="1">
        <v>9597.4</v>
      </c>
      <c r="L2274" s="1" t="s">
        <v>70</v>
      </c>
      <c r="M2274" s="1" t="str">
        <f>TEXT(Table1[[#This Row],[Order Date]],"mmm")</f>
        <v>Oct</v>
      </c>
      <c r="N2274" s="1">
        <f>YEAR(Table1[[#This Row],[Order Date]])</f>
        <v>2023</v>
      </c>
    </row>
    <row r="2275" spans="1:14" x14ac:dyDescent="0.35">
      <c r="A2275" s="1" t="s">
        <v>3051</v>
      </c>
      <c r="B2275" s="1" t="s">
        <v>1146</v>
      </c>
      <c r="C2275" s="1" t="s">
        <v>188</v>
      </c>
      <c r="D2275" s="1" t="s">
        <v>323</v>
      </c>
      <c r="E2275" s="1" t="s">
        <v>33</v>
      </c>
      <c r="F2275" s="1" t="s">
        <v>323</v>
      </c>
      <c r="G2275" s="1">
        <v>15</v>
      </c>
      <c r="H2275" s="1">
        <v>47624</v>
      </c>
      <c r="I2275" s="1">
        <v>0.15</v>
      </c>
      <c r="J2275" s="1">
        <v>607206</v>
      </c>
      <c r="K2275" s="1">
        <v>86986.93</v>
      </c>
      <c r="L2275" s="1" t="s">
        <v>45</v>
      </c>
      <c r="M2275" s="1" t="str">
        <f>TEXT(Table1[[#This Row],[Order Date]],"mmm")</f>
        <v>Apr</v>
      </c>
      <c r="N2275" s="1">
        <f>YEAR(Table1[[#This Row],[Order Date]])</f>
        <v>2024</v>
      </c>
    </row>
    <row r="2276" spans="1:14" x14ac:dyDescent="0.35">
      <c r="A2276" s="1" t="s">
        <v>3052</v>
      </c>
      <c r="B2276" s="1" t="s">
        <v>825</v>
      </c>
      <c r="C2276" s="1" t="s">
        <v>104</v>
      </c>
      <c r="D2276" s="1" t="s">
        <v>85</v>
      </c>
      <c r="E2276" s="1" t="s">
        <v>28</v>
      </c>
      <c r="F2276" s="1" t="s">
        <v>85</v>
      </c>
      <c r="G2276" s="1">
        <v>5</v>
      </c>
      <c r="H2276" s="1">
        <v>55903</v>
      </c>
      <c r="I2276" s="1">
        <v>0.1</v>
      </c>
      <c r="J2276" s="1">
        <v>251563.5</v>
      </c>
      <c r="K2276" s="1">
        <v>30095.58</v>
      </c>
      <c r="L2276" s="1" t="s">
        <v>23</v>
      </c>
      <c r="M2276" s="1" t="str">
        <f>TEXT(Table1[[#This Row],[Order Date]],"mmm")</f>
        <v>Oct</v>
      </c>
      <c r="N2276" s="1">
        <f>YEAR(Table1[[#This Row],[Order Date]])</f>
        <v>2023</v>
      </c>
    </row>
    <row r="2277" spans="1:14" x14ac:dyDescent="0.35">
      <c r="A2277" s="1" t="s">
        <v>3053</v>
      </c>
      <c r="B2277" s="1" t="s">
        <v>3054</v>
      </c>
      <c r="C2277" s="1" t="s">
        <v>136</v>
      </c>
      <c r="D2277" s="1" t="s">
        <v>41</v>
      </c>
      <c r="E2277" s="1" t="s">
        <v>16</v>
      </c>
      <c r="F2277" s="1" t="s">
        <v>41</v>
      </c>
      <c r="G2277" s="1">
        <v>10</v>
      </c>
      <c r="H2277" s="1">
        <v>28374</v>
      </c>
      <c r="I2277" s="1">
        <v>0.1</v>
      </c>
      <c r="J2277" s="1">
        <v>255366</v>
      </c>
      <c r="K2277" s="1">
        <v>38916.93</v>
      </c>
      <c r="L2277" s="1" t="s">
        <v>70</v>
      </c>
      <c r="M2277" s="1" t="str">
        <f>TEXT(Table1[[#This Row],[Order Date]],"mmm")</f>
        <v>Oct</v>
      </c>
      <c r="N2277" s="1">
        <f>YEAR(Table1[[#This Row],[Order Date]])</f>
        <v>2024</v>
      </c>
    </row>
    <row r="2278" spans="1:14" x14ac:dyDescent="0.35">
      <c r="A2278" s="1" t="s">
        <v>3055</v>
      </c>
      <c r="B2278" s="1" t="s">
        <v>1017</v>
      </c>
      <c r="C2278" s="1" t="s">
        <v>63</v>
      </c>
      <c r="D2278" s="1" t="s">
        <v>41</v>
      </c>
      <c r="E2278" s="1" t="s">
        <v>16</v>
      </c>
      <c r="F2278" s="1" t="s">
        <v>41</v>
      </c>
      <c r="G2278" s="1">
        <v>12</v>
      </c>
      <c r="H2278" s="1">
        <v>28084</v>
      </c>
      <c r="I2278" s="1">
        <v>0.2</v>
      </c>
      <c r="J2278" s="1">
        <v>269606.40000000002</v>
      </c>
      <c r="K2278" s="1">
        <v>31465.54</v>
      </c>
      <c r="L2278" s="1" t="s">
        <v>70</v>
      </c>
      <c r="M2278" s="1" t="str">
        <f>TEXT(Table1[[#This Row],[Order Date]],"mmm")</f>
        <v>Feb</v>
      </c>
      <c r="N2278" s="1">
        <f>YEAR(Table1[[#This Row],[Order Date]])</f>
        <v>2023</v>
      </c>
    </row>
    <row r="2279" spans="1:14" x14ac:dyDescent="0.35">
      <c r="A2279" s="1" t="s">
        <v>3056</v>
      </c>
      <c r="B2279" s="1" t="s">
        <v>819</v>
      </c>
      <c r="C2279" s="1" t="s">
        <v>125</v>
      </c>
      <c r="D2279" s="1" t="s">
        <v>37</v>
      </c>
      <c r="E2279" s="1" t="s">
        <v>16</v>
      </c>
      <c r="F2279" s="1" t="s">
        <v>37</v>
      </c>
      <c r="G2279" s="1">
        <v>5</v>
      </c>
      <c r="H2279" s="1">
        <v>26773</v>
      </c>
      <c r="I2279" s="1">
        <v>0.2</v>
      </c>
      <c r="J2279" s="1">
        <v>107092</v>
      </c>
      <c r="K2279" s="1">
        <v>22585.61</v>
      </c>
      <c r="L2279" s="1" t="s">
        <v>70</v>
      </c>
      <c r="M2279" s="1" t="str">
        <f>TEXT(Table1[[#This Row],[Order Date]],"mmm")</f>
        <v>Sep</v>
      </c>
      <c r="N2279" s="1">
        <f>YEAR(Table1[[#This Row],[Order Date]])</f>
        <v>2024</v>
      </c>
    </row>
    <row r="2280" spans="1:14" x14ac:dyDescent="0.35">
      <c r="A2280" s="1" t="s">
        <v>3057</v>
      </c>
      <c r="B2280" s="1" t="s">
        <v>269</v>
      </c>
      <c r="C2280" s="1" t="s">
        <v>31</v>
      </c>
      <c r="D2280" s="1" t="s">
        <v>37</v>
      </c>
      <c r="E2280" s="1" t="s">
        <v>16</v>
      </c>
      <c r="F2280" s="1" t="s">
        <v>37</v>
      </c>
      <c r="G2280" s="1">
        <v>1</v>
      </c>
      <c r="H2280" s="1">
        <v>47545</v>
      </c>
      <c r="I2280" s="1">
        <v>0.15</v>
      </c>
      <c r="J2280" s="1">
        <v>40413.25</v>
      </c>
      <c r="K2280" s="1">
        <v>6050.91</v>
      </c>
      <c r="L2280" s="1" t="s">
        <v>45</v>
      </c>
      <c r="M2280" s="1" t="str">
        <f>TEXT(Table1[[#This Row],[Order Date]],"mmm")</f>
        <v>Dec</v>
      </c>
      <c r="N2280" s="1">
        <f>YEAR(Table1[[#This Row],[Order Date]])</f>
        <v>2023</v>
      </c>
    </row>
    <row r="2281" spans="1:14" x14ac:dyDescent="0.35">
      <c r="A2281" s="1" t="s">
        <v>3058</v>
      </c>
      <c r="B2281" s="1" t="s">
        <v>3059</v>
      </c>
      <c r="C2281" s="1" t="s">
        <v>94</v>
      </c>
      <c r="D2281" s="1" t="s">
        <v>141</v>
      </c>
      <c r="E2281" s="1" t="s">
        <v>22</v>
      </c>
      <c r="F2281" s="1" t="s">
        <v>141</v>
      </c>
      <c r="G2281" s="1">
        <v>1</v>
      </c>
      <c r="H2281" s="1">
        <v>21823</v>
      </c>
      <c r="I2281" s="1">
        <v>0.15</v>
      </c>
      <c r="J2281" s="1">
        <v>18549.55</v>
      </c>
      <c r="K2281" s="1">
        <v>4788.34</v>
      </c>
      <c r="L2281" s="1" t="s">
        <v>70</v>
      </c>
      <c r="M2281" s="1" t="str">
        <f>TEXT(Table1[[#This Row],[Order Date]],"mmm")</f>
        <v>Mar</v>
      </c>
      <c r="N2281" s="1">
        <f>YEAR(Table1[[#This Row],[Order Date]])</f>
        <v>2023</v>
      </c>
    </row>
    <row r="2282" spans="1:14" x14ac:dyDescent="0.35">
      <c r="A2282" s="1" t="s">
        <v>3060</v>
      </c>
      <c r="B2282" s="1" t="s">
        <v>1161</v>
      </c>
      <c r="C2282" s="1" t="s">
        <v>88</v>
      </c>
      <c r="D2282" s="1" t="s">
        <v>37</v>
      </c>
      <c r="E2282" s="1" t="s">
        <v>16</v>
      </c>
      <c r="F2282" s="1" t="s">
        <v>37</v>
      </c>
      <c r="G2282" s="1">
        <v>8</v>
      </c>
      <c r="H2282" s="1">
        <v>7852</v>
      </c>
      <c r="I2282" s="1">
        <v>0.2</v>
      </c>
      <c r="J2282" s="1">
        <v>50252.800000000003</v>
      </c>
      <c r="K2282" s="1">
        <v>14616.54</v>
      </c>
      <c r="L2282" s="1" t="s">
        <v>45</v>
      </c>
      <c r="M2282" s="1" t="str">
        <f>TEXT(Table1[[#This Row],[Order Date]],"mmm")</f>
        <v>Mar</v>
      </c>
      <c r="N2282" s="1">
        <f>YEAR(Table1[[#This Row],[Order Date]])</f>
        <v>2024</v>
      </c>
    </row>
    <row r="2283" spans="1:14" x14ac:dyDescent="0.35">
      <c r="A2283" s="1" t="s">
        <v>3061</v>
      </c>
      <c r="B2283" s="1" t="s">
        <v>643</v>
      </c>
      <c r="C2283" s="1" t="s">
        <v>59</v>
      </c>
      <c r="D2283" s="1" t="s">
        <v>167</v>
      </c>
      <c r="E2283" s="1" t="s">
        <v>16</v>
      </c>
      <c r="F2283" s="1" t="s">
        <v>167</v>
      </c>
      <c r="G2283" s="1">
        <v>2</v>
      </c>
      <c r="H2283" s="1">
        <v>28900</v>
      </c>
      <c r="I2283" s="1">
        <v>0</v>
      </c>
      <c r="J2283" s="1">
        <v>57800</v>
      </c>
      <c r="K2283" s="1">
        <v>4675.57</v>
      </c>
      <c r="L2283" s="1" t="s">
        <v>17</v>
      </c>
      <c r="M2283" s="1" t="str">
        <f>TEXT(Table1[[#This Row],[Order Date]],"mmm")</f>
        <v>Aug</v>
      </c>
      <c r="N2283" s="1">
        <f>YEAR(Table1[[#This Row],[Order Date]])</f>
        <v>2024</v>
      </c>
    </row>
    <row r="2284" spans="1:14" x14ac:dyDescent="0.35">
      <c r="A2284" s="1" t="s">
        <v>3062</v>
      </c>
      <c r="B2284" s="1" t="s">
        <v>1029</v>
      </c>
      <c r="C2284" s="1" t="s">
        <v>191</v>
      </c>
      <c r="D2284" s="1" t="s">
        <v>27</v>
      </c>
      <c r="E2284" s="1" t="s">
        <v>28</v>
      </c>
      <c r="F2284" s="1" t="s">
        <v>27</v>
      </c>
      <c r="G2284" s="1">
        <v>1</v>
      </c>
      <c r="H2284" s="1">
        <v>48698</v>
      </c>
      <c r="I2284" s="1">
        <v>0.15</v>
      </c>
      <c r="J2284" s="1">
        <v>41393.300000000003</v>
      </c>
      <c r="K2284" s="1">
        <v>4167.8100000000004</v>
      </c>
      <c r="L2284" s="1" t="s">
        <v>17</v>
      </c>
      <c r="M2284" s="1" t="str">
        <f>TEXT(Table1[[#This Row],[Order Date]],"mmm")</f>
        <v>Nov</v>
      </c>
      <c r="N2284" s="1">
        <f>YEAR(Table1[[#This Row],[Order Date]])</f>
        <v>2024</v>
      </c>
    </row>
    <row r="2285" spans="1:14" x14ac:dyDescent="0.35">
      <c r="A2285" s="1" t="s">
        <v>3063</v>
      </c>
      <c r="B2285" s="1" t="s">
        <v>1652</v>
      </c>
      <c r="C2285" s="1" t="s">
        <v>67</v>
      </c>
      <c r="D2285" s="1" t="s">
        <v>151</v>
      </c>
      <c r="E2285" s="1" t="s">
        <v>22</v>
      </c>
      <c r="F2285" s="1" t="s">
        <v>151</v>
      </c>
      <c r="G2285" s="1">
        <v>7</v>
      </c>
      <c r="H2285" s="1">
        <v>53587</v>
      </c>
      <c r="I2285" s="1">
        <v>0.2</v>
      </c>
      <c r="J2285" s="1">
        <v>300087.2</v>
      </c>
      <c r="K2285" s="1">
        <v>47902.62</v>
      </c>
      <c r="L2285" s="1" t="s">
        <v>70</v>
      </c>
      <c r="M2285" s="1" t="str">
        <f>TEXT(Table1[[#This Row],[Order Date]],"mmm")</f>
        <v>Sep</v>
      </c>
      <c r="N2285" s="1">
        <f>YEAR(Table1[[#This Row],[Order Date]])</f>
        <v>2024</v>
      </c>
    </row>
    <row r="2286" spans="1:14" x14ac:dyDescent="0.35">
      <c r="A2286" s="1" t="s">
        <v>3064</v>
      </c>
      <c r="B2286" s="1" t="s">
        <v>886</v>
      </c>
      <c r="C2286" s="1" t="s">
        <v>128</v>
      </c>
      <c r="D2286" s="1" t="s">
        <v>293</v>
      </c>
      <c r="E2286" s="1" t="s">
        <v>33</v>
      </c>
      <c r="F2286" s="1" t="s">
        <v>293</v>
      </c>
      <c r="G2286" s="1">
        <v>11</v>
      </c>
      <c r="H2286" s="1">
        <v>19388</v>
      </c>
      <c r="I2286" s="1">
        <v>0.1</v>
      </c>
      <c r="J2286" s="1">
        <v>191941.2</v>
      </c>
      <c r="K2286" s="1">
        <v>49907.71</v>
      </c>
      <c r="L2286" s="1" t="s">
        <v>45</v>
      </c>
      <c r="M2286" s="1" t="str">
        <f>TEXT(Table1[[#This Row],[Order Date]],"mmm")</f>
        <v>Apr</v>
      </c>
      <c r="N2286" s="1">
        <f>YEAR(Table1[[#This Row],[Order Date]])</f>
        <v>2023</v>
      </c>
    </row>
    <row r="2287" spans="1:14" x14ac:dyDescent="0.35">
      <c r="A2287" s="1" t="s">
        <v>3065</v>
      </c>
      <c r="B2287" s="1" t="s">
        <v>1658</v>
      </c>
      <c r="C2287" s="1" t="s">
        <v>117</v>
      </c>
      <c r="D2287" s="1" t="s">
        <v>64</v>
      </c>
      <c r="E2287" s="1" t="s">
        <v>33</v>
      </c>
      <c r="F2287" s="1" t="s">
        <v>64</v>
      </c>
      <c r="G2287" s="1">
        <v>12</v>
      </c>
      <c r="H2287" s="1">
        <v>2194</v>
      </c>
      <c r="I2287" s="1">
        <v>0.15</v>
      </c>
      <c r="J2287" s="1">
        <v>22378.799999999999</v>
      </c>
      <c r="K2287" s="1">
        <v>6705.81</v>
      </c>
      <c r="L2287" s="1" t="s">
        <v>70</v>
      </c>
      <c r="M2287" s="1" t="str">
        <f>TEXT(Table1[[#This Row],[Order Date]],"mmm")</f>
        <v>Sep</v>
      </c>
      <c r="N2287" s="1">
        <f>YEAR(Table1[[#This Row],[Order Date]])</f>
        <v>2024</v>
      </c>
    </row>
    <row r="2288" spans="1:14" x14ac:dyDescent="0.35">
      <c r="A2288" s="1" t="s">
        <v>3066</v>
      </c>
      <c r="B2288" s="1" t="s">
        <v>921</v>
      </c>
      <c r="C2288" s="1" t="s">
        <v>203</v>
      </c>
      <c r="D2288" s="1" t="s">
        <v>85</v>
      </c>
      <c r="E2288" s="1" t="s">
        <v>28</v>
      </c>
      <c r="F2288" s="1" t="s">
        <v>85</v>
      </c>
      <c r="G2288" s="1">
        <v>10</v>
      </c>
      <c r="H2288" s="1">
        <v>20324</v>
      </c>
      <c r="I2288" s="1">
        <v>0.2</v>
      </c>
      <c r="J2288" s="1">
        <v>162592</v>
      </c>
      <c r="K2288" s="1">
        <v>16300.99</v>
      </c>
      <c r="L2288" s="1" t="s">
        <v>45</v>
      </c>
      <c r="M2288" s="1" t="str">
        <f>TEXT(Table1[[#This Row],[Order Date]],"mmm")</f>
        <v>Jul</v>
      </c>
      <c r="N2288" s="1">
        <f>YEAR(Table1[[#This Row],[Order Date]])</f>
        <v>2023</v>
      </c>
    </row>
    <row r="2289" spans="1:14" x14ac:dyDescent="0.35">
      <c r="A2289" s="1" t="s">
        <v>3067</v>
      </c>
      <c r="B2289" s="1" t="s">
        <v>3015</v>
      </c>
      <c r="C2289" s="1" t="s">
        <v>55</v>
      </c>
      <c r="D2289" s="1" t="s">
        <v>141</v>
      </c>
      <c r="E2289" s="1" t="s">
        <v>22</v>
      </c>
      <c r="F2289" s="1" t="s">
        <v>141</v>
      </c>
      <c r="G2289" s="1">
        <v>15</v>
      </c>
      <c r="H2289" s="1">
        <v>6796</v>
      </c>
      <c r="I2289" s="1">
        <v>0</v>
      </c>
      <c r="J2289" s="1">
        <v>101940</v>
      </c>
      <c r="K2289" s="1">
        <v>29857.8</v>
      </c>
      <c r="L2289" s="1" t="s">
        <v>70</v>
      </c>
      <c r="M2289" s="1" t="str">
        <f>TEXT(Table1[[#This Row],[Order Date]],"mmm")</f>
        <v>Jan</v>
      </c>
      <c r="N2289" s="1">
        <f>YEAR(Table1[[#This Row],[Order Date]])</f>
        <v>2024</v>
      </c>
    </row>
    <row r="2290" spans="1:14" x14ac:dyDescent="0.35">
      <c r="A2290" s="1" t="s">
        <v>3068</v>
      </c>
      <c r="B2290" s="1" t="s">
        <v>1063</v>
      </c>
      <c r="C2290" s="1" t="s">
        <v>81</v>
      </c>
      <c r="D2290" s="1" t="s">
        <v>114</v>
      </c>
      <c r="E2290" s="1" t="s">
        <v>16</v>
      </c>
      <c r="F2290" s="1" t="s">
        <v>114</v>
      </c>
      <c r="G2290" s="1">
        <v>14</v>
      </c>
      <c r="H2290" s="1">
        <v>8111</v>
      </c>
      <c r="I2290" s="1">
        <v>0.1</v>
      </c>
      <c r="J2290" s="1">
        <v>102198.6</v>
      </c>
      <c r="K2290" s="1">
        <v>26517.040000000001</v>
      </c>
      <c r="L2290" s="1" t="s">
        <v>23</v>
      </c>
      <c r="M2290" s="1" t="str">
        <f>TEXT(Table1[[#This Row],[Order Date]],"mmm")</f>
        <v>Apr</v>
      </c>
      <c r="N2290" s="1">
        <f>YEAR(Table1[[#This Row],[Order Date]])</f>
        <v>2024</v>
      </c>
    </row>
    <row r="2291" spans="1:14" x14ac:dyDescent="0.35">
      <c r="A2291" s="1" t="s">
        <v>3069</v>
      </c>
      <c r="B2291" s="1" t="s">
        <v>770</v>
      </c>
      <c r="C2291" s="1" t="s">
        <v>335</v>
      </c>
      <c r="D2291" s="1" t="s">
        <v>56</v>
      </c>
      <c r="E2291" s="1" t="s">
        <v>22</v>
      </c>
      <c r="F2291" s="1" t="s">
        <v>56</v>
      </c>
      <c r="G2291" s="1">
        <v>11</v>
      </c>
      <c r="H2291" s="1">
        <v>50943</v>
      </c>
      <c r="I2291" s="1">
        <v>0.15</v>
      </c>
      <c r="J2291" s="1">
        <v>476317.05</v>
      </c>
      <c r="K2291" s="1">
        <v>85640.54</v>
      </c>
      <c r="L2291" s="1" t="s">
        <v>17</v>
      </c>
      <c r="M2291" s="1" t="str">
        <f>TEXT(Table1[[#This Row],[Order Date]],"mmm")</f>
        <v>Feb</v>
      </c>
      <c r="N2291" s="1">
        <f>YEAR(Table1[[#This Row],[Order Date]])</f>
        <v>2024</v>
      </c>
    </row>
    <row r="2292" spans="1:14" x14ac:dyDescent="0.35">
      <c r="A2292" s="1" t="s">
        <v>3070</v>
      </c>
      <c r="B2292" s="1" t="s">
        <v>1151</v>
      </c>
      <c r="C2292" s="1" t="s">
        <v>101</v>
      </c>
      <c r="D2292" s="1" t="s">
        <v>95</v>
      </c>
      <c r="E2292" s="1" t="s">
        <v>33</v>
      </c>
      <c r="F2292" s="1" t="s">
        <v>95</v>
      </c>
      <c r="G2292" s="1">
        <v>15</v>
      </c>
      <c r="H2292" s="1">
        <v>8633</v>
      </c>
      <c r="I2292" s="1">
        <v>0.15</v>
      </c>
      <c r="J2292" s="1">
        <v>110070.75</v>
      </c>
      <c r="K2292" s="1">
        <v>9141.0300000000007</v>
      </c>
      <c r="L2292" s="1" t="s">
        <v>70</v>
      </c>
      <c r="M2292" s="1" t="str">
        <f>TEXT(Table1[[#This Row],[Order Date]],"mmm")</f>
        <v>Jul</v>
      </c>
      <c r="N2292" s="1">
        <f>YEAR(Table1[[#This Row],[Order Date]])</f>
        <v>2023</v>
      </c>
    </row>
    <row r="2293" spans="1:14" x14ac:dyDescent="0.35">
      <c r="A2293" s="1" t="s">
        <v>3071</v>
      </c>
      <c r="B2293" s="1" t="s">
        <v>1681</v>
      </c>
      <c r="C2293" s="1" t="s">
        <v>59</v>
      </c>
      <c r="D2293" s="1" t="s">
        <v>15</v>
      </c>
      <c r="E2293" s="1" t="s">
        <v>16</v>
      </c>
      <c r="F2293" s="1" t="s">
        <v>15</v>
      </c>
      <c r="G2293" s="1">
        <v>14</v>
      </c>
      <c r="H2293" s="1">
        <v>34877</v>
      </c>
      <c r="I2293" s="1">
        <v>0</v>
      </c>
      <c r="J2293" s="1">
        <v>488278</v>
      </c>
      <c r="K2293" s="1">
        <v>106469.72</v>
      </c>
      <c r="L2293" s="1" t="s">
        <v>45</v>
      </c>
      <c r="M2293" s="1" t="str">
        <f>TEXT(Table1[[#This Row],[Order Date]],"mmm")</f>
        <v>May</v>
      </c>
      <c r="N2293" s="1">
        <f>YEAR(Table1[[#This Row],[Order Date]])</f>
        <v>2023</v>
      </c>
    </row>
    <row r="2294" spans="1:14" x14ac:dyDescent="0.35">
      <c r="A2294" s="1" t="s">
        <v>3072</v>
      </c>
      <c r="B2294" s="1" t="s">
        <v>3073</v>
      </c>
      <c r="C2294" s="1" t="s">
        <v>20</v>
      </c>
      <c r="D2294" s="1" t="s">
        <v>21</v>
      </c>
      <c r="E2294" s="1" t="s">
        <v>22</v>
      </c>
      <c r="F2294" s="1" t="s">
        <v>21</v>
      </c>
      <c r="G2294" s="1">
        <v>7</v>
      </c>
      <c r="H2294" s="1">
        <v>55947</v>
      </c>
      <c r="I2294" s="1">
        <v>0.05</v>
      </c>
      <c r="J2294" s="1">
        <v>372047.55</v>
      </c>
      <c r="K2294" s="1">
        <v>70405.78</v>
      </c>
      <c r="L2294" s="1" t="s">
        <v>45</v>
      </c>
      <c r="M2294" s="1" t="str">
        <f>TEXT(Table1[[#This Row],[Order Date]],"mmm")</f>
        <v>Aug</v>
      </c>
      <c r="N2294" s="1">
        <f>YEAR(Table1[[#This Row],[Order Date]])</f>
        <v>2024</v>
      </c>
    </row>
    <row r="2295" spans="1:14" x14ac:dyDescent="0.35">
      <c r="A2295" s="1" t="s">
        <v>3074</v>
      </c>
      <c r="B2295" s="1" t="s">
        <v>1267</v>
      </c>
      <c r="C2295" s="1" t="s">
        <v>507</v>
      </c>
      <c r="D2295" s="1" t="s">
        <v>133</v>
      </c>
      <c r="E2295" s="1" t="s">
        <v>22</v>
      </c>
      <c r="F2295" s="1" t="s">
        <v>133</v>
      </c>
      <c r="G2295" s="1">
        <v>9</v>
      </c>
      <c r="H2295" s="1">
        <v>5713</v>
      </c>
      <c r="I2295" s="1">
        <v>0.1</v>
      </c>
      <c r="J2295" s="1">
        <v>46275.3</v>
      </c>
      <c r="K2295" s="1">
        <v>10045.11</v>
      </c>
      <c r="L2295" s="1" t="s">
        <v>17</v>
      </c>
      <c r="M2295" s="1" t="str">
        <f>TEXT(Table1[[#This Row],[Order Date]],"mmm")</f>
        <v>Jan</v>
      </c>
      <c r="N2295" s="1">
        <f>YEAR(Table1[[#This Row],[Order Date]])</f>
        <v>2023</v>
      </c>
    </row>
    <row r="2296" spans="1:14" x14ac:dyDescent="0.35">
      <c r="A2296" s="1" t="s">
        <v>3075</v>
      </c>
      <c r="B2296" s="1" t="s">
        <v>1203</v>
      </c>
      <c r="C2296" s="1" t="s">
        <v>125</v>
      </c>
      <c r="D2296" s="1" t="s">
        <v>323</v>
      </c>
      <c r="E2296" s="1" t="s">
        <v>33</v>
      </c>
      <c r="F2296" s="1" t="s">
        <v>323</v>
      </c>
      <c r="G2296" s="1">
        <v>4</v>
      </c>
      <c r="H2296" s="1">
        <v>13023</v>
      </c>
      <c r="I2296" s="1">
        <v>0.2</v>
      </c>
      <c r="J2296" s="1">
        <v>41673.599999999999</v>
      </c>
      <c r="K2296" s="1">
        <v>12416.98</v>
      </c>
      <c r="L2296" s="1" t="s">
        <v>17</v>
      </c>
      <c r="M2296" s="1" t="str">
        <f>TEXT(Table1[[#This Row],[Order Date]],"mmm")</f>
        <v>Apr</v>
      </c>
      <c r="N2296" s="1">
        <f>YEAR(Table1[[#This Row],[Order Date]])</f>
        <v>2024</v>
      </c>
    </row>
    <row r="2297" spans="1:14" x14ac:dyDescent="0.35">
      <c r="A2297" s="1" t="s">
        <v>3076</v>
      </c>
      <c r="B2297" s="1" t="s">
        <v>901</v>
      </c>
      <c r="C2297" s="1" t="s">
        <v>203</v>
      </c>
      <c r="D2297" s="1" t="s">
        <v>108</v>
      </c>
      <c r="E2297" s="1" t="s">
        <v>22</v>
      </c>
      <c r="F2297" s="1" t="s">
        <v>108</v>
      </c>
      <c r="G2297" s="1">
        <v>5</v>
      </c>
      <c r="H2297" s="1">
        <v>13731</v>
      </c>
      <c r="I2297" s="1">
        <v>0.2</v>
      </c>
      <c r="J2297" s="1">
        <v>54924</v>
      </c>
      <c r="K2297" s="1">
        <v>9345.9699999999993</v>
      </c>
      <c r="L2297" s="1" t="s">
        <v>17</v>
      </c>
      <c r="M2297" s="1" t="str">
        <f>TEXT(Table1[[#This Row],[Order Date]],"mmm")</f>
        <v>May</v>
      </c>
      <c r="N2297" s="1">
        <f>YEAR(Table1[[#This Row],[Order Date]])</f>
        <v>2023</v>
      </c>
    </row>
    <row r="2298" spans="1:14" x14ac:dyDescent="0.35">
      <c r="A2298" s="1" t="s">
        <v>3077</v>
      </c>
      <c r="B2298" s="1" t="s">
        <v>1356</v>
      </c>
      <c r="C2298" s="1" t="s">
        <v>175</v>
      </c>
      <c r="D2298" s="1" t="s">
        <v>27</v>
      </c>
      <c r="E2298" s="1" t="s">
        <v>28</v>
      </c>
      <c r="F2298" s="1" t="s">
        <v>27</v>
      </c>
      <c r="G2298" s="1">
        <v>11</v>
      </c>
      <c r="H2298" s="1">
        <v>14083</v>
      </c>
      <c r="I2298" s="1">
        <v>0.1</v>
      </c>
      <c r="J2298" s="1">
        <v>139421.70000000001</v>
      </c>
      <c r="K2298" s="1">
        <v>38002.559999999998</v>
      </c>
      <c r="L2298" s="1" t="s">
        <v>23</v>
      </c>
      <c r="M2298" s="1" t="str">
        <f>TEXT(Table1[[#This Row],[Order Date]],"mmm")</f>
        <v>Jun</v>
      </c>
      <c r="N2298" s="1">
        <f>YEAR(Table1[[#This Row],[Order Date]])</f>
        <v>2023</v>
      </c>
    </row>
    <row r="2299" spans="1:14" x14ac:dyDescent="0.35">
      <c r="A2299" s="1" t="s">
        <v>3078</v>
      </c>
      <c r="B2299" s="1" t="s">
        <v>731</v>
      </c>
      <c r="C2299" s="1" t="s">
        <v>640</v>
      </c>
      <c r="D2299" s="1" t="s">
        <v>15</v>
      </c>
      <c r="E2299" s="1" t="s">
        <v>16</v>
      </c>
      <c r="F2299" s="1" t="s">
        <v>15</v>
      </c>
      <c r="G2299" s="1">
        <v>11</v>
      </c>
      <c r="H2299" s="1">
        <v>8217</v>
      </c>
      <c r="I2299" s="1">
        <v>0.05</v>
      </c>
      <c r="J2299" s="1">
        <v>85867.65</v>
      </c>
      <c r="K2299" s="1">
        <v>20575.099999999999</v>
      </c>
      <c r="L2299" s="1" t="s">
        <v>70</v>
      </c>
      <c r="M2299" s="1" t="str">
        <f>TEXT(Table1[[#This Row],[Order Date]],"mmm")</f>
        <v>Mar</v>
      </c>
      <c r="N2299" s="1">
        <f>YEAR(Table1[[#This Row],[Order Date]])</f>
        <v>2023</v>
      </c>
    </row>
    <row r="2300" spans="1:14" x14ac:dyDescent="0.35">
      <c r="A2300" s="1" t="s">
        <v>3079</v>
      </c>
      <c r="B2300" s="1" t="s">
        <v>3080</v>
      </c>
      <c r="C2300" s="1" t="s">
        <v>104</v>
      </c>
      <c r="D2300" s="1" t="s">
        <v>293</v>
      </c>
      <c r="E2300" s="1" t="s">
        <v>33</v>
      </c>
      <c r="F2300" s="1" t="s">
        <v>293</v>
      </c>
      <c r="G2300" s="1">
        <v>1</v>
      </c>
      <c r="H2300" s="1">
        <v>38623</v>
      </c>
      <c r="I2300" s="1">
        <v>0.05</v>
      </c>
      <c r="J2300" s="1">
        <v>36691.85</v>
      </c>
      <c r="K2300" s="1">
        <v>10092.040000000001</v>
      </c>
      <c r="L2300" s="1" t="s">
        <v>70</v>
      </c>
      <c r="M2300" s="1" t="str">
        <f>TEXT(Table1[[#This Row],[Order Date]],"mmm")</f>
        <v>Oct</v>
      </c>
      <c r="N2300" s="1">
        <f>YEAR(Table1[[#This Row],[Order Date]])</f>
        <v>2024</v>
      </c>
    </row>
    <row r="2301" spans="1:14" x14ac:dyDescent="0.35">
      <c r="A2301" s="1" t="s">
        <v>3081</v>
      </c>
      <c r="B2301" s="1" t="s">
        <v>2167</v>
      </c>
      <c r="C2301" s="1" t="s">
        <v>31</v>
      </c>
      <c r="D2301" s="1" t="s">
        <v>91</v>
      </c>
      <c r="E2301" s="1" t="s">
        <v>16</v>
      </c>
      <c r="F2301" s="1" t="s">
        <v>91</v>
      </c>
      <c r="G2301" s="1">
        <v>14</v>
      </c>
      <c r="H2301" s="1">
        <v>10406</v>
      </c>
      <c r="I2301" s="1">
        <v>0.15</v>
      </c>
      <c r="J2301" s="1">
        <v>123831.4</v>
      </c>
      <c r="K2301" s="1">
        <v>23196.33</v>
      </c>
      <c r="L2301" s="1" t="s">
        <v>23</v>
      </c>
      <c r="M2301" s="1" t="str">
        <f>TEXT(Table1[[#This Row],[Order Date]],"mmm")</f>
        <v>Aug</v>
      </c>
      <c r="N2301" s="1">
        <f>YEAR(Table1[[#This Row],[Order Date]])</f>
        <v>2024</v>
      </c>
    </row>
    <row r="2302" spans="1:14" x14ac:dyDescent="0.35">
      <c r="A2302" s="1" t="s">
        <v>3082</v>
      </c>
      <c r="B2302" s="1" t="s">
        <v>30</v>
      </c>
      <c r="C2302" s="1" t="s">
        <v>362</v>
      </c>
      <c r="D2302" s="1" t="s">
        <v>74</v>
      </c>
      <c r="E2302" s="1" t="s">
        <v>22</v>
      </c>
      <c r="F2302" s="1" t="s">
        <v>74</v>
      </c>
      <c r="G2302" s="1">
        <v>3</v>
      </c>
      <c r="H2302" s="1">
        <v>15264</v>
      </c>
      <c r="I2302" s="1">
        <v>0.15</v>
      </c>
      <c r="J2302" s="1">
        <v>38923.199999999997</v>
      </c>
      <c r="K2302" s="1">
        <v>9571.8700000000008</v>
      </c>
      <c r="L2302" s="1" t="s">
        <v>70</v>
      </c>
      <c r="M2302" s="1" t="str">
        <f>TEXT(Table1[[#This Row],[Order Date]],"mmm")</f>
        <v>Apr</v>
      </c>
      <c r="N2302" s="1">
        <f>YEAR(Table1[[#This Row],[Order Date]])</f>
        <v>2023</v>
      </c>
    </row>
    <row r="2303" spans="1:14" x14ac:dyDescent="0.35">
      <c r="A2303" s="1" t="s">
        <v>3083</v>
      </c>
      <c r="B2303" s="1" t="s">
        <v>916</v>
      </c>
      <c r="C2303" s="1" t="s">
        <v>77</v>
      </c>
      <c r="D2303" s="1" t="s">
        <v>151</v>
      </c>
      <c r="E2303" s="1" t="s">
        <v>22</v>
      </c>
      <c r="F2303" s="1" t="s">
        <v>151</v>
      </c>
      <c r="G2303" s="1">
        <v>9</v>
      </c>
      <c r="H2303" s="1">
        <v>43579</v>
      </c>
      <c r="I2303" s="1">
        <v>0.15</v>
      </c>
      <c r="J2303" s="1">
        <v>333379.34999999998</v>
      </c>
      <c r="K2303" s="1">
        <v>59526.080000000002</v>
      </c>
      <c r="L2303" s="1" t="s">
        <v>70</v>
      </c>
      <c r="M2303" s="1" t="str">
        <f>TEXT(Table1[[#This Row],[Order Date]],"mmm")</f>
        <v>Sep</v>
      </c>
      <c r="N2303" s="1">
        <f>YEAR(Table1[[#This Row],[Order Date]])</f>
        <v>2023</v>
      </c>
    </row>
    <row r="2304" spans="1:14" x14ac:dyDescent="0.35">
      <c r="A2304" s="1" t="s">
        <v>3084</v>
      </c>
      <c r="B2304" s="1" t="s">
        <v>1750</v>
      </c>
      <c r="C2304" s="1" t="s">
        <v>84</v>
      </c>
      <c r="D2304" s="1" t="s">
        <v>48</v>
      </c>
      <c r="E2304" s="1" t="s">
        <v>16</v>
      </c>
      <c r="F2304" s="1" t="s">
        <v>48</v>
      </c>
      <c r="G2304" s="1">
        <v>12</v>
      </c>
      <c r="H2304" s="1">
        <v>31926</v>
      </c>
      <c r="I2304" s="1">
        <v>0.1</v>
      </c>
      <c r="J2304" s="1">
        <v>344800.8</v>
      </c>
      <c r="K2304" s="1">
        <v>66004.039999999994</v>
      </c>
      <c r="L2304" s="1" t="s">
        <v>17</v>
      </c>
      <c r="M2304" s="1" t="str">
        <f>TEXT(Table1[[#This Row],[Order Date]],"mmm")</f>
        <v>Jul</v>
      </c>
      <c r="N2304" s="1">
        <f>YEAR(Table1[[#This Row],[Order Date]])</f>
        <v>2024</v>
      </c>
    </row>
    <row r="2305" spans="1:14" x14ac:dyDescent="0.35">
      <c r="A2305" s="1" t="s">
        <v>3085</v>
      </c>
      <c r="B2305" s="1" t="s">
        <v>1487</v>
      </c>
      <c r="C2305" s="1" t="s">
        <v>227</v>
      </c>
      <c r="D2305" s="1" t="s">
        <v>27</v>
      </c>
      <c r="E2305" s="1" t="s">
        <v>28</v>
      </c>
      <c r="F2305" s="1" t="s">
        <v>27</v>
      </c>
      <c r="G2305" s="1">
        <v>8</v>
      </c>
      <c r="H2305" s="1">
        <v>58426</v>
      </c>
      <c r="I2305" s="1">
        <v>0.15</v>
      </c>
      <c r="J2305" s="1">
        <v>397296.8</v>
      </c>
      <c r="K2305" s="1">
        <v>40120.120000000003</v>
      </c>
      <c r="L2305" s="1" t="s">
        <v>70</v>
      </c>
      <c r="M2305" s="1" t="str">
        <f>TEXT(Table1[[#This Row],[Order Date]],"mmm")</f>
        <v>Oct</v>
      </c>
      <c r="N2305" s="1">
        <f>YEAR(Table1[[#This Row],[Order Date]])</f>
        <v>2023</v>
      </c>
    </row>
    <row r="2306" spans="1:14" x14ac:dyDescent="0.35">
      <c r="A2306" s="1" t="s">
        <v>3086</v>
      </c>
      <c r="B2306" s="1" t="s">
        <v>1171</v>
      </c>
      <c r="C2306" s="1" t="s">
        <v>507</v>
      </c>
      <c r="D2306" s="1" t="s">
        <v>114</v>
      </c>
      <c r="E2306" s="1" t="s">
        <v>16</v>
      </c>
      <c r="F2306" s="1" t="s">
        <v>114</v>
      </c>
      <c r="G2306" s="1">
        <v>11</v>
      </c>
      <c r="H2306" s="1">
        <v>32221</v>
      </c>
      <c r="I2306" s="1">
        <v>0.15</v>
      </c>
      <c r="J2306" s="1">
        <v>301266.34999999998</v>
      </c>
      <c r="K2306" s="1">
        <v>88088.02</v>
      </c>
      <c r="L2306" s="1" t="s">
        <v>45</v>
      </c>
      <c r="M2306" s="1" t="str">
        <f>TEXT(Table1[[#This Row],[Order Date]],"mmm")</f>
        <v>Aug</v>
      </c>
      <c r="N2306" s="1">
        <f>YEAR(Table1[[#This Row],[Order Date]])</f>
        <v>2024</v>
      </c>
    </row>
    <row r="2307" spans="1:14" x14ac:dyDescent="0.35">
      <c r="A2307" s="1" t="s">
        <v>3087</v>
      </c>
      <c r="B2307" s="1" t="s">
        <v>187</v>
      </c>
      <c r="C2307" s="1" t="s">
        <v>155</v>
      </c>
      <c r="D2307" s="1" t="s">
        <v>32</v>
      </c>
      <c r="E2307" s="1" t="s">
        <v>33</v>
      </c>
      <c r="F2307" s="1" t="s">
        <v>32</v>
      </c>
      <c r="G2307" s="1">
        <v>5</v>
      </c>
      <c r="H2307" s="1">
        <v>29624</v>
      </c>
      <c r="I2307" s="1">
        <v>0.2</v>
      </c>
      <c r="J2307" s="1">
        <v>118496</v>
      </c>
      <c r="K2307" s="1">
        <v>26163.23</v>
      </c>
      <c r="L2307" s="1" t="s">
        <v>17</v>
      </c>
      <c r="M2307" s="1" t="str">
        <f>TEXT(Table1[[#This Row],[Order Date]],"mmm")</f>
        <v>Sep</v>
      </c>
      <c r="N2307" s="1">
        <f>YEAR(Table1[[#This Row],[Order Date]])</f>
        <v>2024</v>
      </c>
    </row>
    <row r="2308" spans="1:14" x14ac:dyDescent="0.35">
      <c r="A2308" s="1" t="s">
        <v>3088</v>
      </c>
      <c r="B2308" s="1" t="s">
        <v>517</v>
      </c>
      <c r="C2308" s="1" t="s">
        <v>158</v>
      </c>
      <c r="D2308" s="1" t="s">
        <v>85</v>
      </c>
      <c r="E2308" s="1" t="s">
        <v>28</v>
      </c>
      <c r="F2308" s="1" t="s">
        <v>85</v>
      </c>
      <c r="G2308" s="1">
        <v>3</v>
      </c>
      <c r="H2308" s="1">
        <v>23644</v>
      </c>
      <c r="I2308" s="1">
        <v>0.2</v>
      </c>
      <c r="J2308" s="1">
        <v>56745.599999999999</v>
      </c>
      <c r="K2308" s="1">
        <v>6236.73</v>
      </c>
      <c r="L2308" s="1" t="s">
        <v>23</v>
      </c>
      <c r="M2308" s="1" t="str">
        <f>TEXT(Table1[[#This Row],[Order Date]],"mmm")</f>
        <v>Jun</v>
      </c>
      <c r="N2308" s="1">
        <f>YEAR(Table1[[#This Row],[Order Date]])</f>
        <v>2024</v>
      </c>
    </row>
    <row r="2309" spans="1:14" x14ac:dyDescent="0.35">
      <c r="A2309" s="1" t="s">
        <v>3089</v>
      </c>
      <c r="B2309" s="1" t="s">
        <v>2194</v>
      </c>
      <c r="C2309" s="1" t="s">
        <v>107</v>
      </c>
      <c r="D2309" s="1" t="s">
        <v>141</v>
      </c>
      <c r="E2309" s="1" t="s">
        <v>22</v>
      </c>
      <c r="F2309" s="1" t="s">
        <v>141</v>
      </c>
      <c r="G2309" s="1">
        <v>13</v>
      </c>
      <c r="H2309" s="1">
        <v>27025</v>
      </c>
      <c r="I2309" s="1">
        <v>0.15</v>
      </c>
      <c r="J2309" s="1">
        <v>298626.25</v>
      </c>
      <c r="K2309" s="1">
        <v>84061.03</v>
      </c>
      <c r="L2309" s="1" t="s">
        <v>45</v>
      </c>
      <c r="M2309" s="1" t="str">
        <f>TEXT(Table1[[#This Row],[Order Date]],"mmm")</f>
        <v>Oct</v>
      </c>
      <c r="N2309" s="1">
        <f>YEAR(Table1[[#This Row],[Order Date]])</f>
        <v>2024</v>
      </c>
    </row>
    <row r="2310" spans="1:14" x14ac:dyDescent="0.35">
      <c r="A2310" s="1" t="s">
        <v>3090</v>
      </c>
      <c r="B2310" s="1" t="s">
        <v>398</v>
      </c>
      <c r="C2310" s="1" t="s">
        <v>162</v>
      </c>
      <c r="D2310" s="1" t="s">
        <v>44</v>
      </c>
      <c r="E2310" s="1" t="s">
        <v>28</v>
      </c>
      <c r="F2310" s="1" t="s">
        <v>44</v>
      </c>
      <c r="G2310" s="1">
        <v>8</v>
      </c>
      <c r="H2310" s="1">
        <v>31185</v>
      </c>
      <c r="I2310" s="1">
        <v>0</v>
      </c>
      <c r="J2310" s="1">
        <v>249480</v>
      </c>
      <c r="K2310" s="1">
        <v>55039.97</v>
      </c>
      <c r="L2310" s="1" t="s">
        <v>17</v>
      </c>
      <c r="M2310" s="1" t="str">
        <f>TEXT(Table1[[#This Row],[Order Date]],"mmm")</f>
        <v>Sep</v>
      </c>
      <c r="N2310" s="1">
        <f>YEAR(Table1[[#This Row],[Order Date]])</f>
        <v>2023</v>
      </c>
    </row>
    <row r="2311" spans="1:14" x14ac:dyDescent="0.35">
      <c r="A2311" s="1" t="s">
        <v>3091</v>
      </c>
      <c r="B2311" s="1" t="s">
        <v>716</v>
      </c>
      <c r="C2311" s="1" t="s">
        <v>20</v>
      </c>
      <c r="D2311" s="1" t="s">
        <v>52</v>
      </c>
      <c r="E2311" s="1" t="s">
        <v>28</v>
      </c>
      <c r="F2311" s="1" t="s">
        <v>52</v>
      </c>
      <c r="G2311" s="1">
        <v>9</v>
      </c>
      <c r="H2311" s="1">
        <v>17812</v>
      </c>
      <c r="I2311" s="1">
        <v>0.2</v>
      </c>
      <c r="J2311" s="1">
        <v>128246.39999999999</v>
      </c>
      <c r="K2311" s="1">
        <v>14701.91</v>
      </c>
      <c r="L2311" s="1" t="s">
        <v>70</v>
      </c>
      <c r="M2311" s="1" t="str">
        <f>TEXT(Table1[[#This Row],[Order Date]],"mmm")</f>
        <v>Apr</v>
      </c>
      <c r="N2311" s="1">
        <f>YEAR(Table1[[#This Row],[Order Date]])</f>
        <v>2023</v>
      </c>
    </row>
    <row r="2312" spans="1:14" x14ac:dyDescent="0.35">
      <c r="A2312" s="1" t="s">
        <v>3092</v>
      </c>
      <c r="B2312" s="1" t="s">
        <v>1624</v>
      </c>
      <c r="C2312" s="1" t="s">
        <v>640</v>
      </c>
      <c r="D2312" s="1" t="s">
        <v>179</v>
      </c>
      <c r="E2312" s="1" t="s">
        <v>28</v>
      </c>
      <c r="F2312" s="1" t="s">
        <v>179</v>
      </c>
      <c r="G2312" s="1">
        <v>4</v>
      </c>
      <c r="H2312" s="1">
        <v>25248</v>
      </c>
      <c r="I2312" s="1">
        <v>0.15</v>
      </c>
      <c r="J2312" s="1">
        <v>85843.199999999997</v>
      </c>
      <c r="K2312" s="1">
        <v>19683.490000000002</v>
      </c>
      <c r="L2312" s="1" t="s">
        <v>70</v>
      </c>
      <c r="M2312" s="1" t="str">
        <f>TEXT(Table1[[#This Row],[Order Date]],"mmm")</f>
        <v>Apr</v>
      </c>
      <c r="N2312" s="1">
        <f>YEAR(Table1[[#This Row],[Order Date]])</f>
        <v>2023</v>
      </c>
    </row>
    <row r="2313" spans="1:14" x14ac:dyDescent="0.35">
      <c r="A2313" s="1" t="s">
        <v>3093</v>
      </c>
      <c r="B2313" s="1" t="s">
        <v>766</v>
      </c>
      <c r="C2313" s="1" t="s">
        <v>162</v>
      </c>
      <c r="D2313" s="1" t="s">
        <v>74</v>
      </c>
      <c r="E2313" s="1" t="s">
        <v>22</v>
      </c>
      <c r="F2313" s="1" t="s">
        <v>74</v>
      </c>
      <c r="G2313" s="1">
        <v>9</v>
      </c>
      <c r="H2313" s="1">
        <v>38420</v>
      </c>
      <c r="I2313" s="1">
        <v>0.1</v>
      </c>
      <c r="J2313" s="1">
        <v>311202</v>
      </c>
      <c r="K2313" s="1">
        <v>65453.15</v>
      </c>
      <c r="L2313" s="1" t="s">
        <v>70</v>
      </c>
      <c r="M2313" s="1" t="str">
        <f>TEXT(Table1[[#This Row],[Order Date]],"mmm")</f>
        <v>Feb</v>
      </c>
      <c r="N2313" s="1">
        <f>YEAR(Table1[[#This Row],[Order Date]])</f>
        <v>2023</v>
      </c>
    </row>
    <row r="2314" spans="1:14" x14ac:dyDescent="0.35">
      <c r="A2314" s="1" t="s">
        <v>3094</v>
      </c>
      <c r="B2314" s="1" t="s">
        <v>2671</v>
      </c>
      <c r="C2314" s="1" t="s">
        <v>255</v>
      </c>
      <c r="D2314" s="1" t="s">
        <v>179</v>
      </c>
      <c r="E2314" s="1" t="s">
        <v>28</v>
      </c>
      <c r="F2314" s="1" t="s">
        <v>179</v>
      </c>
      <c r="G2314" s="1">
        <v>1</v>
      </c>
      <c r="H2314" s="1">
        <v>41906</v>
      </c>
      <c r="I2314" s="1">
        <v>0</v>
      </c>
      <c r="J2314" s="1">
        <v>41906</v>
      </c>
      <c r="K2314" s="1">
        <v>3650.65</v>
      </c>
      <c r="L2314" s="1" t="s">
        <v>45</v>
      </c>
      <c r="M2314" s="1" t="str">
        <f>TEXT(Table1[[#This Row],[Order Date]],"mmm")</f>
        <v>Nov</v>
      </c>
      <c r="N2314" s="1">
        <f>YEAR(Table1[[#This Row],[Order Date]])</f>
        <v>2023</v>
      </c>
    </row>
    <row r="2315" spans="1:14" x14ac:dyDescent="0.35">
      <c r="A2315" s="1" t="s">
        <v>3095</v>
      </c>
      <c r="B2315" s="1" t="s">
        <v>587</v>
      </c>
      <c r="C2315" s="1" t="s">
        <v>98</v>
      </c>
      <c r="D2315" s="1" t="s">
        <v>224</v>
      </c>
      <c r="E2315" s="1" t="s">
        <v>33</v>
      </c>
      <c r="F2315" s="1" t="s">
        <v>224</v>
      </c>
      <c r="G2315" s="1">
        <v>15</v>
      </c>
      <c r="H2315" s="1">
        <v>16338</v>
      </c>
      <c r="I2315" s="1">
        <v>0.05</v>
      </c>
      <c r="J2315" s="1">
        <v>232816.5</v>
      </c>
      <c r="K2315" s="1">
        <v>40070.239999999998</v>
      </c>
      <c r="L2315" s="1" t="s">
        <v>70</v>
      </c>
      <c r="M2315" s="1" t="str">
        <f>TEXT(Table1[[#This Row],[Order Date]],"mmm")</f>
        <v>Oct</v>
      </c>
      <c r="N2315" s="1">
        <f>YEAR(Table1[[#This Row],[Order Date]])</f>
        <v>2024</v>
      </c>
    </row>
    <row r="2316" spans="1:14" x14ac:dyDescent="0.35">
      <c r="A2316" s="1" t="s">
        <v>3096</v>
      </c>
      <c r="B2316" s="1" t="s">
        <v>1171</v>
      </c>
      <c r="C2316" s="1" t="s">
        <v>362</v>
      </c>
      <c r="D2316" s="1" t="s">
        <v>108</v>
      </c>
      <c r="E2316" s="1" t="s">
        <v>22</v>
      </c>
      <c r="F2316" s="1" t="s">
        <v>108</v>
      </c>
      <c r="G2316" s="1">
        <v>5</v>
      </c>
      <c r="H2316" s="1">
        <v>13860</v>
      </c>
      <c r="I2316" s="1">
        <v>0.05</v>
      </c>
      <c r="J2316" s="1">
        <v>65835</v>
      </c>
      <c r="K2316" s="1">
        <v>7577.14</v>
      </c>
      <c r="L2316" s="1" t="s">
        <v>23</v>
      </c>
      <c r="M2316" s="1" t="str">
        <f>TEXT(Table1[[#This Row],[Order Date]],"mmm")</f>
        <v>Aug</v>
      </c>
      <c r="N2316" s="1">
        <f>YEAR(Table1[[#This Row],[Order Date]])</f>
        <v>2024</v>
      </c>
    </row>
    <row r="2317" spans="1:14" x14ac:dyDescent="0.35">
      <c r="A2317" s="1" t="s">
        <v>3097</v>
      </c>
      <c r="B2317" s="1" t="s">
        <v>534</v>
      </c>
      <c r="C2317" s="1" t="s">
        <v>94</v>
      </c>
      <c r="D2317" s="1" t="s">
        <v>56</v>
      </c>
      <c r="E2317" s="1" t="s">
        <v>22</v>
      </c>
      <c r="F2317" s="1" t="s">
        <v>56</v>
      </c>
      <c r="G2317" s="1">
        <v>11</v>
      </c>
      <c r="H2317" s="1">
        <v>42378</v>
      </c>
      <c r="I2317" s="1">
        <v>0.05</v>
      </c>
      <c r="J2317" s="1">
        <v>442850.1</v>
      </c>
      <c r="K2317" s="1">
        <v>65594.570000000007</v>
      </c>
      <c r="L2317" s="1" t="s">
        <v>45</v>
      </c>
      <c r="M2317" s="1" t="str">
        <f>TEXT(Table1[[#This Row],[Order Date]],"mmm")</f>
        <v>Apr</v>
      </c>
      <c r="N2317" s="1">
        <f>YEAR(Table1[[#This Row],[Order Date]])</f>
        <v>2023</v>
      </c>
    </row>
    <row r="2318" spans="1:14" x14ac:dyDescent="0.35">
      <c r="A2318" s="1" t="s">
        <v>3098</v>
      </c>
      <c r="B2318" s="1" t="s">
        <v>889</v>
      </c>
      <c r="C2318" s="1" t="s">
        <v>117</v>
      </c>
      <c r="D2318" s="1" t="s">
        <v>293</v>
      </c>
      <c r="E2318" s="1" t="s">
        <v>33</v>
      </c>
      <c r="F2318" s="1" t="s">
        <v>293</v>
      </c>
      <c r="G2318" s="1">
        <v>4</v>
      </c>
      <c r="H2318" s="1">
        <v>42427</v>
      </c>
      <c r="I2318" s="1">
        <v>0.1</v>
      </c>
      <c r="J2318" s="1">
        <v>152737.20000000001</v>
      </c>
      <c r="K2318" s="1">
        <v>25568.65</v>
      </c>
      <c r="L2318" s="1" t="s">
        <v>45</v>
      </c>
      <c r="M2318" s="1" t="str">
        <f>TEXT(Table1[[#This Row],[Order Date]],"mmm")</f>
        <v>Jul</v>
      </c>
      <c r="N2318" s="1">
        <f>YEAR(Table1[[#This Row],[Order Date]])</f>
        <v>2023</v>
      </c>
    </row>
    <row r="2319" spans="1:14" x14ac:dyDescent="0.35">
      <c r="A2319" s="1" t="s">
        <v>3099</v>
      </c>
      <c r="B2319" s="1" t="s">
        <v>202</v>
      </c>
      <c r="C2319" s="1" t="s">
        <v>73</v>
      </c>
      <c r="D2319" s="1" t="s">
        <v>167</v>
      </c>
      <c r="E2319" s="1" t="s">
        <v>16</v>
      </c>
      <c r="F2319" s="1" t="s">
        <v>167</v>
      </c>
      <c r="G2319" s="1">
        <v>10</v>
      </c>
      <c r="H2319" s="1">
        <v>46220</v>
      </c>
      <c r="I2319" s="1">
        <v>0.1</v>
      </c>
      <c r="J2319" s="1">
        <v>415980</v>
      </c>
      <c r="K2319" s="1">
        <v>76992.25</v>
      </c>
      <c r="L2319" s="1" t="s">
        <v>45</v>
      </c>
      <c r="M2319" s="1" t="str">
        <f>TEXT(Table1[[#This Row],[Order Date]],"mmm")</f>
        <v>Jun</v>
      </c>
      <c r="N2319" s="1">
        <f>YEAR(Table1[[#This Row],[Order Date]])</f>
        <v>2023</v>
      </c>
    </row>
    <row r="2320" spans="1:14" x14ac:dyDescent="0.35">
      <c r="A2320" s="1" t="s">
        <v>3100</v>
      </c>
      <c r="B2320" s="1" t="s">
        <v>696</v>
      </c>
      <c r="C2320" s="1" t="s">
        <v>370</v>
      </c>
      <c r="D2320" s="1" t="s">
        <v>293</v>
      </c>
      <c r="E2320" s="1" t="s">
        <v>33</v>
      </c>
      <c r="F2320" s="1" t="s">
        <v>293</v>
      </c>
      <c r="G2320" s="1">
        <v>5</v>
      </c>
      <c r="H2320" s="1">
        <v>35829</v>
      </c>
      <c r="I2320" s="1">
        <v>0.15</v>
      </c>
      <c r="J2320" s="1">
        <v>152273.25</v>
      </c>
      <c r="K2320" s="1">
        <v>23352.86</v>
      </c>
      <c r="L2320" s="1" t="s">
        <v>45</v>
      </c>
      <c r="M2320" s="1" t="str">
        <f>TEXT(Table1[[#This Row],[Order Date]],"mmm")</f>
        <v>Apr</v>
      </c>
      <c r="N2320" s="1">
        <f>YEAR(Table1[[#This Row],[Order Date]])</f>
        <v>2023</v>
      </c>
    </row>
    <row r="2321" spans="1:14" x14ac:dyDescent="0.35">
      <c r="A2321" s="1" t="s">
        <v>3101</v>
      </c>
      <c r="B2321" s="1" t="s">
        <v>2915</v>
      </c>
      <c r="C2321" s="1" t="s">
        <v>170</v>
      </c>
      <c r="D2321" s="1" t="s">
        <v>167</v>
      </c>
      <c r="E2321" s="1" t="s">
        <v>16</v>
      </c>
      <c r="F2321" s="1" t="s">
        <v>167</v>
      </c>
      <c r="G2321" s="1">
        <v>2</v>
      </c>
      <c r="H2321" s="1">
        <v>17319</v>
      </c>
      <c r="I2321" s="1">
        <v>0.15</v>
      </c>
      <c r="J2321" s="1">
        <v>29442.3</v>
      </c>
      <c r="K2321" s="1">
        <v>7306.74</v>
      </c>
      <c r="L2321" s="1" t="s">
        <v>23</v>
      </c>
      <c r="M2321" s="1" t="str">
        <f>TEXT(Table1[[#This Row],[Order Date]],"mmm")</f>
        <v>Mar</v>
      </c>
      <c r="N2321" s="1">
        <f>YEAR(Table1[[#This Row],[Order Date]])</f>
        <v>2024</v>
      </c>
    </row>
    <row r="2322" spans="1:14" x14ac:dyDescent="0.35">
      <c r="A2322" s="1" t="s">
        <v>3102</v>
      </c>
      <c r="B2322" s="1" t="s">
        <v>236</v>
      </c>
      <c r="C2322" s="1" t="s">
        <v>104</v>
      </c>
      <c r="D2322" s="1" t="s">
        <v>293</v>
      </c>
      <c r="E2322" s="1" t="s">
        <v>33</v>
      </c>
      <c r="F2322" s="1" t="s">
        <v>293</v>
      </c>
      <c r="G2322" s="1">
        <v>6</v>
      </c>
      <c r="H2322" s="1">
        <v>41966</v>
      </c>
      <c r="I2322" s="1">
        <v>0.1</v>
      </c>
      <c r="J2322" s="1">
        <v>226616.4</v>
      </c>
      <c r="K2322" s="1">
        <v>64122.21</v>
      </c>
      <c r="L2322" s="1" t="s">
        <v>23</v>
      </c>
      <c r="M2322" s="1" t="str">
        <f>TEXT(Table1[[#This Row],[Order Date]],"mmm")</f>
        <v>May</v>
      </c>
      <c r="N2322" s="1">
        <f>YEAR(Table1[[#This Row],[Order Date]])</f>
        <v>2024</v>
      </c>
    </row>
    <row r="2323" spans="1:14" x14ac:dyDescent="0.35">
      <c r="A2323" s="1" t="s">
        <v>3103</v>
      </c>
      <c r="B2323" s="1" t="s">
        <v>1032</v>
      </c>
      <c r="C2323" s="1" t="s">
        <v>120</v>
      </c>
      <c r="D2323" s="1" t="s">
        <v>108</v>
      </c>
      <c r="E2323" s="1" t="s">
        <v>22</v>
      </c>
      <c r="F2323" s="1" t="s">
        <v>108</v>
      </c>
      <c r="G2323" s="1">
        <v>7</v>
      </c>
      <c r="H2323" s="1">
        <v>48388</v>
      </c>
      <c r="I2323" s="1">
        <v>0</v>
      </c>
      <c r="J2323" s="1">
        <v>338716</v>
      </c>
      <c r="K2323" s="1">
        <v>31870.21</v>
      </c>
      <c r="L2323" s="1" t="s">
        <v>23</v>
      </c>
      <c r="M2323" s="1" t="str">
        <f>TEXT(Table1[[#This Row],[Order Date]],"mmm")</f>
        <v>May</v>
      </c>
      <c r="N2323" s="1">
        <f>YEAR(Table1[[#This Row],[Order Date]])</f>
        <v>2024</v>
      </c>
    </row>
    <row r="2324" spans="1:14" x14ac:dyDescent="0.35">
      <c r="A2324" s="1" t="s">
        <v>3104</v>
      </c>
      <c r="B2324" s="1" t="s">
        <v>238</v>
      </c>
      <c r="C2324" s="1" t="s">
        <v>84</v>
      </c>
      <c r="D2324" s="1" t="s">
        <v>108</v>
      </c>
      <c r="E2324" s="1" t="s">
        <v>22</v>
      </c>
      <c r="F2324" s="1" t="s">
        <v>108</v>
      </c>
      <c r="G2324" s="1">
        <v>7</v>
      </c>
      <c r="H2324" s="1">
        <v>2686</v>
      </c>
      <c r="I2324" s="1">
        <v>0.1</v>
      </c>
      <c r="J2324" s="1">
        <v>16921.8</v>
      </c>
      <c r="K2324" s="1">
        <v>3447.82</v>
      </c>
      <c r="L2324" s="1" t="s">
        <v>45</v>
      </c>
      <c r="M2324" s="1" t="str">
        <f>TEXT(Table1[[#This Row],[Order Date]],"mmm")</f>
        <v>Dec</v>
      </c>
      <c r="N2324" s="1">
        <f>YEAR(Table1[[#This Row],[Order Date]])</f>
        <v>2023</v>
      </c>
    </row>
    <row r="2325" spans="1:14" x14ac:dyDescent="0.35">
      <c r="A2325" s="1" t="s">
        <v>3105</v>
      </c>
      <c r="B2325" s="1" t="s">
        <v>554</v>
      </c>
      <c r="C2325" s="1" t="s">
        <v>73</v>
      </c>
      <c r="D2325" s="1" t="s">
        <v>74</v>
      </c>
      <c r="E2325" s="1" t="s">
        <v>22</v>
      </c>
      <c r="F2325" s="1" t="s">
        <v>74</v>
      </c>
      <c r="G2325" s="1">
        <v>9</v>
      </c>
      <c r="H2325" s="1">
        <v>1527</v>
      </c>
      <c r="I2325" s="1">
        <v>0</v>
      </c>
      <c r="J2325" s="1">
        <v>13743</v>
      </c>
      <c r="K2325" s="1">
        <v>3556.02</v>
      </c>
      <c r="L2325" s="1" t="s">
        <v>45</v>
      </c>
      <c r="M2325" s="1" t="str">
        <f>TEXT(Table1[[#This Row],[Order Date]],"mmm")</f>
        <v>Nov</v>
      </c>
      <c r="N2325" s="1">
        <f>YEAR(Table1[[#This Row],[Order Date]])</f>
        <v>2023</v>
      </c>
    </row>
    <row r="2326" spans="1:14" x14ac:dyDescent="0.35">
      <c r="A2326" s="1" t="s">
        <v>3106</v>
      </c>
      <c r="B2326" s="1" t="s">
        <v>1537</v>
      </c>
      <c r="C2326" s="1" t="s">
        <v>162</v>
      </c>
      <c r="D2326" s="1" t="s">
        <v>141</v>
      </c>
      <c r="E2326" s="1" t="s">
        <v>22</v>
      </c>
      <c r="F2326" s="1" t="s">
        <v>141</v>
      </c>
      <c r="G2326" s="1">
        <v>13</v>
      </c>
      <c r="H2326" s="1">
        <v>40968</v>
      </c>
      <c r="I2326" s="1">
        <v>0.15</v>
      </c>
      <c r="J2326" s="1">
        <v>452696.4</v>
      </c>
      <c r="K2326" s="1">
        <v>129500.69</v>
      </c>
      <c r="L2326" s="1" t="s">
        <v>23</v>
      </c>
      <c r="M2326" s="1" t="str">
        <f>TEXT(Table1[[#This Row],[Order Date]],"mmm")</f>
        <v>Jan</v>
      </c>
      <c r="N2326" s="1">
        <f>YEAR(Table1[[#This Row],[Order Date]])</f>
        <v>2023</v>
      </c>
    </row>
    <row r="2327" spans="1:14" x14ac:dyDescent="0.35">
      <c r="A2327" s="1" t="s">
        <v>3107</v>
      </c>
      <c r="B2327" s="1" t="s">
        <v>825</v>
      </c>
      <c r="C2327" s="1" t="s">
        <v>63</v>
      </c>
      <c r="D2327" s="1" t="s">
        <v>151</v>
      </c>
      <c r="E2327" s="1" t="s">
        <v>22</v>
      </c>
      <c r="F2327" s="1" t="s">
        <v>151</v>
      </c>
      <c r="G2327" s="1">
        <v>1</v>
      </c>
      <c r="H2327" s="1">
        <v>34212</v>
      </c>
      <c r="I2327" s="1">
        <v>0.2</v>
      </c>
      <c r="J2327" s="1">
        <v>27369.599999999999</v>
      </c>
      <c r="K2327" s="1">
        <v>5161.05</v>
      </c>
      <c r="L2327" s="1" t="s">
        <v>17</v>
      </c>
      <c r="M2327" s="1" t="str">
        <f>TEXT(Table1[[#This Row],[Order Date]],"mmm")</f>
        <v>Oct</v>
      </c>
      <c r="N2327" s="1">
        <f>YEAR(Table1[[#This Row],[Order Date]])</f>
        <v>2023</v>
      </c>
    </row>
    <row r="2328" spans="1:14" x14ac:dyDescent="0.35">
      <c r="A2328" s="1" t="s">
        <v>3108</v>
      </c>
      <c r="B2328" s="1" t="s">
        <v>1109</v>
      </c>
      <c r="C2328" s="1" t="s">
        <v>125</v>
      </c>
      <c r="D2328" s="1" t="s">
        <v>141</v>
      </c>
      <c r="E2328" s="1" t="s">
        <v>22</v>
      </c>
      <c r="F2328" s="1" t="s">
        <v>141</v>
      </c>
      <c r="G2328" s="1">
        <v>10</v>
      </c>
      <c r="H2328" s="1">
        <v>27728</v>
      </c>
      <c r="I2328" s="1">
        <v>0.15</v>
      </c>
      <c r="J2328" s="1">
        <v>235688</v>
      </c>
      <c r="K2328" s="1">
        <v>34830.42</v>
      </c>
      <c r="L2328" s="1" t="s">
        <v>23</v>
      </c>
      <c r="M2328" s="1" t="str">
        <f>TEXT(Table1[[#This Row],[Order Date]],"mmm")</f>
        <v>Nov</v>
      </c>
      <c r="N2328" s="1">
        <f>YEAR(Table1[[#This Row],[Order Date]])</f>
        <v>2023</v>
      </c>
    </row>
    <row r="2329" spans="1:14" x14ac:dyDescent="0.35">
      <c r="A2329" s="1" t="s">
        <v>3109</v>
      </c>
      <c r="B2329" s="1" t="s">
        <v>608</v>
      </c>
      <c r="C2329" s="1" t="s">
        <v>203</v>
      </c>
      <c r="D2329" s="1" t="s">
        <v>64</v>
      </c>
      <c r="E2329" s="1" t="s">
        <v>33</v>
      </c>
      <c r="F2329" s="1" t="s">
        <v>64</v>
      </c>
      <c r="G2329" s="1">
        <v>10</v>
      </c>
      <c r="H2329" s="1">
        <v>56241</v>
      </c>
      <c r="I2329" s="1">
        <v>0</v>
      </c>
      <c r="J2329" s="1">
        <v>562410</v>
      </c>
      <c r="K2329" s="1">
        <v>82795.42</v>
      </c>
      <c r="L2329" s="1" t="s">
        <v>45</v>
      </c>
      <c r="M2329" s="1" t="str">
        <f>TEXT(Table1[[#This Row],[Order Date]],"mmm")</f>
        <v>May</v>
      </c>
      <c r="N2329" s="1">
        <f>YEAR(Table1[[#This Row],[Order Date]])</f>
        <v>2024</v>
      </c>
    </row>
    <row r="2330" spans="1:14" x14ac:dyDescent="0.35">
      <c r="A2330" s="1" t="s">
        <v>3110</v>
      </c>
      <c r="B2330" s="1" t="s">
        <v>1652</v>
      </c>
      <c r="C2330" s="1" t="s">
        <v>227</v>
      </c>
      <c r="D2330" s="1" t="s">
        <v>85</v>
      </c>
      <c r="E2330" s="1" t="s">
        <v>28</v>
      </c>
      <c r="F2330" s="1" t="s">
        <v>85</v>
      </c>
      <c r="G2330" s="1">
        <v>12</v>
      </c>
      <c r="H2330" s="1">
        <v>50989</v>
      </c>
      <c r="I2330" s="1">
        <v>0</v>
      </c>
      <c r="J2330" s="1">
        <v>611868</v>
      </c>
      <c r="K2330" s="1">
        <v>125678.77</v>
      </c>
      <c r="L2330" s="1" t="s">
        <v>17</v>
      </c>
      <c r="M2330" s="1" t="str">
        <f>TEXT(Table1[[#This Row],[Order Date]],"mmm")</f>
        <v>Sep</v>
      </c>
      <c r="N2330" s="1">
        <f>YEAR(Table1[[#This Row],[Order Date]])</f>
        <v>2024</v>
      </c>
    </row>
    <row r="2331" spans="1:14" x14ac:dyDescent="0.35">
      <c r="A2331" s="1" t="s">
        <v>3111</v>
      </c>
      <c r="B2331" s="1" t="s">
        <v>462</v>
      </c>
      <c r="C2331" s="1" t="s">
        <v>94</v>
      </c>
      <c r="D2331" s="1" t="s">
        <v>137</v>
      </c>
      <c r="E2331" s="1" t="s">
        <v>22</v>
      </c>
      <c r="F2331" s="1" t="s">
        <v>137</v>
      </c>
      <c r="G2331" s="1">
        <v>1</v>
      </c>
      <c r="H2331" s="1">
        <v>56096</v>
      </c>
      <c r="I2331" s="1">
        <v>0.2</v>
      </c>
      <c r="J2331" s="1">
        <v>44876.800000000003</v>
      </c>
      <c r="K2331" s="1">
        <v>3907.19</v>
      </c>
      <c r="L2331" s="1" t="s">
        <v>23</v>
      </c>
      <c r="M2331" s="1" t="str">
        <f>TEXT(Table1[[#This Row],[Order Date]],"mmm")</f>
        <v>Jul</v>
      </c>
      <c r="N2331" s="1">
        <f>YEAR(Table1[[#This Row],[Order Date]])</f>
        <v>2024</v>
      </c>
    </row>
    <row r="2332" spans="1:14" x14ac:dyDescent="0.35">
      <c r="A2332" s="1" t="s">
        <v>3112</v>
      </c>
      <c r="B2332" s="1" t="s">
        <v>1585</v>
      </c>
      <c r="C2332" s="1" t="s">
        <v>84</v>
      </c>
      <c r="D2332" s="1" t="s">
        <v>114</v>
      </c>
      <c r="E2332" s="1" t="s">
        <v>16</v>
      </c>
      <c r="F2332" s="1" t="s">
        <v>114</v>
      </c>
      <c r="G2332" s="1">
        <v>5</v>
      </c>
      <c r="H2332" s="1">
        <v>51900</v>
      </c>
      <c r="I2332" s="1">
        <v>0.05</v>
      </c>
      <c r="J2332" s="1">
        <v>246525</v>
      </c>
      <c r="K2332" s="1">
        <v>24502.53</v>
      </c>
      <c r="L2332" s="1" t="s">
        <v>45</v>
      </c>
      <c r="M2332" s="1" t="str">
        <f>TEXT(Table1[[#This Row],[Order Date]],"mmm")</f>
        <v>Dec</v>
      </c>
      <c r="N2332" s="1">
        <f>YEAR(Table1[[#This Row],[Order Date]])</f>
        <v>2023</v>
      </c>
    </row>
    <row r="2333" spans="1:14" x14ac:dyDescent="0.35">
      <c r="A2333" s="1" t="s">
        <v>3113</v>
      </c>
      <c r="B2333" s="1" t="s">
        <v>547</v>
      </c>
      <c r="C2333" s="1" t="s">
        <v>120</v>
      </c>
      <c r="D2333" s="1" t="s">
        <v>137</v>
      </c>
      <c r="E2333" s="1" t="s">
        <v>22</v>
      </c>
      <c r="F2333" s="1" t="s">
        <v>137</v>
      </c>
      <c r="G2333" s="1">
        <v>6</v>
      </c>
      <c r="H2333" s="1">
        <v>42543</v>
      </c>
      <c r="I2333" s="1">
        <v>0.1</v>
      </c>
      <c r="J2333" s="1">
        <v>229732.2</v>
      </c>
      <c r="K2333" s="1">
        <v>51464.52</v>
      </c>
      <c r="L2333" s="1" t="s">
        <v>17</v>
      </c>
      <c r="M2333" s="1" t="str">
        <f>TEXT(Table1[[#This Row],[Order Date]],"mmm")</f>
        <v>Nov</v>
      </c>
      <c r="N2333" s="1">
        <f>YEAR(Table1[[#This Row],[Order Date]])</f>
        <v>2023</v>
      </c>
    </row>
    <row r="2334" spans="1:14" x14ac:dyDescent="0.35">
      <c r="A2334" s="1" t="s">
        <v>3114</v>
      </c>
      <c r="B2334" s="1" t="s">
        <v>655</v>
      </c>
      <c r="C2334" s="1" t="s">
        <v>51</v>
      </c>
      <c r="D2334" s="1" t="s">
        <v>32</v>
      </c>
      <c r="E2334" s="1" t="s">
        <v>33</v>
      </c>
      <c r="F2334" s="1" t="s">
        <v>32</v>
      </c>
      <c r="G2334" s="1">
        <v>15</v>
      </c>
      <c r="H2334" s="1">
        <v>57697</v>
      </c>
      <c r="I2334" s="1">
        <v>0.1</v>
      </c>
      <c r="J2334" s="1">
        <v>778909.5</v>
      </c>
      <c r="K2334" s="1">
        <v>179458.9</v>
      </c>
      <c r="L2334" s="1" t="s">
        <v>70</v>
      </c>
      <c r="M2334" s="1" t="str">
        <f>TEXT(Table1[[#This Row],[Order Date]],"mmm")</f>
        <v>Jul</v>
      </c>
      <c r="N2334" s="1">
        <f>YEAR(Table1[[#This Row],[Order Date]])</f>
        <v>2023</v>
      </c>
    </row>
    <row r="2335" spans="1:14" x14ac:dyDescent="0.35">
      <c r="A2335" s="1" t="s">
        <v>3115</v>
      </c>
      <c r="B2335" s="1" t="s">
        <v>1212</v>
      </c>
      <c r="C2335" s="1" t="s">
        <v>349</v>
      </c>
      <c r="D2335" s="1" t="s">
        <v>91</v>
      </c>
      <c r="E2335" s="1" t="s">
        <v>16</v>
      </c>
      <c r="F2335" s="1" t="s">
        <v>91</v>
      </c>
      <c r="G2335" s="1">
        <v>13</v>
      </c>
      <c r="H2335" s="1">
        <v>23191</v>
      </c>
      <c r="I2335" s="1">
        <v>0.05</v>
      </c>
      <c r="J2335" s="1">
        <v>286408.84999999998</v>
      </c>
      <c r="K2335" s="1">
        <v>79450.320000000007</v>
      </c>
      <c r="L2335" s="1" t="s">
        <v>17</v>
      </c>
      <c r="M2335" s="1" t="str">
        <f>TEXT(Table1[[#This Row],[Order Date]],"mmm")</f>
        <v>Dec</v>
      </c>
      <c r="N2335" s="1">
        <f>YEAR(Table1[[#This Row],[Order Date]])</f>
        <v>2023</v>
      </c>
    </row>
    <row r="2336" spans="1:14" x14ac:dyDescent="0.35">
      <c r="A2336" s="1" t="s">
        <v>3116</v>
      </c>
      <c r="B2336" s="1" t="s">
        <v>1359</v>
      </c>
      <c r="C2336" s="1" t="s">
        <v>98</v>
      </c>
      <c r="D2336" s="1" t="s">
        <v>27</v>
      </c>
      <c r="E2336" s="1" t="s">
        <v>28</v>
      </c>
      <c r="F2336" s="1" t="s">
        <v>27</v>
      </c>
      <c r="G2336" s="1">
        <v>3</v>
      </c>
      <c r="H2336" s="1">
        <v>53642</v>
      </c>
      <c r="I2336" s="1">
        <v>0.2</v>
      </c>
      <c r="J2336" s="1">
        <v>128740.8</v>
      </c>
      <c r="K2336" s="1">
        <v>35414.18</v>
      </c>
      <c r="L2336" s="1" t="s">
        <v>45</v>
      </c>
      <c r="M2336" s="1" t="str">
        <f>TEXT(Table1[[#This Row],[Order Date]],"mmm")</f>
        <v>Jul</v>
      </c>
      <c r="N2336" s="1">
        <f>YEAR(Table1[[#This Row],[Order Date]])</f>
        <v>2023</v>
      </c>
    </row>
    <row r="2337" spans="1:14" x14ac:dyDescent="0.35">
      <c r="A2337" s="1" t="s">
        <v>3117</v>
      </c>
      <c r="B2337" s="1" t="s">
        <v>1220</v>
      </c>
      <c r="C2337" s="1" t="s">
        <v>188</v>
      </c>
      <c r="D2337" s="1" t="s">
        <v>78</v>
      </c>
      <c r="E2337" s="1" t="s">
        <v>28</v>
      </c>
      <c r="F2337" s="1" t="s">
        <v>78</v>
      </c>
      <c r="G2337" s="1">
        <v>2</v>
      </c>
      <c r="H2337" s="1">
        <v>19531</v>
      </c>
      <c r="I2337" s="1">
        <v>0.15</v>
      </c>
      <c r="J2337" s="1">
        <v>33202.699999999997</v>
      </c>
      <c r="K2337" s="1">
        <v>4691.2</v>
      </c>
      <c r="L2337" s="1" t="s">
        <v>70</v>
      </c>
      <c r="M2337" s="1" t="str">
        <f>TEXT(Table1[[#This Row],[Order Date]],"mmm")</f>
        <v>Oct</v>
      </c>
      <c r="N2337" s="1">
        <f>YEAR(Table1[[#This Row],[Order Date]])</f>
        <v>2024</v>
      </c>
    </row>
    <row r="2338" spans="1:14" x14ac:dyDescent="0.35">
      <c r="A2338" s="1" t="s">
        <v>3118</v>
      </c>
      <c r="B2338" s="1" t="s">
        <v>3119</v>
      </c>
      <c r="C2338" s="1" t="s">
        <v>117</v>
      </c>
      <c r="D2338" s="1" t="s">
        <v>85</v>
      </c>
      <c r="E2338" s="1" t="s">
        <v>28</v>
      </c>
      <c r="F2338" s="1" t="s">
        <v>85</v>
      </c>
      <c r="G2338" s="1">
        <v>13</v>
      </c>
      <c r="H2338" s="1">
        <v>19723</v>
      </c>
      <c r="I2338" s="1">
        <v>0</v>
      </c>
      <c r="J2338" s="1">
        <v>256399</v>
      </c>
      <c r="K2338" s="1">
        <v>39380</v>
      </c>
      <c r="L2338" s="1" t="s">
        <v>23</v>
      </c>
      <c r="M2338" s="1" t="str">
        <f>TEXT(Table1[[#This Row],[Order Date]],"mmm")</f>
        <v>Apr</v>
      </c>
      <c r="N2338" s="1">
        <f>YEAR(Table1[[#This Row],[Order Date]])</f>
        <v>2024</v>
      </c>
    </row>
    <row r="2339" spans="1:14" x14ac:dyDescent="0.35">
      <c r="A2339" s="1" t="s">
        <v>3120</v>
      </c>
      <c r="B2339" s="1" t="s">
        <v>1099</v>
      </c>
      <c r="C2339" s="1" t="s">
        <v>140</v>
      </c>
      <c r="D2339" s="1" t="s">
        <v>74</v>
      </c>
      <c r="E2339" s="1" t="s">
        <v>22</v>
      </c>
      <c r="F2339" s="1" t="s">
        <v>74</v>
      </c>
      <c r="G2339" s="1">
        <v>4</v>
      </c>
      <c r="H2339" s="1">
        <v>32409</v>
      </c>
      <c r="I2339" s="1">
        <v>0.15</v>
      </c>
      <c r="J2339" s="1">
        <v>110190.6</v>
      </c>
      <c r="K2339" s="1">
        <v>14439.49</v>
      </c>
      <c r="L2339" s="1" t="s">
        <v>70</v>
      </c>
      <c r="M2339" s="1" t="str">
        <f>TEXT(Table1[[#This Row],[Order Date]],"mmm")</f>
        <v>Oct</v>
      </c>
      <c r="N2339" s="1">
        <f>YEAR(Table1[[#This Row],[Order Date]])</f>
        <v>2023</v>
      </c>
    </row>
    <row r="2340" spans="1:14" x14ac:dyDescent="0.35">
      <c r="A2340" s="1" t="s">
        <v>3121</v>
      </c>
      <c r="B2340" s="1" t="s">
        <v>181</v>
      </c>
      <c r="C2340" s="1" t="s">
        <v>507</v>
      </c>
      <c r="D2340" s="1" t="s">
        <v>133</v>
      </c>
      <c r="E2340" s="1" t="s">
        <v>22</v>
      </c>
      <c r="F2340" s="1" t="s">
        <v>133</v>
      </c>
      <c r="G2340" s="1">
        <v>9</v>
      </c>
      <c r="H2340" s="1">
        <v>29363</v>
      </c>
      <c r="I2340" s="1">
        <v>0.05</v>
      </c>
      <c r="J2340" s="1">
        <v>251053.65</v>
      </c>
      <c r="K2340" s="1">
        <v>73083.240000000005</v>
      </c>
      <c r="L2340" s="1" t="s">
        <v>23</v>
      </c>
      <c r="M2340" s="1" t="str">
        <f>TEXT(Table1[[#This Row],[Order Date]],"mmm")</f>
        <v>May</v>
      </c>
      <c r="N2340" s="1">
        <f>YEAR(Table1[[#This Row],[Order Date]])</f>
        <v>2023</v>
      </c>
    </row>
    <row r="2341" spans="1:14" x14ac:dyDescent="0.35">
      <c r="A2341" s="1" t="s">
        <v>3122</v>
      </c>
      <c r="B2341" s="1" t="s">
        <v>567</v>
      </c>
      <c r="C2341" s="1" t="s">
        <v>188</v>
      </c>
      <c r="D2341" s="1" t="s">
        <v>44</v>
      </c>
      <c r="E2341" s="1" t="s">
        <v>28</v>
      </c>
      <c r="F2341" s="1" t="s">
        <v>44</v>
      </c>
      <c r="G2341" s="1">
        <v>13</v>
      </c>
      <c r="H2341" s="1">
        <v>38426</v>
      </c>
      <c r="I2341" s="1">
        <v>0.05</v>
      </c>
      <c r="J2341" s="1">
        <v>474561.1</v>
      </c>
      <c r="K2341" s="1">
        <v>72327.22</v>
      </c>
      <c r="L2341" s="1" t="s">
        <v>23</v>
      </c>
      <c r="M2341" s="1" t="str">
        <f>TEXT(Table1[[#This Row],[Order Date]],"mmm")</f>
        <v>May</v>
      </c>
      <c r="N2341" s="1">
        <f>YEAR(Table1[[#This Row],[Order Date]])</f>
        <v>2023</v>
      </c>
    </row>
    <row r="2342" spans="1:14" x14ac:dyDescent="0.35">
      <c r="A2342" s="1" t="s">
        <v>3123</v>
      </c>
      <c r="B2342" s="1" t="s">
        <v>778</v>
      </c>
      <c r="C2342" s="1" t="s">
        <v>84</v>
      </c>
      <c r="D2342" s="1" t="s">
        <v>21</v>
      </c>
      <c r="E2342" s="1" t="s">
        <v>22</v>
      </c>
      <c r="F2342" s="1" t="s">
        <v>21</v>
      </c>
      <c r="G2342" s="1">
        <v>15</v>
      </c>
      <c r="H2342" s="1">
        <v>3082</v>
      </c>
      <c r="I2342" s="1">
        <v>0.2</v>
      </c>
      <c r="J2342" s="1">
        <v>36984</v>
      </c>
      <c r="K2342" s="1">
        <v>3454.77</v>
      </c>
      <c r="L2342" s="1" t="s">
        <v>23</v>
      </c>
      <c r="M2342" s="1" t="str">
        <f>TEXT(Table1[[#This Row],[Order Date]],"mmm")</f>
        <v>Nov</v>
      </c>
      <c r="N2342" s="1">
        <f>YEAR(Table1[[#This Row],[Order Date]])</f>
        <v>2023</v>
      </c>
    </row>
    <row r="2343" spans="1:14" x14ac:dyDescent="0.35">
      <c r="A2343" s="1" t="s">
        <v>3124</v>
      </c>
      <c r="B2343" s="1" t="s">
        <v>1056</v>
      </c>
      <c r="C2343" s="1" t="s">
        <v>362</v>
      </c>
      <c r="D2343" s="1" t="s">
        <v>60</v>
      </c>
      <c r="E2343" s="1" t="s">
        <v>33</v>
      </c>
      <c r="F2343" s="1" t="s">
        <v>60</v>
      </c>
      <c r="G2343" s="1">
        <v>11</v>
      </c>
      <c r="H2343" s="1">
        <v>26206</v>
      </c>
      <c r="I2343" s="1">
        <v>0</v>
      </c>
      <c r="J2343" s="1">
        <v>288266</v>
      </c>
      <c r="K2343" s="1">
        <v>69395.100000000006</v>
      </c>
      <c r="L2343" s="1" t="s">
        <v>23</v>
      </c>
      <c r="M2343" s="1" t="str">
        <f>TEXT(Table1[[#This Row],[Order Date]],"mmm")</f>
        <v>Jul</v>
      </c>
      <c r="N2343" s="1">
        <f>YEAR(Table1[[#This Row],[Order Date]])</f>
        <v>2024</v>
      </c>
    </row>
    <row r="2344" spans="1:14" x14ac:dyDescent="0.35">
      <c r="A2344" s="1" t="s">
        <v>3125</v>
      </c>
      <c r="B2344" s="1" t="s">
        <v>835</v>
      </c>
      <c r="C2344" s="1" t="s">
        <v>349</v>
      </c>
      <c r="D2344" s="1" t="s">
        <v>224</v>
      </c>
      <c r="E2344" s="1" t="s">
        <v>33</v>
      </c>
      <c r="F2344" s="1" t="s">
        <v>224</v>
      </c>
      <c r="G2344" s="1">
        <v>10</v>
      </c>
      <c r="H2344" s="1">
        <v>11666</v>
      </c>
      <c r="I2344" s="1">
        <v>0.15</v>
      </c>
      <c r="J2344" s="1">
        <v>99161</v>
      </c>
      <c r="K2344" s="1">
        <v>8108.07</v>
      </c>
      <c r="L2344" s="1" t="s">
        <v>17</v>
      </c>
      <c r="M2344" s="1" t="str">
        <f>TEXT(Table1[[#This Row],[Order Date]],"mmm")</f>
        <v>Nov</v>
      </c>
      <c r="N2344" s="1">
        <f>YEAR(Table1[[#This Row],[Order Date]])</f>
        <v>2024</v>
      </c>
    </row>
    <row r="2345" spans="1:14" x14ac:dyDescent="0.35">
      <c r="A2345" s="1" t="s">
        <v>3126</v>
      </c>
      <c r="B2345" s="1" t="s">
        <v>199</v>
      </c>
      <c r="C2345" s="1" t="s">
        <v>40</v>
      </c>
      <c r="D2345" s="1" t="s">
        <v>48</v>
      </c>
      <c r="E2345" s="1" t="s">
        <v>16</v>
      </c>
      <c r="F2345" s="1" t="s">
        <v>48</v>
      </c>
      <c r="G2345" s="1">
        <v>1</v>
      </c>
      <c r="H2345" s="1">
        <v>32054</v>
      </c>
      <c r="I2345" s="1">
        <v>0.05</v>
      </c>
      <c r="J2345" s="1">
        <v>30451.3</v>
      </c>
      <c r="K2345" s="1">
        <v>3403.44</v>
      </c>
      <c r="L2345" s="1" t="s">
        <v>45</v>
      </c>
      <c r="M2345" s="1" t="str">
        <f>TEXT(Table1[[#This Row],[Order Date]],"mmm")</f>
        <v>Nov</v>
      </c>
      <c r="N2345" s="1">
        <f>YEAR(Table1[[#This Row],[Order Date]])</f>
        <v>2023</v>
      </c>
    </row>
    <row r="2346" spans="1:14" x14ac:dyDescent="0.35">
      <c r="A2346" s="1" t="s">
        <v>3127</v>
      </c>
      <c r="B2346" s="1" t="s">
        <v>1191</v>
      </c>
      <c r="C2346" s="1" t="s">
        <v>178</v>
      </c>
      <c r="D2346" s="1" t="s">
        <v>64</v>
      </c>
      <c r="E2346" s="1" t="s">
        <v>33</v>
      </c>
      <c r="F2346" s="1" t="s">
        <v>64</v>
      </c>
      <c r="G2346" s="1">
        <v>4</v>
      </c>
      <c r="H2346" s="1">
        <v>49777</v>
      </c>
      <c r="I2346" s="1">
        <v>0</v>
      </c>
      <c r="J2346" s="1">
        <v>199108</v>
      </c>
      <c r="K2346" s="1">
        <v>50696.97</v>
      </c>
      <c r="L2346" s="1" t="s">
        <v>70</v>
      </c>
      <c r="M2346" s="1" t="str">
        <f>TEXT(Table1[[#This Row],[Order Date]],"mmm")</f>
        <v>Aug</v>
      </c>
      <c r="N2346" s="1">
        <f>YEAR(Table1[[#This Row],[Order Date]])</f>
        <v>2024</v>
      </c>
    </row>
    <row r="2347" spans="1:14" x14ac:dyDescent="0.35">
      <c r="A2347" s="1" t="s">
        <v>3128</v>
      </c>
      <c r="B2347" s="1" t="s">
        <v>234</v>
      </c>
      <c r="C2347" s="1" t="s">
        <v>362</v>
      </c>
      <c r="D2347" s="1" t="s">
        <v>78</v>
      </c>
      <c r="E2347" s="1" t="s">
        <v>28</v>
      </c>
      <c r="F2347" s="1" t="s">
        <v>78</v>
      </c>
      <c r="G2347" s="1">
        <v>5</v>
      </c>
      <c r="H2347" s="1">
        <v>26402</v>
      </c>
      <c r="I2347" s="1">
        <v>0.2</v>
      </c>
      <c r="J2347" s="1">
        <v>105608</v>
      </c>
      <c r="K2347" s="1">
        <v>12717.23</v>
      </c>
      <c r="L2347" s="1" t="s">
        <v>70</v>
      </c>
      <c r="M2347" s="1" t="str">
        <f>TEXT(Table1[[#This Row],[Order Date]],"mmm")</f>
        <v>May</v>
      </c>
      <c r="N2347" s="1">
        <f>YEAR(Table1[[#This Row],[Order Date]])</f>
        <v>2024</v>
      </c>
    </row>
    <row r="2348" spans="1:14" x14ac:dyDescent="0.35">
      <c r="A2348" s="1" t="s">
        <v>3129</v>
      </c>
      <c r="B2348" s="1" t="s">
        <v>265</v>
      </c>
      <c r="C2348" s="1" t="s">
        <v>98</v>
      </c>
      <c r="D2348" s="1" t="s">
        <v>74</v>
      </c>
      <c r="E2348" s="1" t="s">
        <v>22</v>
      </c>
      <c r="F2348" s="1" t="s">
        <v>74</v>
      </c>
      <c r="G2348" s="1">
        <v>11</v>
      </c>
      <c r="H2348" s="1">
        <v>23285</v>
      </c>
      <c r="I2348" s="1">
        <v>0.05</v>
      </c>
      <c r="J2348" s="1">
        <v>243328.25</v>
      </c>
      <c r="K2348" s="1">
        <v>67649.78</v>
      </c>
      <c r="L2348" s="1" t="s">
        <v>45</v>
      </c>
      <c r="M2348" s="1" t="str">
        <f>TEXT(Table1[[#This Row],[Order Date]],"mmm")</f>
        <v>Aug</v>
      </c>
      <c r="N2348" s="1">
        <f>YEAR(Table1[[#This Row],[Order Date]])</f>
        <v>2023</v>
      </c>
    </row>
    <row r="2349" spans="1:14" x14ac:dyDescent="0.35">
      <c r="A2349" s="1" t="s">
        <v>3130</v>
      </c>
      <c r="B2349" s="1" t="s">
        <v>965</v>
      </c>
      <c r="C2349" s="1" t="s">
        <v>120</v>
      </c>
      <c r="D2349" s="1" t="s">
        <v>56</v>
      </c>
      <c r="E2349" s="1" t="s">
        <v>22</v>
      </c>
      <c r="F2349" s="1" t="s">
        <v>56</v>
      </c>
      <c r="G2349" s="1">
        <v>10</v>
      </c>
      <c r="H2349" s="1">
        <v>16844</v>
      </c>
      <c r="I2349" s="1">
        <v>0</v>
      </c>
      <c r="J2349" s="1">
        <v>168440</v>
      </c>
      <c r="K2349" s="1">
        <v>36045.71</v>
      </c>
      <c r="L2349" s="1" t="s">
        <v>70</v>
      </c>
      <c r="M2349" s="1" t="str">
        <f>TEXT(Table1[[#This Row],[Order Date]],"mmm")</f>
        <v>Jan</v>
      </c>
      <c r="N2349" s="1">
        <f>YEAR(Table1[[#This Row],[Order Date]])</f>
        <v>2024</v>
      </c>
    </row>
    <row r="2350" spans="1:14" x14ac:dyDescent="0.35">
      <c r="A2350" s="1" t="s">
        <v>3131</v>
      </c>
      <c r="B2350" s="1" t="s">
        <v>2908</v>
      </c>
      <c r="C2350" s="1" t="s">
        <v>67</v>
      </c>
      <c r="D2350" s="1" t="s">
        <v>133</v>
      </c>
      <c r="E2350" s="1" t="s">
        <v>22</v>
      </c>
      <c r="F2350" s="1" t="s">
        <v>133</v>
      </c>
      <c r="G2350" s="1">
        <v>4</v>
      </c>
      <c r="H2350" s="1">
        <v>43016</v>
      </c>
      <c r="I2350" s="1">
        <v>0</v>
      </c>
      <c r="J2350" s="1">
        <v>172064</v>
      </c>
      <c r="K2350" s="1">
        <v>24673.4</v>
      </c>
      <c r="L2350" s="1" t="s">
        <v>70</v>
      </c>
      <c r="M2350" s="1" t="str">
        <f>TEXT(Table1[[#This Row],[Order Date]],"mmm")</f>
        <v>Sep</v>
      </c>
      <c r="N2350" s="1">
        <f>YEAR(Table1[[#This Row],[Order Date]])</f>
        <v>2024</v>
      </c>
    </row>
    <row r="2351" spans="1:14" x14ac:dyDescent="0.35">
      <c r="A2351" s="1" t="s">
        <v>3132</v>
      </c>
      <c r="B2351" s="1" t="s">
        <v>449</v>
      </c>
      <c r="C2351" s="1" t="s">
        <v>107</v>
      </c>
      <c r="D2351" s="1" t="s">
        <v>32</v>
      </c>
      <c r="E2351" s="1" t="s">
        <v>33</v>
      </c>
      <c r="F2351" s="1" t="s">
        <v>32</v>
      </c>
      <c r="G2351" s="1">
        <v>15</v>
      </c>
      <c r="H2351" s="1">
        <v>27408</v>
      </c>
      <c r="I2351" s="1">
        <v>0.05</v>
      </c>
      <c r="J2351" s="1">
        <v>390564</v>
      </c>
      <c r="K2351" s="1">
        <v>56786.65</v>
      </c>
      <c r="L2351" s="1" t="s">
        <v>23</v>
      </c>
      <c r="M2351" s="1" t="str">
        <f>TEXT(Table1[[#This Row],[Order Date]],"mmm")</f>
        <v>Jan</v>
      </c>
      <c r="N2351" s="1">
        <f>YEAR(Table1[[#This Row],[Order Date]])</f>
        <v>2024</v>
      </c>
    </row>
    <row r="2352" spans="1:14" x14ac:dyDescent="0.35">
      <c r="A2352" s="1" t="s">
        <v>3133</v>
      </c>
      <c r="B2352" s="1" t="s">
        <v>859</v>
      </c>
      <c r="C2352" s="1" t="s">
        <v>59</v>
      </c>
      <c r="D2352" s="1" t="s">
        <v>56</v>
      </c>
      <c r="E2352" s="1" t="s">
        <v>22</v>
      </c>
      <c r="F2352" s="1" t="s">
        <v>56</v>
      </c>
      <c r="G2352" s="1">
        <v>15</v>
      </c>
      <c r="H2352" s="1">
        <v>38431</v>
      </c>
      <c r="I2352" s="1">
        <v>0.15</v>
      </c>
      <c r="J2352" s="1">
        <v>489995.25</v>
      </c>
      <c r="K2352" s="1">
        <v>96269.39</v>
      </c>
      <c r="L2352" s="1" t="s">
        <v>45</v>
      </c>
      <c r="M2352" s="1" t="str">
        <f>TEXT(Table1[[#This Row],[Order Date]],"mmm")</f>
        <v>Mar</v>
      </c>
      <c r="N2352" s="1">
        <f>YEAR(Table1[[#This Row],[Order Date]])</f>
        <v>2023</v>
      </c>
    </row>
    <row r="2353" spans="1:14" x14ac:dyDescent="0.35">
      <c r="A2353" s="1" t="s">
        <v>3134</v>
      </c>
      <c r="B2353" s="1" t="s">
        <v>1048</v>
      </c>
      <c r="C2353" s="1" t="s">
        <v>59</v>
      </c>
      <c r="D2353" s="1" t="s">
        <v>78</v>
      </c>
      <c r="E2353" s="1" t="s">
        <v>28</v>
      </c>
      <c r="F2353" s="1" t="s">
        <v>78</v>
      </c>
      <c r="G2353" s="1">
        <v>8</v>
      </c>
      <c r="H2353" s="1">
        <v>11657</v>
      </c>
      <c r="I2353" s="1">
        <v>0</v>
      </c>
      <c r="J2353" s="1">
        <v>93256</v>
      </c>
      <c r="K2353" s="1">
        <v>10799.32</v>
      </c>
      <c r="L2353" s="1" t="s">
        <v>45</v>
      </c>
      <c r="M2353" s="1" t="str">
        <f>TEXT(Table1[[#This Row],[Order Date]],"mmm")</f>
        <v>May</v>
      </c>
      <c r="N2353" s="1">
        <f>YEAR(Table1[[#This Row],[Order Date]])</f>
        <v>2024</v>
      </c>
    </row>
    <row r="2354" spans="1:14" x14ac:dyDescent="0.35">
      <c r="A2354" s="1" t="s">
        <v>3135</v>
      </c>
      <c r="B2354" s="1" t="s">
        <v>921</v>
      </c>
      <c r="C2354" s="1" t="s">
        <v>136</v>
      </c>
      <c r="D2354" s="1" t="s">
        <v>21</v>
      </c>
      <c r="E2354" s="1" t="s">
        <v>22</v>
      </c>
      <c r="F2354" s="1" t="s">
        <v>21</v>
      </c>
      <c r="G2354" s="1">
        <v>13</v>
      </c>
      <c r="H2354" s="1">
        <v>25117</v>
      </c>
      <c r="I2354" s="1">
        <v>0.05</v>
      </c>
      <c r="J2354" s="1">
        <v>310194.95</v>
      </c>
      <c r="K2354" s="1">
        <v>88499.55</v>
      </c>
      <c r="L2354" s="1" t="s">
        <v>23</v>
      </c>
      <c r="M2354" s="1" t="str">
        <f>TEXT(Table1[[#This Row],[Order Date]],"mmm")</f>
        <v>Jul</v>
      </c>
      <c r="N2354" s="1">
        <f>YEAR(Table1[[#This Row],[Order Date]])</f>
        <v>2023</v>
      </c>
    </row>
    <row r="2355" spans="1:14" x14ac:dyDescent="0.35">
      <c r="A2355" s="1" t="s">
        <v>3136</v>
      </c>
      <c r="B2355" s="1" t="s">
        <v>13</v>
      </c>
      <c r="C2355" s="1" t="s">
        <v>125</v>
      </c>
      <c r="D2355" s="1" t="s">
        <v>179</v>
      </c>
      <c r="E2355" s="1" t="s">
        <v>28</v>
      </c>
      <c r="F2355" s="1" t="s">
        <v>179</v>
      </c>
      <c r="G2355" s="1">
        <v>8</v>
      </c>
      <c r="H2355" s="1">
        <v>54635</v>
      </c>
      <c r="I2355" s="1">
        <v>0.15</v>
      </c>
      <c r="J2355" s="1">
        <v>371518</v>
      </c>
      <c r="K2355" s="1">
        <v>39758.14</v>
      </c>
      <c r="L2355" s="1" t="s">
        <v>23</v>
      </c>
      <c r="M2355" s="1" t="str">
        <f>TEXT(Table1[[#This Row],[Order Date]],"mmm")</f>
        <v>Oct</v>
      </c>
      <c r="N2355" s="1">
        <f>YEAR(Table1[[#This Row],[Order Date]])</f>
        <v>2024</v>
      </c>
    </row>
    <row r="2356" spans="1:14" x14ac:dyDescent="0.35">
      <c r="A2356" s="1" t="s">
        <v>3137</v>
      </c>
      <c r="B2356" s="1" t="s">
        <v>1401</v>
      </c>
      <c r="C2356" s="1" t="s">
        <v>162</v>
      </c>
      <c r="D2356" s="1" t="s">
        <v>52</v>
      </c>
      <c r="E2356" s="1" t="s">
        <v>28</v>
      </c>
      <c r="F2356" s="1" t="s">
        <v>52</v>
      </c>
      <c r="G2356" s="1">
        <v>11</v>
      </c>
      <c r="H2356" s="1">
        <v>19654</v>
      </c>
      <c r="I2356" s="1">
        <v>0.1</v>
      </c>
      <c r="J2356" s="1">
        <v>194574.6</v>
      </c>
      <c r="K2356" s="1">
        <v>43904.18</v>
      </c>
      <c r="L2356" s="1" t="s">
        <v>45</v>
      </c>
      <c r="M2356" s="1" t="str">
        <f>TEXT(Table1[[#This Row],[Order Date]],"mmm")</f>
        <v>Nov</v>
      </c>
      <c r="N2356" s="1">
        <f>YEAR(Table1[[#This Row],[Order Date]])</f>
        <v>2023</v>
      </c>
    </row>
    <row r="2357" spans="1:14" x14ac:dyDescent="0.35">
      <c r="A2357" s="1" t="s">
        <v>3138</v>
      </c>
      <c r="B2357" s="1" t="s">
        <v>776</v>
      </c>
      <c r="C2357" s="1" t="s">
        <v>362</v>
      </c>
      <c r="D2357" s="1" t="s">
        <v>44</v>
      </c>
      <c r="E2357" s="1" t="s">
        <v>28</v>
      </c>
      <c r="F2357" s="1" t="s">
        <v>44</v>
      </c>
      <c r="G2357" s="1">
        <v>6</v>
      </c>
      <c r="H2357" s="1">
        <v>19522</v>
      </c>
      <c r="I2357" s="1">
        <v>0.15</v>
      </c>
      <c r="J2357" s="1">
        <v>99562.2</v>
      </c>
      <c r="K2357" s="1">
        <v>19160.03</v>
      </c>
      <c r="L2357" s="1" t="s">
        <v>23</v>
      </c>
      <c r="M2357" s="1" t="str">
        <f>TEXT(Table1[[#This Row],[Order Date]],"mmm")</f>
        <v>Feb</v>
      </c>
      <c r="N2357" s="1">
        <f>YEAR(Table1[[#This Row],[Order Date]])</f>
        <v>2024</v>
      </c>
    </row>
    <row r="2358" spans="1:14" x14ac:dyDescent="0.35">
      <c r="A2358" s="1" t="s">
        <v>3139</v>
      </c>
      <c r="B2358" s="1" t="s">
        <v>1537</v>
      </c>
      <c r="C2358" s="1" t="s">
        <v>111</v>
      </c>
      <c r="D2358" s="1" t="s">
        <v>41</v>
      </c>
      <c r="E2358" s="1" t="s">
        <v>16</v>
      </c>
      <c r="F2358" s="1" t="s">
        <v>41</v>
      </c>
      <c r="G2358" s="1">
        <v>4</v>
      </c>
      <c r="H2358" s="1">
        <v>22317</v>
      </c>
      <c r="I2358" s="1">
        <v>0.15</v>
      </c>
      <c r="J2358" s="1">
        <v>75877.8</v>
      </c>
      <c r="K2358" s="1">
        <v>16622.93</v>
      </c>
      <c r="L2358" s="1" t="s">
        <v>45</v>
      </c>
      <c r="M2358" s="1" t="str">
        <f>TEXT(Table1[[#This Row],[Order Date]],"mmm")</f>
        <v>Jan</v>
      </c>
      <c r="N2358" s="1">
        <f>YEAR(Table1[[#This Row],[Order Date]])</f>
        <v>2023</v>
      </c>
    </row>
    <row r="2359" spans="1:14" x14ac:dyDescent="0.35">
      <c r="A2359" s="1" t="s">
        <v>3140</v>
      </c>
      <c r="B2359" s="1" t="s">
        <v>1201</v>
      </c>
      <c r="C2359" s="1" t="s">
        <v>158</v>
      </c>
      <c r="D2359" s="1" t="s">
        <v>323</v>
      </c>
      <c r="E2359" s="1" t="s">
        <v>33</v>
      </c>
      <c r="F2359" s="1" t="s">
        <v>323</v>
      </c>
      <c r="G2359" s="1">
        <v>3</v>
      </c>
      <c r="H2359" s="1">
        <v>12132</v>
      </c>
      <c r="I2359" s="1">
        <v>0</v>
      </c>
      <c r="J2359" s="1">
        <v>36396</v>
      </c>
      <c r="K2359" s="1">
        <v>3312.46</v>
      </c>
      <c r="L2359" s="1" t="s">
        <v>17</v>
      </c>
      <c r="M2359" s="1" t="str">
        <f>TEXT(Table1[[#This Row],[Order Date]],"mmm")</f>
        <v>Nov</v>
      </c>
      <c r="N2359" s="1">
        <f>YEAR(Table1[[#This Row],[Order Date]])</f>
        <v>2024</v>
      </c>
    </row>
    <row r="2360" spans="1:14" x14ac:dyDescent="0.35">
      <c r="A2360" s="1" t="s">
        <v>3141</v>
      </c>
      <c r="B2360" s="1" t="s">
        <v>1909</v>
      </c>
      <c r="C2360" s="1" t="s">
        <v>640</v>
      </c>
      <c r="D2360" s="1" t="s">
        <v>85</v>
      </c>
      <c r="E2360" s="1" t="s">
        <v>28</v>
      </c>
      <c r="F2360" s="1" t="s">
        <v>85</v>
      </c>
      <c r="G2360" s="1">
        <v>13</v>
      </c>
      <c r="H2360" s="1">
        <v>57365</v>
      </c>
      <c r="I2360" s="1">
        <v>0.05</v>
      </c>
      <c r="J2360" s="1">
        <v>708457.75</v>
      </c>
      <c r="K2360" s="1">
        <v>193818.09</v>
      </c>
      <c r="L2360" s="1" t="s">
        <v>45</v>
      </c>
      <c r="M2360" s="1" t="str">
        <f>TEXT(Table1[[#This Row],[Order Date]],"mmm")</f>
        <v>Jun</v>
      </c>
      <c r="N2360" s="1">
        <f>YEAR(Table1[[#This Row],[Order Date]])</f>
        <v>2024</v>
      </c>
    </row>
    <row r="2361" spans="1:14" x14ac:dyDescent="0.35">
      <c r="A2361" s="1" t="s">
        <v>3142</v>
      </c>
      <c r="B2361" s="1" t="s">
        <v>1261</v>
      </c>
      <c r="C2361" s="1" t="s">
        <v>146</v>
      </c>
      <c r="D2361" s="1" t="s">
        <v>85</v>
      </c>
      <c r="E2361" s="1" t="s">
        <v>28</v>
      </c>
      <c r="F2361" s="1" t="s">
        <v>85</v>
      </c>
      <c r="G2361" s="1">
        <v>12</v>
      </c>
      <c r="H2361" s="1">
        <v>6383</v>
      </c>
      <c r="I2361" s="1">
        <v>0.05</v>
      </c>
      <c r="J2361" s="1">
        <v>72766.2</v>
      </c>
      <c r="K2361" s="1">
        <v>6161.94</v>
      </c>
      <c r="L2361" s="1" t="s">
        <v>45</v>
      </c>
      <c r="M2361" s="1" t="str">
        <f>TEXT(Table1[[#This Row],[Order Date]],"mmm")</f>
        <v>Jul</v>
      </c>
      <c r="N2361" s="1">
        <f>YEAR(Table1[[#This Row],[Order Date]])</f>
        <v>2023</v>
      </c>
    </row>
    <row r="2362" spans="1:14" x14ac:dyDescent="0.35">
      <c r="A2362" s="1" t="s">
        <v>3143</v>
      </c>
      <c r="B2362" s="1" t="s">
        <v>431</v>
      </c>
      <c r="C2362" s="1" t="s">
        <v>67</v>
      </c>
      <c r="D2362" s="1" t="s">
        <v>44</v>
      </c>
      <c r="E2362" s="1" t="s">
        <v>28</v>
      </c>
      <c r="F2362" s="1" t="s">
        <v>44</v>
      </c>
      <c r="G2362" s="1">
        <v>5</v>
      </c>
      <c r="H2362" s="1">
        <v>22347</v>
      </c>
      <c r="I2362" s="1">
        <v>0.1</v>
      </c>
      <c r="J2362" s="1">
        <v>100561.5</v>
      </c>
      <c r="K2362" s="1">
        <v>27365.57</v>
      </c>
      <c r="L2362" s="1" t="s">
        <v>45</v>
      </c>
      <c r="M2362" s="1" t="str">
        <f>TEXT(Table1[[#This Row],[Order Date]],"mmm")</f>
        <v>Sep</v>
      </c>
      <c r="N2362" s="1">
        <f>YEAR(Table1[[#This Row],[Order Date]])</f>
        <v>2023</v>
      </c>
    </row>
    <row r="2363" spans="1:14" x14ac:dyDescent="0.35">
      <c r="A2363" s="1" t="s">
        <v>3144</v>
      </c>
      <c r="B2363" s="1" t="s">
        <v>93</v>
      </c>
      <c r="C2363" s="1" t="s">
        <v>200</v>
      </c>
      <c r="D2363" s="1" t="s">
        <v>52</v>
      </c>
      <c r="E2363" s="1" t="s">
        <v>28</v>
      </c>
      <c r="F2363" s="1" t="s">
        <v>52</v>
      </c>
      <c r="G2363" s="1">
        <v>2</v>
      </c>
      <c r="H2363" s="1">
        <v>18274</v>
      </c>
      <c r="I2363" s="1">
        <v>0.1</v>
      </c>
      <c r="J2363" s="1">
        <v>32893.199999999997</v>
      </c>
      <c r="K2363" s="1">
        <v>7442.46</v>
      </c>
      <c r="L2363" s="1" t="s">
        <v>17</v>
      </c>
      <c r="M2363" s="1" t="str">
        <f>TEXT(Table1[[#This Row],[Order Date]],"mmm")</f>
        <v>Mar</v>
      </c>
      <c r="N2363" s="1">
        <f>YEAR(Table1[[#This Row],[Order Date]])</f>
        <v>2024</v>
      </c>
    </row>
    <row r="2364" spans="1:14" x14ac:dyDescent="0.35">
      <c r="A2364" s="1" t="s">
        <v>3145</v>
      </c>
      <c r="B2364" s="1" t="s">
        <v>106</v>
      </c>
      <c r="C2364" s="1" t="s">
        <v>136</v>
      </c>
      <c r="D2364" s="1" t="s">
        <v>323</v>
      </c>
      <c r="E2364" s="1" t="s">
        <v>33</v>
      </c>
      <c r="F2364" s="1" t="s">
        <v>323</v>
      </c>
      <c r="G2364" s="1">
        <v>13</v>
      </c>
      <c r="H2364" s="1">
        <v>9429</v>
      </c>
      <c r="I2364" s="1">
        <v>0</v>
      </c>
      <c r="J2364" s="1">
        <v>122577</v>
      </c>
      <c r="K2364" s="1">
        <v>21346.47</v>
      </c>
      <c r="L2364" s="1" t="s">
        <v>45</v>
      </c>
      <c r="M2364" s="1" t="str">
        <f>TEXT(Table1[[#This Row],[Order Date]],"mmm")</f>
        <v>Jun</v>
      </c>
      <c r="N2364" s="1">
        <f>YEAR(Table1[[#This Row],[Order Date]])</f>
        <v>2023</v>
      </c>
    </row>
    <row r="2365" spans="1:14" x14ac:dyDescent="0.35">
      <c r="A2365" s="1" t="s">
        <v>3146</v>
      </c>
      <c r="B2365" s="1" t="s">
        <v>365</v>
      </c>
      <c r="C2365" s="1" t="s">
        <v>14</v>
      </c>
      <c r="D2365" s="1" t="s">
        <v>85</v>
      </c>
      <c r="E2365" s="1" t="s">
        <v>28</v>
      </c>
      <c r="F2365" s="1" t="s">
        <v>85</v>
      </c>
      <c r="G2365" s="1">
        <v>12</v>
      </c>
      <c r="H2365" s="1">
        <v>43031</v>
      </c>
      <c r="I2365" s="1">
        <v>0.1</v>
      </c>
      <c r="J2365" s="1">
        <v>464734.8</v>
      </c>
      <c r="K2365" s="1">
        <v>94203.88</v>
      </c>
      <c r="L2365" s="1" t="s">
        <v>70</v>
      </c>
      <c r="M2365" s="1" t="str">
        <f>TEXT(Table1[[#This Row],[Order Date]],"mmm")</f>
        <v>Jun</v>
      </c>
      <c r="N2365" s="1">
        <f>YEAR(Table1[[#This Row],[Order Date]])</f>
        <v>2023</v>
      </c>
    </row>
    <row r="2366" spans="1:14" x14ac:dyDescent="0.35">
      <c r="A2366" s="1" t="s">
        <v>3147</v>
      </c>
      <c r="B2366" s="1" t="s">
        <v>821</v>
      </c>
      <c r="C2366" s="1" t="s">
        <v>36</v>
      </c>
      <c r="D2366" s="1" t="s">
        <v>44</v>
      </c>
      <c r="E2366" s="1" t="s">
        <v>28</v>
      </c>
      <c r="F2366" s="1" t="s">
        <v>44</v>
      </c>
      <c r="G2366" s="1">
        <v>12</v>
      </c>
      <c r="H2366" s="1">
        <v>52263</v>
      </c>
      <c r="I2366" s="1">
        <v>0.1</v>
      </c>
      <c r="J2366" s="1">
        <v>564440.4</v>
      </c>
      <c r="K2366" s="1">
        <v>58434.43</v>
      </c>
      <c r="L2366" s="1" t="s">
        <v>70</v>
      </c>
      <c r="M2366" s="1" t="str">
        <f>TEXT(Table1[[#This Row],[Order Date]],"mmm")</f>
        <v>Aug</v>
      </c>
      <c r="N2366" s="1">
        <f>YEAR(Table1[[#This Row],[Order Date]])</f>
        <v>2024</v>
      </c>
    </row>
    <row r="2367" spans="1:14" x14ac:dyDescent="0.35">
      <c r="A2367" s="1" t="s">
        <v>3148</v>
      </c>
      <c r="B2367" s="1" t="s">
        <v>1909</v>
      </c>
      <c r="C2367" s="1" t="s">
        <v>203</v>
      </c>
      <c r="D2367" s="1" t="s">
        <v>37</v>
      </c>
      <c r="E2367" s="1" t="s">
        <v>16</v>
      </c>
      <c r="F2367" s="1" t="s">
        <v>37</v>
      </c>
      <c r="G2367" s="1">
        <v>8</v>
      </c>
      <c r="H2367" s="1">
        <v>52246</v>
      </c>
      <c r="I2367" s="1">
        <v>0.15</v>
      </c>
      <c r="J2367" s="1">
        <v>355272.8</v>
      </c>
      <c r="K2367" s="1">
        <v>71916.55</v>
      </c>
      <c r="L2367" s="1" t="s">
        <v>70</v>
      </c>
      <c r="M2367" s="1" t="str">
        <f>TEXT(Table1[[#This Row],[Order Date]],"mmm")</f>
        <v>Jun</v>
      </c>
      <c r="N2367" s="1">
        <f>YEAR(Table1[[#This Row],[Order Date]])</f>
        <v>2024</v>
      </c>
    </row>
    <row r="2368" spans="1:14" x14ac:dyDescent="0.35">
      <c r="A2368" s="1" t="s">
        <v>3149</v>
      </c>
      <c r="B2368" s="1" t="s">
        <v>481</v>
      </c>
      <c r="C2368" s="1" t="s">
        <v>188</v>
      </c>
      <c r="D2368" s="1" t="s">
        <v>64</v>
      </c>
      <c r="E2368" s="1" t="s">
        <v>33</v>
      </c>
      <c r="F2368" s="1" t="s">
        <v>64</v>
      </c>
      <c r="G2368" s="1">
        <v>4</v>
      </c>
      <c r="H2368" s="1">
        <v>4931</v>
      </c>
      <c r="I2368" s="1">
        <v>0</v>
      </c>
      <c r="J2368" s="1">
        <v>19724</v>
      </c>
      <c r="K2368" s="1">
        <v>3716.57</v>
      </c>
      <c r="L2368" s="1" t="s">
        <v>45</v>
      </c>
      <c r="M2368" s="1" t="str">
        <f>TEXT(Table1[[#This Row],[Order Date]],"mmm")</f>
        <v>Oct</v>
      </c>
      <c r="N2368" s="1">
        <f>YEAR(Table1[[#This Row],[Order Date]])</f>
        <v>2024</v>
      </c>
    </row>
    <row r="2369" spans="1:14" x14ac:dyDescent="0.35">
      <c r="A2369" s="1" t="s">
        <v>3150</v>
      </c>
      <c r="B2369" s="1" t="s">
        <v>690</v>
      </c>
      <c r="C2369" s="1" t="s">
        <v>36</v>
      </c>
      <c r="D2369" s="1" t="s">
        <v>224</v>
      </c>
      <c r="E2369" s="1" t="s">
        <v>33</v>
      </c>
      <c r="F2369" s="1" t="s">
        <v>224</v>
      </c>
      <c r="G2369" s="1">
        <v>4</v>
      </c>
      <c r="H2369" s="1">
        <v>17965</v>
      </c>
      <c r="I2369" s="1">
        <v>0.05</v>
      </c>
      <c r="J2369" s="1">
        <v>68267</v>
      </c>
      <c r="K2369" s="1">
        <v>7669.61</v>
      </c>
      <c r="L2369" s="1" t="s">
        <v>23</v>
      </c>
      <c r="M2369" s="1" t="str">
        <f>TEXT(Table1[[#This Row],[Order Date]],"mmm")</f>
        <v>Jun</v>
      </c>
      <c r="N2369" s="1">
        <f>YEAR(Table1[[#This Row],[Order Date]])</f>
        <v>2024</v>
      </c>
    </row>
    <row r="2370" spans="1:14" x14ac:dyDescent="0.35">
      <c r="A2370" s="1" t="s">
        <v>3151</v>
      </c>
      <c r="B2370" s="1" t="s">
        <v>322</v>
      </c>
      <c r="C2370" s="1" t="s">
        <v>332</v>
      </c>
      <c r="D2370" s="1" t="s">
        <v>224</v>
      </c>
      <c r="E2370" s="1" t="s">
        <v>33</v>
      </c>
      <c r="F2370" s="1" t="s">
        <v>224</v>
      </c>
      <c r="G2370" s="1">
        <v>7</v>
      </c>
      <c r="H2370" s="1">
        <v>35229</v>
      </c>
      <c r="I2370" s="1">
        <v>0.1</v>
      </c>
      <c r="J2370" s="1">
        <v>221942.7</v>
      </c>
      <c r="K2370" s="1">
        <v>31679.01</v>
      </c>
      <c r="L2370" s="1" t="s">
        <v>17</v>
      </c>
      <c r="M2370" s="1" t="str">
        <f>TEXT(Table1[[#This Row],[Order Date]],"mmm")</f>
        <v>Sep</v>
      </c>
      <c r="N2370" s="1">
        <f>YEAR(Table1[[#This Row],[Order Date]])</f>
        <v>2023</v>
      </c>
    </row>
    <row r="2371" spans="1:14" x14ac:dyDescent="0.35">
      <c r="A2371" s="1" t="s">
        <v>3152</v>
      </c>
      <c r="B2371" s="1" t="s">
        <v>262</v>
      </c>
      <c r="C2371" s="1" t="s">
        <v>162</v>
      </c>
      <c r="D2371" s="1" t="s">
        <v>167</v>
      </c>
      <c r="E2371" s="1" t="s">
        <v>16</v>
      </c>
      <c r="F2371" s="1" t="s">
        <v>167</v>
      </c>
      <c r="G2371" s="1">
        <v>8</v>
      </c>
      <c r="H2371" s="1">
        <v>44014</v>
      </c>
      <c r="I2371" s="1">
        <v>0.1</v>
      </c>
      <c r="J2371" s="1">
        <v>316900.8</v>
      </c>
      <c r="K2371" s="1">
        <v>39569.24</v>
      </c>
      <c r="L2371" s="1" t="s">
        <v>23</v>
      </c>
      <c r="M2371" s="1" t="str">
        <f>TEXT(Table1[[#This Row],[Order Date]],"mmm")</f>
        <v>Jul</v>
      </c>
      <c r="N2371" s="1">
        <f>YEAR(Table1[[#This Row],[Order Date]])</f>
        <v>2023</v>
      </c>
    </row>
    <row r="2372" spans="1:14" x14ac:dyDescent="0.35">
      <c r="A2372" s="1" t="s">
        <v>3153</v>
      </c>
      <c r="B2372" s="1" t="s">
        <v>1104</v>
      </c>
      <c r="C2372" s="1" t="s">
        <v>40</v>
      </c>
      <c r="D2372" s="1" t="s">
        <v>224</v>
      </c>
      <c r="E2372" s="1" t="s">
        <v>33</v>
      </c>
      <c r="F2372" s="1" t="s">
        <v>224</v>
      </c>
      <c r="G2372" s="1">
        <v>13</v>
      </c>
      <c r="H2372" s="1">
        <v>4032</v>
      </c>
      <c r="I2372" s="1">
        <v>0</v>
      </c>
      <c r="J2372" s="1">
        <v>52416</v>
      </c>
      <c r="K2372" s="1">
        <v>8136.48</v>
      </c>
      <c r="L2372" s="1" t="s">
        <v>70</v>
      </c>
      <c r="M2372" s="1" t="str">
        <f>TEXT(Table1[[#This Row],[Order Date]],"mmm")</f>
        <v>Oct</v>
      </c>
      <c r="N2372" s="1">
        <f>YEAR(Table1[[#This Row],[Order Date]])</f>
        <v>2023</v>
      </c>
    </row>
    <row r="2373" spans="1:14" x14ac:dyDescent="0.35">
      <c r="A2373" s="1" t="s">
        <v>3154</v>
      </c>
      <c r="B2373" s="1" t="s">
        <v>1356</v>
      </c>
      <c r="C2373" s="1" t="s">
        <v>94</v>
      </c>
      <c r="D2373" s="1" t="s">
        <v>78</v>
      </c>
      <c r="E2373" s="1" t="s">
        <v>28</v>
      </c>
      <c r="F2373" s="1" t="s">
        <v>78</v>
      </c>
      <c r="G2373" s="1">
        <v>4</v>
      </c>
      <c r="H2373" s="1">
        <v>29977</v>
      </c>
      <c r="I2373" s="1">
        <v>0.2</v>
      </c>
      <c r="J2373" s="1">
        <v>95926.399999999994</v>
      </c>
      <c r="K2373" s="1">
        <v>14156.13</v>
      </c>
      <c r="L2373" s="1" t="s">
        <v>17</v>
      </c>
      <c r="M2373" s="1" t="str">
        <f>TEXT(Table1[[#This Row],[Order Date]],"mmm")</f>
        <v>Jun</v>
      </c>
      <c r="N2373" s="1">
        <f>YEAR(Table1[[#This Row],[Order Date]])</f>
        <v>2023</v>
      </c>
    </row>
    <row r="2374" spans="1:14" x14ac:dyDescent="0.35">
      <c r="A2374" s="1" t="s">
        <v>3155</v>
      </c>
      <c r="B2374" s="1" t="s">
        <v>1547</v>
      </c>
      <c r="C2374" s="1" t="s">
        <v>640</v>
      </c>
      <c r="D2374" s="1" t="s">
        <v>179</v>
      </c>
      <c r="E2374" s="1" t="s">
        <v>28</v>
      </c>
      <c r="F2374" s="1" t="s">
        <v>179</v>
      </c>
      <c r="G2374" s="1">
        <v>13</v>
      </c>
      <c r="H2374" s="1">
        <v>16207</v>
      </c>
      <c r="I2374" s="1">
        <v>0.1</v>
      </c>
      <c r="J2374" s="1">
        <v>189621.9</v>
      </c>
      <c r="K2374" s="1">
        <v>24677.62</v>
      </c>
      <c r="L2374" s="1" t="s">
        <v>70</v>
      </c>
      <c r="M2374" s="1" t="str">
        <f>TEXT(Table1[[#This Row],[Order Date]],"mmm")</f>
        <v>Nov</v>
      </c>
      <c r="N2374" s="1">
        <f>YEAR(Table1[[#This Row],[Order Date]])</f>
        <v>2024</v>
      </c>
    </row>
    <row r="2375" spans="1:14" x14ac:dyDescent="0.35">
      <c r="A2375" s="1" t="s">
        <v>3156</v>
      </c>
      <c r="B2375" s="1" t="s">
        <v>1240</v>
      </c>
      <c r="C2375" s="1" t="s">
        <v>36</v>
      </c>
      <c r="D2375" s="1" t="s">
        <v>85</v>
      </c>
      <c r="E2375" s="1" t="s">
        <v>28</v>
      </c>
      <c r="F2375" s="1" t="s">
        <v>85</v>
      </c>
      <c r="G2375" s="1">
        <v>14</v>
      </c>
      <c r="H2375" s="1">
        <v>21860</v>
      </c>
      <c r="I2375" s="1">
        <v>0</v>
      </c>
      <c r="J2375" s="1">
        <v>306040</v>
      </c>
      <c r="K2375" s="1">
        <v>29328.04</v>
      </c>
      <c r="L2375" s="1" t="s">
        <v>23</v>
      </c>
      <c r="M2375" s="1" t="str">
        <f>TEXT(Table1[[#This Row],[Order Date]],"mmm")</f>
        <v>Jan</v>
      </c>
      <c r="N2375" s="1">
        <f>YEAR(Table1[[#This Row],[Order Date]])</f>
        <v>2024</v>
      </c>
    </row>
    <row r="2376" spans="1:14" x14ac:dyDescent="0.35">
      <c r="A2376" s="1" t="s">
        <v>3157</v>
      </c>
      <c r="B2376" s="1" t="s">
        <v>1027</v>
      </c>
      <c r="C2376" s="1" t="s">
        <v>332</v>
      </c>
      <c r="D2376" s="1" t="s">
        <v>224</v>
      </c>
      <c r="E2376" s="1" t="s">
        <v>33</v>
      </c>
      <c r="F2376" s="1" t="s">
        <v>224</v>
      </c>
      <c r="G2376" s="1">
        <v>4</v>
      </c>
      <c r="H2376" s="1">
        <v>50729</v>
      </c>
      <c r="I2376" s="1">
        <v>0.05</v>
      </c>
      <c r="J2376" s="1">
        <v>192770.2</v>
      </c>
      <c r="K2376" s="1">
        <v>43190.69</v>
      </c>
      <c r="L2376" s="1" t="s">
        <v>70</v>
      </c>
      <c r="M2376" s="1" t="str">
        <f>TEXT(Table1[[#This Row],[Order Date]],"mmm")</f>
        <v>Nov</v>
      </c>
      <c r="N2376" s="1">
        <f>YEAR(Table1[[#This Row],[Order Date]])</f>
        <v>2023</v>
      </c>
    </row>
    <row r="2377" spans="1:14" x14ac:dyDescent="0.35">
      <c r="A2377" s="1" t="s">
        <v>3158</v>
      </c>
      <c r="B2377" s="1" t="s">
        <v>1418</v>
      </c>
      <c r="C2377" s="1" t="s">
        <v>98</v>
      </c>
      <c r="D2377" s="1" t="s">
        <v>60</v>
      </c>
      <c r="E2377" s="1" t="s">
        <v>33</v>
      </c>
      <c r="F2377" s="1" t="s">
        <v>60</v>
      </c>
      <c r="G2377" s="1">
        <v>14</v>
      </c>
      <c r="H2377" s="1">
        <v>21180</v>
      </c>
      <c r="I2377" s="1">
        <v>0.15</v>
      </c>
      <c r="J2377" s="1">
        <v>252042</v>
      </c>
      <c r="K2377" s="1">
        <v>54352.959999999999</v>
      </c>
      <c r="L2377" s="1" t="s">
        <v>17</v>
      </c>
      <c r="M2377" s="1" t="str">
        <f>TEXT(Table1[[#This Row],[Order Date]],"mmm")</f>
        <v>Nov</v>
      </c>
      <c r="N2377" s="1">
        <f>YEAR(Table1[[#This Row],[Order Date]])</f>
        <v>2024</v>
      </c>
    </row>
    <row r="2378" spans="1:14" x14ac:dyDescent="0.35">
      <c r="A2378" s="1" t="s">
        <v>3159</v>
      </c>
      <c r="B2378" s="1" t="s">
        <v>770</v>
      </c>
      <c r="C2378" s="1" t="s">
        <v>146</v>
      </c>
      <c r="D2378" s="1" t="s">
        <v>114</v>
      </c>
      <c r="E2378" s="1" t="s">
        <v>16</v>
      </c>
      <c r="F2378" s="1" t="s">
        <v>114</v>
      </c>
      <c r="G2378" s="1">
        <v>9</v>
      </c>
      <c r="H2378" s="1">
        <v>52943</v>
      </c>
      <c r="I2378" s="1">
        <v>0.15</v>
      </c>
      <c r="J2378" s="1">
        <v>405013.95</v>
      </c>
      <c r="K2378" s="1">
        <v>47583.63</v>
      </c>
      <c r="L2378" s="1" t="s">
        <v>17</v>
      </c>
      <c r="M2378" s="1" t="str">
        <f>TEXT(Table1[[#This Row],[Order Date]],"mmm")</f>
        <v>Feb</v>
      </c>
      <c r="N2378" s="1">
        <f>YEAR(Table1[[#This Row],[Order Date]])</f>
        <v>2024</v>
      </c>
    </row>
    <row r="2379" spans="1:14" x14ac:dyDescent="0.35">
      <c r="A2379" s="1" t="s">
        <v>3160</v>
      </c>
      <c r="B2379" s="1" t="s">
        <v>425</v>
      </c>
      <c r="C2379" s="1" t="s">
        <v>362</v>
      </c>
      <c r="D2379" s="1" t="s">
        <v>137</v>
      </c>
      <c r="E2379" s="1" t="s">
        <v>22</v>
      </c>
      <c r="F2379" s="1" t="s">
        <v>137</v>
      </c>
      <c r="G2379" s="1">
        <v>10</v>
      </c>
      <c r="H2379" s="1">
        <v>42087</v>
      </c>
      <c r="I2379" s="1">
        <v>0.2</v>
      </c>
      <c r="J2379" s="1">
        <v>336696</v>
      </c>
      <c r="K2379" s="1">
        <v>57668.21</v>
      </c>
      <c r="L2379" s="1" t="s">
        <v>45</v>
      </c>
      <c r="M2379" s="1" t="str">
        <f>TEXT(Table1[[#This Row],[Order Date]],"mmm")</f>
        <v>Oct</v>
      </c>
      <c r="N2379" s="1">
        <f>YEAR(Table1[[#This Row],[Order Date]])</f>
        <v>2024</v>
      </c>
    </row>
    <row r="2380" spans="1:14" x14ac:dyDescent="0.35">
      <c r="A2380" s="1" t="s">
        <v>3161</v>
      </c>
      <c r="B2380" s="1" t="s">
        <v>1798</v>
      </c>
      <c r="C2380" s="1" t="s">
        <v>255</v>
      </c>
      <c r="D2380" s="1" t="s">
        <v>60</v>
      </c>
      <c r="E2380" s="1" t="s">
        <v>33</v>
      </c>
      <c r="F2380" s="1" t="s">
        <v>60</v>
      </c>
      <c r="G2380" s="1">
        <v>12</v>
      </c>
      <c r="H2380" s="1">
        <v>22706</v>
      </c>
      <c r="I2380" s="1">
        <v>0</v>
      </c>
      <c r="J2380" s="1">
        <v>272472</v>
      </c>
      <c r="K2380" s="1">
        <v>25740.49</v>
      </c>
      <c r="L2380" s="1" t="s">
        <v>23</v>
      </c>
      <c r="M2380" s="1" t="str">
        <f>TEXT(Table1[[#This Row],[Order Date]],"mmm")</f>
        <v>Jan</v>
      </c>
      <c r="N2380" s="1">
        <f>YEAR(Table1[[#This Row],[Order Date]])</f>
        <v>2024</v>
      </c>
    </row>
    <row r="2381" spans="1:14" x14ac:dyDescent="0.35">
      <c r="A2381" s="1" t="s">
        <v>3162</v>
      </c>
      <c r="B2381" s="1" t="s">
        <v>1772</v>
      </c>
      <c r="C2381" s="1" t="s">
        <v>200</v>
      </c>
      <c r="D2381" s="1" t="s">
        <v>15</v>
      </c>
      <c r="E2381" s="1" t="s">
        <v>16</v>
      </c>
      <c r="F2381" s="1" t="s">
        <v>15</v>
      </c>
      <c r="G2381" s="1">
        <v>7</v>
      </c>
      <c r="H2381" s="1">
        <v>25175</v>
      </c>
      <c r="I2381" s="1">
        <v>0.15</v>
      </c>
      <c r="J2381" s="1">
        <v>149791.25</v>
      </c>
      <c r="K2381" s="1">
        <v>20378.900000000001</v>
      </c>
      <c r="L2381" s="1" t="s">
        <v>23</v>
      </c>
      <c r="M2381" s="1" t="str">
        <f>TEXT(Table1[[#This Row],[Order Date]],"mmm")</f>
        <v>Jun</v>
      </c>
      <c r="N2381" s="1">
        <f>YEAR(Table1[[#This Row],[Order Date]])</f>
        <v>2024</v>
      </c>
    </row>
    <row r="2382" spans="1:14" x14ac:dyDescent="0.35">
      <c r="A2382" s="1" t="s">
        <v>3163</v>
      </c>
      <c r="B2382" s="1" t="s">
        <v>1038</v>
      </c>
      <c r="C2382" s="1" t="s">
        <v>51</v>
      </c>
      <c r="D2382" s="1" t="s">
        <v>27</v>
      </c>
      <c r="E2382" s="1" t="s">
        <v>28</v>
      </c>
      <c r="F2382" s="1" t="s">
        <v>27</v>
      </c>
      <c r="G2382" s="1">
        <v>14</v>
      </c>
      <c r="H2382" s="1">
        <v>10502</v>
      </c>
      <c r="I2382" s="1">
        <v>0.15</v>
      </c>
      <c r="J2382" s="1">
        <v>124973.8</v>
      </c>
      <c r="K2382" s="1">
        <v>16055.25</v>
      </c>
      <c r="L2382" s="1" t="s">
        <v>17</v>
      </c>
      <c r="M2382" s="1" t="str">
        <f>TEXT(Table1[[#This Row],[Order Date]],"mmm")</f>
        <v>Feb</v>
      </c>
      <c r="N2382" s="1">
        <f>YEAR(Table1[[#This Row],[Order Date]])</f>
        <v>2024</v>
      </c>
    </row>
    <row r="2383" spans="1:14" x14ac:dyDescent="0.35">
      <c r="A2383" s="1" t="s">
        <v>3164</v>
      </c>
      <c r="B2383" s="1" t="s">
        <v>1218</v>
      </c>
      <c r="C2383" s="1" t="s">
        <v>111</v>
      </c>
      <c r="D2383" s="1" t="s">
        <v>41</v>
      </c>
      <c r="E2383" s="1" t="s">
        <v>16</v>
      </c>
      <c r="F2383" s="1" t="s">
        <v>41</v>
      </c>
      <c r="G2383" s="1">
        <v>2</v>
      </c>
      <c r="H2383" s="1">
        <v>37974</v>
      </c>
      <c r="I2383" s="1">
        <v>0.2</v>
      </c>
      <c r="J2383" s="1">
        <v>60758.400000000001</v>
      </c>
      <c r="K2383" s="1">
        <v>13577.21</v>
      </c>
      <c r="L2383" s="1" t="s">
        <v>70</v>
      </c>
      <c r="M2383" s="1" t="str">
        <f>TEXT(Table1[[#This Row],[Order Date]],"mmm")</f>
        <v>May</v>
      </c>
      <c r="N2383" s="1">
        <f>YEAR(Table1[[#This Row],[Order Date]])</f>
        <v>2024</v>
      </c>
    </row>
    <row r="2384" spans="1:14" x14ac:dyDescent="0.35">
      <c r="A2384" s="1" t="s">
        <v>3165</v>
      </c>
      <c r="B2384" s="1" t="s">
        <v>1133</v>
      </c>
      <c r="C2384" s="1" t="s">
        <v>104</v>
      </c>
      <c r="D2384" s="1" t="s">
        <v>85</v>
      </c>
      <c r="E2384" s="1" t="s">
        <v>28</v>
      </c>
      <c r="F2384" s="1" t="s">
        <v>85</v>
      </c>
      <c r="G2384" s="1">
        <v>3</v>
      </c>
      <c r="H2384" s="1">
        <v>26011</v>
      </c>
      <c r="I2384" s="1">
        <v>0</v>
      </c>
      <c r="J2384" s="1">
        <v>78033</v>
      </c>
      <c r="K2384" s="1">
        <v>6656.68</v>
      </c>
      <c r="L2384" s="1" t="s">
        <v>23</v>
      </c>
      <c r="M2384" s="1" t="str">
        <f>TEXT(Table1[[#This Row],[Order Date]],"mmm")</f>
        <v>Nov</v>
      </c>
      <c r="N2384" s="1">
        <f>YEAR(Table1[[#This Row],[Order Date]])</f>
        <v>2024</v>
      </c>
    </row>
    <row r="2385" spans="1:14" x14ac:dyDescent="0.35">
      <c r="A2385" s="1" t="s">
        <v>3166</v>
      </c>
      <c r="B2385" s="1" t="s">
        <v>1180</v>
      </c>
      <c r="C2385" s="1" t="s">
        <v>63</v>
      </c>
      <c r="D2385" s="1" t="s">
        <v>293</v>
      </c>
      <c r="E2385" s="1" t="s">
        <v>33</v>
      </c>
      <c r="F2385" s="1" t="s">
        <v>293</v>
      </c>
      <c r="G2385" s="1">
        <v>7</v>
      </c>
      <c r="H2385" s="1">
        <v>56164</v>
      </c>
      <c r="I2385" s="1">
        <v>0.2</v>
      </c>
      <c r="J2385" s="1">
        <v>314518.40000000002</v>
      </c>
      <c r="K2385" s="1">
        <v>73404.42</v>
      </c>
      <c r="L2385" s="1" t="s">
        <v>23</v>
      </c>
      <c r="M2385" s="1" t="str">
        <f>TEXT(Table1[[#This Row],[Order Date]],"mmm")</f>
        <v>Oct</v>
      </c>
      <c r="N2385" s="1">
        <f>YEAR(Table1[[#This Row],[Order Date]])</f>
        <v>2023</v>
      </c>
    </row>
    <row r="2386" spans="1:14" x14ac:dyDescent="0.35">
      <c r="A2386" s="1" t="s">
        <v>3167</v>
      </c>
      <c r="B2386" s="1" t="s">
        <v>1238</v>
      </c>
      <c r="C2386" s="1" t="s">
        <v>125</v>
      </c>
      <c r="D2386" s="1" t="s">
        <v>21</v>
      </c>
      <c r="E2386" s="1" t="s">
        <v>22</v>
      </c>
      <c r="F2386" s="1" t="s">
        <v>21</v>
      </c>
      <c r="G2386" s="1">
        <v>1</v>
      </c>
      <c r="H2386" s="1">
        <v>15526</v>
      </c>
      <c r="I2386" s="1">
        <v>0.15</v>
      </c>
      <c r="J2386" s="1">
        <v>13197.1</v>
      </c>
      <c r="K2386" s="1">
        <v>2092.69</v>
      </c>
      <c r="L2386" s="1" t="s">
        <v>45</v>
      </c>
      <c r="M2386" s="1" t="str">
        <f>TEXT(Table1[[#This Row],[Order Date]],"mmm")</f>
        <v>Dec</v>
      </c>
      <c r="N2386" s="1">
        <f>YEAR(Table1[[#This Row],[Order Date]])</f>
        <v>2023</v>
      </c>
    </row>
    <row r="2387" spans="1:14" x14ac:dyDescent="0.35">
      <c r="A2387" s="1" t="s">
        <v>3168</v>
      </c>
      <c r="B2387" s="1" t="s">
        <v>770</v>
      </c>
      <c r="C2387" s="1" t="s">
        <v>335</v>
      </c>
      <c r="D2387" s="1" t="s">
        <v>32</v>
      </c>
      <c r="E2387" s="1" t="s">
        <v>33</v>
      </c>
      <c r="F2387" s="1" t="s">
        <v>32</v>
      </c>
      <c r="G2387" s="1">
        <v>3</v>
      </c>
      <c r="H2387" s="1">
        <v>44103</v>
      </c>
      <c r="I2387" s="1">
        <v>0</v>
      </c>
      <c r="J2387" s="1">
        <v>132309</v>
      </c>
      <c r="K2387" s="1">
        <v>33203.699999999997</v>
      </c>
      <c r="L2387" s="1" t="s">
        <v>17</v>
      </c>
      <c r="M2387" s="1" t="str">
        <f>TEXT(Table1[[#This Row],[Order Date]],"mmm")</f>
        <v>Feb</v>
      </c>
      <c r="N2387" s="1">
        <f>YEAR(Table1[[#This Row],[Order Date]])</f>
        <v>2024</v>
      </c>
    </row>
    <row r="2388" spans="1:14" x14ac:dyDescent="0.35">
      <c r="A2388" s="1" t="s">
        <v>3169</v>
      </c>
      <c r="B2388" s="1" t="s">
        <v>891</v>
      </c>
      <c r="C2388" s="1" t="s">
        <v>362</v>
      </c>
      <c r="D2388" s="1" t="s">
        <v>133</v>
      </c>
      <c r="E2388" s="1" t="s">
        <v>22</v>
      </c>
      <c r="F2388" s="1" t="s">
        <v>133</v>
      </c>
      <c r="G2388" s="1">
        <v>3</v>
      </c>
      <c r="H2388" s="1">
        <v>7310</v>
      </c>
      <c r="I2388" s="1">
        <v>0.1</v>
      </c>
      <c r="J2388" s="1">
        <v>19737</v>
      </c>
      <c r="K2388" s="1">
        <v>3221.67</v>
      </c>
      <c r="L2388" s="1" t="s">
        <v>70</v>
      </c>
      <c r="M2388" s="1" t="str">
        <f>TEXT(Table1[[#This Row],[Order Date]],"mmm")</f>
        <v>Feb</v>
      </c>
      <c r="N2388" s="1">
        <f>YEAR(Table1[[#This Row],[Order Date]])</f>
        <v>2024</v>
      </c>
    </row>
    <row r="2389" spans="1:14" x14ac:dyDescent="0.35">
      <c r="A2389" s="1" t="s">
        <v>3170</v>
      </c>
      <c r="B2389" s="1" t="s">
        <v>199</v>
      </c>
      <c r="C2389" s="1" t="s">
        <v>117</v>
      </c>
      <c r="D2389" s="1" t="s">
        <v>141</v>
      </c>
      <c r="E2389" s="1" t="s">
        <v>22</v>
      </c>
      <c r="F2389" s="1" t="s">
        <v>141</v>
      </c>
      <c r="G2389" s="1">
        <v>14</v>
      </c>
      <c r="H2389" s="1">
        <v>22119</v>
      </c>
      <c r="I2389" s="1">
        <v>0.15</v>
      </c>
      <c r="J2389" s="1">
        <v>263216.09999999998</v>
      </c>
      <c r="K2389" s="1">
        <v>71466.59</v>
      </c>
      <c r="L2389" s="1" t="s">
        <v>23</v>
      </c>
      <c r="M2389" s="1" t="str">
        <f>TEXT(Table1[[#This Row],[Order Date]],"mmm")</f>
        <v>Nov</v>
      </c>
      <c r="N2389" s="1">
        <f>YEAR(Table1[[#This Row],[Order Date]])</f>
        <v>2023</v>
      </c>
    </row>
    <row r="2390" spans="1:14" x14ac:dyDescent="0.35">
      <c r="A2390" s="1" t="s">
        <v>3171</v>
      </c>
      <c r="B2390" s="1" t="s">
        <v>1299</v>
      </c>
      <c r="C2390" s="1" t="s">
        <v>81</v>
      </c>
      <c r="D2390" s="1" t="s">
        <v>15</v>
      </c>
      <c r="E2390" s="1" t="s">
        <v>16</v>
      </c>
      <c r="F2390" s="1" t="s">
        <v>15</v>
      </c>
      <c r="G2390" s="1">
        <v>7</v>
      </c>
      <c r="H2390" s="1">
        <v>34453</v>
      </c>
      <c r="I2390" s="1">
        <v>0.05</v>
      </c>
      <c r="J2390" s="1">
        <v>229112.45</v>
      </c>
      <c r="K2390" s="1">
        <v>22470.04</v>
      </c>
      <c r="L2390" s="1" t="s">
        <v>45</v>
      </c>
      <c r="M2390" s="1" t="str">
        <f>TEXT(Table1[[#This Row],[Order Date]],"mmm")</f>
        <v>Sep</v>
      </c>
      <c r="N2390" s="1">
        <f>YEAR(Table1[[#This Row],[Order Date]])</f>
        <v>2024</v>
      </c>
    </row>
    <row r="2391" spans="1:14" x14ac:dyDescent="0.35">
      <c r="A2391" s="1" t="s">
        <v>3172</v>
      </c>
      <c r="B2391" s="1" t="s">
        <v>612</v>
      </c>
      <c r="C2391" s="1" t="s">
        <v>507</v>
      </c>
      <c r="D2391" s="1" t="s">
        <v>48</v>
      </c>
      <c r="E2391" s="1" t="s">
        <v>16</v>
      </c>
      <c r="F2391" s="1" t="s">
        <v>48</v>
      </c>
      <c r="G2391" s="1">
        <v>15</v>
      </c>
      <c r="H2391" s="1">
        <v>47500</v>
      </c>
      <c r="I2391" s="1">
        <v>0</v>
      </c>
      <c r="J2391" s="1">
        <v>712500</v>
      </c>
      <c r="K2391" s="1">
        <v>72933.2</v>
      </c>
      <c r="L2391" s="1" t="s">
        <v>23</v>
      </c>
      <c r="M2391" s="1" t="str">
        <f>TEXT(Table1[[#This Row],[Order Date]],"mmm")</f>
        <v>May</v>
      </c>
      <c r="N2391" s="1">
        <f>YEAR(Table1[[#This Row],[Order Date]])</f>
        <v>2024</v>
      </c>
    </row>
    <row r="2392" spans="1:14" x14ac:dyDescent="0.35">
      <c r="A2392" s="1" t="s">
        <v>3173</v>
      </c>
      <c r="B2392" s="1" t="s">
        <v>2890</v>
      </c>
      <c r="C2392" s="1" t="s">
        <v>125</v>
      </c>
      <c r="D2392" s="1" t="s">
        <v>27</v>
      </c>
      <c r="E2392" s="1" t="s">
        <v>28</v>
      </c>
      <c r="F2392" s="1" t="s">
        <v>27</v>
      </c>
      <c r="G2392" s="1">
        <v>10</v>
      </c>
      <c r="H2392" s="1">
        <v>11855</v>
      </c>
      <c r="I2392" s="1">
        <v>0.1</v>
      </c>
      <c r="J2392" s="1">
        <v>106695</v>
      </c>
      <c r="K2392" s="1">
        <v>31019.47</v>
      </c>
      <c r="L2392" s="1" t="s">
        <v>23</v>
      </c>
      <c r="M2392" s="1" t="str">
        <f>TEXT(Table1[[#This Row],[Order Date]],"mmm")</f>
        <v>Aug</v>
      </c>
      <c r="N2392" s="1">
        <f>YEAR(Table1[[#This Row],[Order Date]])</f>
        <v>2023</v>
      </c>
    </row>
    <row r="2393" spans="1:14" x14ac:dyDescent="0.35">
      <c r="A2393" s="1" t="s">
        <v>3174</v>
      </c>
      <c r="B2393" s="1" t="s">
        <v>417</v>
      </c>
      <c r="C2393" s="1" t="s">
        <v>370</v>
      </c>
      <c r="D2393" s="1" t="s">
        <v>74</v>
      </c>
      <c r="E2393" s="1" t="s">
        <v>22</v>
      </c>
      <c r="F2393" s="1" t="s">
        <v>74</v>
      </c>
      <c r="G2393" s="1">
        <v>9</v>
      </c>
      <c r="H2393" s="1">
        <v>37628</v>
      </c>
      <c r="I2393" s="1">
        <v>0.15</v>
      </c>
      <c r="J2393" s="1">
        <v>287854.2</v>
      </c>
      <c r="K2393" s="1">
        <v>82046.66</v>
      </c>
      <c r="L2393" s="1" t="s">
        <v>23</v>
      </c>
      <c r="M2393" s="1" t="str">
        <f>TEXT(Table1[[#This Row],[Order Date]],"mmm")</f>
        <v>Jul</v>
      </c>
      <c r="N2393" s="1">
        <f>YEAR(Table1[[#This Row],[Order Date]])</f>
        <v>2024</v>
      </c>
    </row>
    <row r="2394" spans="1:14" x14ac:dyDescent="0.35">
      <c r="A2394" s="1" t="s">
        <v>3175</v>
      </c>
      <c r="B2394" s="1" t="s">
        <v>1970</v>
      </c>
      <c r="C2394" s="1" t="s">
        <v>146</v>
      </c>
      <c r="D2394" s="1" t="s">
        <v>293</v>
      </c>
      <c r="E2394" s="1" t="s">
        <v>33</v>
      </c>
      <c r="F2394" s="1" t="s">
        <v>293</v>
      </c>
      <c r="G2394" s="1">
        <v>7</v>
      </c>
      <c r="H2394" s="1">
        <v>12343</v>
      </c>
      <c r="I2394" s="1">
        <v>0.05</v>
      </c>
      <c r="J2394" s="1">
        <v>82080.95</v>
      </c>
      <c r="K2394" s="1">
        <v>22832.21</v>
      </c>
      <c r="L2394" s="1" t="s">
        <v>45</v>
      </c>
      <c r="M2394" s="1" t="str">
        <f>TEXT(Table1[[#This Row],[Order Date]],"mmm")</f>
        <v>Feb</v>
      </c>
      <c r="N2394" s="1">
        <f>YEAR(Table1[[#This Row],[Order Date]])</f>
        <v>2024</v>
      </c>
    </row>
    <row r="2395" spans="1:14" x14ac:dyDescent="0.35">
      <c r="A2395" s="1" t="s">
        <v>3176</v>
      </c>
      <c r="B2395" s="1" t="s">
        <v>1878</v>
      </c>
      <c r="C2395" s="1" t="s">
        <v>227</v>
      </c>
      <c r="D2395" s="1" t="s">
        <v>137</v>
      </c>
      <c r="E2395" s="1" t="s">
        <v>22</v>
      </c>
      <c r="F2395" s="1" t="s">
        <v>137</v>
      </c>
      <c r="G2395" s="1">
        <v>1</v>
      </c>
      <c r="H2395" s="1">
        <v>20344</v>
      </c>
      <c r="I2395" s="1">
        <v>0.1</v>
      </c>
      <c r="J2395" s="1">
        <v>18309.599999999999</v>
      </c>
      <c r="K2395" s="1">
        <v>4423.47</v>
      </c>
      <c r="L2395" s="1" t="s">
        <v>17</v>
      </c>
      <c r="M2395" s="1" t="str">
        <f>TEXT(Table1[[#This Row],[Order Date]],"mmm")</f>
        <v>Jun</v>
      </c>
      <c r="N2395" s="1">
        <f>YEAR(Table1[[#This Row],[Order Date]])</f>
        <v>2024</v>
      </c>
    </row>
    <row r="2396" spans="1:14" x14ac:dyDescent="0.35">
      <c r="A2396" s="1" t="s">
        <v>3177</v>
      </c>
      <c r="B2396" s="1" t="s">
        <v>1209</v>
      </c>
      <c r="C2396" s="1" t="s">
        <v>77</v>
      </c>
      <c r="D2396" s="1" t="s">
        <v>141</v>
      </c>
      <c r="E2396" s="1" t="s">
        <v>22</v>
      </c>
      <c r="F2396" s="1" t="s">
        <v>141</v>
      </c>
      <c r="G2396" s="1">
        <v>4</v>
      </c>
      <c r="H2396" s="1">
        <v>44099</v>
      </c>
      <c r="I2396" s="1">
        <v>0.1</v>
      </c>
      <c r="J2396" s="1">
        <v>158756.4</v>
      </c>
      <c r="K2396" s="1">
        <v>40698.18</v>
      </c>
      <c r="L2396" s="1" t="s">
        <v>23</v>
      </c>
      <c r="M2396" s="1" t="str">
        <f>TEXT(Table1[[#This Row],[Order Date]],"mmm")</f>
        <v>Jan</v>
      </c>
      <c r="N2396" s="1">
        <f>YEAR(Table1[[#This Row],[Order Date]])</f>
        <v>2023</v>
      </c>
    </row>
    <row r="2397" spans="1:14" x14ac:dyDescent="0.35">
      <c r="A2397" s="1" t="s">
        <v>3178</v>
      </c>
      <c r="B2397" s="1" t="s">
        <v>1545</v>
      </c>
      <c r="C2397" s="1" t="s">
        <v>188</v>
      </c>
      <c r="D2397" s="1" t="s">
        <v>151</v>
      </c>
      <c r="E2397" s="1" t="s">
        <v>22</v>
      </c>
      <c r="F2397" s="1" t="s">
        <v>151</v>
      </c>
      <c r="G2397" s="1">
        <v>7</v>
      </c>
      <c r="H2397" s="1">
        <v>45826</v>
      </c>
      <c r="I2397" s="1">
        <v>0.05</v>
      </c>
      <c r="J2397" s="1">
        <v>304742.90000000002</v>
      </c>
      <c r="K2397" s="1">
        <v>90171.26</v>
      </c>
      <c r="L2397" s="1" t="s">
        <v>17</v>
      </c>
      <c r="M2397" s="1" t="str">
        <f>TEXT(Table1[[#This Row],[Order Date]],"mmm")</f>
        <v>May</v>
      </c>
      <c r="N2397" s="1">
        <f>YEAR(Table1[[#This Row],[Order Date]])</f>
        <v>2023</v>
      </c>
    </row>
    <row r="2398" spans="1:14" x14ac:dyDescent="0.35">
      <c r="A2398" s="1" t="s">
        <v>3179</v>
      </c>
      <c r="B2398" s="1" t="s">
        <v>1339</v>
      </c>
      <c r="C2398" s="1" t="s">
        <v>260</v>
      </c>
      <c r="D2398" s="1" t="s">
        <v>78</v>
      </c>
      <c r="E2398" s="1" t="s">
        <v>28</v>
      </c>
      <c r="F2398" s="1" t="s">
        <v>78</v>
      </c>
      <c r="G2398" s="1">
        <v>9</v>
      </c>
      <c r="H2398" s="1">
        <v>49221</v>
      </c>
      <c r="I2398" s="1">
        <v>0.2</v>
      </c>
      <c r="J2398" s="1">
        <v>354391.2</v>
      </c>
      <c r="K2398" s="1">
        <v>78285.14</v>
      </c>
      <c r="L2398" s="1" t="s">
        <v>23</v>
      </c>
      <c r="M2398" s="1" t="str">
        <f>TEXT(Table1[[#This Row],[Order Date]],"mmm")</f>
        <v>Jul</v>
      </c>
      <c r="N2398" s="1">
        <f>YEAR(Table1[[#This Row],[Order Date]])</f>
        <v>2023</v>
      </c>
    </row>
    <row r="2399" spans="1:14" x14ac:dyDescent="0.35">
      <c r="A2399" s="1" t="s">
        <v>3180</v>
      </c>
      <c r="B2399" s="1" t="s">
        <v>1611</v>
      </c>
      <c r="C2399" s="1" t="s">
        <v>31</v>
      </c>
      <c r="D2399" s="1" t="s">
        <v>74</v>
      </c>
      <c r="E2399" s="1" t="s">
        <v>22</v>
      </c>
      <c r="F2399" s="1" t="s">
        <v>74</v>
      </c>
      <c r="G2399" s="1">
        <v>9</v>
      </c>
      <c r="H2399" s="1">
        <v>59550</v>
      </c>
      <c r="I2399" s="1">
        <v>0.1</v>
      </c>
      <c r="J2399" s="1">
        <v>482355</v>
      </c>
      <c r="K2399" s="1">
        <v>93050.19</v>
      </c>
      <c r="L2399" s="1" t="s">
        <v>23</v>
      </c>
      <c r="M2399" s="1" t="str">
        <f>TEXT(Table1[[#This Row],[Order Date]],"mmm")</f>
        <v>Jan</v>
      </c>
      <c r="N2399" s="1">
        <f>YEAR(Table1[[#This Row],[Order Date]])</f>
        <v>2023</v>
      </c>
    </row>
    <row r="2400" spans="1:14" x14ac:dyDescent="0.35">
      <c r="A2400" s="1" t="s">
        <v>3181</v>
      </c>
      <c r="B2400" s="1" t="s">
        <v>785</v>
      </c>
      <c r="C2400" s="1" t="s">
        <v>81</v>
      </c>
      <c r="D2400" s="1" t="s">
        <v>293</v>
      </c>
      <c r="E2400" s="1" t="s">
        <v>33</v>
      </c>
      <c r="F2400" s="1" t="s">
        <v>293</v>
      </c>
      <c r="G2400" s="1">
        <v>13</v>
      </c>
      <c r="H2400" s="1">
        <v>35495</v>
      </c>
      <c r="I2400" s="1">
        <v>0.05</v>
      </c>
      <c r="J2400" s="1">
        <v>438363.25</v>
      </c>
      <c r="K2400" s="1">
        <v>94143.51</v>
      </c>
      <c r="L2400" s="1" t="s">
        <v>23</v>
      </c>
      <c r="M2400" s="1" t="str">
        <f>TEXT(Table1[[#This Row],[Order Date]],"mmm")</f>
        <v>Apr</v>
      </c>
      <c r="N2400" s="1">
        <f>YEAR(Table1[[#This Row],[Order Date]])</f>
        <v>2023</v>
      </c>
    </row>
    <row r="2401" spans="1:14" x14ac:dyDescent="0.35">
      <c r="A2401" s="1" t="s">
        <v>3182</v>
      </c>
      <c r="B2401" s="1" t="s">
        <v>1361</v>
      </c>
      <c r="C2401" s="1" t="s">
        <v>40</v>
      </c>
      <c r="D2401" s="1" t="s">
        <v>48</v>
      </c>
      <c r="E2401" s="1" t="s">
        <v>16</v>
      </c>
      <c r="F2401" s="1" t="s">
        <v>48</v>
      </c>
      <c r="G2401" s="1">
        <v>1</v>
      </c>
      <c r="H2401" s="1">
        <v>41504</v>
      </c>
      <c r="I2401" s="1">
        <v>0.15</v>
      </c>
      <c r="J2401" s="1">
        <v>35278.400000000001</v>
      </c>
      <c r="K2401" s="1">
        <v>9991.3700000000008</v>
      </c>
      <c r="L2401" s="1" t="s">
        <v>45</v>
      </c>
      <c r="M2401" s="1" t="str">
        <f>TEXT(Table1[[#This Row],[Order Date]],"mmm")</f>
        <v>Apr</v>
      </c>
      <c r="N2401" s="1">
        <f>YEAR(Table1[[#This Row],[Order Date]])</f>
        <v>2023</v>
      </c>
    </row>
    <row r="2402" spans="1:14" x14ac:dyDescent="0.35">
      <c r="A2402" s="1" t="s">
        <v>3183</v>
      </c>
      <c r="B2402" s="1" t="s">
        <v>1747</v>
      </c>
      <c r="C2402" s="1" t="s">
        <v>155</v>
      </c>
      <c r="D2402" s="1" t="s">
        <v>95</v>
      </c>
      <c r="E2402" s="1" t="s">
        <v>33</v>
      </c>
      <c r="F2402" s="1" t="s">
        <v>95</v>
      </c>
      <c r="G2402" s="1">
        <v>8</v>
      </c>
      <c r="H2402" s="1">
        <v>19278</v>
      </c>
      <c r="I2402" s="1">
        <v>0.15</v>
      </c>
      <c r="J2402" s="1">
        <v>131090.4</v>
      </c>
      <c r="K2402" s="1">
        <v>34368.68</v>
      </c>
      <c r="L2402" s="1" t="s">
        <v>70</v>
      </c>
      <c r="M2402" s="1" t="str">
        <f>TEXT(Table1[[#This Row],[Order Date]],"mmm")</f>
        <v>Mar</v>
      </c>
      <c r="N2402" s="1">
        <f>YEAR(Table1[[#This Row],[Order Date]])</f>
        <v>2023</v>
      </c>
    </row>
    <row r="2403" spans="1:14" x14ac:dyDescent="0.35">
      <c r="A2403" s="1" t="s">
        <v>3184</v>
      </c>
      <c r="B2403" s="1" t="s">
        <v>2491</v>
      </c>
      <c r="C2403" s="1" t="s">
        <v>203</v>
      </c>
      <c r="D2403" s="1" t="s">
        <v>37</v>
      </c>
      <c r="E2403" s="1" t="s">
        <v>16</v>
      </c>
      <c r="F2403" s="1" t="s">
        <v>37</v>
      </c>
      <c r="G2403" s="1">
        <v>7</v>
      </c>
      <c r="H2403" s="1">
        <v>36687</v>
      </c>
      <c r="I2403" s="1">
        <v>0.1</v>
      </c>
      <c r="J2403" s="1">
        <v>231128.1</v>
      </c>
      <c r="K2403" s="1">
        <v>31431.58</v>
      </c>
      <c r="L2403" s="1" t="s">
        <v>17</v>
      </c>
      <c r="M2403" s="1" t="str">
        <f>TEXT(Table1[[#This Row],[Order Date]],"mmm")</f>
        <v>Jul</v>
      </c>
      <c r="N2403" s="1">
        <f>YEAR(Table1[[#This Row],[Order Date]])</f>
        <v>2024</v>
      </c>
    </row>
    <row r="2404" spans="1:14" x14ac:dyDescent="0.35">
      <c r="A2404" s="1" t="s">
        <v>3185</v>
      </c>
      <c r="B2404" s="1" t="s">
        <v>106</v>
      </c>
      <c r="C2404" s="1" t="s">
        <v>146</v>
      </c>
      <c r="D2404" s="1" t="s">
        <v>52</v>
      </c>
      <c r="E2404" s="1" t="s">
        <v>28</v>
      </c>
      <c r="F2404" s="1" t="s">
        <v>52</v>
      </c>
      <c r="G2404" s="1">
        <v>7</v>
      </c>
      <c r="H2404" s="1">
        <v>58159</v>
      </c>
      <c r="I2404" s="1">
        <v>0.1</v>
      </c>
      <c r="J2404" s="1">
        <v>366401.7</v>
      </c>
      <c r="K2404" s="1">
        <v>108762.6</v>
      </c>
      <c r="L2404" s="1" t="s">
        <v>17</v>
      </c>
      <c r="M2404" s="1" t="str">
        <f>TEXT(Table1[[#This Row],[Order Date]],"mmm")</f>
        <v>Jun</v>
      </c>
      <c r="N2404" s="1">
        <f>YEAR(Table1[[#This Row],[Order Date]])</f>
        <v>2023</v>
      </c>
    </row>
    <row r="2405" spans="1:14" x14ac:dyDescent="0.35">
      <c r="A2405" s="1" t="s">
        <v>3186</v>
      </c>
      <c r="B2405" s="1" t="s">
        <v>1391</v>
      </c>
      <c r="C2405" s="1" t="s">
        <v>77</v>
      </c>
      <c r="D2405" s="1" t="s">
        <v>44</v>
      </c>
      <c r="E2405" s="1" t="s">
        <v>28</v>
      </c>
      <c r="F2405" s="1" t="s">
        <v>44</v>
      </c>
      <c r="G2405" s="1">
        <v>15</v>
      </c>
      <c r="H2405" s="1">
        <v>11085</v>
      </c>
      <c r="I2405" s="1">
        <v>0</v>
      </c>
      <c r="J2405" s="1">
        <v>166275</v>
      </c>
      <c r="K2405" s="1">
        <v>41720.75</v>
      </c>
      <c r="L2405" s="1" t="s">
        <v>23</v>
      </c>
      <c r="M2405" s="1" t="str">
        <f>TEXT(Table1[[#This Row],[Order Date]],"mmm")</f>
        <v>Sep</v>
      </c>
      <c r="N2405" s="1">
        <f>YEAR(Table1[[#This Row],[Order Date]])</f>
        <v>2023</v>
      </c>
    </row>
    <row r="2406" spans="1:14" x14ac:dyDescent="0.35">
      <c r="A2406" s="1" t="s">
        <v>3187</v>
      </c>
      <c r="B2406" s="1" t="s">
        <v>959</v>
      </c>
      <c r="C2406" s="1" t="s">
        <v>146</v>
      </c>
      <c r="D2406" s="1" t="s">
        <v>32</v>
      </c>
      <c r="E2406" s="1" t="s">
        <v>33</v>
      </c>
      <c r="F2406" s="1" t="s">
        <v>32</v>
      </c>
      <c r="G2406" s="1">
        <v>1</v>
      </c>
      <c r="H2406" s="1">
        <v>15678</v>
      </c>
      <c r="I2406" s="1">
        <v>0</v>
      </c>
      <c r="J2406" s="1">
        <v>15678</v>
      </c>
      <c r="K2406" s="1">
        <v>2392.75</v>
      </c>
      <c r="L2406" s="1" t="s">
        <v>17</v>
      </c>
      <c r="M2406" s="1" t="str">
        <f>TEXT(Table1[[#This Row],[Order Date]],"mmm")</f>
        <v>Oct</v>
      </c>
      <c r="N2406" s="1">
        <f>YEAR(Table1[[#This Row],[Order Date]])</f>
        <v>2023</v>
      </c>
    </row>
    <row r="2407" spans="1:14" x14ac:dyDescent="0.35">
      <c r="A2407" s="1" t="s">
        <v>3188</v>
      </c>
      <c r="B2407" s="1" t="s">
        <v>383</v>
      </c>
      <c r="C2407" s="1" t="s">
        <v>107</v>
      </c>
      <c r="D2407" s="1" t="s">
        <v>60</v>
      </c>
      <c r="E2407" s="1" t="s">
        <v>33</v>
      </c>
      <c r="F2407" s="1" t="s">
        <v>60</v>
      </c>
      <c r="G2407" s="1">
        <v>7</v>
      </c>
      <c r="H2407" s="1">
        <v>41504</v>
      </c>
      <c r="I2407" s="1">
        <v>0.1</v>
      </c>
      <c r="J2407" s="1">
        <v>261475.20000000001</v>
      </c>
      <c r="K2407" s="1">
        <v>54949.88</v>
      </c>
      <c r="L2407" s="1" t="s">
        <v>23</v>
      </c>
      <c r="M2407" s="1" t="str">
        <f>TEXT(Table1[[#This Row],[Order Date]],"mmm")</f>
        <v>Jun</v>
      </c>
      <c r="N2407" s="1">
        <f>YEAR(Table1[[#This Row],[Order Date]])</f>
        <v>2024</v>
      </c>
    </row>
    <row r="2408" spans="1:14" x14ac:dyDescent="0.35">
      <c r="A2408" s="1" t="s">
        <v>3189</v>
      </c>
      <c r="B2408" s="1" t="s">
        <v>580</v>
      </c>
      <c r="C2408" s="1" t="s">
        <v>88</v>
      </c>
      <c r="D2408" s="1" t="s">
        <v>60</v>
      </c>
      <c r="E2408" s="1" t="s">
        <v>33</v>
      </c>
      <c r="F2408" s="1" t="s">
        <v>60</v>
      </c>
      <c r="G2408" s="1">
        <v>4</v>
      </c>
      <c r="H2408" s="1">
        <v>33944</v>
      </c>
      <c r="I2408" s="1">
        <v>0.1</v>
      </c>
      <c r="J2408" s="1">
        <v>122198.39999999999</v>
      </c>
      <c r="K2408" s="1">
        <v>22293.21</v>
      </c>
      <c r="L2408" s="1" t="s">
        <v>45</v>
      </c>
      <c r="M2408" s="1" t="str">
        <f>TEXT(Table1[[#This Row],[Order Date]],"mmm")</f>
        <v>Nov</v>
      </c>
      <c r="N2408" s="1">
        <f>YEAR(Table1[[#This Row],[Order Date]])</f>
        <v>2024</v>
      </c>
    </row>
    <row r="2409" spans="1:14" x14ac:dyDescent="0.35">
      <c r="A2409" s="1" t="s">
        <v>3190</v>
      </c>
      <c r="B2409" s="1" t="s">
        <v>2911</v>
      </c>
      <c r="C2409" s="1" t="s">
        <v>335</v>
      </c>
      <c r="D2409" s="1" t="s">
        <v>41</v>
      </c>
      <c r="E2409" s="1" t="s">
        <v>16</v>
      </c>
      <c r="F2409" s="1" t="s">
        <v>41</v>
      </c>
      <c r="G2409" s="1">
        <v>8</v>
      </c>
      <c r="H2409" s="1">
        <v>12624</v>
      </c>
      <c r="I2409" s="1">
        <v>0.05</v>
      </c>
      <c r="J2409" s="1">
        <v>95942.399999999994</v>
      </c>
      <c r="K2409" s="1">
        <v>28533.18</v>
      </c>
      <c r="L2409" s="1" t="s">
        <v>70</v>
      </c>
      <c r="M2409" s="1" t="str">
        <f>TEXT(Table1[[#This Row],[Order Date]],"mmm")</f>
        <v>Nov</v>
      </c>
      <c r="N2409" s="1">
        <f>YEAR(Table1[[#This Row],[Order Date]])</f>
        <v>2023</v>
      </c>
    </row>
    <row r="2410" spans="1:14" x14ac:dyDescent="0.35">
      <c r="A2410" s="1" t="s">
        <v>3191</v>
      </c>
      <c r="B2410" s="1" t="s">
        <v>889</v>
      </c>
      <c r="C2410" s="1" t="s">
        <v>98</v>
      </c>
      <c r="D2410" s="1" t="s">
        <v>293</v>
      </c>
      <c r="E2410" s="1" t="s">
        <v>33</v>
      </c>
      <c r="F2410" s="1" t="s">
        <v>293</v>
      </c>
      <c r="G2410" s="1">
        <v>14</v>
      </c>
      <c r="H2410" s="1">
        <v>11009</v>
      </c>
      <c r="I2410" s="1">
        <v>0.05</v>
      </c>
      <c r="J2410" s="1">
        <v>146419.70000000001</v>
      </c>
      <c r="K2410" s="1">
        <v>31524.17</v>
      </c>
      <c r="L2410" s="1" t="s">
        <v>23</v>
      </c>
      <c r="M2410" s="1" t="str">
        <f>TEXT(Table1[[#This Row],[Order Date]],"mmm")</f>
        <v>Jul</v>
      </c>
      <c r="N2410" s="1">
        <f>YEAR(Table1[[#This Row],[Order Date]])</f>
        <v>2023</v>
      </c>
    </row>
    <row r="2411" spans="1:14" x14ac:dyDescent="0.35">
      <c r="A2411" s="1" t="s">
        <v>3192</v>
      </c>
      <c r="B2411" s="1" t="s">
        <v>897</v>
      </c>
      <c r="C2411" s="1" t="s">
        <v>208</v>
      </c>
      <c r="D2411" s="1" t="s">
        <v>41</v>
      </c>
      <c r="E2411" s="1" t="s">
        <v>16</v>
      </c>
      <c r="F2411" s="1" t="s">
        <v>41</v>
      </c>
      <c r="G2411" s="1">
        <v>1</v>
      </c>
      <c r="H2411" s="1">
        <v>50657</v>
      </c>
      <c r="I2411" s="1">
        <v>0.2</v>
      </c>
      <c r="J2411" s="1">
        <v>40525.599999999999</v>
      </c>
      <c r="K2411" s="1">
        <v>3606.69</v>
      </c>
      <c r="L2411" s="1" t="s">
        <v>70</v>
      </c>
      <c r="M2411" s="1" t="str">
        <f>TEXT(Table1[[#This Row],[Order Date]],"mmm")</f>
        <v>Dec</v>
      </c>
      <c r="N2411" s="1">
        <f>YEAR(Table1[[#This Row],[Order Date]])</f>
        <v>2023</v>
      </c>
    </row>
    <row r="2412" spans="1:14" x14ac:dyDescent="0.35">
      <c r="A2412" s="1" t="s">
        <v>3193</v>
      </c>
      <c r="B2412" s="1" t="s">
        <v>2890</v>
      </c>
      <c r="C2412" s="1" t="s">
        <v>507</v>
      </c>
      <c r="D2412" s="1" t="s">
        <v>133</v>
      </c>
      <c r="E2412" s="1" t="s">
        <v>22</v>
      </c>
      <c r="F2412" s="1" t="s">
        <v>133</v>
      </c>
      <c r="G2412" s="1">
        <v>8</v>
      </c>
      <c r="H2412" s="1">
        <v>55883</v>
      </c>
      <c r="I2412" s="1">
        <v>0.15</v>
      </c>
      <c r="J2412" s="1">
        <v>380004.4</v>
      </c>
      <c r="K2412" s="1">
        <v>92332.37</v>
      </c>
      <c r="L2412" s="1" t="s">
        <v>17</v>
      </c>
      <c r="M2412" s="1" t="str">
        <f>TEXT(Table1[[#This Row],[Order Date]],"mmm")</f>
        <v>Aug</v>
      </c>
      <c r="N2412" s="1">
        <f>YEAR(Table1[[#This Row],[Order Date]])</f>
        <v>2023</v>
      </c>
    </row>
    <row r="2413" spans="1:14" x14ac:dyDescent="0.35">
      <c r="A2413" s="1" t="s">
        <v>3194</v>
      </c>
      <c r="B2413" s="1" t="s">
        <v>1290</v>
      </c>
      <c r="C2413" s="1" t="s">
        <v>40</v>
      </c>
      <c r="D2413" s="1" t="s">
        <v>37</v>
      </c>
      <c r="E2413" s="1" t="s">
        <v>16</v>
      </c>
      <c r="F2413" s="1" t="s">
        <v>37</v>
      </c>
      <c r="G2413" s="1">
        <v>10</v>
      </c>
      <c r="H2413" s="1">
        <v>1037</v>
      </c>
      <c r="I2413" s="1">
        <v>0.15</v>
      </c>
      <c r="J2413" s="1">
        <v>8814.5</v>
      </c>
      <c r="K2413" s="1">
        <v>1401.1</v>
      </c>
      <c r="L2413" s="1" t="s">
        <v>17</v>
      </c>
      <c r="M2413" s="1" t="str">
        <f>TEXT(Table1[[#This Row],[Order Date]],"mmm")</f>
        <v>Mar</v>
      </c>
      <c r="N2413" s="1">
        <f>YEAR(Table1[[#This Row],[Order Date]])</f>
        <v>2023</v>
      </c>
    </row>
    <row r="2414" spans="1:14" x14ac:dyDescent="0.35">
      <c r="A2414" s="1" t="s">
        <v>3195</v>
      </c>
      <c r="B2414" s="1" t="s">
        <v>2821</v>
      </c>
      <c r="C2414" s="1" t="s">
        <v>335</v>
      </c>
      <c r="D2414" s="1" t="s">
        <v>133</v>
      </c>
      <c r="E2414" s="1" t="s">
        <v>22</v>
      </c>
      <c r="F2414" s="1" t="s">
        <v>133</v>
      </c>
      <c r="G2414" s="1">
        <v>6</v>
      </c>
      <c r="H2414" s="1">
        <v>27483</v>
      </c>
      <c r="I2414" s="1">
        <v>0</v>
      </c>
      <c r="J2414" s="1">
        <v>164898</v>
      </c>
      <c r="K2414" s="1">
        <v>17565.740000000002</v>
      </c>
      <c r="L2414" s="1" t="s">
        <v>17</v>
      </c>
      <c r="M2414" s="1" t="str">
        <f>TEXT(Table1[[#This Row],[Order Date]],"mmm")</f>
        <v>Dec</v>
      </c>
      <c r="N2414" s="1">
        <f>YEAR(Table1[[#This Row],[Order Date]])</f>
        <v>2023</v>
      </c>
    </row>
    <row r="2415" spans="1:14" x14ac:dyDescent="0.35">
      <c r="A2415" s="1" t="s">
        <v>3196</v>
      </c>
      <c r="B2415" s="1" t="s">
        <v>253</v>
      </c>
      <c r="C2415" s="1" t="s">
        <v>332</v>
      </c>
      <c r="D2415" s="1" t="s">
        <v>293</v>
      </c>
      <c r="E2415" s="1" t="s">
        <v>33</v>
      </c>
      <c r="F2415" s="1" t="s">
        <v>293</v>
      </c>
      <c r="G2415" s="1">
        <v>11</v>
      </c>
      <c r="H2415" s="1">
        <v>4705</v>
      </c>
      <c r="I2415" s="1">
        <v>0.05</v>
      </c>
      <c r="J2415" s="1">
        <v>49167.25</v>
      </c>
      <c r="K2415" s="1">
        <v>12938.06</v>
      </c>
      <c r="L2415" s="1" t="s">
        <v>23</v>
      </c>
      <c r="M2415" s="1" t="str">
        <f>TEXT(Table1[[#This Row],[Order Date]],"mmm")</f>
        <v>Apr</v>
      </c>
      <c r="N2415" s="1">
        <f>YEAR(Table1[[#This Row],[Order Date]])</f>
        <v>2024</v>
      </c>
    </row>
    <row r="2416" spans="1:14" x14ac:dyDescent="0.35">
      <c r="A2416" s="1" t="s">
        <v>3197</v>
      </c>
      <c r="B2416" s="1" t="s">
        <v>2178</v>
      </c>
      <c r="C2416" s="1" t="s">
        <v>26</v>
      </c>
      <c r="D2416" s="1" t="s">
        <v>95</v>
      </c>
      <c r="E2416" s="1" t="s">
        <v>33</v>
      </c>
      <c r="F2416" s="1" t="s">
        <v>95</v>
      </c>
      <c r="G2416" s="1">
        <v>1</v>
      </c>
      <c r="H2416" s="1">
        <v>15293</v>
      </c>
      <c r="I2416" s="1">
        <v>0.15</v>
      </c>
      <c r="J2416" s="1">
        <v>12999.05</v>
      </c>
      <c r="K2416" s="1">
        <v>3029.85</v>
      </c>
      <c r="L2416" s="1" t="s">
        <v>17</v>
      </c>
      <c r="M2416" s="1" t="str">
        <f>TEXT(Table1[[#This Row],[Order Date]],"mmm")</f>
        <v>Jul</v>
      </c>
      <c r="N2416" s="1">
        <f>YEAR(Table1[[#This Row],[Order Date]])</f>
        <v>2023</v>
      </c>
    </row>
    <row r="2417" spans="1:14" x14ac:dyDescent="0.35">
      <c r="A2417" s="1" t="s">
        <v>3198</v>
      </c>
      <c r="B2417" s="1" t="s">
        <v>1254</v>
      </c>
      <c r="C2417" s="1" t="s">
        <v>40</v>
      </c>
      <c r="D2417" s="1" t="s">
        <v>323</v>
      </c>
      <c r="E2417" s="1" t="s">
        <v>33</v>
      </c>
      <c r="F2417" s="1" t="s">
        <v>323</v>
      </c>
      <c r="G2417" s="1">
        <v>1</v>
      </c>
      <c r="H2417" s="1">
        <v>51912</v>
      </c>
      <c r="I2417" s="1">
        <v>0.15</v>
      </c>
      <c r="J2417" s="1">
        <v>44125.2</v>
      </c>
      <c r="K2417" s="1">
        <v>5157.78</v>
      </c>
      <c r="L2417" s="1" t="s">
        <v>23</v>
      </c>
      <c r="M2417" s="1" t="str">
        <f>TEXT(Table1[[#This Row],[Order Date]],"mmm")</f>
        <v>Jul</v>
      </c>
      <c r="N2417" s="1">
        <f>YEAR(Table1[[#This Row],[Order Date]])</f>
        <v>2023</v>
      </c>
    </row>
    <row r="2418" spans="1:14" x14ac:dyDescent="0.35">
      <c r="A2418" s="1" t="s">
        <v>3199</v>
      </c>
      <c r="B2418" s="1" t="s">
        <v>172</v>
      </c>
      <c r="C2418" s="1" t="s">
        <v>101</v>
      </c>
      <c r="D2418" s="1" t="s">
        <v>56</v>
      </c>
      <c r="E2418" s="1" t="s">
        <v>22</v>
      </c>
      <c r="F2418" s="1" t="s">
        <v>56</v>
      </c>
      <c r="G2418" s="1">
        <v>7</v>
      </c>
      <c r="H2418" s="1">
        <v>34742</v>
      </c>
      <c r="I2418" s="1">
        <v>0</v>
      </c>
      <c r="J2418" s="1">
        <v>243194</v>
      </c>
      <c r="K2418" s="1">
        <v>43505.81</v>
      </c>
      <c r="L2418" s="1" t="s">
        <v>17</v>
      </c>
      <c r="M2418" s="1" t="str">
        <f>TEXT(Table1[[#This Row],[Order Date]],"mmm")</f>
        <v>Mar</v>
      </c>
      <c r="N2418" s="1">
        <f>YEAR(Table1[[#This Row],[Order Date]])</f>
        <v>2023</v>
      </c>
    </row>
    <row r="2419" spans="1:14" x14ac:dyDescent="0.35">
      <c r="A2419" s="1" t="s">
        <v>3200</v>
      </c>
      <c r="B2419" s="1" t="s">
        <v>265</v>
      </c>
      <c r="C2419" s="1" t="s">
        <v>63</v>
      </c>
      <c r="D2419" s="1" t="s">
        <v>32</v>
      </c>
      <c r="E2419" s="1" t="s">
        <v>33</v>
      </c>
      <c r="F2419" s="1" t="s">
        <v>32</v>
      </c>
      <c r="G2419" s="1">
        <v>6</v>
      </c>
      <c r="H2419" s="1">
        <v>31231</v>
      </c>
      <c r="I2419" s="1">
        <v>0.1</v>
      </c>
      <c r="J2419" s="1">
        <v>168647.4</v>
      </c>
      <c r="K2419" s="1">
        <v>36559.24</v>
      </c>
      <c r="L2419" s="1" t="s">
        <v>70</v>
      </c>
      <c r="M2419" s="1" t="str">
        <f>TEXT(Table1[[#This Row],[Order Date]],"mmm")</f>
        <v>Aug</v>
      </c>
      <c r="N2419" s="1">
        <f>YEAR(Table1[[#This Row],[Order Date]])</f>
        <v>2023</v>
      </c>
    </row>
    <row r="2420" spans="1:14" x14ac:dyDescent="0.35">
      <c r="A2420" s="1" t="s">
        <v>3201</v>
      </c>
      <c r="B2420" s="1" t="s">
        <v>2101</v>
      </c>
      <c r="C2420" s="1" t="s">
        <v>81</v>
      </c>
      <c r="D2420" s="1" t="s">
        <v>27</v>
      </c>
      <c r="E2420" s="1" t="s">
        <v>28</v>
      </c>
      <c r="F2420" s="1" t="s">
        <v>27</v>
      </c>
      <c r="G2420" s="1">
        <v>1</v>
      </c>
      <c r="H2420" s="1">
        <v>45219</v>
      </c>
      <c r="I2420" s="1">
        <v>0.2</v>
      </c>
      <c r="J2420" s="1">
        <v>36175.199999999997</v>
      </c>
      <c r="K2420" s="1">
        <v>7177.4</v>
      </c>
      <c r="L2420" s="1" t="s">
        <v>17</v>
      </c>
      <c r="M2420" s="1" t="str">
        <f>TEXT(Table1[[#This Row],[Order Date]],"mmm")</f>
        <v>Oct</v>
      </c>
      <c r="N2420" s="1">
        <f>YEAR(Table1[[#This Row],[Order Date]])</f>
        <v>2024</v>
      </c>
    </row>
    <row r="2421" spans="1:14" x14ac:dyDescent="0.35">
      <c r="A2421" s="1" t="s">
        <v>3202</v>
      </c>
      <c r="B2421" s="1" t="s">
        <v>543</v>
      </c>
      <c r="C2421" s="1" t="s">
        <v>36</v>
      </c>
      <c r="D2421" s="1" t="s">
        <v>21</v>
      </c>
      <c r="E2421" s="1" t="s">
        <v>22</v>
      </c>
      <c r="F2421" s="1" t="s">
        <v>21</v>
      </c>
      <c r="G2421" s="1">
        <v>1</v>
      </c>
      <c r="H2421" s="1">
        <v>33065</v>
      </c>
      <c r="I2421" s="1">
        <v>0.15</v>
      </c>
      <c r="J2421" s="1">
        <v>28105.25</v>
      </c>
      <c r="K2421" s="1">
        <v>6055.03</v>
      </c>
      <c r="L2421" s="1" t="s">
        <v>70</v>
      </c>
      <c r="M2421" s="1" t="str">
        <f>TEXT(Table1[[#This Row],[Order Date]],"mmm")</f>
        <v>Jun</v>
      </c>
      <c r="N2421" s="1">
        <f>YEAR(Table1[[#This Row],[Order Date]])</f>
        <v>2024</v>
      </c>
    </row>
    <row r="2422" spans="1:14" x14ac:dyDescent="0.35">
      <c r="A2422" s="1" t="s">
        <v>3203</v>
      </c>
      <c r="B2422" s="1" t="s">
        <v>265</v>
      </c>
      <c r="C2422" s="1" t="s">
        <v>507</v>
      </c>
      <c r="D2422" s="1" t="s">
        <v>27</v>
      </c>
      <c r="E2422" s="1" t="s">
        <v>28</v>
      </c>
      <c r="F2422" s="1" t="s">
        <v>27</v>
      </c>
      <c r="G2422" s="1">
        <v>15</v>
      </c>
      <c r="H2422" s="1">
        <v>9106</v>
      </c>
      <c r="I2422" s="1">
        <v>0.1</v>
      </c>
      <c r="J2422" s="1">
        <v>122931</v>
      </c>
      <c r="K2422" s="1">
        <v>33299.71</v>
      </c>
      <c r="L2422" s="1" t="s">
        <v>23</v>
      </c>
      <c r="M2422" s="1" t="str">
        <f>TEXT(Table1[[#This Row],[Order Date]],"mmm")</f>
        <v>Aug</v>
      </c>
      <c r="N2422" s="1">
        <f>YEAR(Table1[[#This Row],[Order Date]])</f>
        <v>2023</v>
      </c>
    </row>
    <row r="2423" spans="1:14" x14ac:dyDescent="0.35">
      <c r="A2423" s="1" t="s">
        <v>3204</v>
      </c>
      <c r="B2423" s="1" t="s">
        <v>1984</v>
      </c>
      <c r="C2423" s="1" t="s">
        <v>349</v>
      </c>
      <c r="D2423" s="1" t="s">
        <v>52</v>
      </c>
      <c r="E2423" s="1" t="s">
        <v>28</v>
      </c>
      <c r="F2423" s="1" t="s">
        <v>52</v>
      </c>
      <c r="G2423" s="1">
        <v>6</v>
      </c>
      <c r="H2423" s="1">
        <v>54995</v>
      </c>
      <c r="I2423" s="1">
        <v>0.2</v>
      </c>
      <c r="J2423" s="1">
        <v>263976</v>
      </c>
      <c r="K2423" s="1">
        <v>41541.980000000003</v>
      </c>
      <c r="L2423" s="1" t="s">
        <v>70</v>
      </c>
      <c r="M2423" s="1" t="str">
        <f>TEXT(Table1[[#This Row],[Order Date]],"mmm")</f>
        <v>May</v>
      </c>
      <c r="N2423" s="1">
        <f>YEAR(Table1[[#This Row],[Order Date]])</f>
        <v>2024</v>
      </c>
    </row>
    <row r="2424" spans="1:14" x14ac:dyDescent="0.35">
      <c r="A2424" s="1" t="s">
        <v>3205</v>
      </c>
      <c r="B2424" s="1" t="s">
        <v>166</v>
      </c>
      <c r="C2424" s="1" t="s">
        <v>335</v>
      </c>
      <c r="D2424" s="1" t="s">
        <v>78</v>
      </c>
      <c r="E2424" s="1" t="s">
        <v>28</v>
      </c>
      <c r="F2424" s="1" t="s">
        <v>78</v>
      </c>
      <c r="G2424" s="1">
        <v>6</v>
      </c>
      <c r="H2424" s="1">
        <v>13801</v>
      </c>
      <c r="I2424" s="1">
        <v>0.15</v>
      </c>
      <c r="J2424" s="1">
        <v>70385.100000000006</v>
      </c>
      <c r="K2424" s="1">
        <v>14811.07</v>
      </c>
      <c r="L2424" s="1" t="s">
        <v>23</v>
      </c>
      <c r="M2424" s="1" t="str">
        <f>TEXT(Table1[[#This Row],[Order Date]],"mmm")</f>
        <v>Jan</v>
      </c>
      <c r="N2424" s="1">
        <f>YEAR(Table1[[#This Row],[Order Date]])</f>
        <v>2024</v>
      </c>
    </row>
    <row r="2425" spans="1:14" x14ac:dyDescent="0.35">
      <c r="A2425" s="1" t="s">
        <v>3206</v>
      </c>
      <c r="B2425" s="1" t="s">
        <v>2017</v>
      </c>
      <c r="C2425" s="1" t="s">
        <v>101</v>
      </c>
      <c r="D2425" s="1" t="s">
        <v>27</v>
      </c>
      <c r="E2425" s="1" t="s">
        <v>28</v>
      </c>
      <c r="F2425" s="1" t="s">
        <v>27</v>
      </c>
      <c r="G2425" s="1">
        <v>6</v>
      </c>
      <c r="H2425" s="1">
        <v>4853</v>
      </c>
      <c r="I2425" s="1">
        <v>0.15</v>
      </c>
      <c r="J2425" s="1">
        <v>24750.3</v>
      </c>
      <c r="K2425" s="1">
        <v>7408.83</v>
      </c>
      <c r="L2425" s="1" t="s">
        <v>45</v>
      </c>
      <c r="M2425" s="1" t="str">
        <f>TEXT(Table1[[#This Row],[Order Date]],"mmm")</f>
        <v>Sep</v>
      </c>
      <c r="N2425" s="1">
        <f>YEAR(Table1[[#This Row],[Order Date]])</f>
        <v>2024</v>
      </c>
    </row>
    <row r="2426" spans="1:14" x14ac:dyDescent="0.35">
      <c r="A2426" s="1" t="s">
        <v>3207</v>
      </c>
      <c r="B2426" s="1" t="s">
        <v>831</v>
      </c>
      <c r="C2426" s="1" t="s">
        <v>136</v>
      </c>
      <c r="D2426" s="1" t="s">
        <v>64</v>
      </c>
      <c r="E2426" s="1" t="s">
        <v>33</v>
      </c>
      <c r="F2426" s="1" t="s">
        <v>64</v>
      </c>
      <c r="G2426" s="1">
        <v>3</v>
      </c>
      <c r="H2426" s="1">
        <v>11586</v>
      </c>
      <c r="I2426" s="1">
        <v>0.2</v>
      </c>
      <c r="J2426" s="1">
        <v>27806.400000000001</v>
      </c>
      <c r="K2426" s="1">
        <v>5391.21</v>
      </c>
      <c r="L2426" s="1" t="s">
        <v>45</v>
      </c>
      <c r="M2426" s="1" t="str">
        <f>TEXT(Table1[[#This Row],[Order Date]],"mmm")</f>
        <v>Jun</v>
      </c>
      <c r="N2426" s="1">
        <f>YEAR(Table1[[#This Row],[Order Date]])</f>
        <v>2024</v>
      </c>
    </row>
    <row r="2427" spans="1:14" x14ac:dyDescent="0.35">
      <c r="A2427" s="1" t="s">
        <v>3208</v>
      </c>
      <c r="B2427" s="1" t="s">
        <v>299</v>
      </c>
      <c r="C2427" s="1" t="s">
        <v>107</v>
      </c>
      <c r="D2427" s="1" t="s">
        <v>167</v>
      </c>
      <c r="E2427" s="1" t="s">
        <v>16</v>
      </c>
      <c r="F2427" s="1" t="s">
        <v>167</v>
      </c>
      <c r="G2427" s="1">
        <v>5</v>
      </c>
      <c r="H2427" s="1">
        <v>26252</v>
      </c>
      <c r="I2427" s="1">
        <v>0.2</v>
      </c>
      <c r="J2427" s="1">
        <v>105008</v>
      </c>
      <c r="K2427" s="1">
        <v>20940.919999999998</v>
      </c>
      <c r="L2427" s="1" t="s">
        <v>45</v>
      </c>
      <c r="M2427" s="1" t="str">
        <f>TEXT(Table1[[#This Row],[Order Date]],"mmm")</f>
        <v>May</v>
      </c>
      <c r="N2427" s="1">
        <f>YEAR(Table1[[#This Row],[Order Date]])</f>
        <v>2023</v>
      </c>
    </row>
    <row r="2428" spans="1:14" x14ac:dyDescent="0.35">
      <c r="A2428" s="1" t="s">
        <v>3209</v>
      </c>
      <c r="B2428" s="1" t="s">
        <v>2243</v>
      </c>
      <c r="C2428" s="1" t="s">
        <v>94</v>
      </c>
      <c r="D2428" s="1" t="s">
        <v>137</v>
      </c>
      <c r="E2428" s="1" t="s">
        <v>22</v>
      </c>
      <c r="F2428" s="1" t="s">
        <v>137</v>
      </c>
      <c r="G2428" s="1">
        <v>6</v>
      </c>
      <c r="H2428" s="1">
        <v>9808</v>
      </c>
      <c r="I2428" s="1">
        <v>0.2</v>
      </c>
      <c r="J2428" s="1">
        <v>47078.400000000001</v>
      </c>
      <c r="K2428" s="1">
        <v>9695.57</v>
      </c>
      <c r="L2428" s="1" t="s">
        <v>45</v>
      </c>
      <c r="M2428" s="1" t="str">
        <f>TEXT(Table1[[#This Row],[Order Date]],"mmm")</f>
        <v>May</v>
      </c>
      <c r="N2428" s="1">
        <f>YEAR(Table1[[#This Row],[Order Date]])</f>
        <v>2023</v>
      </c>
    </row>
    <row r="2429" spans="1:14" x14ac:dyDescent="0.35">
      <c r="A2429" s="1" t="s">
        <v>3210</v>
      </c>
      <c r="B2429" s="1" t="s">
        <v>2667</v>
      </c>
      <c r="C2429" s="1" t="s">
        <v>77</v>
      </c>
      <c r="D2429" s="1" t="s">
        <v>108</v>
      </c>
      <c r="E2429" s="1" t="s">
        <v>22</v>
      </c>
      <c r="F2429" s="1" t="s">
        <v>108</v>
      </c>
      <c r="G2429" s="1">
        <v>5</v>
      </c>
      <c r="H2429" s="1">
        <v>24364</v>
      </c>
      <c r="I2429" s="1">
        <v>0.2</v>
      </c>
      <c r="J2429" s="1">
        <v>97456</v>
      </c>
      <c r="K2429" s="1">
        <v>25627.64</v>
      </c>
      <c r="L2429" s="1" t="s">
        <v>17</v>
      </c>
      <c r="M2429" s="1" t="str">
        <f>TEXT(Table1[[#This Row],[Order Date]],"mmm")</f>
        <v>Jul</v>
      </c>
      <c r="N2429" s="1">
        <f>YEAR(Table1[[#This Row],[Order Date]])</f>
        <v>2023</v>
      </c>
    </row>
    <row r="2430" spans="1:14" x14ac:dyDescent="0.35">
      <c r="A2430" s="1" t="s">
        <v>3211</v>
      </c>
      <c r="B2430" s="1" t="s">
        <v>1716</v>
      </c>
      <c r="C2430" s="1" t="s">
        <v>349</v>
      </c>
      <c r="D2430" s="1" t="s">
        <v>64</v>
      </c>
      <c r="E2430" s="1" t="s">
        <v>33</v>
      </c>
      <c r="F2430" s="1" t="s">
        <v>64</v>
      </c>
      <c r="G2430" s="1">
        <v>6</v>
      </c>
      <c r="H2430" s="1">
        <v>36216</v>
      </c>
      <c r="I2430" s="1">
        <v>0.05</v>
      </c>
      <c r="J2430" s="1">
        <v>206431.2</v>
      </c>
      <c r="K2430" s="1">
        <v>45074.38</v>
      </c>
      <c r="L2430" s="1" t="s">
        <v>70</v>
      </c>
      <c r="M2430" s="1" t="str">
        <f>TEXT(Table1[[#This Row],[Order Date]],"mmm")</f>
        <v>Jul</v>
      </c>
      <c r="N2430" s="1">
        <f>YEAR(Table1[[#This Row],[Order Date]])</f>
        <v>2024</v>
      </c>
    </row>
    <row r="2431" spans="1:14" x14ac:dyDescent="0.35">
      <c r="A2431" s="1" t="s">
        <v>3212</v>
      </c>
      <c r="B2431" s="1" t="s">
        <v>1440</v>
      </c>
      <c r="C2431" s="1" t="s">
        <v>98</v>
      </c>
      <c r="D2431" s="1" t="s">
        <v>323</v>
      </c>
      <c r="E2431" s="1" t="s">
        <v>33</v>
      </c>
      <c r="F2431" s="1" t="s">
        <v>323</v>
      </c>
      <c r="G2431" s="1">
        <v>5</v>
      </c>
      <c r="H2431" s="1">
        <v>33048</v>
      </c>
      <c r="I2431" s="1">
        <v>0</v>
      </c>
      <c r="J2431" s="1">
        <v>165240</v>
      </c>
      <c r="K2431" s="1">
        <v>32406.26</v>
      </c>
      <c r="L2431" s="1" t="s">
        <v>45</v>
      </c>
      <c r="M2431" s="1" t="str">
        <f>TEXT(Table1[[#This Row],[Order Date]],"mmm")</f>
        <v>Mar</v>
      </c>
      <c r="N2431" s="1">
        <f>YEAR(Table1[[#This Row],[Order Date]])</f>
        <v>2023</v>
      </c>
    </row>
    <row r="2432" spans="1:14" x14ac:dyDescent="0.35">
      <c r="A2432" s="1" t="s">
        <v>3213</v>
      </c>
      <c r="B2432" s="1" t="s">
        <v>2247</v>
      </c>
      <c r="C2432" s="1" t="s">
        <v>140</v>
      </c>
      <c r="D2432" s="1" t="s">
        <v>27</v>
      </c>
      <c r="E2432" s="1" t="s">
        <v>28</v>
      </c>
      <c r="F2432" s="1" t="s">
        <v>27</v>
      </c>
      <c r="G2432" s="1">
        <v>8</v>
      </c>
      <c r="H2432" s="1">
        <v>8929</v>
      </c>
      <c r="I2432" s="1">
        <v>0.2</v>
      </c>
      <c r="J2432" s="1">
        <v>57145.599999999999</v>
      </c>
      <c r="K2432" s="1">
        <v>10998.25</v>
      </c>
      <c r="L2432" s="1" t="s">
        <v>70</v>
      </c>
      <c r="M2432" s="1" t="str">
        <f>TEXT(Table1[[#This Row],[Order Date]],"mmm")</f>
        <v>Apr</v>
      </c>
      <c r="N2432" s="1">
        <f>YEAR(Table1[[#This Row],[Order Date]])</f>
        <v>2024</v>
      </c>
    </row>
    <row r="2433" spans="1:14" x14ac:dyDescent="0.35">
      <c r="A2433" s="1" t="s">
        <v>3214</v>
      </c>
      <c r="B2433" s="1" t="s">
        <v>1322</v>
      </c>
      <c r="C2433" s="1" t="s">
        <v>125</v>
      </c>
      <c r="D2433" s="1" t="s">
        <v>179</v>
      </c>
      <c r="E2433" s="1" t="s">
        <v>28</v>
      </c>
      <c r="F2433" s="1" t="s">
        <v>179</v>
      </c>
      <c r="G2433" s="1">
        <v>8</v>
      </c>
      <c r="H2433" s="1">
        <v>51516</v>
      </c>
      <c r="I2433" s="1">
        <v>0.15</v>
      </c>
      <c r="J2433" s="1">
        <v>350308.8</v>
      </c>
      <c r="K2433" s="1">
        <v>67014.710000000006</v>
      </c>
      <c r="L2433" s="1" t="s">
        <v>17</v>
      </c>
      <c r="M2433" s="1" t="str">
        <f>TEXT(Table1[[#This Row],[Order Date]],"mmm")</f>
        <v>Sep</v>
      </c>
      <c r="N2433" s="1">
        <f>YEAR(Table1[[#This Row],[Order Date]])</f>
        <v>2023</v>
      </c>
    </row>
    <row r="2434" spans="1:14" x14ac:dyDescent="0.35">
      <c r="A2434" s="1" t="s">
        <v>3215</v>
      </c>
      <c r="B2434" s="1" t="s">
        <v>1220</v>
      </c>
      <c r="C2434" s="1" t="s">
        <v>140</v>
      </c>
      <c r="D2434" s="1" t="s">
        <v>179</v>
      </c>
      <c r="E2434" s="1" t="s">
        <v>28</v>
      </c>
      <c r="F2434" s="1" t="s">
        <v>179</v>
      </c>
      <c r="G2434" s="1">
        <v>11</v>
      </c>
      <c r="H2434" s="1">
        <v>8689</v>
      </c>
      <c r="I2434" s="1">
        <v>0</v>
      </c>
      <c r="J2434" s="1">
        <v>95579</v>
      </c>
      <c r="K2434" s="1">
        <v>18834.02</v>
      </c>
      <c r="L2434" s="1" t="s">
        <v>23</v>
      </c>
      <c r="M2434" s="1" t="str">
        <f>TEXT(Table1[[#This Row],[Order Date]],"mmm")</f>
        <v>Oct</v>
      </c>
      <c r="N2434" s="1">
        <f>YEAR(Table1[[#This Row],[Order Date]])</f>
        <v>2024</v>
      </c>
    </row>
    <row r="2435" spans="1:14" x14ac:dyDescent="0.35">
      <c r="A2435" s="1" t="s">
        <v>3216</v>
      </c>
      <c r="B2435" s="1" t="s">
        <v>3000</v>
      </c>
      <c r="C2435" s="1" t="s">
        <v>162</v>
      </c>
      <c r="D2435" s="1" t="s">
        <v>44</v>
      </c>
      <c r="E2435" s="1" t="s">
        <v>28</v>
      </c>
      <c r="F2435" s="1" t="s">
        <v>44</v>
      </c>
      <c r="G2435" s="1">
        <v>7</v>
      </c>
      <c r="H2435" s="1">
        <v>15057</v>
      </c>
      <c r="I2435" s="1">
        <v>0.15</v>
      </c>
      <c r="J2435" s="1">
        <v>89589.15</v>
      </c>
      <c r="K2435" s="1">
        <v>8502.23</v>
      </c>
      <c r="L2435" s="1" t="s">
        <v>45</v>
      </c>
      <c r="M2435" s="1" t="str">
        <f>TEXT(Table1[[#This Row],[Order Date]],"mmm")</f>
        <v>Mar</v>
      </c>
      <c r="N2435" s="1">
        <f>YEAR(Table1[[#This Row],[Order Date]])</f>
        <v>2024</v>
      </c>
    </row>
    <row r="2436" spans="1:14" x14ac:dyDescent="0.35">
      <c r="A2436" s="1" t="s">
        <v>3217</v>
      </c>
      <c r="B2436" s="1" t="s">
        <v>353</v>
      </c>
      <c r="C2436" s="1" t="s">
        <v>111</v>
      </c>
      <c r="D2436" s="1" t="s">
        <v>179</v>
      </c>
      <c r="E2436" s="1" t="s">
        <v>28</v>
      </c>
      <c r="F2436" s="1" t="s">
        <v>179</v>
      </c>
      <c r="G2436" s="1">
        <v>8</v>
      </c>
      <c r="H2436" s="1">
        <v>36326</v>
      </c>
      <c r="I2436" s="1">
        <v>0.15</v>
      </c>
      <c r="J2436" s="1">
        <v>247016.8</v>
      </c>
      <c r="K2436" s="1">
        <v>73301.42</v>
      </c>
      <c r="L2436" s="1" t="s">
        <v>45</v>
      </c>
      <c r="M2436" s="1" t="str">
        <f>TEXT(Table1[[#This Row],[Order Date]],"mmm")</f>
        <v>Apr</v>
      </c>
      <c r="N2436" s="1">
        <f>YEAR(Table1[[#This Row],[Order Date]])</f>
        <v>2024</v>
      </c>
    </row>
    <row r="2437" spans="1:14" x14ac:dyDescent="0.35">
      <c r="A2437" s="1" t="s">
        <v>3218</v>
      </c>
      <c r="B2437" s="1" t="s">
        <v>1878</v>
      </c>
      <c r="C2437" s="1" t="s">
        <v>104</v>
      </c>
      <c r="D2437" s="1" t="s">
        <v>27</v>
      </c>
      <c r="E2437" s="1" t="s">
        <v>28</v>
      </c>
      <c r="F2437" s="1" t="s">
        <v>27</v>
      </c>
      <c r="G2437" s="1">
        <v>4</v>
      </c>
      <c r="H2437" s="1">
        <v>16078</v>
      </c>
      <c r="I2437" s="1">
        <v>0.2</v>
      </c>
      <c r="J2437" s="1">
        <v>51449.599999999999</v>
      </c>
      <c r="K2437" s="1">
        <v>4838.17</v>
      </c>
      <c r="L2437" s="1" t="s">
        <v>70</v>
      </c>
      <c r="M2437" s="1" t="str">
        <f>TEXT(Table1[[#This Row],[Order Date]],"mmm")</f>
        <v>Jun</v>
      </c>
      <c r="N2437" s="1">
        <f>YEAR(Table1[[#This Row],[Order Date]])</f>
        <v>2024</v>
      </c>
    </row>
    <row r="2438" spans="1:14" x14ac:dyDescent="0.35">
      <c r="A2438" s="1" t="s">
        <v>3219</v>
      </c>
      <c r="B2438" s="1" t="s">
        <v>2000</v>
      </c>
      <c r="C2438" s="1" t="s">
        <v>84</v>
      </c>
      <c r="D2438" s="1" t="s">
        <v>323</v>
      </c>
      <c r="E2438" s="1" t="s">
        <v>33</v>
      </c>
      <c r="F2438" s="1" t="s">
        <v>323</v>
      </c>
      <c r="G2438" s="1">
        <v>14</v>
      </c>
      <c r="H2438" s="1">
        <v>14087</v>
      </c>
      <c r="I2438" s="1">
        <v>0.2</v>
      </c>
      <c r="J2438" s="1">
        <v>157774.39999999999</v>
      </c>
      <c r="K2438" s="1">
        <v>12922.77</v>
      </c>
      <c r="L2438" s="1" t="s">
        <v>45</v>
      </c>
      <c r="M2438" s="1" t="str">
        <f>TEXT(Table1[[#This Row],[Order Date]],"mmm")</f>
        <v>Sep</v>
      </c>
      <c r="N2438" s="1">
        <f>YEAR(Table1[[#This Row],[Order Date]])</f>
        <v>2024</v>
      </c>
    </row>
    <row r="2439" spans="1:14" x14ac:dyDescent="0.35">
      <c r="A2439" s="1" t="s">
        <v>3220</v>
      </c>
      <c r="B2439" s="1" t="s">
        <v>850</v>
      </c>
      <c r="C2439" s="1" t="s">
        <v>255</v>
      </c>
      <c r="D2439" s="1" t="s">
        <v>108</v>
      </c>
      <c r="E2439" s="1" t="s">
        <v>22</v>
      </c>
      <c r="F2439" s="1" t="s">
        <v>108</v>
      </c>
      <c r="G2439" s="1">
        <v>8</v>
      </c>
      <c r="H2439" s="1">
        <v>31275</v>
      </c>
      <c r="I2439" s="1">
        <v>0.2</v>
      </c>
      <c r="J2439" s="1">
        <v>200160</v>
      </c>
      <c r="K2439" s="1">
        <v>36626.620000000003</v>
      </c>
      <c r="L2439" s="1" t="s">
        <v>23</v>
      </c>
      <c r="M2439" s="1" t="str">
        <f>TEXT(Table1[[#This Row],[Order Date]],"mmm")</f>
        <v>May</v>
      </c>
      <c r="N2439" s="1">
        <f>YEAR(Table1[[#This Row],[Order Date]])</f>
        <v>2024</v>
      </c>
    </row>
    <row r="2440" spans="1:14" x14ac:dyDescent="0.35">
      <c r="A2440" s="1" t="s">
        <v>3221</v>
      </c>
      <c r="B2440" s="1" t="s">
        <v>827</v>
      </c>
      <c r="C2440" s="1" t="s">
        <v>84</v>
      </c>
      <c r="D2440" s="1" t="s">
        <v>74</v>
      </c>
      <c r="E2440" s="1" t="s">
        <v>22</v>
      </c>
      <c r="F2440" s="1" t="s">
        <v>74</v>
      </c>
      <c r="G2440" s="1">
        <v>9</v>
      </c>
      <c r="H2440" s="1">
        <v>39762</v>
      </c>
      <c r="I2440" s="1">
        <v>0.15</v>
      </c>
      <c r="J2440" s="1">
        <v>304179.3</v>
      </c>
      <c r="K2440" s="1">
        <v>47611.87</v>
      </c>
      <c r="L2440" s="1" t="s">
        <v>45</v>
      </c>
      <c r="M2440" s="1" t="str">
        <f>TEXT(Table1[[#This Row],[Order Date]],"mmm")</f>
        <v>Jan</v>
      </c>
      <c r="N2440" s="1">
        <f>YEAR(Table1[[#This Row],[Order Date]])</f>
        <v>2023</v>
      </c>
    </row>
    <row r="2441" spans="1:14" x14ac:dyDescent="0.35">
      <c r="A2441" s="1" t="s">
        <v>3222</v>
      </c>
      <c r="B2441" s="1" t="s">
        <v>177</v>
      </c>
      <c r="C2441" s="1" t="s">
        <v>117</v>
      </c>
      <c r="D2441" s="1" t="s">
        <v>179</v>
      </c>
      <c r="E2441" s="1" t="s">
        <v>28</v>
      </c>
      <c r="F2441" s="1" t="s">
        <v>179</v>
      </c>
      <c r="G2441" s="1">
        <v>3</v>
      </c>
      <c r="H2441" s="1">
        <v>59273</v>
      </c>
      <c r="I2441" s="1">
        <v>0.1</v>
      </c>
      <c r="J2441" s="1">
        <v>160037.1</v>
      </c>
      <c r="K2441" s="1">
        <v>25240.29</v>
      </c>
      <c r="L2441" s="1" t="s">
        <v>70</v>
      </c>
      <c r="M2441" s="1" t="str">
        <f>TEXT(Table1[[#This Row],[Order Date]],"mmm")</f>
        <v>Jun</v>
      </c>
      <c r="N2441" s="1">
        <f>YEAR(Table1[[#This Row],[Order Date]])</f>
        <v>2023</v>
      </c>
    </row>
    <row r="2442" spans="1:14" x14ac:dyDescent="0.35">
      <c r="A2442" s="1" t="s">
        <v>3223</v>
      </c>
      <c r="B2442" s="1" t="s">
        <v>1658</v>
      </c>
      <c r="C2442" s="1" t="s">
        <v>128</v>
      </c>
      <c r="D2442" s="1" t="s">
        <v>323</v>
      </c>
      <c r="E2442" s="1" t="s">
        <v>33</v>
      </c>
      <c r="F2442" s="1" t="s">
        <v>323</v>
      </c>
      <c r="G2442" s="1">
        <v>4</v>
      </c>
      <c r="H2442" s="1">
        <v>10228</v>
      </c>
      <c r="I2442" s="1">
        <v>0.15</v>
      </c>
      <c r="J2442" s="1">
        <v>34775.199999999997</v>
      </c>
      <c r="K2442" s="1">
        <v>6873.96</v>
      </c>
      <c r="L2442" s="1" t="s">
        <v>70</v>
      </c>
      <c r="M2442" s="1" t="str">
        <f>TEXT(Table1[[#This Row],[Order Date]],"mmm")</f>
        <v>Sep</v>
      </c>
      <c r="N2442" s="1">
        <f>YEAR(Table1[[#This Row],[Order Date]])</f>
        <v>2024</v>
      </c>
    </row>
    <row r="2443" spans="1:14" x14ac:dyDescent="0.35">
      <c r="A2443" s="1" t="s">
        <v>3224</v>
      </c>
      <c r="B2443" s="1" t="s">
        <v>217</v>
      </c>
      <c r="C2443" s="1" t="s">
        <v>200</v>
      </c>
      <c r="D2443" s="1" t="s">
        <v>15</v>
      </c>
      <c r="E2443" s="1" t="s">
        <v>16</v>
      </c>
      <c r="F2443" s="1" t="s">
        <v>15</v>
      </c>
      <c r="G2443" s="1">
        <v>14</v>
      </c>
      <c r="H2443" s="1">
        <v>11710</v>
      </c>
      <c r="I2443" s="1">
        <v>0.05</v>
      </c>
      <c r="J2443" s="1">
        <v>155743</v>
      </c>
      <c r="K2443" s="1">
        <v>22500.35</v>
      </c>
      <c r="L2443" s="1" t="s">
        <v>70</v>
      </c>
      <c r="M2443" s="1" t="str">
        <f>TEXT(Table1[[#This Row],[Order Date]],"mmm")</f>
        <v>Sep</v>
      </c>
      <c r="N2443" s="1">
        <f>YEAR(Table1[[#This Row],[Order Date]])</f>
        <v>2023</v>
      </c>
    </row>
    <row r="2444" spans="1:14" x14ac:dyDescent="0.35">
      <c r="A2444" s="1" t="s">
        <v>3225</v>
      </c>
      <c r="B2444" s="1" t="s">
        <v>2194</v>
      </c>
      <c r="C2444" s="1" t="s">
        <v>203</v>
      </c>
      <c r="D2444" s="1" t="s">
        <v>137</v>
      </c>
      <c r="E2444" s="1" t="s">
        <v>22</v>
      </c>
      <c r="F2444" s="1" t="s">
        <v>137</v>
      </c>
      <c r="G2444" s="1">
        <v>13</v>
      </c>
      <c r="H2444" s="1">
        <v>44025</v>
      </c>
      <c r="I2444" s="1">
        <v>0.15</v>
      </c>
      <c r="J2444" s="1">
        <v>486476.25</v>
      </c>
      <c r="K2444" s="1">
        <v>96669.89</v>
      </c>
      <c r="L2444" s="1" t="s">
        <v>70</v>
      </c>
      <c r="M2444" s="1" t="str">
        <f>TEXT(Table1[[#This Row],[Order Date]],"mmm")</f>
        <v>Oct</v>
      </c>
      <c r="N2444" s="1">
        <f>YEAR(Table1[[#This Row],[Order Date]])</f>
        <v>2024</v>
      </c>
    </row>
    <row r="2445" spans="1:14" x14ac:dyDescent="0.35">
      <c r="A2445" s="1" t="s">
        <v>3226</v>
      </c>
      <c r="B2445" s="1" t="s">
        <v>1346</v>
      </c>
      <c r="C2445" s="1" t="s">
        <v>81</v>
      </c>
      <c r="D2445" s="1" t="s">
        <v>293</v>
      </c>
      <c r="E2445" s="1" t="s">
        <v>33</v>
      </c>
      <c r="F2445" s="1" t="s">
        <v>293</v>
      </c>
      <c r="G2445" s="1">
        <v>15</v>
      </c>
      <c r="H2445" s="1">
        <v>39740</v>
      </c>
      <c r="I2445" s="1">
        <v>0.1</v>
      </c>
      <c r="J2445" s="1">
        <v>536490</v>
      </c>
      <c r="K2445" s="1">
        <v>116900.33</v>
      </c>
      <c r="L2445" s="1" t="s">
        <v>70</v>
      </c>
      <c r="M2445" s="1" t="str">
        <f>TEXT(Table1[[#This Row],[Order Date]],"mmm")</f>
        <v>Aug</v>
      </c>
      <c r="N2445" s="1">
        <f>YEAR(Table1[[#This Row],[Order Date]])</f>
        <v>2023</v>
      </c>
    </row>
    <row r="2446" spans="1:14" x14ac:dyDescent="0.35">
      <c r="A2446" s="1" t="s">
        <v>3227</v>
      </c>
      <c r="B2446" s="1" t="s">
        <v>575</v>
      </c>
      <c r="C2446" s="1" t="s">
        <v>51</v>
      </c>
      <c r="D2446" s="1" t="s">
        <v>114</v>
      </c>
      <c r="E2446" s="1" t="s">
        <v>16</v>
      </c>
      <c r="F2446" s="1" t="s">
        <v>114</v>
      </c>
      <c r="G2446" s="1">
        <v>3</v>
      </c>
      <c r="H2446" s="1">
        <v>5553</v>
      </c>
      <c r="I2446" s="1">
        <v>0.05</v>
      </c>
      <c r="J2446" s="1">
        <v>15826.05</v>
      </c>
      <c r="K2446" s="1">
        <v>2087.15</v>
      </c>
      <c r="L2446" s="1" t="s">
        <v>17</v>
      </c>
      <c r="M2446" s="1" t="str">
        <f>TEXT(Table1[[#This Row],[Order Date]],"mmm")</f>
        <v>Jul</v>
      </c>
      <c r="N2446" s="1">
        <f>YEAR(Table1[[#This Row],[Order Date]])</f>
        <v>2024</v>
      </c>
    </row>
    <row r="2447" spans="1:14" x14ac:dyDescent="0.35">
      <c r="A2447" s="1" t="s">
        <v>3228</v>
      </c>
      <c r="B2447" s="1" t="s">
        <v>843</v>
      </c>
      <c r="C2447" s="1" t="s">
        <v>208</v>
      </c>
      <c r="D2447" s="1" t="s">
        <v>52</v>
      </c>
      <c r="E2447" s="1" t="s">
        <v>28</v>
      </c>
      <c r="F2447" s="1" t="s">
        <v>52</v>
      </c>
      <c r="G2447" s="1">
        <v>7</v>
      </c>
      <c r="H2447" s="1">
        <v>6406</v>
      </c>
      <c r="I2447" s="1">
        <v>0.1</v>
      </c>
      <c r="J2447" s="1">
        <v>40357.800000000003</v>
      </c>
      <c r="K2447" s="1">
        <v>10852.77</v>
      </c>
      <c r="L2447" s="1" t="s">
        <v>23</v>
      </c>
      <c r="M2447" s="1" t="str">
        <f>TEXT(Table1[[#This Row],[Order Date]],"mmm")</f>
        <v>Feb</v>
      </c>
      <c r="N2447" s="1">
        <f>YEAR(Table1[[#This Row],[Order Date]])</f>
        <v>2023</v>
      </c>
    </row>
    <row r="2448" spans="1:14" x14ac:dyDescent="0.35">
      <c r="A2448" s="1" t="s">
        <v>3229</v>
      </c>
      <c r="B2448" s="1" t="s">
        <v>770</v>
      </c>
      <c r="C2448" s="1" t="s">
        <v>335</v>
      </c>
      <c r="D2448" s="1" t="s">
        <v>108</v>
      </c>
      <c r="E2448" s="1" t="s">
        <v>22</v>
      </c>
      <c r="F2448" s="1" t="s">
        <v>108</v>
      </c>
      <c r="G2448" s="1">
        <v>13</v>
      </c>
      <c r="H2448" s="1">
        <v>43463</v>
      </c>
      <c r="I2448" s="1">
        <v>0.2</v>
      </c>
      <c r="J2448" s="1">
        <v>452015.2</v>
      </c>
      <c r="K2448" s="1">
        <v>130110.19</v>
      </c>
      <c r="L2448" s="1" t="s">
        <v>70</v>
      </c>
      <c r="M2448" s="1" t="str">
        <f>TEXT(Table1[[#This Row],[Order Date]],"mmm")</f>
        <v>Feb</v>
      </c>
      <c r="N2448" s="1">
        <f>YEAR(Table1[[#This Row],[Order Date]])</f>
        <v>2024</v>
      </c>
    </row>
    <row r="2449" spans="1:14" x14ac:dyDescent="0.35">
      <c r="A2449" s="1" t="s">
        <v>3230</v>
      </c>
      <c r="B2449" s="1" t="s">
        <v>1090</v>
      </c>
      <c r="C2449" s="1" t="s">
        <v>260</v>
      </c>
      <c r="D2449" s="1" t="s">
        <v>27</v>
      </c>
      <c r="E2449" s="1" t="s">
        <v>28</v>
      </c>
      <c r="F2449" s="1" t="s">
        <v>27</v>
      </c>
      <c r="G2449" s="1">
        <v>15</v>
      </c>
      <c r="H2449" s="1">
        <v>55944</v>
      </c>
      <c r="I2449" s="1">
        <v>0</v>
      </c>
      <c r="J2449" s="1">
        <v>839160</v>
      </c>
      <c r="K2449" s="1">
        <v>69241.539999999994</v>
      </c>
      <c r="L2449" s="1" t="s">
        <v>45</v>
      </c>
      <c r="M2449" s="1" t="str">
        <f>TEXT(Table1[[#This Row],[Order Date]],"mmm")</f>
        <v>Feb</v>
      </c>
      <c r="N2449" s="1">
        <f>YEAR(Table1[[#This Row],[Order Date]])</f>
        <v>2024</v>
      </c>
    </row>
    <row r="2450" spans="1:14" x14ac:dyDescent="0.35">
      <c r="A2450" s="1" t="s">
        <v>3231</v>
      </c>
      <c r="B2450" s="1" t="s">
        <v>145</v>
      </c>
      <c r="C2450" s="1" t="s">
        <v>128</v>
      </c>
      <c r="D2450" s="1" t="s">
        <v>108</v>
      </c>
      <c r="E2450" s="1" t="s">
        <v>22</v>
      </c>
      <c r="F2450" s="1" t="s">
        <v>108</v>
      </c>
      <c r="G2450" s="1">
        <v>11</v>
      </c>
      <c r="H2450" s="1">
        <v>19041</v>
      </c>
      <c r="I2450" s="1">
        <v>0.2</v>
      </c>
      <c r="J2450" s="1">
        <v>167560.79999999999</v>
      </c>
      <c r="K2450" s="1">
        <v>29410.55</v>
      </c>
      <c r="L2450" s="1" t="s">
        <v>17</v>
      </c>
      <c r="M2450" s="1" t="str">
        <f>TEXT(Table1[[#This Row],[Order Date]],"mmm")</f>
        <v>Sep</v>
      </c>
      <c r="N2450" s="1">
        <f>YEAR(Table1[[#This Row],[Order Date]])</f>
        <v>2024</v>
      </c>
    </row>
    <row r="2451" spans="1:14" x14ac:dyDescent="0.35">
      <c r="A2451" s="1" t="s">
        <v>3232</v>
      </c>
      <c r="B2451" s="1" t="s">
        <v>952</v>
      </c>
      <c r="C2451" s="1" t="s">
        <v>349</v>
      </c>
      <c r="D2451" s="1" t="s">
        <v>78</v>
      </c>
      <c r="E2451" s="1" t="s">
        <v>28</v>
      </c>
      <c r="F2451" s="1" t="s">
        <v>78</v>
      </c>
      <c r="G2451" s="1">
        <v>15</v>
      </c>
      <c r="H2451" s="1">
        <v>33169</v>
      </c>
      <c r="I2451" s="1">
        <v>0</v>
      </c>
      <c r="J2451" s="1">
        <v>497535</v>
      </c>
      <c r="K2451" s="1">
        <v>120863.62</v>
      </c>
      <c r="L2451" s="1" t="s">
        <v>17</v>
      </c>
      <c r="M2451" s="1" t="str">
        <f>TEXT(Table1[[#This Row],[Order Date]],"mmm")</f>
        <v>Oct</v>
      </c>
      <c r="N2451" s="1">
        <f>YEAR(Table1[[#This Row],[Order Date]])</f>
        <v>2023</v>
      </c>
    </row>
    <row r="2452" spans="1:14" x14ac:dyDescent="0.35">
      <c r="A2452" s="1" t="s">
        <v>3233</v>
      </c>
      <c r="B2452" s="1" t="s">
        <v>1876</v>
      </c>
      <c r="C2452" s="1" t="s">
        <v>255</v>
      </c>
      <c r="D2452" s="1" t="s">
        <v>52</v>
      </c>
      <c r="E2452" s="1" t="s">
        <v>28</v>
      </c>
      <c r="F2452" s="1" t="s">
        <v>52</v>
      </c>
      <c r="G2452" s="1">
        <v>12</v>
      </c>
      <c r="H2452" s="1">
        <v>39900</v>
      </c>
      <c r="I2452" s="1">
        <v>0.05</v>
      </c>
      <c r="J2452" s="1">
        <v>454860</v>
      </c>
      <c r="K2452" s="1">
        <v>51522.66</v>
      </c>
      <c r="L2452" s="1" t="s">
        <v>70</v>
      </c>
      <c r="M2452" s="1" t="str">
        <f>TEXT(Table1[[#This Row],[Order Date]],"mmm")</f>
        <v>Feb</v>
      </c>
      <c r="N2452" s="1">
        <f>YEAR(Table1[[#This Row],[Order Date]])</f>
        <v>2024</v>
      </c>
    </row>
    <row r="2453" spans="1:14" x14ac:dyDescent="0.35">
      <c r="A2453" s="1" t="s">
        <v>3234</v>
      </c>
      <c r="B2453" s="1" t="s">
        <v>1225</v>
      </c>
      <c r="C2453" s="1" t="s">
        <v>20</v>
      </c>
      <c r="D2453" s="1" t="s">
        <v>95</v>
      </c>
      <c r="E2453" s="1" t="s">
        <v>33</v>
      </c>
      <c r="F2453" s="1" t="s">
        <v>95</v>
      </c>
      <c r="G2453" s="1">
        <v>4</v>
      </c>
      <c r="H2453" s="1">
        <v>56235</v>
      </c>
      <c r="I2453" s="1">
        <v>0</v>
      </c>
      <c r="J2453" s="1">
        <v>224940</v>
      </c>
      <c r="K2453" s="1">
        <v>52149.93</v>
      </c>
      <c r="L2453" s="1" t="s">
        <v>17</v>
      </c>
      <c r="M2453" s="1" t="str">
        <f>TEXT(Table1[[#This Row],[Order Date]],"mmm")</f>
        <v>May</v>
      </c>
      <c r="N2453" s="1">
        <f>YEAR(Table1[[#This Row],[Order Date]])</f>
        <v>2023</v>
      </c>
    </row>
    <row r="2454" spans="1:14" x14ac:dyDescent="0.35">
      <c r="A2454" s="1" t="s">
        <v>3235</v>
      </c>
      <c r="B2454" s="1" t="s">
        <v>1019</v>
      </c>
      <c r="C2454" s="1" t="s">
        <v>170</v>
      </c>
      <c r="D2454" s="1" t="s">
        <v>32</v>
      </c>
      <c r="E2454" s="1" t="s">
        <v>33</v>
      </c>
      <c r="F2454" s="1" t="s">
        <v>32</v>
      </c>
      <c r="G2454" s="1">
        <v>5</v>
      </c>
      <c r="H2454" s="1">
        <v>42246</v>
      </c>
      <c r="I2454" s="1">
        <v>0.15</v>
      </c>
      <c r="J2454" s="1">
        <v>179545.5</v>
      </c>
      <c r="K2454" s="1">
        <v>48644.54</v>
      </c>
      <c r="L2454" s="1" t="s">
        <v>17</v>
      </c>
      <c r="M2454" s="1" t="str">
        <f>TEXT(Table1[[#This Row],[Order Date]],"mmm")</f>
        <v>Jun</v>
      </c>
      <c r="N2454" s="1">
        <f>YEAR(Table1[[#This Row],[Order Date]])</f>
        <v>2024</v>
      </c>
    </row>
    <row r="2455" spans="1:14" x14ac:dyDescent="0.35">
      <c r="A2455" s="1" t="s">
        <v>3236</v>
      </c>
      <c r="B2455" s="1" t="s">
        <v>2342</v>
      </c>
      <c r="C2455" s="1" t="s">
        <v>98</v>
      </c>
      <c r="D2455" s="1" t="s">
        <v>151</v>
      </c>
      <c r="E2455" s="1" t="s">
        <v>22</v>
      </c>
      <c r="F2455" s="1" t="s">
        <v>151</v>
      </c>
      <c r="G2455" s="1">
        <v>2</v>
      </c>
      <c r="H2455" s="1">
        <v>31679</v>
      </c>
      <c r="I2455" s="1">
        <v>0.1</v>
      </c>
      <c r="J2455" s="1">
        <v>57022.2</v>
      </c>
      <c r="K2455" s="1">
        <v>8960.41</v>
      </c>
      <c r="L2455" s="1" t="s">
        <v>45</v>
      </c>
      <c r="M2455" s="1" t="str">
        <f>TEXT(Table1[[#This Row],[Order Date]],"mmm")</f>
        <v>Mar</v>
      </c>
      <c r="N2455" s="1">
        <f>YEAR(Table1[[#This Row],[Order Date]])</f>
        <v>2023</v>
      </c>
    </row>
    <row r="2456" spans="1:14" x14ac:dyDescent="0.35">
      <c r="A2456" s="1" t="s">
        <v>3237</v>
      </c>
      <c r="B2456" s="1" t="s">
        <v>3059</v>
      </c>
      <c r="C2456" s="1" t="s">
        <v>51</v>
      </c>
      <c r="D2456" s="1" t="s">
        <v>323</v>
      </c>
      <c r="E2456" s="1" t="s">
        <v>33</v>
      </c>
      <c r="F2456" s="1" t="s">
        <v>323</v>
      </c>
      <c r="G2456" s="1">
        <v>3</v>
      </c>
      <c r="H2456" s="1">
        <v>46224</v>
      </c>
      <c r="I2456" s="1">
        <v>0.15</v>
      </c>
      <c r="J2456" s="1">
        <v>117871.2</v>
      </c>
      <c r="K2456" s="1">
        <v>29130.63</v>
      </c>
      <c r="L2456" s="1" t="s">
        <v>23</v>
      </c>
      <c r="M2456" s="1" t="str">
        <f>TEXT(Table1[[#This Row],[Order Date]],"mmm")</f>
        <v>Mar</v>
      </c>
      <c r="N2456" s="1">
        <f>YEAR(Table1[[#This Row],[Order Date]])</f>
        <v>2023</v>
      </c>
    </row>
    <row r="2457" spans="1:14" x14ac:dyDescent="0.35">
      <c r="A2457" s="1" t="s">
        <v>3238</v>
      </c>
      <c r="B2457" s="1" t="s">
        <v>303</v>
      </c>
      <c r="C2457" s="1" t="s">
        <v>162</v>
      </c>
      <c r="D2457" s="1" t="s">
        <v>95</v>
      </c>
      <c r="E2457" s="1" t="s">
        <v>33</v>
      </c>
      <c r="F2457" s="1" t="s">
        <v>95</v>
      </c>
      <c r="G2457" s="1">
        <v>8</v>
      </c>
      <c r="H2457" s="1">
        <v>54455</v>
      </c>
      <c r="I2457" s="1">
        <v>0.1</v>
      </c>
      <c r="J2457" s="1">
        <v>392076</v>
      </c>
      <c r="K2457" s="1">
        <v>83599.3</v>
      </c>
      <c r="L2457" s="1" t="s">
        <v>23</v>
      </c>
      <c r="M2457" s="1" t="str">
        <f>TEXT(Table1[[#This Row],[Order Date]],"mmm")</f>
        <v>Jun</v>
      </c>
      <c r="N2457" s="1">
        <f>YEAR(Table1[[#This Row],[Order Date]])</f>
        <v>2024</v>
      </c>
    </row>
    <row r="2458" spans="1:14" x14ac:dyDescent="0.35">
      <c r="A2458" s="1" t="s">
        <v>3239</v>
      </c>
      <c r="B2458" s="1" t="s">
        <v>499</v>
      </c>
      <c r="C2458" s="1" t="s">
        <v>128</v>
      </c>
      <c r="D2458" s="1" t="s">
        <v>85</v>
      </c>
      <c r="E2458" s="1" t="s">
        <v>28</v>
      </c>
      <c r="F2458" s="1" t="s">
        <v>85</v>
      </c>
      <c r="G2458" s="1">
        <v>14</v>
      </c>
      <c r="H2458" s="1">
        <v>14031</v>
      </c>
      <c r="I2458" s="1">
        <v>0.2</v>
      </c>
      <c r="J2458" s="1">
        <v>157147.20000000001</v>
      </c>
      <c r="K2458" s="1">
        <v>21954.52</v>
      </c>
      <c r="L2458" s="1" t="s">
        <v>45</v>
      </c>
      <c r="M2458" s="1" t="str">
        <f>TEXT(Table1[[#This Row],[Order Date]],"mmm")</f>
        <v>May</v>
      </c>
      <c r="N2458" s="1">
        <f>YEAR(Table1[[#This Row],[Order Date]])</f>
        <v>2024</v>
      </c>
    </row>
    <row r="2459" spans="1:14" x14ac:dyDescent="0.35">
      <c r="A2459" s="1" t="s">
        <v>3240</v>
      </c>
      <c r="B2459" s="1" t="s">
        <v>1445</v>
      </c>
      <c r="C2459" s="1" t="s">
        <v>332</v>
      </c>
      <c r="D2459" s="1" t="s">
        <v>167</v>
      </c>
      <c r="E2459" s="1" t="s">
        <v>16</v>
      </c>
      <c r="F2459" s="1" t="s">
        <v>167</v>
      </c>
      <c r="G2459" s="1">
        <v>13</v>
      </c>
      <c r="H2459" s="1">
        <v>59056</v>
      </c>
      <c r="I2459" s="1">
        <v>0</v>
      </c>
      <c r="J2459" s="1">
        <v>767728</v>
      </c>
      <c r="K2459" s="1">
        <v>95372.71</v>
      </c>
      <c r="L2459" s="1" t="s">
        <v>45</v>
      </c>
      <c r="M2459" s="1" t="str">
        <f>TEXT(Table1[[#This Row],[Order Date]],"mmm")</f>
        <v>Jun</v>
      </c>
      <c r="N2459" s="1">
        <f>YEAR(Table1[[#This Row],[Order Date]])</f>
        <v>2023</v>
      </c>
    </row>
    <row r="2460" spans="1:14" x14ac:dyDescent="0.35">
      <c r="A2460" s="1" t="s">
        <v>3241</v>
      </c>
      <c r="B2460" s="1" t="s">
        <v>377</v>
      </c>
      <c r="C2460" s="1" t="s">
        <v>14</v>
      </c>
      <c r="D2460" s="1" t="s">
        <v>108</v>
      </c>
      <c r="E2460" s="1" t="s">
        <v>22</v>
      </c>
      <c r="F2460" s="1" t="s">
        <v>108</v>
      </c>
      <c r="G2460" s="1">
        <v>5</v>
      </c>
      <c r="H2460" s="1">
        <v>52683</v>
      </c>
      <c r="I2460" s="1">
        <v>0</v>
      </c>
      <c r="J2460" s="1">
        <v>263415</v>
      </c>
      <c r="K2460" s="1">
        <v>53345.18</v>
      </c>
      <c r="L2460" s="1" t="s">
        <v>23</v>
      </c>
      <c r="M2460" s="1" t="str">
        <f>TEXT(Table1[[#This Row],[Order Date]],"mmm")</f>
        <v>Jul</v>
      </c>
      <c r="N2460" s="1">
        <f>YEAR(Table1[[#This Row],[Order Date]])</f>
        <v>2024</v>
      </c>
    </row>
    <row r="2461" spans="1:14" x14ac:dyDescent="0.35">
      <c r="A2461" s="1" t="s">
        <v>3242</v>
      </c>
      <c r="B2461" s="1" t="s">
        <v>1598</v>
      </c>
      <c r="C2461" s="1" t="s">
        <v>73</v>
      </c>
      <c r="D2461" s="1" t="s">
        <v>323</v>
      </c>
      <c r="E2461" s="1" t="s">
        <v>33</v>
      </c>
      <c r="F2461" s="1" t="s">
        <v>323</v>
      </c>
      <c r="G2461" s="1">
        <v>10</v>
      </c>
      <c r="H2461" s="1">
        <v>50049</v>
      </c>
      <c r="I2461" s="1">
        <v>0.15</v>
      </c>
      <c r="J2461" s="1">
        <v>425416.5</v>
      </c>
      <c r="K2461" s="1">
        <v>120348.83</v>
      </c>
      <c r="L2461" s="1" t="s">
        <v>17</v>
      </c>
      <c r="M2461" s="1" t="str">
        <f>TEXT(Table1[[#This Row],[Order Date]],"mmm")</f>
        <v>Sep</v>
      </c>
      <c r="N2461" s="1">
        <f>YEAR(Table1[[#This Row],[Order Date]])</f>
        <v>2023</v>
      </c>
    </row>
    <row r="2462" spans="1:14" x14ac:dyDescent="0.35">
      <c r="A2462" s="1" t="s">
        <v>3243</v>
      </c>
      <c r="B2462" s="1" t="s">
        <v>528</v>
      </c>
      <c r="C2462" s="1" t="s">
        <v>111</v>
      </c>
      <c r="D2462" s="1" t="s">
        <v>52</v>
      </c>
      <c r="E2462" s="1" t="s">
        <v>28</v>
      </c>
      <c r="F2462" s="1" t="s">
        <v>52</v>
      </c>
      <c r="G2462" s="1">
        <v>10</v>
      </c>
      <c r="H2462" s="1">
        <v>49517</v>
      </c>
      <c r="I2462" s="1">
        <v>0.15</v>
      </c>
      <c r="J2462" s="1">
        <v>420894.5</v>
      </c>
      <c r="K2462" s="1">
        <v>50914.59</v>
      </c>
      <c r="L2462" s="1" t="s">
        <v>17</v>
      </c>
      <c r="M2462" s="1" t="str">
        <f>TEXT(Table1[[#This Row],[Order Date]],"mmm")</f>
        <v>Feb</v>
      </c>
      <c r="N2462" s="1">
        <f>YEAR(Table1[[#This Row],[Order Date]])</f>
        <v>2024</v>
      </c>
    </row>
    <row r="2463" spans="1:14" x14ac:dyDescent="0.35">
      <c r="A2463" s="1" t="s">
        <v>3244</v>
      </c>
      <c r="B2463" s="1" t="s">
        <v>698</v>
      </c>
      <c r="C2463" s="1" t="s">
        <v>20</v>
      </c>
      <c r="D2463" s="1" t="s">
        <v>323</v>
      </c>
      <c r="E2463" s="1" t="s">
        <v>33</v>
      </c>
      <c r="F2463" s="1" t="s">
        <v>323</v>
      </c>
      <c r="G2463" s="1">
        <v>14</v>
      </c>
      <c r="H2463" s="1">
        <v>47011</v>
      </c>
      <c r="I2463" s="1">
        <v>0.2</v>
      </c>
      <c r="J2463" s="1">
        <v>526523.19999999995</v>
      </c>
      <c r="K2463" s="1">
        <v>111103.98</v>
      </c>
      <c r="L2463" s="1" t="s">
        <v>17</v>
      </c>
      <c r="M2463" s="1" t="str">
        <f>TEXT(Table1[[#This Row],[Order Date]],"mmm")</f>
        <v>Mar</v>
      </c>
      <c r="N2463" s="1">
        <f>YEAR(Table1[[#This Row],[Order Date]])</f>
        <v>2023</v>
      </c>
    </row>
    <row r="2464" spans="1:14" x14ac:dyDescent="0.35">
      <c r="A2464" s="1" t="s">
        <v>3245</v>
      </c>
      <c r="B2464" s="1" t="s">
        <v>545</v>
      </c>
      <c r="C2464" s="1" t="s">
        <v>175</v>
      </c>
      <c r="D2464" s="1" t="s">
        <v>32</v>
      </c>
      <c r="E2464" s="1" t="s">
        <v>33</v>
      </c>
      <c r="F2464" s="1" t="s">
        <v>32</v>
      </c>
      <c r="G2464" s="1">
        <v>8</v>
      </c>
      <c r="H2464" s="1">
        <v>44218</v>
      </c>
      <c r="I2464" s="1">
        <v>0.2</v>
      </c>
      <c r="J2464" s="1">
        <v>282995.20000000001</v>
      </c>
      <c r="K2464" s="1">
        <v>64548.06</v>
      </c>
      <c r="L2464" s="1" t="s">
        <v>45</v>
      </c>
      <c r="M2464" s="1" t="str">
        <f>TEXT(Table1[[#This Row],[Order Date]],"mmm")</f>
        <v>Jan</v>
      </c>
      <c r="N2464" s="1">
        <f>YEAR(Table1[[#This Row],[Order Date]])</f>
        <v>2024</v>
      </c>
    </row>
    <row r="2465" spans="1:14" x14ac:dyDescent="0.35">
      <c r="A2465" s="1" t="s">
        <v>3246</v>
      </c>
      <c r="B2465" s="1" t="s">
        <v>1804</v>
      </c>
      <c r="C2465" s="1" t="s">
        <v>335</v>
      </c>
      <c r="D2465" s="1" t="s">
        <v>323</v>
      </c>
      <c r="E2465" s="1" t="s">
        <v>33</v>
      </c>
      <c r="F2465" s="1" t="s">
        <v>323</v>
      </c>
      <c r="G2465" s="1">
        <v>2</v>
      </c>
      <c r="H2465" s="1">
        <v>46346</v>
      </c>
      <c r="I2465" s="1">
        <v>0</v>
      </c>
      <c r="J2465" s="1">
        <v>92692</v>
      </c>
      <c r="K2465" s="1">
        <v>27432.18</v>
      </c>
      <c r="L2465" s="1" t="s">
        <v>70</v>
      </c>
      <c r="M2465" s="1" t="str">
        <f>TEXT(Table1[[#This Row],[Order Date]],"mmm")</f>
        <v>Nov</v>
      </c>
      <c r="N2465" s="1">
        <f>YEAR(Table1[[#This Row],[Order Date]])</f>
        <v>2023</v>
      </c>
    </row>
    <row r="2466" spans="1:14" x14ac:dyDescent="0.35">
      <c r="A2466" s="1" t="s">
        <v>3247</v>
      </c>
      <c r="B2466" s="1" t="s">
        <v>132</v>
      </c>
      <c r="C2466" s="1" t="s">
        <v>101</v>
      </c>
      <c r="D2466" s="1" t="s">
        <v>74</v>
      </c>
      <c r="E2466" s="1" t="s">
        <v>22</v>
      </c>
      <c r="F2466" s="1" t="s">
        <v>74</v>
      </c>
      <c r="G2466" s="1">
        <v>3</v>
      </c>
      <c r="H2466" s="1">
        <v>8675</v>
      </c>
      <c r="I2466" s="1">
        <v>0.15</v>
      </c>
      <c r="J2466" s="1">
        <v>22121.25</v>
      </c>
      <c r="K2466" s="1">
        <v>2027.11</v>
      </c>
      <c r="L2466" s="1" t="s">
        <v>17</v>
      </c>
      <c r="M2466" s="1" t="str">
        <f>TEXT(Table1[[#This Row],[Order Date]],"mmm")</f>
        <v>Feb</v>
      </c>
      <c r="N2466" s="1">
        <f>YEAR(Table1[[#This Row],[Order Date]])</f>
        <v>2023</v>
      </c>
    </row>
    <row r="2467" spans="1:14" x14ac:dyDescent="0.35">
      <c r="A2467" s="1" t="s">
        <v>3248</v>
      </c>
      <c r="B2467" s="1" t="s">
        <v>25</v>
      </c>
      <c r="C2467" s="1" t="s">
        <v>188</v>
      </c>
      <c r="D2467" s="1" t="s">
        <v>52</v>
      </c>
      <c r="E2467" s="1" t="s">
        <v>28</v>
      </c>
      <c r="F2467" s="1" t="s">
        <v>52</v>
      </c>
      <c r="G2467" s="1">
        <v>10</v>
      </c>
      <c r="H2467" s="1">
        <v>51931</v>
      </c>
      <c r="I2467" s="1">
        <v>0</v>
      </c>
      <c r="J2467" s="1">
        <v>519310</v>
      </c>
      <c r="K2467" s="1">
        <v>130350.08</v>
      </c>
      <c r="L2467" s="1" t="s">
        <v>45</v>
      </c>
      <c r="M2467" s="1" t="str">
        <f>TEXT(Table1[[#This Row],[Order Date]],"mmm")</f>
        <v>Apr</v>
      </c>
      <c r="N2467" s="1">
        <f>YEAR(Table1[[#This Row],[Order Date]])</f>
        <v>2023</v>
      </c>
    </row>
    <row r="2468" spans="1:14" x14ac:dyDescent="0.35">
      <c r="A2468" s="1" t="s">
        <v>3249</v>
      </c>
      <c r="B2468" s="1" t="s">
        <v>2796</v>
      </c>
      <c r="C2468" s="1" t="s">
        <v>104</v>
      </c>
      <c r="D2468" s="1" t="s">
        <v>114</v>
      </c>
      <c r="E2468" s="1" t="s">
        <v>16</v>
      </c>
      <c r="F2468" s="1" t="s">
        <v>114</v>
      </c>
      <c r="G2468" s="1">
        <v>3</v>
      </c>
      <c r="H2468" s="1">
        <v>7815</v>
      </c>
      <c r="I2468" s="1">
        <v>0</v>
      </c>
      <c r="J2468" s="1">
        <v>23445</v>
      </c>
      <c r="K2468" s="1">
        <v>5301.99</v>
      </c>
      <c r="L2468" s="1" t="s">
        <v>45</v>
      </c>
      <c r="M2468" s="1" t="str">
        <f>TEXT(Table1[[#This Row],[Order Date]],"mmm")</f>
        <v>May</v>
      </c>
      <c r="N2468" s="1">
        <f>YEAR(Table1[[#This Row],[Order Date]])</f>
        <v>2024</v>
      </c>
    </row>
    <row r="2469" spans="1:14" x14ac:dyDescent="0.35">
      <c r="A2469" s="1" t="s">
        <v>3250</v>
      </c>
      <c r="B2469" s="1" t="s">
        <v>837</v>
      </c>
      <c r="C2469" s="1" t="s">
        <v>140</v>
      </c>
      <c r="D2469" s="1" t="s">
        <v>52</v>
      </c>
      <c r="E2469" s="1" t="s">
        <v>28</v>
      </c>
      <c r="F2469" s="1" t="s">
        <v>52</v>
      </c>
      <c r="G2469" s="1">
        <v>7</v>
      </c>
      <c r="H2469" s="1">
        <v>59695</v>
      </c>
      <c r="I2469" s="1">
        <v>0</v>
      </c>
      <c r="J2469" s="1">
        <v>417865</v>
      </c>
      <c r="K2469" s="1">
        <v>119025.5</v>
      </c>
      <c r="L2469" s="1" t="s">
        <v>17</v>
      </c>
      <c r="M2469" s="1" t="str">
        <f>TEXT(Table1[[#This Row],[Order Date]],"mmm")</f>
        <v>Feb</v>
      </c>
      <c r="N2469" s="1">
        <f>YEAR(Table1[[#This Row],[Order Date]])</f>
        <v>2024</v>
      </c>
    </row>
    <row r="2470" spans="1:14" x14ac:dyDescent="0.35">
      <c r="A2470" s="1" t="s">
        <v>3251</v>
      </c>
      <c r="B2470" s="1" t="s">
        <v>1276</v>
      </c>
      <c r="C2470" s="1" t="s">
        <v>191</v>
      </c>
      <c r="D2470" s="1" t="s">
        <v>44</v>
      </c>
      <c r="E2470" s="1" t="s">
        <v>28</v>
      </c>
      <c r="F2470" s="1" t="s">
        <v>44</v>
      </c>
      <c r="G2470" s="1">
        <v>12</v>
      </c>
      <c r="H2470" s="1">
        <v>28123</v>
      </c>
      <c r="I2470" s="1">
        <v>0</v>
      </c>
      <c r="J2470" s="1">
        <v>337476</v>
      </c>
      <c r="K2470" s="1">
        <v>91916.84</v>
      </c>
      <c r="L2470" s="1" t="s">
        <v>45</v>
      </c>
      <c r="M2470" s="1" t="str">
        <f>TEXT(Table1[[#This Row],[Order Date]],"mmm")</f>
        <v>Apr</v>
      </c>
      <c r="N2470" s="1">
        <f>YEAR(Table1[[#This Row],[Order Date]])</f>
        <v>2023</v>
      </c>
    </row>
    <row r="2471" spans="1:14" x14ac:dyDescent="0.35">
      <c r="A2471" s="1" t="s">
        <v>3252</v>
      </c>
      <c r="B2471" s="1" t="s">
        <v>1005</v>
      </c>
      <c r="C2471" s="1" t="s">
        <v>175</v>
      </c>
      <c r="D2471" s="1" t="s">
        <v>37</v>
      </c>
      <c r="E2471" s="1" t="s">
        <v>16</v>
      </c>
      <c r="F2471" s="1" t="s">
        <v>37</v>
      </c>
      <c r="G2471" s="1">
        <v>13</v>
      </c>
      <c r="H2471" s="1">
        <v>51787</v>
      </c>
      <c r="I2471" s="1">
        <v>0</v>
      </c>
      <c r="J2471" s="1">
        <v>673231</v>
      </c>
      <c r="K2471" s="1">
        <v>201345.48</v>
      </c>
      <c r="L2471" s="1" t="s">
        <v>17</v>
      </c>
      <c r="M2471" s="1" t="str">
        <f>TEXT(Table1[[#This Row],[Order Date]],"mmm")</f>
        <v>Aug</v>
      </c>
      <c r="N2471" s="1">
        <f>YEAR(Table1[[#This Row],[Order Date]])</f>
        <v>2023</v>
      </c>
    </row>
    <row r="2472" spans="1:14" x14ac:dyDescent="0.35">
      <c r="A2472" s="1" t="s">
        <v>3253</v>
      </c>
      <c r="B2472" s="1" t="s">
        <v>2274</v>
      </c>
      <c r="C2472" s="1" t="s">
        <v>36</v>
      </c>
      <c r="D2472" s="1" t="s">
        <v>52</v>
      </c>
      <c r="E2472" s="1" t="s">
        <v>28</v>
      </c>
      <c r="F2472" s="1" t="s">
        <v>52</v>
      </c>
      <c r="G2472" s="1">
        <v>3</v>
      </c>
      <c r="H2472" s="1">
        <v>3802</v>
      </c>
      <c r="I2472" s="1">
        <v>0</v>
      </c>
      <c r="J2472" s="1">
        <v>11406</v>
      </c>
      <c r="K2472" s="1">
        <v>1580.48</v>
      </c>
      <c r="L2472" s="1" t="s">
        <v>45</v>
      </c>
      <c r="M2472" s="1" t="str">
        <f>TEXT(Table1[[#This Row],[Order Date]],"mmm")</f>
        <v>Jan</v>
      </c>
      <c r="N2472" s="1">
        <f>YEAR(Table1[[#This Row],[Order Date]])</f>
        <v>2024</v>
      </c>
    </row>
    <row r="2473" spans="1:14" x14ac:dyDescent="0.35">
      <c r="A2473" s="1" t="s">
        <v>3254</v>
      </c>
      <c r="B2473" s="1" t="s">
        <v>989</v>
      </c>
      <c r="C2473" s="1" t="s">
        <v>59</v>
      </c>
      <c r="D2473" s="1" t="s">
        <v>114</v>
      </c>
      <c r="E2473" s="1" t="s">
        <v>16</v>
      </c>
      <c r="F2473" s="1" t="s">
        <v>114</v>
      </c>
      <c r="G2473" s="1">
        <v>2</v>
      </c>
      <c r="H2473" s="1">
        <v>51038</v>
      </c>
      <c r="I2473" s="1">
        <v>0.05</v>
      </c>
      <c r="J2473" s="1">
        <v>96972.2</v>
      </c>
      <c r="K2473" s="1">
        <v>14117.62</v>
      </c>
      <c r="L2473" s="1" t="s">
        <v>45</v>
      </c>
      <c r="M2473" s="1" t="str">
        <f>TEXT(Table1[[#This Row],[Order Date]],"mmm")</f>
        <v>Oct</v>
      </c>
      <c r="N2473" s="1">
        <f>YEAR(Table1[[#This Row],[Order Date]])</f>
        <v>2024</v>
      </c>
    </row>
    <row r="2474" spans="1:14" x14ac:dyDescent="0.35">
      <c r="A2474" s="1" t="s">
        <v>3255</v>
      </c>
      <c r="B2474" s="1" t="s">
        <v>262</v>
      </c>
      <c r="C2474" s="1" t="s">
        <v>162</v>
      </c>
      <c r="D2474" s="1" t="s">
        <v>137</v>
      </c>
      <c r="E2474" s="1" t="s">
        <v>22</v>
      </c>
      <c r="F2474" s="1" t="s">
        <v>137</v>
      </c>
      <c r="G2474" s="1">
        <v>3</v>
      </c>
      <c r="H2474" s="1">
        <v>22030</v>
      </c>
      <c r="I2474" s="1">
        <v>0</v>
      </c>
      <c r="J2474" s="1">
        <v>66090</v>
      </c>
      <c r="K2474" s="1">
        <v>12238.83</v>
      </c>
      <c r="L2474" s="1" t="s">
        <v>45</v>
      </c>
      <c r="M2474" s="1" t="str">
        <f>TEXT(Table1[[#This Row],[Order Date]],"mmm")</f>
        <v>Jul</v>
      </c>
      <c r="N2474" s="1">
        <f>YEAR(Table1[[#This Row],[Order Date]])</f>
        <v>2023</v>
      </c>
    </row>
    <row r="2475" spans="1:14" x14ac:dyDescent="0.35">
      <c r="A2475" s="1" t="s">
        <v>3256</v>
      </c>
      <c r="B2475" s="1" t="s">
        <v>3015</v>
      </c>
      <c r="C2475" s="1" t="s">
        <v>94</v>
      </c>
      <c r="D2475" s="1" t="s">
        <v>41</v>
      </c>
      <c r="E2475" s="1" t="s">
        <v>16</v>
      </c>
      <c r="F2475" s="1" t="s">
        <v>41</v>
      </c>
      <c r="G2475" s="1">
        <v>10</v>
      </c>
      <c r="H2475" s="1">
        <v>58790</v>
      </c>
      <c r="I2475" s="1">
        <v>0.1</v>
      </c>
      <c r="J2475" s="1">
        <v>529110</v>
      </c>
      <c r="K2475" s="1">
        <v>96554.89</v>
      </c>
      <c r="L2475" s="1" t="s">
        <v>17</v>
      </c>
      <c r="M2475" s="1" t="str">
        <f>TEXT(Table1[[#This Row],[Order Date]],"mmm")</f>
        <v>Jan</v>
      </c>
      <c r="N2475" s="1">
        <f>YEAR(Table1[[#This Row],[Order Date]])</f>
        <v>2024</v>
      </c>
    </row>
    <row r="2476" spans="1:14" x14ac:dyDescent="0.35">
      <c r="A2476" s="1" t="s">
        <v>3257</v>
      </c>
      <c r="B2476" s="1" t="s">
        <v>2197</v>
      </c>
      <c r="C2476" s="1" t="s">
        <v>111</v>
      </c>
      <c r="D2476" s="1" t="s">
        <v>27</v>
      </c>
      <c r="E2476" s="1" t="s">
        <v>28</v>
      </c>
      <c r="F2476" s="1" t="s">
        <v>27</v>
      </c>
      <c r="G2476" s="1">
        <v>12</v>
      </c>
      <c r="H2476" s="1">
        <v>25269</v>
      </c>
      <c r="I2476" s="1">
        <v>0.15</v>
      </c>
      <c r="J2476" s="1">
        <v>257743.8</v>
      </c>
      <c r="K2476" s="1">
        <v>21372.92</v>
      </c>
      <c r="L2476" s="1" t="s">
        <v>70</v>
      </c>
      <c r="M2476" s="1" t="str">
        <f>TEXT(Table1[[#This Row],[Order Date]],"mmm")</f>
        <v>Feb</v>
      </c>
      <c r="N2476" s="1">
        <f>YEAR(Table1[[#This Row],[Order Date]])</f>
        <v>2023</v>
      </c>
    </row>
    <row r="2477" spans="1:14" x14ac:dyDescent="0.35">
      <c r="A2477" s="1" t="s">
        <v>3258</v>
      </c>
      <c r="B2477" s="1" t="s">
        <v>419</v>
      </c>
      <c r="C2477" s="1" t="s">
        <v>362</v>
      </c>
      <c r="D2477" s="1" t="s">
        <v>21</v>
      </c>
      <c r="E2477" s="1" t="s">
        <v>22</v>
      </c>
      <c r="F2477" s="1" t="s">
        <v>21</v>
      </c>
      <c r="G2477" s="1">
        <v>5</v>
      </c>
      <c r="H2477" s="1">
        <v>46683</v>
      </c>
      <c r="I2477" s="1">
        <v>0.15</v>
      </c>
      <c r="J2477" s="1">
        <v>198402.75</v>
      </c>
      <c r="K2477" s="1">
        <v>22535.9</v>
      </c>
      <c r="L2477" s="1" t="s">
        <v>23</v>
      </c>
      <c r="M2477" s="1" t="str">
        <f>TEXT(Table1[[#This Row],[Order Date]],"mmm")</f>
        <v>Feb</v>
      </c>
      <c r="N2477" s="1">
        <f>YEAR(Table1[[#This Row],[Order Date]])</f>
        <v>2024</v>
      </c>
    </row>
    <row r="2478" spans="1:14" x14ac:dyDescent="0.35">
      <c r="A2478" s="1" t="s">
        <v>3259</v>
      </c>
      <c r="B2478" s="1" t="s">
        <v>246</v>
      </c>
      <c r="C2478" s="1" t="s">
        <v>31</v>
      </c>
      <c r="D2478" s="1" t="s">
        <v>27</v>
      </c>
      <c r="E2478" s="1" t="s">
        <v>28</v>
      </c>
      <c r="F2478" s="1" t="s">
        <v>27</v>
      </c>
      <c r="G2478" s="1">
        <v>8</v>
      </c>
      <c r="H2478" s="1">
        <v>21824</v>
      </c>
      <c r="I2478" s="1">
        <v>0.1</v>
      </c>
      <c r="J2478" s="1">
        <v>157132.79999999999</v>
      </c>
      <c r="K2478" s="1">
        <v>29841.69</v>
      </c>
      <c r="L2478" s="1" t="s">
        <v>23</v>
      </c>
      <c r="M2478" s="1" t="str">
        <f>TEXT(Table1[[#This Row],[Order Date]],"mmm")</f>
        <v>Feb</v>
      </c>
      <c r="N2478" s="1">
        <f>YEAR(Table1[[#This Row],[Order Date]])</f>
        <v>2023</v>
      </c>
    </row>
    <row r="2479" spans="1:14" x14ac:dyDescent="0.35">
      <c r="A2479" s="1" t="s">
        <v>3260</v>
      </c>
      <c r="B2479" s="1" t="s">
        <v>2752</v>
      </c>
      <c r="C2479" s="1" t="s">
        <v>200</v>
      </c>
      <c r="D2479" s="1" t="s">
        <v>141</v>
      </c>
      <c r="E2479" s="1" t="s">
        <v>22</v>
      </c>
      <c r="F2479" s="1" t="s">
        <v>141</v>
      </c>
      <c r="G2479" s="1">
        <v>3</v>
      </c>
      <c r="H2479" s="1">
        <v>24388</v>
      </c>
      <c r="I2479" s="1">
        <v>0.15</v>
      </c>
      <c r="J2479" s="1">
        <v>62189.4</v>
      </c>
      <c r="K2479" s="1">
        <v>13647.57</v>
      </c>
      <c r="L2479" s="1" t="s">
        <v>17</v>
      </c>
      <c r="M2479" s="1" t="str">
        <f>TEXT(Table1[[#This Row],[Order Date]],"mmm")</f>
        <v>Jan</v>
      </c>
      <c r="N2479" s="1">
        <f>YEAR(Table1[[#This Row],[Order Date]])</f>
        <v>2023</v>
      </c>
    </row>
    <row r="2480" spans="1:14" x14ac:dyDescent="0.35">
      <c r="A2480" s="1" t="s">
        <v>3261</v>
      </c>
      <c r="B2480" s="1" t="s">
        <v>272</v>
      </c>
      <c r="C2480" s="1" t="s">
        <v>20</v>
      </c>
      <c r="D2480" s="1" t="s">
        <v>151</v>
      </c>
      <c r="E2480" s="1" t="s">
        <v>22</v>
      </c>
      <c r="F2480" s="1" t="s">
        <v>151</v>
      </c>
      <c r="G2480" s="1">
        <v>15</v>
      </c>
      <c r="H2480" s="1">
        <v>4824</v>
      </c>
      <c r="I2480" s="1">
        <v>0.2</v>
      </c>
      <c r="J2480" s="1">
        <v>57888</v>
      </c>
      <c r="K2480" s="1">
        <v>5973.34</v>
      </c>
      <c r="L2480" s="1" t="s">
        <v>17</v>
      </c>
      <c r="M2480" s="1" t="str">
        <f>TEXT(Table1[[#This Row],[Order Date]],"mmm")</f>
        <v>Jun</v>
      </c>
      <c r="N2480" s="1">
        <f>YEAR(Table1[[#This Row],[Order Date]])</f>
        <v>2023</v>
      </c>
    </row>
    <row r="2481" spans="1:14" x14ac:dyDescent="0.35">
      <c r="A2481" s="1" t="s">
        <v>3262</v>
      </c>
      <c r="B2481" s="1" t="s">
        <v>3263</v>
      </c>
      <c r="C2481" s="1" t="s">
        <v>94</v>
      </c>
      <c r="D2481" s="1" t="s">
        <v>95</v>
      </c>
      <c r="E2481" s="1" t="s">
        <v>33</v>
      </c>
      <c r="F2481" s="1" t="s">
        <v>95</v>
      </c>
      <c r="G2481" s="1">
        <v>10</v>
      </c>
      <c r="H2481" s="1">
        <v>9625</v>
      </c>
      <c r="I2481" s="1">
        <v>0</v>
      </c>
      <c r="J2481" s="1">
        <v>96250</v>
      </c>
      <c r="K2481" s="1">
        <v>24810.03</v>
      </c>
      <c r="L2481" s="1" t="s">
        <v>45</v>
      </c>
      <c r="M2481" s="1" t="str">
        <f>TEXT(Table1[[#This Row],[Order Date]],"mmm")</f>
        <v>May</v>
      </c>
      <c r="N2481" s="1">
        <f>YEAR(Table1[[#This Row],[Order Date]])</f>
        <v>2023</v>
      </c>
    </row>
    <row r="2482" spans="1:14" x14ac:dyDescent="0.35">
      <c r="A2482" s="1" t="s">
        <v>3264</v>
      </c>
      <c r="B2482" s="1" t="s">
        <v>1258</v>
      </c>
      <c r="C2482" s="1" t="s">
        <v>88</v>
      </c>
      <c r="D2482" s="1" t="s">
        <v>41</v>
      </c>
      <c r="E2482" s="1" t="s">
        <v>16</v>
      </c>
      <c r="F2482" s="1" t="s">
        <v>41</v>
      </c>
      <c r="G2482" s="1">
        <v>12</v>
      </c>
      <c r="H2482" s="1">
        <v>50455</v>
      </c>
      <c r="I2482" s="1">
        <v>0.05</v>
      </c>
      <c r="J2482" s="1">
        <v>575187</v>
      </c>
      <c r="K2482" s="1">
        <v>92896.12</v>
      </c>
      <c r="L2482" s="1" t="s">
        <v>70</v>
      </c>
      <c r="M2482" s="1" t="str">
        <f>TEXT(Table1[[#This Row],[Order Date]],"mmm")</f>
        <v>Jun</v>
      </c>
      <c r="N2482" s="1">
        <f>YEAR(Table1[[#This Row],[Order Date]])</f>
        <v>2023</v>
      </c>
    </row>
    <row r="2483" spans="1:14" x14ac:dyDescent="0.35">
      <c r="A2483" s="1" t="s">
        <v>3265</v>
      </c>
      <c r="B2483" s="1" t="s">
        <v>2301</v>
      </c>
      <c r="C2483" s="1" t="s">
        <v>94</v>
      </c>
      <c r="D2483" s="1" t="s">
        <v>64</v>
      </c>
      <c r="E2483" s="1" t="s">
        <v>33</v>
      </c>
      <c r="F2483" s="1" t="s">
        <v>64</v>
      </c>
      <c r="G2483" s="1">
        <v>10</v>
      </c>
      <c r="H2483" s="1">
        <v>2984</v>
      </c>
      <c r="I2483" s="1">
        <v>0.05</v>
      </c>
      <c r="J2483" s="1">
        <v>28348</v>
      </c>
      <c r="K2483" s="1">
        <v>2437.9499999999998</v>
      </c>
      <c r="L2483" s="1" t="s">
        <v>17</v>
      </c>
      <c r="M2483" s="1" t="str">
        <f>TEXT(Table1[[#This Row],[Order Date]],"mmm")</f>
        <v>Jan</v>
      </c>
      <c r="N2483" s="1">
        <f>YEAR(Table1[[#This Row],[Order Date]])</f>
        <v>2023</v>
      </c>
    </row>
    <row r="2484" spans="1:14" x14ac:dyDescent="0.35">
      <c r="A2484" s="1" t="s">
        <v>3266</v>
      </c>
      <c r="B2484" s="1" t="s">
        <v>2274</v>
      </c>
      <c r="C2484" s="1" t="s">
        <v>73</v>
      </c>
      <c r="D2484" s="1" t="s">
        <v>114</v>
      </c>
      <c r="E2484" s="1" t="s">
        <v>16</v>
      </c>
      <c r="F2484" s="1" t="s">
        <v>114</v>
      </c>
      <c r="G2484" s="1">
        <v>14</v>
      </c>
      <c r="H2484" s="1">
        <v>24265</v>
      </c>
      <c r="I2484" s="1">
        <v>0.1</v>
      </c>
      <c r="J2484" s="1">
        <v>305739</v>
      </c>
      <c r="K2484" s="1">
        <v>24631.79</v>
      </c>
      <c r="L2484" s="1" t="s">
        <v>70</v>
      </c>
      <c r="M2484" s="1" t="str">
        <f>TEXT(Table1[[#This Row],[Order Date]],"mmm")</f>
        <v>Jan</v>
      </c>
      <c r="N2484" s="1">
        <f>YEAR(Table1[[#This Row],[Order Date]])</f>
        <v>2024</v>
      </c>
    </row>
    <row r="2485" spans="1:14" x14ac:dyDescent="0.35">
      <c r="A2485" s="1" t="s">
        <v>3267</v>
      </c>
      <c r="B2485" s="1" t="s">
        <v>2601</v>
      </c>
      <c r="C2485" s="1" t="s">
        <v>349</v>
      </c>
      <c r="D2485" s="1" t="s">
        <v>56</v>
      </c>
      <c r="E2485" s="1" t="s">
        <v>22</v>
      </c>
      <c r="F2485" s="1" t="s">
        <v>56</v>
      </c>
      <c r="G2485" s="1">
        <v>3</v>
      </c>
      <c r="H2485" s="1">
        <v>58087</v>
      </c>
      <c r="I2485" s="1">
        <v>0.1</v>
      </c>
      <c r="J2485" s="1">
        <v>156834.9</v>
      </c>
      <c r="K2485" s="1">
        <v>15887.89</v>
      </c>
      <c r="L2485" s="1" t="s">
        <v>70</v>
      </c>
      <c r="M2485" s="1" t="str">
        <f>TEXT(Table1[[#This Row],[Order Date]],"mmm")</f>
        <v>Aug</v>
      </c>
      <c r="N2485" s="1">
        <f>YEAR(Table1[[#This Row],[Order Date]])</f>
        <v>2023</v>
      </c>
    </row>
    <row r="2486" spans="1:14" x14ac:dyDescent="0.35">
      <c r="A2486" s="1" t="s">
        <v>3268</v>
      </c>
      <c r="B2486" s="1" t="s">
        <v>406</v>
      </c>
      <c r="C2486" s="1" t="s">
        <v>63</v>
      </c>
      <c r="D2486" s="1" t="s">
        <v>48</v>
      </c>
      <c r="E2486" s="1" t="s">
        <v>16</v>
      </c>
      <c r="F2486" s="1" t="s">
        <v>48</v>
      </c>
      <c r="G2486" s="1">
        <v>9</v>
      </c>
      <c r="H2486" s="1">
        <v>25642</v>
      </c>
      <c r="I2486" s="1">
        <v>0.05</v>
      </c>
      <c r="J2486" s="1">
        <v>219239.1</v>
      </c>
      <c r="K2486" s="1">
        <v>24941.66</v>
      </c>
      <c r="L2486" s="1" t="s">
        <v>17</v>
      </c>
      <c r="M2486" s="1" t="str">
        <f>TEXT(Table1[[#This Row],[Order Date]],"mmm")</f>
        <v>Mar</v>
      </c>
      <c r="N2486" s="1">
        <f>YEAR(Table1[[#This Row],[Order Date]])</f>
        <v>2023</v>
      </c>
    </row>
    <row r="2487" spans="1:14" x14ac:dyDescent="0.35">
      <c r="A2487" s="1" t="s">
        <v>3269</v>
      </c>
      <c r="B2487" s="1" t="s">
        <v>2108</v>
      </c>
      <c r="C2487" s="1" t="s">
        <v>31</v>
      </c>
      <c r="D2487" s="1" t="s">
        <v>151</v>
      </c>
      <c r="E2487" s="1" t="s">
        <v>22</v>
      </c>
      <c r="F2487" s="1" t="s">
        <v>151</v>
      </c>
      <c r="G2487" s="1">
        <v>5</v>
      </c>
      <c r="H2487" s="1">
        <v>50569</v>
      </c>
      <c r="I2487" s="1">
        <v>0.15</v>
      </c>
      <c r="J2487" s="1">
        <v>214918.25</v>
      </c>
      <c r="K2487" s="1">
        <v>64400.77</v>
      </c>
      <c r="L2487" s="1" t="s">
        <v>23</v>
      </c>
      <c r="M2487" s="1" t="str">
        <f>TEXT(Table1[[#This Row],[Order Date]],"mmm")</f>
        <v>Jun</v>
      </c>
      <c r="N2487" s="1">
        <f>YEAR(Table1[[#This Row],[Order Date]])</f>
        <v>2023</v>
      </c>
    </row>
    <row r="2488" spans="1:14" x14ac:dyDescent="0.35">
      <c r="A2488" s="1" t="s">
        <v>3270</v>
      </c>
      <c r="B2488" s="1" t="s">
        <v>1203</v>
      </c>
      <c r="C2488" s="1" t="s">
        <v>104</v>
      </c>
      <c r="D2488" s="1" t="s">
        <v>48</v>
      </c>
      <c r="E2488" s="1" t="s">
        <v>16</v>
      </c>
      <c r="F2488" s="1" t="s">
        <v>48</v>
      </c>
      <c r="G2488" s="1">
        <v>5</v>
      </c>
      <c r="H2488" s="1">
        <v>18471</v>
      </c>
      <c r="I2488" s="1">
        <v>0</v>
      </c>
      <c r="J2488" s="1">
        <v>92355</v>
      </c>
      <c r="K2488" s="1">
        <v>8343.07</v>
      </c>
      <c r="L2488" s="1" t="s">
        <v>70</v>
      </c>
      <c r="M2488" s="1" t="str">
        <f>TEXT(Table1[[#This Row],[Order Date]],"mmm")</f>
        <v>Apr</v>
      </c>
      <c r="N2488" s="1">
        <f>YEAR(Table1[[#This Row],[Order Date]])</f>
        <v>2024</v>
      </c>
    </row>
    <row r="2489" spans="1:14" x14ac:dyDescent="0.35">
      <c r="A2489" s="1" t="s">
        <v>3271</v>
      </c>
      <c r="B2489" s="1" t="s">
        <v>1772</v>
      </c>
      <c r="C2489" s="1" t="s">
        <v>94</v>
      </c>
      <c r="D2489" s="1" t="s">
        <v>21</v>
      </c>
      <c r="E2489" s="1" t="s">
        <v>22</v>
      </c>
      <c r="F2489" s="1" t="s">
        <v>21</v>
      </c>
      <c r="G2489" s="1">
        <v>14</v>
      </c>
      <c r="H2489" s="1">
        <v>45164</v>
      </c>
      <c r="I2489" s="1">
        <v>0.2</v>
      </c>
      <c r="J2489" s="1">
        <v>505836.79999999999</v>
      </c>
      <c r="K2489" s="1">
        <v>67261.03</v>
      </c>
      <c r="L2489" s="1" t="s">
        <v>23</v>
      </c>
      <c r="M2489" s="1" t="str">
        <f>TEXT(Table1[[#This Row],[Order Date]],"mmm")</f>
        <v>Jun</v>
      </c>
      <c r="N2489" s="1">
        <f>YEAR(Table1[[#This Row],[Order Date]])</f>
        <v>2024</v>
      </c>
    </row>
    <row r="2490" spans="1:14" x14ac:dyDescent="0.35">
      <c r="A2490" s="1" t="s">
        <v>3272</v>
      </c>
      <c r="B2490" s="1" t="s">
        <v>638</v>
      </c>
      <c r="C2490" s="1" t="s">
        <v>36</v>
      </c>
      <c r="D2490" s="1" t="s">
        <v>293</v>
      </c>
      <c r="E2490" s="1" t="s">
        <v>33</v>
      </c>
      <c r="F2490" s="1" t="s">
        <v>293</v>
      </c>
      <c r="G2490" s="1">
        <v>1</v>
      </c>
      <c r="H2490" s="1">
        <v>41624</v>
      </c>
      <c r="I2490" s="1">
        <v>0.2</v>
      </c>
      <c r="J2490" s="1">
        <v>33299.199999999997</v>
      </c>
      <c r="K2490" s="1">
        <v>9455.99</v>
      </c>
      <c r="L2490" s="1" t="s">
        <v>45</v>
      </c>
      <c r="M2490" s="1" t="str">
        <f>TEXT(Table1[[#This Row],[Order Date]],"mmm")</f>
        <v>May</v>
      </c>
      <c r="N2490" s="1">
        <f>YEAR(Table1[[#This Row],[Order Date]])</f>
        <v>2023</v>
      </c>
    </row>
    <row r="2491" spans="1:14" x14ac:dyDescent="0.35">
      <c r="A2491" s="1" t="s">
        <v>3273</v>
      </c>
      <c r="B2491" s="1" t="s">
        <v>360</v>
      </c>
      <c r="C2491" s="1" t="s">
        <v>146</v>
      </c>
      <c r="D2491" s="1" t="s">
        <v>44</v>
      </c>
      <c r="E2491" s="1" t="s">
        <v>28</v>
      </c>
      <c r="F2491" s="1" t="s">
        <v>44</v>
      </c>
      <c r="G2491" s="1">
        <v>11</v>
      </c>
      <c r="H2491" s="1">
        <v>25403</v>
      </c>
      <c r="I2491" s="1">
        <v>0.2</v>
      </c>
      <c r="J2491" s="1">
        <v>223546.4</v>
      </c>
      <c r="K2491" s="1">
        <v>35334.400000000001</v>
      </c>
      <c r="L2491" s="1" t="s">
        <v>70</v>
      </c>
      <c r="M2491" s="1" t="str">
        <f>TEXT(Table1[[#This Row],[Order Date]],"mmm")</f>
        <v>Jun</v>
      </c>
      <c r="N2491" s="1">
        <f>YEAR(Table1[[#This Row],[Order Date]])</f>
        <v>2023</v>
      </c>
    </row>
    <row r="2492" spans="1:14" x14ac:dyDescent="0.35">
      <c r="A2492" s="1" t="s">
        <v>3274</v>
      </c>
      <c r="B2492" s="1" t="s">
        <v>907</v>
      </c>
      <c r="C2492" s="1" t="s">
        <v>162</v>
      </c>
      <c r="D2492" s="1" t="s">
        <v>74</v>
      </c>
      <c r="E2492" s="1" t="s">
        <v>22</v>
      </c>
      <c r="F2492" s="1" t="s">
        <v>74</v>
      </c>
      <c r="G2492" s="1">
        <v>8</v>
      </c>
      <c r="H2492" s="1">
        <v>26402</v>
      </c>
      <c r="I2492" s="1">
        <v>0</v>
      </c>
      <c r="J2492" s="1">
        <v>211216</v>
      </c>
      <c r="K2492" s="1">
        <v>23714.92</v>
      </c>
      <c r="L2492" s="1" t="s">
        <v>70</v>
      </c>
      <c r="M2492" s="1" t="str">
        <f>TEXT(Table1[[#This Row],[Order Date]],"mmm")</f>
        <v>Mar</v>
      </c>
      <c r="N2492" s="1">
        <f>YEAR(Table1[[#This Row],[Order Date]])</f>
        <v>2023</v>
      </c>
    </row>
    <row r="2493" spans="1:14" x14ac:dyDescent="0.35">
      <c r="A2493" s="1" t="s">
        <v>3275</v>
      </c>
      <c r="B2493" s="1" t="s">
        <v>1225</v>
      </c>
      <c r="C2493" s="1" t="s">
        <v>158</v>
      </c>
      <c r="D2493" s="1" t="s">
        <v>133</v>
      </c>
      <c r="E2493" s="1" t="s">
        <v>22</v>
      </c>
      <c r="F2493" s="1" t="s">
        <v>133</v>
      </c>
      <c r="G2493" s="1">
        <v>13</v>
      </c>
      <c r="H2493" s="1">
        <v>7899</v>
      </c>
      <c r="I2493" s="1">
        <v>0.2</v>
      </c>
      <c r="J2493" s="1">
        <v>82149.600000000006</v>
      </c>
      <c r="K2493" s="1">
        <v>23003.68</v>
      </c>
      <c r="L2493" s="1" t="s">
        <v>45</v>
      </c>
      <c r="M2493" s="1" t="str">
        <f>TEXT(Table1[[#This Row],[Order Date]],"mmm")</f>
        <v>May</v>
      </c>
      <c r="N2493" s="1">
        <f>YEAR(Table1[[#This Row],[Order Date]])</f>
        <v>2023</v>
      </c>
    </row>
    <row r="2494" spans="1:14" x14ac:dyDescent="0.35">
      <c r="A2494" s="1" t="s">
        <v>3276</v>
      </c>
      <c r="B2494" s="1" t="s">
        <v>1401</v>
      </c>
      <c r="C2494" s="1" t="s">
        <v>59</v>
      </c>
      <c r="D2494" s="1" t="s">
        <v>141</v>
      </c>
      <c r="E2494" s="1" t="s">
        <v>22</v>
      </c>
      <c r="F2494" s="1" t="s">
        <v>141</v>
      </c>
      <c r="G2494" s="1">
        <v>3</v>
      </c>
      <c r="H2494" s="1">
        <v>39784</v>
      </c>
      <c r="I2494" s="1">
        <v>0</v>
      </c>
      <c r="J2494" s="1">
        <v>119352</v>
      </c>
      <c r="K2494" s="1">
        <v>18822.27</v>
      </c>
      <c r="L2494" s="1" t="s">
        <v>70</v>
      </c>
      <c r="M2494" s="1" t="str">
        <f>TEXT(Table1[[#This Row],[Order Date]],"mmm")</f>
        <v>Nov</v>
      </c>
      <c r="N2494" s="1">
        <f>YEAR(Table1[[#This Row],[Order Date]])</f>
        <v>2023</v>
      </c>
    </row>
    <row r="2495" spans="1:14" x14ac:dyDescent="0.35">
      <c r="A2495" s="1" t="s">
        <v>3277</v>
      </c>
      <c r="B2495" s="1" t="s">
        <v>1845</v>
      </c>
      <c r="C2495" s="1" t="s">
        <v>260</v>
      </c>
      <c r="D2495" s="1" t="s">
        <v>27</v>
      </c>
      <c r="E2495" s="1" t="s">
        <v>28</v>
      </c>
      <c r="F2495" s="1" t="s">
        <v>27</v>
      </c>
      <c r="G2495" s="1">
        <v>6</v>
      </c>
      <c r="H2495" s="1">
        <v>7538</v>
      </c>
      <c r="I2495" s="1">
        <v>0.15</v>
      </c>
      <c r="J2495" s="1">
        <v>38443.800000000003</v>
      </c>
      <c r="K2495" s="1">
        <v>4869.7299999999996</v>
      </c>
      <c r="L2495" s="1" t="s">
        <v>45</v>
      </c>
      <c r="M2495" s="1" t="str">
        <f>TEXT(Table1[[#This Row],[Order Date]],"mmm")</f>
        <v>Mar</v>
      </c>
      <c r="N2495" s="1">
        <f>YEAR(Table1[[#This Row],[Order Date]])</f>
        <v>2023</v>
      </c>
    </row>
    <row r="2496" spans="1:14" x14ac:dyDescent="0.35">
      <c r="A2496" s="1" t="s">
        <v>3278</v>
      </c>
      <c r="B2496" s="1" t="s">
        <v>547</v>
      </c>
      <c r="C2496" s="1" t="s">
        <v>101</v>
      </c>
      <c r="D2496" s="1" t="s">
        <v>64</v>
      </c>
      <c r="E2496" s="1" t="s">
        <v>33</v>
      </c>
      <c r="F2496" s="1" t="s">
        <v>64</v>
      </c>
      <c r="G2496" s="1">
        <v>11</v>
      </c>
      <c r="H2496" s="1">
        <v>49090</v>
      </c>
      <c r="I2496" s="1">
        <v>0.1</v>
      </c>
      <c r="J2496" s="1">
        <v>485991</v>
      </c>
      <c r="K2496" s="1">
        <v>61709.83</v>
      </c>
      <c r="L2496" s="1" t="s">
        <v>17</v>
      </c>
      <c r="M2496" s="1" t="str">
        <f>TEXT(Table1[[#This Row],[Order Date]],"mmm")</f>
        <v>Nov</v>
      </c>
      <c r="N2496" s="1">
        <f>YEAR(Table1[[#This Row],[Order Date]])</f>
        <v>2023</v>
      </c>
    </row>
    <row r="2497" spans="1:14" x14ac:dyDescent="0.35">
      <c r="A2497" s="1" t="s">
        <v>3279</v>
      </c>
      <c r="B2497" s="1" t="s">
        <v>670</v>
      </c>
      <c r="C2497" s="1" t="s">
        <v>507</v>
      </c>
      <c r="D2497" s="1" t="s">
        <v>293</v>
      </c>
      <c r="E2497" s="1" t="s">
        <v>33</v>
      </c>
      <c r="F2497" s="1" t="s">
        <v>293</v>
      </c>
      <c r="G2497" s="1">
        <v>10</v>
      </c>
      <c r="H2497" s="1">
        <v>34289</v>
      </c>
      <c r="I2497" s="1">
        <v>0.15</v>
      </c>
      <c r="J2497" s="1">
        <v>291456.5</v>
      </c>
      <c r="K2497" s="1">
        <v>35850.57</v>
      </c>
      <c r="L2497" s="1" t="s">
        <v>45</v>
      </c>
      <c r="M2497" s="1" t="str">
        <f>TEXT(Table1[[#This Row],[Order Date]],"mmm")</f>
        <v>Feb</v>
      </c>
      <c r="N2497" s="1">
        <f>YEAR(Table1[[#This Row],[Order Date]])</f>
        <v>2024</v>
      </c>
    </row>
    <row r="2498" spans="1:14" x14ac:dyDescent="0.35">
      <c r="A2498" s="1" t="s">
        <v>3280</v>
      </c>
      <c r="B2498" s="1" t="s">
        <v>907</v>
      </c>
      <c r="C2498" s="1" t="s">
        <v>104</v>
      </c>
      <c r="D2498" s="1" t="s">
        <v>114</v>
      </c>
      <c r="E2498" s="1" t="s">
        <v>16</v>
      </c>
      <c r="F2498" s="1" t="s">
        <v>114</v>
      </c>
      <c r="G2498" s="1">
        <v>11</v>
      </c>
      <c r="H2498" s="1">
        <v>54245</v>
      </c>
      <c r="I2498" s="1">
        <v>0.2</v>
      </c>
      <c r="J2498" s="1">
        <v>477356</v>
      </c>
      <c r="K2498" s="1">
        <v>58499.14</v>
      </c>
      <c r="L2498" s="1" t="s">
        <v>45</v>
      </c>
      <c r="M2498" s="1" t="str">
        <f>TEXT(Table1[[#This Row],[Order Date]],"mmm")</f>
        <v>Mar</v>
      </c>
      <c r="N2498" s="1">
        <f>YEAR(Table1[[#This Row],[Order Date]])</f>
        <v>2023</v>
      </c>
    </row>
    <row r="2499" spans="1:14" x14ac:dyDescent="0.35">
      <c r="A2499" s="1" t="s">
        <v>3281</v>
      </c>
      <c r="B2499" s="1" t="s">
        <v>1431</v>
      </c>
      <c r="C2499" s="1" t="s">
        <v>73</v>
      </c>
      <c r="D2499" s="1" t="s">
        <v>32</v>
      </c>
      <c r="E2499" s="1" t="s">
        <v>33</v>
      </c>
      <c r="F2499" s="1" t="s">
        <v>32</v>
      </c>
      <c r="G2499" s="1">
        <v>10</v>
      </c>
      <c r="H2499" s="1">
        <v>41971</v>
      </c>
      <c r="I2499" s="1">
        <v>0.1</v>
      </c>
      <c r="J2499" s="1">
        <v>377739</v>
      </c>
      <c r="K2499" s="1">
        <v>39921.75</v>
      </c>
      <c r="L2499" s="1" t="s">
        <v>17</v>
      </c>
      <c r="M2499" s="1" t="str">
        <f>TEXT(Table1[[#This Row],[Order Date]],"mmm")</f>
        <v>Feb</v>
      </c>
      <c r="N2499" s="1">
        <f>YEAR(Table1[[#This Row],[Order Date]])</f>
        <v>2023</v>
      </c>
    </row>
    <row r="2500" spans="1:14" x14ac:dyDescent="0.35">
      <c r="A2500" s="1" t="s">
        <v>3282</v>
      </c>
      <c r="B2500" s="1" t="s">
        <v>2460</v>
      </c>
      <c r="C2500" s="1" t="s">
        <v>260</v>
      </c>
      <c r="D2500" s="1" t="s">
        <v>27</v>
      </c>
      <c r="E2500" s="1" t="s">
        <v>28</v>
      </c>
      <c r="F2500" s="1" t="s">
        <v>27</v>
      </c>
      <c r="G2500" s="1">
        <v>4</v>
      </c>
      <c r="H2500" s="1">
        <v>42749</v>
      </c>
      <c r="I2500" s="1">
        <v>0.15</v>
      </c>
      <c r="J2500" s="1">
        <v>145346.6</v>
      </c>
      <c r="K2500" s="1">
        <v>27464.82</v>
      </c>
      <c r="L2500" s="1" t="s">
        <v>23</v>
      </c>
      <c r="M2500" s="1" t="str">
        <f>TEXT(Table1[[#This Row],[Order Date]],"mmm")</f>
        <v>Jan</v>
      </c>
      <c r="N2500" s="1">
        <f>YEAR(Table1[[#This Row],[Order Date]])</f>
        <v>2023</v>
      </c>
    </row>
    <row r="2501" spans="1:14" x14ac:dyDescent="0.35">
      <c r="A2501" s="1" t="s">
        <v>3283</v>
      </c>
      <c r="B2501" s="1" t="s">
        <v>612</v>
      </c>
      <c r="C2501" s="1" t="s">
        <v>136</v>
      </c>
      <c r="D2501" s="1" t="s">
        <v>52</v>
      </c>
      <c r="E2501" s="1" t="s">
        <v>28</v>
      </c>
      <c r="F2501" s="1" t="s">
        <v>52</v>
      </c>
      <c r="G2501" s="1">
        <v>12</v>
      </c>
      <c r="H2501" s="1">
        <v>27818</v>
      </c>
      <c r="I2501" s="1">
        <v>0.1</v>
      </c>
      <c r="J2501" s="1">
        <v>300434.40000000002</v>
      </c>
      <c r="K2501" s="1">
        <v>60743.01</v>
      </c>
      <c r="L2501" s="1" t="s">
        <v>17</v>
      </c>
      <c r="M2501" s="1" t="str">
        <f>TEXT(Table1[[#This Row],[Order Date]],"mmm")</f>
        <v>May</v>
      </c>
      <c r="N2501" s="1">
        <f>YEAR(Table1[[#This Row],[Order Date]])</f>
        <v>2024</v>
      </c>
    </row>
    <row r="2502" spans="1:14" x14ac:dyDescent="0.35">
      <c r="A2502" s="1" t="s">
        <v>3284</v>
      </c>
      <c r="B2502" s="1" t="s">
        <v>292</v>
      </c>
      <c r="C2502" s="1" t="s">
        <v>94</v>
      </c>
      <c r="D2502" s="1" t="s">
        <v>167</v>
      </c>
      <c r="E2502" s="1" t="s">
        <v>16</v>
      </c>
      <c r="F2502" s="1" t="s">
        <v>167</v>
      </c>
      <c r="G2502" s="1">
        <v>1</v>
      </c>
      <c r="H2502" s="1">
        <v>41227</v>
      </c>
      <c r="I2502" s="1">
        <v>0.05</v>
      </c>
      <c r="J2502" s="1">
        <v>39165.65</v>
      </c>
      <c r="K2502" s="1">
        <v>10879.29</v>
      </c>
      <c r="L2502" s="1" t="s">
        <v>23</v>
      </c>
      <c r="M2502" s="1" t="str">
        <f>TEXT(Table1[[#This Row],[Order Date]],"mmm")</f>
        <v>Aug</v>
      </c>
      <c r="N2502" s="1">
        <f>YEAR(Table1[[#This Row],[Order Date]])</f>
        <v>2024</v>
      </c>
    </row>
    <row r="2503" spans="1:14" x14ac:dyDescent="0.35">
      <c r="A2503" s="1" t="s">
        <v>3285</v>
      </c>
      <c r="B2503" s="1" t="s">
        <v>164</v>
      </c>
      <c r="C2503" s="1" t="s">
        <v>128</v>
      </c>
      <c r="D2503" s="1" t="s">
        <v>32</v>
      </c>
      <c r="E2503" s="1" t="s">
        <v>33</v>
      </c>
      <c r="F2503" s="1" t="s">
        <v>32</v>
      </c>
      <c r="G2503" s="1">
        <v>1</v>
      </c>
      <c r="H2503" s="1">
        <v>25462</v>
      </c>
      <c r="I2503" s="1">
        <v>0.2</v>
      </c>
      <c r="J2503" s="1">
        <v>20369.599999999999</v>
      </c>
      <c r="K2503" s="1">
        <v>4761.7</v>
      </c>
      <c r="L2503" s="1" t="s">
        <v>45</v>
      </c>
      <c r="M2503" s="1" t="str">
        <f>TEXT(Table1[[#This Row],[Order Date]],"mmm")</f>
        <v>May</v>
      </c>
      <c r="N2503" s="1">
        <f>YEAR(Table1[[#This Row],[Order Date]])</f>
        <v>2023</v>
      </c>
    </row>
    <row r="2504" spans="1:14" x14ac:dyDescent="0.35">
      <c r="A2504" s="1" t="s">
        <v>3286</v>
      </c>
      <c r="B2504" s="1" t="s">
        <v>660</v>
      </c>
      <c r="C2504" s="1" t="s">
        <v>136</v>
      </c>
      <c r="D2504" s="1" t="s">
        <v>179</v>
      </c>
      <c r="E2504" s="1" t="s">
        <v>28</v>
      </c>
      <c r="F2504" s="1" t="s">
        <v>179</v>
      </c>
      <c r="G2504" s="1">
        <v>4</v>
      </c>
      <c r="H2504" s="1">
        <v>38404</v>
      </c>
      <c r="I2504" s="1">
        <v>0.1</v>
      </c>
      <c r="J2504" s="1">
        <v>138254.39999999999</v>
      </c>
      <c r="K2504" s="1">
        <v>16540.32</v>
      </c>
      <c r="L2504" s="1" t="s">
        <v>45</v>
      </c>
      <c r="M2504" s="1" t="str">
        <f>TEXT(Table1[[#This Row],[Order Date]],"mmm")</f>
        <v>May</v>
      </c>
      <c r="N2504" s="1">
        <f>YEAR(Table1[[#This Row],[Order Date]])</f>
        <v>2023</v>
      </c>
    </row>
    <row r="2505" spans="1:14" x14ac:dyDescent="0.35">
      <c r="A2505" s="1" t="s">
        <v>3287</v>
      </c>
      <c r="B2505" s="1" t="s">
        <v>2123</v>
      </c>
      <c r="C2505" s="1" t="s">
        <v>98</v>
      </c>
      <c r="D2505" s="1" t="s">
        <v>60</v>
      </c>
      <c r="E2505" s="1" t="s">
        <v>33</v>
      </c>
      <c r="F2505" s="1" t="s">
        <v>60</v>
      </c>
      <c r="G2505" s="1">
        <v>13</v>
      </c>
      <c r="H2505" s="1">
        <v>50472</v>
      </c>
      <c r="I2505" s="1">
        <v>0.2</v>
      </c>
      <c r="J2505" s="1">
        <v>524908.80000000005</v>
      </c>
      <c r="K2505" s="1">
        <v>74420.56</v>
      </c>
      <c r="L2505" s="1" t="s">
        <v>17</v>
      </c>
      <c r="M2505" s="1" t="str">
        <f>TEXT(Table1[[#This Row],[Order Date]],"mmm")</f>
        <v>Oct</v>
      </c>
      <c r="N2505" s="1">
        <f>YEAR(Table1[[#This Row],[Order Date]])</f>
        <v>2023</v>
      </c>
    </row>
    <row r="2506" spans="1:14" x14ac:dyDescent="0.35">
      <c r="A2506" s="1" t="s">
        <v>3288</v>
      </c>
      <c r="B2506" s="1" t="s">
        <v>183</v>
      </c>
      <c r="C2506" s="1" t="s">
        <v>111</v>
      </c>
      <c r="D2506" s="1" t="s">
        <v>293</v>
      </c>
      <c r="E2506" s="1" t="s">
        <v>33</v>
      </c>
      <c r="F2506" s="1" t="s">
        <v>293</v>
      </c>
      <c r="G2506" s="1">
        <v>8</v>
      </c>
      <c r="H2506" s="1">
        <v>3257</v>
      </c>
      <c r="I2506" s="1">
        <v>0.15</v>
      </c>
      <c r="J2506" s="1">
        <v>22147.599999999999</v>
      </c>
      <c r="K2506" s="1">
        <v>2315.5700000000002</v>
      </c>
      <c r="L2506" s="1" t="s">
        <v>17</v>
      </c>
      <c r="M2506" s="1" t="str">
        <f>TEXT(Table1[[#This Row],[Order Date]],"mmm")</f>
        <v>Jul</v>
      </c>
      <c r="N2506" s="1">
        <f>YEAR(Table1[[#This Row],[Order Date]])</f>
        <v>2024</v>
      </c>
    </row>
    <row r="2507" spans="1:14" x14ac:dyDescent="0.35">
      <c r="A2507" s="1" t="s">
        <v>3289</v>
      </c>
      <c r="B2507" s="1" t="s">
        <v>1191</v>
      </c>
      <c r="C2507" s="1" t="s">
        <v>191</v>
      </c>
      <c r="D2507" s="1" t="s">
        <v>27</v>
      </c>
      <c r="E2507" s="1" t="s">
        <v>28</v>
      </c>
      <c r="F2507" s="1" t="s">
        <v>27</v>
      </c>
      <c r="G2507" s="1">
        <v>15</v>
      </c>
      <c r="H2507" s="1">
        <v>16788</v>
      </c>
      <c r="I2507" s="1">
        <v>0.15</v>
      </c>
      <c r="J2507" s="1">
        <v>214047</v>
      </c>
      <c r="K2507" s="1">
        <v>35757.07</v>
      </c>
      <c r="L2507" s="1" t="s">
        <v>70</v>
      </c>
      <c r="M2507" s="1" t="str">
        <f>TEXT(Table1[[#This Row],[Order Date]],"mmm")</f>
        <v>Aug</v>
      </c>
      <c r="N2507" s="1">
        <f>YEAR(Table1[[#This Row],[Order Date]])</f>
        <v>2024</v>
      </c>
    </row>
    <row r="2508" spans="1:14" x14ac:dyDescent="0.35">
      <c r="A2508" s="1" t="s">
        <v>3290</v>
      </c>
      <c r="B2508" s="1" t="s">
        <v>447</v>
      </c>
      <c r="C2508" s="1" t="s">
        <v>362</v>
      </c>
      <c r="D2508" s="1" t="s">
        <v>137</v>
      </c>
      <c r="E2508" s="1" t="s">
        <v>22</v>
      </c>
      <c r="F2508" s="1" t="s">
        <v>137</v>
      </c>
      <c r="G2508" s="1">
        <v>15</v>
      </c>
      <c r="H2508" s="1">
        <v>43496</v>
      </c>
      <c r="I2508" s="1">
        <v>0.15</v>
      </c>
      <c r="J2508" s="1">
        <v>554574</v>
      </c>
      <c r="K2508" s="1">
        <v>75541.86</v>
      </c>
      <c r="L2508" s="1" t="s">
        <v>70</v>
      </c>
      <c r="M2508" s="1" t="str">
        <f>TEXT(Table1[[#This Row],[Order Date]],"mmm")</f>
        <v>Dec</v>
      </c>
      <c r="N2508" s="1">
        <f>YEAR(Table1[[#This Row],[Order Date]])</f>
        <v>2023</v>
      </c>
    </row>
    <row r="2509" spans="1:14" x14ac:dyDescent="0.35">
      <c r="A2509" s="1" t="s">
        <v>3291</v>
      </c>
      <c r="B2509" s="1" t="s">
        <v>1045</v>
      </c>
      <c r="C2509" s="1" t="s">
        <v>203</v>
      </c>
      <c r="D2509" s="1" t="s">
        <v>137</v>
      </c>
      <c r="E2509" s="1" t="s">
        <v>22</v>
      </c>
      <c r="F2509" s="1" t="s">
        <v>137</v>
      </c>
      <c r="G2509" s="1">
        <v>8</v>
      </c>
      <c r="H2509" s="1">
        <v>22745</v>
      </c>
      <c r="I2509" s="1">
        <v>0.05</v>
      </c>
      <c r="J2509" s="1">
        <v>172862</v>
      </c>
      <c r="K2509" s="1">
        <v>23536.55</v>
      </c>
      <c r="L2509" s="1" t="s">
        <v>23</v>
      </c>
      <c r="M2509" s="1" t="str">
        <f>TEXT(Table1[[#This Row],[Order Date]],"mmm")</f>
        <v>Feb</v>
      </c>
      <c r="N2509" s="1">
        <f>YEAR(Table1[[#This Row],[Order Date]])</f>
        <v>2023</v>
      </c>
    </row>
    <row r="2510" spans="1:14" x14ac:dyDescent="0.35">
      <c r="A2510" s="1" t="s">
        <v>3292</v>
      </c>
      <c r="B2510" s="1" t="s">
        <v>1741</v>
      </c>
      <c r="C2510" s="1" t="s">
        <v>73</v>
      </c>
      <c r="D2510" s="1" t="s">
        <v>85</v>
      </c>
      <c r="E2510" s="1" t="s">
        <v>28</v>
      </c>
      <c r="F2510" s="1" t="s">
        <v>85</v>
      </c>
      <c r="G2510" s="1">
        <v>15</v>
      </c>
      <c r="H2510" s="1">
        <v>36555</v>
      </c>
      <c r="I2510" s="1">
        <v>0</v>
      </c>
      <c r="J2510" s="1">
        <v>548325</v>
      </c>
      <c r="K2510" s="1">
        <v>98635.58</v>
      </c>
      <c r="L2510" s="1" t="s">
        <v>23</v>
      </c>
      <c r="M2510" s="1" t="str">
        <f>TEXT(Table1[[#This Row],[Order Date]],"mmm")</f>
        <v>Apr</v>
      </c>
      <c r="N2510" s="1">
        <f>YEAR(Table1[[#This Row],[Order Date]])</f>
        <v>2024</v>
      </c>
    </row>
    <row r="2511" spans="1:14" x14ac:dyDescent="0.35">
      <c r="A2511" s="1" t="s">
        <v>3293</v>
      </c>
      <c r="B2511" s="1" t="s">
        <v>177</v>
      </c>
      <c r="C2511" s="1" t="s">
        <v>84</v>
      </c>
      <c r="D2511" s="1" t="s">
        <v>21</v>
      </c>
      <c r="E2511" s="1" t="s">
        <v>22</v>
      </c>
      <c r="F2511" s="1" t="s">
        <v>21</v>
      </c>
      <c r="G2511" s="1">
        <v>6</v>
      </c>
      <c r="H2511" s="1">
        <v>11729</v>
      </c>
      <c r="I2511" s="1">
        <v>0</v>
      </c>
      <c r="J2511" s="1">
        <v>70374</v>
      </c>
      <c r="K2511" s="1">
        <v>19904.41</v>
      </c>
      <c r="L2511" s="1" t="s">
        <v>70</v>
      </c>
      <c r="M2511" s="1" t="str">
        <f>TEXT(Table1[[#This Row],[Order Date]],"mmm")</f>
        <v>Jun</v>
      </c>
      <c r="N2511" s="1">
        <f>YEAR(Table1[[#This Row],[Order Date]])</f>
        <v>2023</v>
      </c>
    </row>
    <row r="2512" spans="1:14" x14ac:dyDescent="0.35">
      <c r="A2512" s="1" t="s">
        <v>3294</v>
      </c>
      <c r="B2512" s="1" t="s">
        <v>2239</v>
      </c>
      <c r="C2512" s="1" t="s">
        <v>128</v>
      </c>
      <c r="D2512" s="1" t="s">
        <v>323</v>
      </c>
      <c r="E2512" s="1" t="s">
        <v>33</v>
      </c>
      <c r="F2512" s="1" t="s">
        <v>323</v>
      </c>
      <c r="G2512" s="1">
        <v>1</v>
      </c>
      <c r="H2512" s="1">
        <v>23447</v>
      </c>
      <c r="I2512" s="1">
        <v>0</v>
      </c>
      <c r="J2512" s="1">
        <v>23447</v>
      </c>
      <c r="K2512" s="1">
        <v>4600.47</v>
      </c>
      <c r="L2512" s="1" t="s">
        <v>23</v>
      </c>
      <c r="M2512" s="1" t="str">
        <f>TEXT(Table1[[#This Row],[Order Date]],"mmm")</f>
        <v>Oct</v>
      </c>
      <c r="N2512" s="1">
        <f>YEAR(Table1[[#This Row],[Order Date]])</f>
        <v>2023</v>
      </c>
    </row>
    <row r="2513" spans="1:14" x14ac:dyDescent="0.35">
      <c r="A2513" s="1" t="s">
        <v>3295</v>
      </c>
      <c r="B2513" s="1" t="s">
        <v>400</v>
      </c>
      <c r="C2513" s="1" t="s">
        <v>117</v>
      </c>
      <c r="D2513" s="1" t="s">
        <v>293</v>
      </c>
      <c r="E2513" s="1" t="s">
        <v>33</v>
      </c>
      <c r="F2513" s="1" t="s">
        <v>293</v>
      </c>
      <c r="G2513" s="1">
        <v>8</v>
      </c>
      <c r="H2513" s="1">
        <v>50061</v>
      </c>
      <c r="I2513" s="1">
        <v>0.2</v>
      </c>
      <c r="J2513" s="1">
        <v>320390.40000000002</v>
      </c>
      <c r="K2513" s="1">
        <v>71202.820000000007</v>
      </c>
      <c r="L2513" s="1" t="s">
        <v>23</v>
      </c>
      <c r="M2513" s="1" t="str">
        <f>TEXT(Table1[[#This Row],[Order Date]],"mmm")</f>
        <v>Aug</v>
      </c>
      <c r="N2513" s="1">
        <f>YEAR(Table1[[#This Row],[Order Date]])</f>
        <v>2023</v>
      </c>
    </row>
    <row r="2514" spans="1:14" x14ac:dyDescent="0.35">
      <c r="A2514" s="1" t="s">
        <v>3296</v>
      </c>
      <c r="B2514" s="1" t="s">
        <v>2241</v>
      </c>
      <c r="C2514" s="1" t="s">
        <v>26</v>
      </c>
      <c r="D2514" s="1" t="s">
        <v>44</v>
      </c>
      <c r="E2514" s="1" t="s">
        <v>28</v>
      </c>
      <c r="F2514" s="1" t="s">
        <v>44</v>
      </c>
      <c r="G2514" s="1">
        <v>15</v>
      </c>
      <c r="H2514" s="1">
        <v>39354</v>
      </c>
      <c r="I2514" s="1">
        <v>0.05</v>
      </c>
      <c r="J2514" s="1">
        <v>560794.5</v>
      </c>
      <c r="K2514" s="1">
        <v>160809.01999999999</v>
      </c>
      <c r="L2514" s="1" t="s">
        <v>70</v>
      </c>
      <c r="M2514" s="1" t="str">
        <f>TEXT(Table1[[#This Row],[Order Date]],"mmm")</f>
        <v>Feb</v>
      </c>
      <c r="N2514" s="1">
        <f>YEAR(Table1[[#This Row],[Order Date]])</f>
        <v>2024</v>
      </c>
    </row>
    <row r="2515" spans="1:14" x14ac:dyDescent="0.35">
      <c r="A2515" s="1" t="s">
        <v>3297</v>
      </c>
      <c r="B2515" s="1" t="s">
        <v>1015</v>
      </c>
      <c r="C2515" s="1" t="s">
        <v>31</v>
      </c>
      <c r="D2515" s="1" t="s">
        <v>137</v>
      </c>
      <c r="E2515" s="1" t="s">
        <v>22</v>
      </c>
      <c r="F2515" s="1" t="s">
        <v>137</v>
      </c>
      <c r="G2515" s="1">
        <v>3</v>
      </c>
      <c r="H2515" s="1">
        <v>12267</v>
      </c>
      <c r="I2515" s="1">
        <v>0.05</v>
      </c>
      <c r="J2515" s="1">
        <v>34960.949999999997</v>
      </c>
      <c r="K2515" s="1">
        <v>5944.23</v>
      </c>
      <c r="L2515" s="1" t="s">
        <v>45</v>
      </c>
      <c r="M2515" s="1" t="str">
        <f>TEXT(Table1[[#This Row],[Order Date]],"mmm")</f>
        <v>Aug</v>
      </c>
      <c r="N2515" s="1">
        <f>YEAR(Table1[[#This Row],[Order Date]])</f>
        <v>2023</v>
      </c>
    </row>
    <row r="2516" spans="1:14" x14ac:dyDescent="0.35">
      <c r="A2516" s="1" t="s">
        <v>3298</v>
      </c>
      <c r="B2516" s="1" t="s">
        <v>100</v>
      </c>
      <c r="C2516" s="1" t="s">
        <v>170</v>
      </c>
      <c r="D2516" s="1" t="s">
        <v>32</v>
      </c>
      <c r="E2516" s="1" t="s">
        <v>33</v>
      </c>
      <c r="F2516" s="1" t="s">
        <v>32</v>
      </c>
      <c r="G2516" s="1">
        <v>6</v>
      </c>
      <c r="H2516" s="1">
        <v>26477</v>
      </c>
      <c r="I2516" s="1">
        <v>0.05</v>
      </c>
      <c r="J2516" s="1">
        <v>150918.9</v>
      </c>
      <c r="K2516" s="1">
        <v>17100.490000000002</v>
      </c>
      <c r="L2516" s="1" t="s">
        <v>23</v>
      </c>
      <c r="M2516" s="1" t="str">
        <f>TEXT(Table1[[#This Row],[Order Date]],"mmm")</f>
        <v>Nov</v>
      </c>
      <c r="N2516" s="1">
        <f>YEAR(Table1[[#This Row],[Order Date]])</f>
        <v>2023</v>
      </c>
    </row>
    <row r="2517" spans="1:14" x14ac:dyDescent="0.35">
      <c r="A2517" s="1" t="s">
        <v>3299</v>
      </c>
      <c r="B2517" s="1" t="s">
        <v>1716</v>
      </c>
      <c r="C2517" s="1" t="s">
        <v>191</v>
      </c>
      <c r="D2517" s="1" t="s">
        <v>64</v>
      </c>
      <c r="E2517" s="1" t="s">
        <v>33</v>
      </c>
      <c r="F2517" s="1" t="s">
        <v>64</v>
      </c>
      <c r="G2517" s="1">
        <v>5</v>
      </c>
      <c r="H2517" s="1">
        <v>3909</v>
      </c>
      <c r="I2517" s="1">
        <v>0.2</v>
      </c>
      <c r="J2517" s="1">
        <v>15636</v>
      </c>
      <c r="K2517" s="1">
        <v>4449.46</v>
      </c>
      <c r="L2517" s="1" t="s">
        <v>17</v>
      </c>
      <c r="M2517" s="1" t="str">
        <f>TEXT(Table1[[#This Row],[Order Date]],"mmm")</f>
        <v>Jul</v>
      </c>
      <c r="N2517" s="1">
        <f>YEAR(Table1[[#This Row],[Order Date]])</f>
        <v>2024</v>
      </c>
    </row>
    <row r="2518" spans="1:14" x14ac:dyDescent="0.35">
      <c r="A2518" s="1" t="s">
        <v>3300</v>
      </c>
      <c r="B2518" s="1" t="s">
        <v>1886</v>
      </c>
      <c r="C2518" s="1" t="s">
        <v>81</v>
      </c>
      <c r="D2518" s="1" t="s">
        <v>21</v>
      </c>
      <c r="E2518" s="1" t="s">
        <v>22</v>
      </c>
      <c r="F2518" s="1" t="s">
        <v>21</v>
      </c>
      <c r="G2518" s="1">
        <v>12</v>
      </c>
      <c r="H2518" s="1">
        <v>39916</v>
      </c>
      <c r="I2518" s="1">
        <v>0.15</v>
      </c>
      <c r="J2518" s="1">
        <v>407143.2</v>
      </c>
      <c r="K2518" s="1">
        <v>54335.16</v>
      </c>
      <c r="L2518" s="1" t="s">
        <v>45</v>
      </c>
      <c r="M2518" s="1" t="str">
        <f>TEXT(Table1[[#This Row],[Order Date]],"mmm")</f>
        <v>Apr</v>
      </c>
      <c r="N2518" s="1">
        <f>YEAR(Table1[[#This Row],[Order Date]])</f>
        <v>2024</v>
      </c>
    </row>
    <row r="2519" spans="1:14" x14ac:dyDescent="0.35">
      <c r="A2519" s="1" t="s">
        <v>3301</v>
      </c>
      <c r="B2519" s="1" t="s">
        <v>1090</v>
      </c>
      <c r="C2519" s="1" t="s">
        <v>260</v>
      </c>
      <c r="D2519" s="1" t="s">
        <v>141</v>
      </c>
      <c r="E2519" s="1" t="s">
        <v>22</v>
      </c>
      <c r="F2519" s="1" t="s">
        <v>141</v>
      </c>
      <c r="G2519" s="1">
        <v>10</v>
      </c>
      <c r="H2519" s="1">
        <v>30788</v>
      </c>
      <c r="I2519" s="1">
        <v>0.1</v>
      </c>
      <c r="J2519" s="1">
        <v>277092</v>
      </c>
      <c r="K2519" s="1">
        <v>63147.69</v>
      </c>
      <c r="L2519" s="1" t="s">
        <v>17</v>
      </c>
      <c r="M2519" s="1" t="str">
        <f>TEXT(Table1[[#This Row],[Order Date]],"mmm")</f>
        <v>Feb</v>
      </c>
      <c r="N2519" s="1">
        <f>YEAR(Table1[[#This Row],[Order Date]])</f>
        <v>2024</v>
      </c>
    </row>
    <row r="2520" spans="1:14" x14ac:dyDescent="0.35">
      <c r="A2520" s="1" t="s">
        <v>3302</v>
      </c>
      <c r="B2520" s="1" t="s">
        <v>556</v>
      </c>
      <c r="C2520" s="1" t="s">
        <v>335</v>
      </c>
      <c r="D2520" s="1" t="s">
        <v>85</v>
      </c>
      <c r="E2520" s="1" t="s">
        <v>28</v>
      </c>
      <c r="F2520" s="1" t="s">
        <v>85</v>
      </c>
      <c r="G2520" s="1">
        <v>15</v>
      </c>
      <c r="H2520" s="1">
        <v>23618</v>
      </c>
      <c r="I2520" s="1">
        <v>0</v>
      </c>
      <c r="J2520" s="1">
        <v>354270</v>
      </c>
      <c r="K2520" s="1">
        <v>57811.41</v>
      </c>
      <c r="L2520" s="1" t="s">
        <v>70</v>
      </c>
      <c r="M2520" s="1" t="str">
        <f>TEXT(Table1[[#This Row],[Order Date]],"mmm")</f>
        <v>Nov</v>
      </c>
      <c r="N2520" s="1">
        <f>YEAR(Table1[[#This Row],[Order Date]])</f>
        <v>2024</v>
      </c>
    </row>
    <row r="2521" spans="1:14" x14ac:dyDescent="0.35">
      <c r="A2521" s="1" t="s">
        <v>3303</v>
      </c>
      <c r="B2521" s="1" t="s">
        <v>676</v>
      </c>
      <c r="C2521" s="1" t="s">
        <v>200</v>
      </c>
      <c r="D2521" s="1" t="s">
        <v>95</v>
      </c>
      <c r="E2521" s="1" t="s">
        <v>33</v>
      </c>
      <c r="F2521" s="1" t="s">
        <v>95</v>
      </c>
      <c r="G2521" s="1">
        <v>14</v>
      </c>
      <c r="H2521" s="1">
        <v>16989</v>
      </c>
      <c r="I2521" s="1">
        <v>0.15</v>
      </c>
      <c r="J2521" s="1">
        <v>202169.1</v>
      </c>
      <c r="K2521" s="1">
        <v>59268.72</v>
      </c>
      <c r="L2521" s="1" t="s">
        <v>17</v>
      </c>
      <c r="M2521" s="1" t="str">
        <f>TEXT(Table1[[#This Row],[Order Date]],"mmm")</f>
        <v>Oct</v>
      </c>
      <c r="N2521" s="1">
        <f>YEAR(Table1[[#This Row],[Order Date]])</f>
        <v>2023</v>
      </c>
    </row>
    <row r="2522" spans="1:14" x14ac:dyDescent="0.35">
      <c r="A2522" s="1" t="s">
        <v>3304</v>
      </c>
      <c r="B2522" s="1" t="s">
        <v>776</v>
      </c>
      <c r="C2522" s="1" t="s">
        <v>188</v>
      </c>
      <c r="D2522" s="1" t="s">
        <v>114</v>
      </c>
      <c r="E2522" s="1" t="s">
        <v>16</v>
      </c>
      <c r="F2522" s="1" t="s">
        <v>114</v>
      </c>
      <c r="G2522" s="1">
        <v>9</v>
      </c>
      <c r="H2522" s="1">
        <v>40360</v>
      </c>
      <c r="I2522" s="1">
        <v>0.15</v>
      </c>
      <c r="J2522" s="1">
        <v>308754</v>
      </c>
      <c r="K2522" s="1">
        <v>49833.43</v>
      </c>
      <c r="L2522" s="1" t="s">
        <v>23</v>
      </c>
      <c r="M2522" s="1" t="str">
        <f>TEXT(Table1[[#This Row],[Order Date]],"mmm")</f>
        <v>Feb</v>
      </c>
      <c r="N2522" s="1">
        <f>YEAR(Table1[[#This Row],[Order Date]])</f>
        <v>2024</v>
      </c>
    </row>
    <row r="2523" spans="1:14" x14ac:dyDescent="0.35">
      <c r="A2523" s="1" t="s">
        <v>3305</v>
      </c>
      <c r="B2523" s="1" t="s">
        <v>392</v>
      </c>
      <c r="C2523" s="1" t="s">
        <v>208</v>
      </c>
      <c r="D2523" s="1" t="s">
        <v>108</v>
      </c>
      <c r="E2523" s="1" t="s">
        <v>22</v>
      </c>
      <c r="F2523" s="1" t="s">
        <v>108</v>
      </c>
      <c r="G2523" s="1">
        <v>3</v>
      </c>
      <c r="H2523" s="1">
        <v>6576</v>
      </c>
      <c r="I2523" s="1">
        <v>0.05</v>
      </c>
      <c r="J2523" s="1">
        <v>18741.599999999999</v>
      </c>
      <c r="K2523" s="1">
        <v>1576.55</v>
      </c>
      <c r="L2523" s="1" t="s">
        <v>45</v>
      </c>
      <c r="M2523" s="1" t="str">
        <f>TEXT(Table1[[#This Row],[Order Date]],"mmm")</f>
        <v>May</v>
      </c>
      <c r="N2523" s="1">
        <f>YEAR(Table1[[#This Row],[Order Date]])</f>
        <v>2024</v>
      </c>
    </row>
    <row r="2524" spans="1:14" x14ac:dyDescent="0.35">
      <c r="A2524" s="1" t="s">
        <v>3306</v>
      </c>
      <c r="B2524" s="1" t="s">
        <v>2908</v>
      </c>
      <c r="C2524" s="1" t="s">
        <v>111</v>
      </c>
      <c r="D2524" s="1" t="s">
        <v>293</v>
      </c>
      <c r="E2524" s="1" t="s">
        <v>33</v>
      </c>
      <c r="F2524" s="1" t="s">
        <v>293</v>
      </c>
      <c r="G2524" s="1">
        <v>1</v>
      </c>
      <c r="H2524" s="1">
        <v>16190</v>
      </c>
      <c r="I2524" s="1">
        <v>0.1</v>
      </c>
      <c r="J2524" s="1">
        <v>14571</v>
      </c>
      <c r="K2524" s="1">
        <v>2902.53</v>
      </c>
      <c r="L2524" s="1" t="s">
        <v>70</v>
      </c>
      <c r="M2524" s="1" t="str">
        <f>TEXT(Table1[[#This Row],[Order Date]],"mmm")</f>
        <v>Sep</v>
      </c>
      <c r="N2524" s="1">
        <f>YEAR(Table1[[#This Row],[Order Date]])</f>
        <v>2024</v>
      </c>
    </row>
    <row r="2525" spans="1:14" x14ac:dyDescent="0.35">
      <c r="A2525" s="1" t="s">
        <v>3307</v>
      </c>
      <c r="B2525" s="1" t="s">
        <v>1681</v>
      </c>
      <c r="C2525" s="1" t="s">
        <v>128</v>
      </c>
      <c r="D2525" s="1" t="s">
        <v>167</v>
      </c>
      <c r="E2525" s="1" t="s">
        <v>16</v>
      </c>
      <c r="F2525" s="1" t="s">
        <v>167</v>
      </c>
      <c r="G2525" s="1">
        <v>10</v>
      </c>
      <c r="H2525" s="1">
        <v>12587</v>
      </c>
      <c r="I2525" s="1">
        <v>0.15</v>
      </c>
      <c r="J2525" s="1">
        <v>106989.5</v>
      </c>
      <c r="K2525" s="1">
        <v>31078.35</v>
      </c>
      <c r="L2525" s="1" t="s">
        <v>45</v>
      </c>
      <c r="M2525" s="1" t="str">
        <f>TEXT(Table1[[#This Row],[Order Date]],"mmm")</f>
        <v>May</v>
      </c>
      <c r="N2525" s="1">
        <f>YEAR(Table1[[#This Row],[Order Date]])</f>
        <v>2023</v>
      </c>
    </row>
    <row r="2526" spans="1:14" x14ac:dyDescent="0.35">
      <c r="A2526" s="1" t="s">
        <v>3308</v>
      </c>
      <c r="B2526" s="1" t="s">
        <v>410</v>
      </c>
      <c r="C2526" s="1" t="s">
        <v>335</v>
      </c>
      <c r="D2526" s="1" t="s">
        <v>27</v>
      </c>
      <c r="E2526" s="1" t="s">
        <v>28</v>
      </c>
      <c r="F2526" s="1" t="s">
        <v>27</v>
      </c>
      <c r="G2526" s="1">
        <v>8</v>
      </c>
      <c r="H2526" s="1">
        <v>23555</v>
      </c>
      <c r="I2526" s="1">
        <v>0.05</v>
      </c>
      <c r="J2526" s="1">
        <v>179018</v>
      </c>
      <c r="K2526" s="1">
        <v>45920.31</v>
      </c>
      <c r="L2526" s="1" t="s">
        <v>45</v>
      </c>
      <c r="M2526" s="1" t="str">
        <f>TEXT(Table1[[#This Row],[Order Date]],"mmm")</f>
        <v>Sep</v>
      </c>
      <c r="N2526" s="1">
        <f>YEAR(Table1[[#This Row],[Order Date]])</f>
        <v>2024</v>
      </c>
    </row>
    <row r="2527" spans="1:14" x14ac:dyDescent="0.35">
      <c r="A2527" s="1" t="s">
        <v>3309</v>
      </c>
      <c r="B2527" s="1" t="s">
        <v>1095</v>
      </c>
      <c r="C2527" s="1" t="s">
        <v>117</v>
      </c>
      <c r="D2527" s="1" t="s">
        <v>21</v>
      </c>
      <c r="E2527" s="1" t="s">
        <v>22</v>
      </c>
      <c r="F2527" s="1" t="s">
        <v>21</v>
      </c>
      <c r="G2527" s="1">
        <v>14</v>
      </c>
      <c r="H2527" s="1">
        <v>43797</v>
      </c>
      <c r="I2527" s="1">
        <v>0.05</v>
      </c>
      <c r="J2527" s="1">
        <v>582500.1</v>
      </c>
      <c r="K2527" s="1">
        <v>94341</v>
      </c>
      <c r="L2527" s="1" t="s">
        <v>23</v>
      </c>
      <c r="M2527" s="1" t="str">
        <f>TEXT(Table1[[#This Row],[Order Date]],"mmm")</f>
        <v>Jun</v>
      </c>
      <c r="N2527" s="1">
        <f>YEAR(Table1[[#This Row],[Order Date]])</f>
        <v>2023</v>
      </c>
    </row>
    <row r="2528" spans="1:14" x14ac:dyDescent="0.35">
      <c r="A2528" s="1" t="s">
        <v>3310</v>
      </c>
      <c r="B2528" s="1" t="s">
        <v>724</v>
      </c>
      <c r="C2528" s="1" t="s">
        <v>63</v>
      </c>
      <c r="D2528" s="1" t="s">
        <v>32</v>
      </c>
      <c r="E2528" s="1" t="s">
        <v>33</v>
      </c>
      <c r="F2528" s="1" t="s">
        <v>32</v>
      </c>
      <c r="G2528" s="1">
        <v>4</v>
      </c>
      <c r="H2528" s="1">
        <v>3337</v>
      </c>
      <c r="I2528" s="1">
        <v>0</v>
      </c>
      <c r="J2528" s="1">
        <v>13348</v>
      </c>
      <c r="K2528" s="1">
        <v>3340.16</v>
      </c>
      <c r="L2528" s="1" t="s">
        <v>70</v>
      </c>
      <c r="M2528" s="1" t="str">
        <f>TEXT(Table1[[#This Row],[Order Date]],"mmm")</f>
        <v>Feb</v>
      </c>
      <c r="N2528" s="1">
        <f>YEAR(Table1[[#This Row],[Order Date]])</f>
        <v>2023</v>
      </c>
    </row>
    <row r="2529" spans="1:14" x14ac:dyDescent="0.35">
      <c r="A2529" s="1" t="s">
        <v>3311</v>
      </c>
      <c r="B2529" s="1" t="s">
        <v>879</v>
      </c>
      <c r="C2529" s="1" t="s">
        <v>332</v>
      </c>
      <c r="D2529" s="1" t="s">
        <v>32</v>
      </c>
      <c r="E2529" s="1" t="s">
        <v>33</v>
      </c>
      <c r="F2529" s="1" t="s">
        <v>32</v>
      </c>
      <c r="G2529" s="1">
        <v>15</v>
      </c>
      <c r="H2529" s="1">
        <v>27428</v>
      </c>
      <c r="I2529" s="1">
        <v>0</v>
      </c>
      <c r="J2529" s="1">
        <v>411420</v>
      </c>
      <c r="K2529" s="1">
        <v>34179.160000000003</v>
      </c>
      <c r="L2529" s="1" t="s">
        <v>17</v>
      </c>
      <c r="M2529" s="1" t="str">
        <f>TEXT(Table1[[#This Row],[Order Date]],"mmm")</f>
        <v>Jul</v>
      </c>
      <c r="N2529" s="1">
        <f>YEAR(Table1[[#This Row],[Order Date]])</f>
        <v>2023</v>
      </c>
    </row>
    <row r="2530" spans="1:14" x14ac:dyDescent="0.35">
      <c r="A2530" s="1" t="s">
        <v>3312</v>
      </c>
      <c r="B2530" s="1" t="s">
        <v>306</v>
      </c>
      <c r="C2530" s="1" t="s">
        <v>104</v>
      </c>
      <c r="D2530" s="1" t="s">
        <v>48</v>
      </c>
      <c r="E2530" s="1" t="s">
        <v>16</v>
      </c>
      <c r="F2530" s="1" t="s">
        <v>48</v>
      </c>
      <c r="G2530" s="1">
        <v>6</v>
      </c>
      <c r="H2530" s="1">
        <v>57016</v>
      </c>
      <c r="I2530" s="1">
        <v>0</v>
      </c>
      <c r="J2530" s="1">
        <v>342096</v>
      </c>
      <c r="K2530" s="1">
        <v>94019.07</v>
      </c>
      <c r="L2530" s="1" t="s">
        <v>45</v>
      </c>
      <c r="M2530" s="1" t="str">
        <f>TEXT(Table1[[#This Row],[Order Date]],"mmm")</f>
        <v>Jul</v>
      </c>
      <c r="N2530" s="1">
        <f>YEAR(Table1[[#This Row],[Order Date]])</f>
        <v>2024</v>
      </c>
    </row>
    <row r="2531" spans="1:14" x14ac:dyDescent="0.35">
      <c r="A2531" s="1" t="s">
        <v>3313</v>
      </c>
      <c r="B2531" s="1" t="s">
        <v>684</v>
      </c>
      <c r="C2531" s="1" t="s">
        <v>128</v>
      </c>
      <c r="D2531" s="1" t="s">
        <v>37</v>
      </c>
      <c r="E2531" s="1" t="s">
        <v>16</v>
      </c>
      <c r="F2531" s="1" t="s">
        <v>37</v>
      </c>
      <c r="G2531" s="1">
        <v>2</v>
      </c>
      <c r="H2531" s="1">
        <v>34359</v>
      </c>
      <c r="I2531" s="1">
        <v>0</v>
      </c>
      <c r="J2531" s="1">
        <v>68718</v>
      </c>
      <c r="K2531" s="1">
        <v>9922.1299999999992</v>
      </c>
      <c r="L2531" s="1" t="s">
        <v>70</v>
      </c>
      <c r="M2531" s="1" t="str">
        <f>TEXT(Table1[[#This Row],[Order Date]],"mmm")</f>
        <v>May</v>
      </c>
      <c r="N2531" s="1">
        <f>YEAR(Table1[[#This Row],[Order Date]])</f>
        <v>2024</v>
      </c>
    </row>
    <row r="2532" spans="1:14" x14ac:dyDescent="0.35">
      <c r="A2532" s="1" t="s">
        <v>3314</v>
      </c>
      <c r="B2532" s="1" t="s">
        <v>164</v>
      </c>
      <c r="C2532" s="1" t="s">
        <v>94</v>
      </c>
      <c r="D2532" s="1" t="s">
        <v>323</v>
      </c>
      <c r="E2532" s="1" t="s">
        <v>33</v>
      </c>
      <c r="F2532" s="1" t="s">
        <v>323</v>
      </c>
      <c r="G2532" s="1">
        <v>4</v>
      </c>
      <c r="H2532" s="1">
        <v>59048</v>
      </c>
      <c r="I2532" s="1">
        <v>0.1</v>
      </c>
      <c r="J2532" s="1">
        <v>212572.79999999999</v>
      </c>
      <c r="K2532" s="1">
        <v>36011.1</v>
      </c>
      <c r="L2532" s="1" t="s">
        <v>70</v>
      </c>
      <c r="M2532" s="1" t="str">
        <f>TEXT(Table1[[#This Row],[Order Date]],"mmm")</f>
        <v>May</v>
      </c>
      <c r="N2532" s="1">
        <f>YEAR(Table1[[#This Row],[Order Date]])</f>
        <v>2023</v>
      </c>
    </row>
    <row r="2533" spans="1:14" x14ac:dyDescent="0.35">
      <c r="A2533" s="1" t="s">
        <v>3315</v>
      </c>
      <c r="B2533" s="1" t="s">
        <v>1629</v>
      </c>
      <c r="C2533" s="1" t="s">
        <v>155</v>
      </c>
      <c r="D2533" s="1" t="s">
        <v>108</v>
      </c>
      <c r="E2533" s="1" t="s">
        <v>22</v>
      </c>
      <c r="F2533" s="1" t="s">
        <v>108</v>
      </c>
      <c r="G2533" s="1">
        <v>10</v>
      </c>
      <c r="H2533" s="1">
        <v>4428</v>
      </c>
      <c r="I2533" s="1">
        <v>0.2</v>
      </c>
      <c r="J2533" s="1">
        <v>35424</v>
      </c>
      <c r="K2533" s="1">
        <v>5977.85</v>
      </c>
      <c r="L2533" s="1" t="s">
        <v>17</v>
      </c>
      <c r="M2533" s="1" t="str">
        <f>TEXT(Table1[[#This Row],[Order Date]],"mmm")</f>
        <v>Jan</v>
      </c>
      <c r="N2533" s="1">
        <f>YEAR(Table1[[#This Row],[Order Date]])</f>
        <v>2023</v>
      </c>
    </row>
    <row r="2534" spans="1:14" x14ac:dyDescent="0.35">
      <c r="A2534" s="1" t="s">
        <v>3316</v>
      </c>
      <c r="B2534" s="1" t="s">
        <v>944</v>
      </c>
      <c r="C2534" s="1" t="s">
        <v>155</v>
      </c>
      <c r="D2534" s="1" t="s">
        <v>37</v>
      </c>
      <c r="E2534" s="1" t="s">
        <v>16</v>
      </c>
      <c r="F2534" s="1" t="s">
        <v>37</v>
      </c>
      <c r="G2534" s="1">
        <v>8</v>
      </c>
      <c r="H2534" s="1">
        <v>42848</v>
      </c>
      <c r="I2534" s="1">
        <v>0.1</v>
      </c>
      <c r="J2534" s="1">
        <v>308505.59999999998</v>
      </c>
      <c r="K2534" s="1">
        <v>52864.36</v>
      </c>
      <c r="L2534" s="1" t="s">
        <v>17</v>
      </c>
      <c r="M2534" s="1" t="str">
        <f>TEXT(Table1[[#This Row],[Order Date]],"mmm")</f>
        <v>Aug</v>
      </c>
      <c r="N2534" s="1">
        <f>YEAR(Table1[[#This Row],[Order Date]])</f>
        <v>2024</v>
      </c>
    </row>
    <row r="2535" spans="1:14" x14ac:dyDescent="0.35">
      <c r="A2535" s="1" t="s">
        <v>3317</v>
      </c>
      <c r="B2535" s="1" t="s">
        <v>1288</v>
      </c>
      <c r="C2535" s="1" t="s">
        <v>140</v>
      </c>
      <c r="D2535" s="1" t="s">
        <v>41</v>
      </c>
      <c r="E2535" s="1" t="s">
        <v>16</v>
      </c>
      <c r="F2535" s="1" t="s">
        <v>41</v>
      </c>
      <c r="G2535" s="1">
        <v>6</v>
      </c>
      <c r="H2535" s="1">
        <v>31400</v>
      </c>
      <c r="I2535" s="1">
        <v>0</v>
      </c>
      <c r="J2535" s="1">
        <v>188400</v>
      </c>
      <c r="K2535" s="1">
        <v>43850.11</v>
      </c>
      <c r="L2535" s="1" t="s">
        <v>23</v>
      </c>
      <c r="M2535" s="1" t="str">
        <f>TEXT(Table1[[#This Row],[Order Date]],"mmm")</f>
        <v>Feb</v>
      </c>
      <c r="N2535" s="1">
        <f>YEAR(Table1[[#This Row],[Order Date]])</f>
        <v>2024</v>
      </c>
    </row>
    <row r="2536" spans="1:14" x14ac:dyDescent="0.35">
      <c r="A2536" s="1" t="s">
        <v>3318</v>
      </c>
      <c r="B2536" s="1" t="s">
        <v>1747</v>
      </c>
      <c r="C2536" s="1" t="s">
        <v>227</v>
      </c>
      <c r="D2536" s="1" t="s">
        <v>41</v>
      </c>
      <c r="E2536" s="1" t="s">
        <v>16</v>
      </c>
      <c r="F2536" s="1" t="s">
        <v>41</v>
      </c>
      <c r="G2536" s="1">
        <v>8</v>
      </c>
      <c r="H2536" s="1">
        <v>58344</v>
      </c>
      <c r="I2536" s="1">
        <v>0.05</v>
      </c>
      <c r="J2536" s="1">
        <v>443414.4</v>
      </c>
      <c r="K2536" s="1">
        <v>52944.04</v>
      </c>
      <c r="L2536" s="1" t="s">
        <v>45</v>
      </c>
      <c r="M2536" s="1" t="str">
        <f>TEXT(Table1[[#This Row],[Order Date]],"mmm")</f>
        <v>Mar</v>
      </c>
      <c r="N2536" s="1">
        <f>YEAR(Table1[[#This Row],[Order Date]])</f>
        <v>2023</v>
      </c>
    </row>
    <row r="2537" spans="1:14" x14ac:dyDescent="0.35">
      <c r="A2537" s="1" t="s">
        <v>3319</v>
      </c>
      <c r="B2537" s="1" t="s">
        <v>1043</v>
      </c>
      <c r="C2537" s="1" t="s">
        <v>120</v>
      </c>
      <c r="D2537" s="1" t="s">
        <v>141</v>
      </c>
      <c r="E2537" s="1" t="s">
        <v>22</v>
      </c>
      <c r="F2537" s="1" t="s">
        <v>141</v>
      </c>
      <c r="G2537" s="1">
        <v>12</v>
      </c>
      <c r="H2537" s="1">
        <v>59963</v>
      </c>
      <c r="I2537" s="1">
        <v>0.05</v>
      </c>
      <c r="J2537" s="1">
        <v>683578.2</v>
      </c>
      <c r="K2537" s="1">
        <v>76688.83</v>
      </c>
      <c r="L2537" s="1" t="s">
        <v>23</v>
      </c>
      <c r="M2537" s="1" t="str">
        <f>TEXT(Table1[[#This Row],[Order Date]],"mmm")</f>
        <v>Aug</v>
      </c>
      <c r="N2537" s="1">
        <f>YEAR(Table1[[#This Row],[Order Date]])</f>
        <v>2024</v>
      </c>
    </row>
    <row r="2538" spans="1:14" x14ac:dyDescent="0.35">
      <c r="A2538" s="1" t="s">
        <v>3320</v>
      </c>
      <c r="B2538" s="1" t="s">
        <v>1205</v>
      </c>
      <c r="C2538" s="1" t="s">
        <v>98</v>
      </c>
      <c r="D2538" s="1" t="s">
        <v>91</v>
      </c>
      <c r="E2538" s="1" t="s">
        <v>16</v>
      </c>
      <c r="F2538" s="1" t="s">
        <v>91</v>
      </c>
      <c r="G2538" s="1">
        <v>15</v>
      </c>
      <c r="H2538" s="1">
        <v>27772</v>
      </c>
      <c r="I2538" s="1">
        <v>0.1</v>
      </c>
      <c r="J2538" s="1">
        <v>374922</v>
      </c>
      <c r="K2538" s="1">
        <v>92113.9</v>
      </c>
      <c r="L2538" s="1" t="s">
        <v>17</v>
      </c>
      <c r="M2538" s="1" t="str">
        <f>TEXT(Table1[[#This Row],[Order Date]],"mmm")</f>
        <v>Dec</v>
      </c>
      <c r="N2538" s="1">
        <f>YEAR(Table1[[#This Row],[Order Date]])</f>
        <v>2023</v>
      </c>
    </row>
    <row r="2539" spans="1:14" x14ac:dyDescent="0.35">
      <c r="A2539" s="1" t="s">
        <v>3321</v>
      </c>
      <c r="B2539" s="1" t="s">
        <v>132</v>
      </c>
      <c r="C2539" s="1" t="s">
        <v>40</v>
      </c>
      <c r="D2539" s="1" t="s">
        <v>52</v>
      </c>
      <c r="E2539" s="1" t="s">
        <v>28</v>
      </c>
      <c r="F2539" s="1" t="s">
        <v>52</v>
      </c>
      <c r="G2539" s="1">
        <v>12</v>
      </c>
      <c r="H2539" s="1">
        <v>48529</v>
      </c>
      <c r="I2539" s="1">
        <v>0.1</v>
      </c>
      <c r="J2539" s="1">
        <v>524113.2</v>
      </c>
      <c r="K2539" s="1">
        <v>64003.9</v>
      </c>
      <c r="L2539" s="1" t="s">
        <v>17</v>
      </c>
      <c r="M2539" s="1" t="str">
        <f>TEXT(Table1[[#This Row],[Order Date]],"mmm")</f>
        <v>Feb</v>
      </c>
      <c r="N2539" s="1">
        <f>YEAR(Table1[[#This Row],[Order Date]])</f>
        <v>2023</v>
      </c>
    </row>
    <row r="2540" spans="1:14" x14ac:dyDescent="0.35">
      <c r="A2540" s="1" t="s">
        <v>3322</v>
      </c>
      <c r="B2540" s="1" t="s">
        <v>742</v>
      </c>
      <c r="C2540" s="1" t="s">
        <v>188</v>
      </c>
      <c r="D2540" s="1" t="s">
        <v>64</v>
      </c>
      <c r="E2540" s="1" t="s">
        <v>33</v>
      </c>
      <c r="F2540" s="1" t="s">
        <v>64</v>
      </c>
      <c r="G2540" s="1">
        <v>8</v>
      </c>
      <c r="H2540" s="1">
        <v>35664</v>
      </c>
      <c r="I2540" s="1">
        <v>0.2</v>
      </c>
      <c r="J2540" s="1">
        <v>228249.60000000001</v>
      </c>
      <c r="K2540" s="1">
        <v>47291.9</v>
      </c>
      <c r="L2540" s="1" t="s">
        <v>45</v>
      </c>
      <c r="M2540" s="1" t="str">
        <f>TEXT(Table1[[#This Row],[Order Date]],"mmm")</f>
        <v>Aug</v>
      </c>
      <c r="N2540" s="1">
        <f>YEAR(Table1[[#This Row],[Order Date]])</f>
        <v>2023</v>
      </c>
    </row>
    <row r="2541" spans="1:14" x14ac:dyDescent="0.35">
      <c r="A2541" s="1" t="s">
        <v>3323</v>
      </c>
      <c r="B2541" s="1" t="s">
        <v>1371</v>
      </c>
      <c r="C2541" s="1" t="s">
        <v>155</v>
      </c>
      <c r="D2541" s="1" t="s">
        <v>48</v>
      </c>
      <c r="E2541" s="1" t="s">
        <v>16</v>
      </c>
      <c r="F2541" s="1" t="s">
        <v>48</v>
      </c>
      <c r="G2541" s="1">
        <v>5</v>
      </c>
      <c r="H2541" s="1">
        <v>10265</v>
      </c>
      <c r="I2541" s="1">
        <v>0.15</v>
      </c>
      <c r="J2541" s="1">
        <v>43626.25</v>
      </c>
      <c r="K2541" s="1">
        <v>6253.74</v>
      </c>
      <c r="L2541" s="1" t="s">
        <v>17</v>
      </c>
      <c r="M2541" s="1" t="str">
        <f>TEXT(Table1[[#This Row],[Order Date]],"mmm")</f>
        <v>Jan</v>
      </c>
      <c r="N2541" s="1">
        <f>YEAR(Table1[[#This Row],[Order Date]])</f>
        <v>2023</v>
      </c>
    </row>
    <row r="2542" spans="1:14" x14ac:dyDescent="0.35">
      <c r="A2542" s="1" t="s">
        <v>3324</v>
      </c>
      <c r="B2542" s="1" t="s">
        <v>1188</v>
      </c>
      <c r="C2542" s="1" t="s">
        <v>188</v>
      </c>
      <c r="D2542" s="1" t="s">
        <v>141</v>
      </c>
      <c r="E2542" s="1" t="s">
        <v>22</v>
      </c>
      <c r="F2542" s="1" t="s">
        <v>141</v>
      </c>
      <c r="G2542" s="1">
        <v>5</v>
      </c>
      <c r="H2542" s="1">
        <v>20043</v>
      </c>
      <c r="I2542" s="1">
        <v>0.15</v>
      </c>
      <c r="J2542" s="1">
        <v>85182.75</v>
      </c>
      <c r="K2542" s="1">
        <v>11335.71</v>
      </c>
      <c r="L2542" s="1" t="s">
        <v>17</v>
      </c>
      <c r="M2542" s="1" t="str">
        <f>TEXT(Table1[[#This Row],[Order Date]],"mmm")</f>
        <v>Oct</v>
      </c>
      <c r="N2542" s="1">
        <f>YEAR(Table1[[#This Row],[Order Date]])</f>
        <v>2024</v>
      </c>
    </row>
    <row r="2543" spans="1:14" x14ac:dyDescent="0.35">
      <c r="A2543" s="1" t="s">
        <v>3325</v>
      </c>
      <c r="B2543" s="1" t="s">
        <v>2167</v>
      </c>
      <c r="C2543" s="1" t="s">
        <v>140</v>
      </c>
      <c r="D2543" s="1" t="s">
        <v>137</v>
      </c>
      <c r="E2543" s="1" t="s">
        <v>22</v>
      </c>
      <c r="F2543" s="1" t="s">
        <v>137</v>
      </c>
      <c r="G2543" s="1">
        <v>5</v>
      </c>
      <c r="H2543" s="1">
        <v>22841</v>
      </c>
      <c r="I2543" s="1">
        <v>0.15</v>
      </c>
      <c r="J2543" s="1">
        <v>97074.25</v>
      </c>
      <c r="K2543" s="1">
        <v>21457.17</v>
      </c>
      <c r="L2543" s="1" t="s">
        <v>17</v>
      </c>
      <c r="M2543" s="1" t="str">
        <f>TEXT(Table1[[#This Row],[Order Date]],"mmm")</f>
        <v>Aug</v>
      </c>
      <c r="N2543" s="1">
        <f>YEAR(Table1[[#This Row],[Order Date]])</f>
        <v>2024</v>
      </c>
    </row>
    <row r="2544" spans="1:14" x14ac:dyDescent="0.35">
      <c r="A2544" s="1" t="s">
        <v>3326</v>
      </c>
      <c r="B2544" s="1" t="s">
        <v>197</v>
      </c>
      <c r="C2544" s="1" t="s">
        <v>260</v>
      </c>
      <c r="D2544" s="1" t="s">
        <v>151</v>
      </c>
      <c r="E2544" s="1" t="s">
        <v>22</v>
      </c>
      <c r="F2544" s="1" t="s">
        <v>151</v>
      </c>
      <c r="G2544" s="1">
        <v>12</v>
      </c>
      <c r="H2544" s="1">
        <v>32923</v>
      </c>
      <c r="I2544" s="1">
        <v>0</v>
      </c>
      <c r="J2544" s="1">
        <v>395076</v>
      </c>
      <c r="K2544" s="1">
        <v>58484.7</v>
      </c>
      <c r="L2544" s="1" t="s">
        <v>23</v>
      </c>
      <c r="M2544" s="1" t="str">
        <f>TEXT(Table1[[#This Row],[Order Date]],"mmm")</f>
        <v>Feb</v>
      </c>
      <c r="N2544" s="1">
        <f>YEAR(Table1[[#This Row],[Order Date]])</f>
        <v>2024</v>
      </c>
    </row>
    <row r="2545" spans="1:14" x14ac:dyDescent="0.35">
      <c r="A2545" s="1" t="s">
        <v>3327</v>
      </c>
      <c r="B2545" s="1" t="s">
        <v>1013</v>
      </c>
      <c r="C2545" s="1" t="s">
        <v>120</v>
      </c>
      <c r="D2545" s="1" t="s">
        <v>37</v>
      </c>
      <c r="E2545" s="1" t="s">
        <v>16</v>
      </c>
      <c r="F2545" s="1" t="s">
        <v>37</v>
      </c>
      <c r="G2545" s="1">
        <v>6</v>
      </c>
      <c r="H2545" s="1">
        <v>19678</v>
      </c>
      <c r="I2545" s="1">
        <v>0.05</v>
      </c>
      <c r="J2545" s="1">
        <v>112164.6</v>
      </c>
      <c r="K2545" s="1">
        <v>24305.99</v>
      </c>
      <c r="L2545" s="1" t="s">
        <v>17</v>
      </c>
      <c r="M2545" s="1" t="str">
        <f>TEXT(Table1[[#This Row],[Order Date]],"mmm")</f>
        <v>Sep</v>
      </c>
      <c r="N2545" s="1">
        <f>YEAR(Table1[[#This Row],[Order Date]])</f>
        <v>2023</v>
      </c>
    </row>
    <row r="2546" spans="1:14" x14ac:dyDescent="0.35">
      <c r="A2546" s="1" t="s">
        <v>3328</v>
      </c>
      <c r="B2546" s="1" t="s">
        <v>608</v>
      </c>
      <c r="C2546" s="1" t="s">
        <v>98</v>
      </c>
      <c r="D2546" s="1" t="s">
        <v>60</v>
      </c>
      <c r="E2546" s="1" t="s">
        <v>33</v>
      </c>
      <c r="F2546" s="1" t="s">
        <v>60</v>
      </c>
      <c r="G2546" s="1">
        <v>4</v>
      </c>
      <c r="H2546" s="1">
        <v>42875</v>
      </c>
      <c r="I2546" s="1">
        <v>0</v>
      </c>
      <c r="J2546" s="1">
        <v>171500</v>
      </c>
      <c r="K2546" s="1">
        <v>40510.339999999997</v>
      </c>
      <c r="L2546" s="1" t="s">
        <v>70</v>
      </c>
      <c r="M2546" s="1" t="str">
        <f>TEXT(Table1[[#This Row],[Order Date]],"mmm")</f>
        <v>May</v>
      </c>
      <c r="N2546" s="1">
        <f>YEAR(Table1[[#This Row],[Order Date]])</f>
        <v>2024</v>
      </c>
    </row>
    <row r="2547" spans="1:14" x14ac:dyDescent="0.35">
      <c r="A2547" s="1" t="s">
        <v>3329</v>
      </c>
      <c r="B2547" s="1" t="s">
        <v>284</v>
      </c>
      <c r="C2547" s="1" t="s">
        <v>507</v>
      </c>
      <c r="D2547" s="1" t="s">
        <v>323</v>
      </c>
      <c r="E2547" s="1" t="s">
        <v>33</v>
      </c>
      <c r="F2547" s="1" t="s">
        <v>323</v>
      </c>
      <c r="G2547" s="1">
        <v>12</v>
      </c>
      <c r="H2547" s="1">
        <v>56438</v>
      </c>
      <c r="I2547" s="1">
        <v>0.1</v>
      </c>
      <c r="J2547" s="1">
        <v>609530.4</v>
      </c>
      <c r="K2547" s="1">
        <v>56787.57</v>
      </c>
      <c r="L2547" s="1" t="s">
        <v>70</v>
      </c>
      <c r="M2547" s="1" t="str">
        <f>TEXT(Table1[[#This Row],[Order Date]],"mmm")</f>
        <v>Nov</v>
      </c>
      <c r="N2547" s="1">
        <f>YEAR(Table1[[#This Row],[Order Date]])</f>
        <v>2023</v>
      </c>
    </row>
    <row r="2548" spans="1:14" x14ac:dyDescent="0.35">
      <c r="A2548" s="1" t="s">
        <v>3330</v>
      </c>
      <c r="B2548" s="1" t="s">
        <v>1015</v>
      </c>
      <c r="C2548" s="1" t="s">
        <v>362</v>
      </c>
      <c r="D2548" s="1" t="s">
        <v>37</v>
      </c>
      <c r="E2548" s="1" t="s">
        <v>16</v>
      </c>
      <c r="F2548" s="1" t="s">
        <v>37</v>
      </c>
      <c r="G2548" s="1">
        <v>9</v>
      </c>
      <c r="H2548" s="1">
        <v>30275</v>
      </c>
      <c r="I2548" s="1">
        <v>0.15</v>
      </c>
      <c r="J2548" s="1">
        <v>231603.75</v>
      </c>
      <c r="K2548" s="1">
        <v>59458.61</v>
      </c>
      <c r="L2548" s="1" t="s">
        <v>45</v>
      </c>
      <c r="M2548" s="1" t="str">
        <f>TEXT(Table1[[#This Row],[Order Date]],"mmm")</f>
        <v>Aug</v>
      </c>
      <c r="N2548" s="1">
        <f>YEAR(Table1[[#This Row],[Order Date]])</f>
        <v>2023</v>
      </c>
    </row>
    <row r="2549" spans="1:14" x14ac:dyDescent="0.35">
      <c r="A2549" s="1" t="s">
        <v>3331</v>
      </c>
      <c r="B2549" s="1" t="s">
        <v>2908</v>
      </c>
      <c r="C2549" s="1" t="s">
        <v>51</v>
      </c>
      <c r="D2549" s="1" t="s">
        <v>323</v>
      </c>
      <c r="E2549" s="1" t="s">
        <v>33</v>
      </c>
      <c r="F2549" s="1" t="s">
        <v>323</v>
      </c>
      <c r="G2549" s="1">
        <v>4</v>
      </c>
      <c r="H2549" s="1">
        <v>47863</v>
      </c>
      <c r="I2549" s="1">
        <v>0.2</v>
      </c>
      <c r="J2549" s="1">
        <v>153161.60000000001</v>
      </c>
      <c r="K2549" s="1">
        <v>22867.23</v>
      </c>
      <c r="L2549" s="1" t="s">
        <v>17</v>
      </c>
      <c r="M2549" s="1" t="str">
        <f>TEXT(Table1[[#This Row],[Order Date]],"mmm")</f>
        <v>Sep</v>
      </c>
      <c r="N2549" s="1">
        <f>YEAR(Table1[[#This Row],[Order Date]])</f>
        <v>2024</v>
      </c>
    </row>
    <row r="2550" spans="1:14" x14ac:dyDescent="0.35">
      <c r="A2550" s="1" t="s">
        <v>3332</v>
      </c>
      <c r="B2550" s="1" t="s">
        <v>692</v>
      </c>
      <c r="C2550" s="1" t="s">
        <v>370</v>
      </c>
      <c r="D2550" s="1" t="s">
        <v>48</v>
      </c>
      <c r="E2550" s="1" t="s">
        <v>16</v>
      </c>
      <c r="F2550" s="1" t="s">
        <v>48</v>
      </c>
      <c r="G2550" s="1">
        <v>7</v>
      </c>
      <c r="H2550" s="1">
        <v>1449</v>
      </c>
      <c r="I2550" s="1">
        <v>0.2</v>
      </c>
      <c r="J2550" s="1">
        <v>8114.4</v>
      </c>
      <c r="K2550" s="1">
        <v>1579.97</v>
      </c>
      <c r="L2550" s="1" t="s">
        <v>45</v>
      </c>
      <c r="M2550" s="1" t="str">
        <f>TEXT(Table1[[#This Row],[Order Date]],"mmm")</f>
        <v>Nov</v>
      </c>
      <c r="N2550" s="1">
        <f>YEAR(Table1[[#This Row],[Order Date]])</f>
        <v>2023</v>
      </c>
    </row>
    <row r="2551" spans="1:14" x14ac:dyDescent="0.35">
      <c r="A2551" s="1" t="s">
        <v>3333</v>
      </c>
      <c r="B2551" s="1" t="s">
        <v>959</v>
      </c>
      <c r="C2551" s="1" t="s">
        <v>140</v>
      </c>
      <c r="D2551" s="1" t="s">
        <v>27</v>
      </c>
      <c r="E2551" s="1" t="s">
        <v>28</v>
      </c>
      <c r="F2551" s="1" t="s">
        <v>27</v>
      </c>
      <c r="G2551" s="1">
        <v>4</v>
      </c>
      <c r="H2551" s="1">
        <v>12780</v>
      </c>
      <c r="I2551" s="1">
        <v>0.15</v>
      </c>
      <c r="J2551" s="1">
        <v>43452</v>
      </c>
      <c r="K2551" s="1">
        <v>11332.65</v>
      </c>
      <c r="L2551" s="1" t="s">
        <v>17</v>
      </c>
      <c r="M2551" s="1" t="str">
        <f>TEXT(Table1[[#This Row],[Order Date]],"mmm")</f>
        <v>Oct</v>
      </c>
      <c r="N2551" s="1">
        <f>YEAR(Table1[[#This Row],[Order Date]])</f>
        <v>2023</v>
      </c>
    </row>
    <row r="2552" spans="1:14" x14ac:dyDescent="0.35">
      <c r="A2552" s="1" t="s">
        <v>3334</v>
      </c>
      <c r="B2552" s="1" t="s">
        <v>1171</v>
      </c>
      <c r="C2552" s="1" t="s">
        <v>170</v>
      </c>
      <c r="D2552" s="1" t="s">
        <v>114</v>
      </c>
      <c r="E2552" s="1" t="s">
        <v>16</v>
      </c>
      <c r="F2552" s="1" t="s">
        <v>114</v>
      </c>
      <c r="G2552" s="1">
        <v>11</v>
      </c>
      <c r="H2552" s="1">
        <v>23841</v>
      </c>
      <c r="I2552" s="1">
        <v>0.2</v>
      </c>
      <c r="J2552" s="1">
        <v>209800.8</v>
      </c>
      <c r="K2552" s="1">
        <v>25997.62</v>
      </c>
      <c r="L2552" s="1" t="s">
        <v>23</v>
      </c>
      <c r="M2552" s="1" t="str">
        <f>TEXT(Table1[[#This Row],[Order Date]],"mmm")</f>
        <v>Aug</v>
      </c>
      <c r="N2552" s="1">
        <f>YEAR(Table1[[#This Row],[Order Date]])</f>
        <v>2024</v>
      </c>
    </row>
    <row r="2553" spans="1:14" x14ac:dyDescent="0.35">
      <c r="A2553" s="1" t="s">
        <v>3335</v>
      </c>
      <c r="B2553" s="1" t="s">
        <v>13</v>
      </c>
      <c r="C2553" s="1" t="s">
        <v>191</v>
      </c>
      <c r="D2553" s="1" t="s">
        <v>56</v>
      </c>
      <c r="E2553" s="1" t="s">
        <v>22</v>
      </c>
      <c r="F2553" s="1" t="s">
        <v>56</v>
      </c>
      <c r="G2553" s="1">
        <v>4</v>
      </c>
      <c r="H2553" s="1">
        <v>40716</v>
      </c>
      <c r="I2553" s="1">
        <v>0.1</v>
      </c>
      <c r="J2553" s="1">
        <v>146577.60000000001</v>
      </c>
      <c r="K2553" s="1">
        <v>32875.96</v>
      </c>
      <c r="L2553" s="1" t="s">
        <v>70</v>
      </c>
      <c r="M2553" s="1" t="str">
        <f>TEXT(Table1[[#This Row],[Order Date]],"mmm")</f>
        <v>Oct</v>
      </c>
      <c r="N2553" s="1">
        <f>YEAR(Table1[[#This Row],[Order Date]])</f>
        <v>2024</v>
      </c>
    </row>
    <row r="2554" spans="1:14" x14ac:dyDescent="0.35">
      <c r="A2554" s="1" t="s">
        <v>3336</v>
      </c>
      <c r="B2554" s="1" t="s">
        <v>447</v>
      </c>
      <c r="C2554" s="1" t="s">
        <v>140</v>
      </c>
      <c r="D2554" s="1" t="s">
        <v>323</v>
      </c>
      <c r="E2554" s="1" t="s">
        <v>33</v>
      </c>
      <c r="F2554" s="1" t="s">
        <v>323</v>
      </c>
      <c r="G2554" s="1">
        <v>8</v>
      </c>
      <c r="H2554" s="1">
        <v>21071</v>
      </c>
      <c r="I2554" s="1">
        <v>0.2</v>
      </c>
      <c r="J2554" s="1">
        <v>134854.39999999999</v>
      </c>
      <c r="K2554" s="1">
        <v>36796.769999999997</v>
      </c>
      <c r="L2554" s="1" t="s">
        <v>23</v>
      </c>
      <c r="M2554" s="1" t="str">
        <f>TEXT(Table1[[#This Row],[Order Date]],"mmm")</f>
        <v>Dec</v>
      </c>
      <c r="N2554" s="1">
        <f>YEAR(Table1[[#This Row],[Order Date]])</f>
        <v>2023</v>
      </c>
    </row>
    <row r="2555" spans="1:14" x14ac:dyDescent="0.35">
      <c r="A2555" s="1" t="s">
        <v>3337</v>
      </c>
      <c r="B2555" s="1" t="s">
        <v>110</v>
      </c>
      <c r="C2555" s="1" t="s">
        <v>140</v>
      </c>
      <c r="D2555" s="1" t="s">
        <v>91</v>
      </c>
      <c r="E2555" s="1" t="s">
        <v>16</v>
      </c>
      <c r="F2555" s="1" t="s">
        <v>91</v>
      </c>
      <c r="G2555" s="1">
        <v>5</v>
      </c>
      <c r="H2555" s="1">
        <v>42523</v>
      </c>
      <c r="I2555" s="1">
        <v>0.05</v>
      </c>
      <c r="J2555" s="1">
        <v>201984.25</v>
      </c>
      <c r="K2555" s="1">
        <v>25736.04</v>
      </c>
      <c r="L2555" s="1" t="s">
        <v>23</v>
      </c>
      <c r="M2555" s="1" t="str">
        <f>TEXT(Table1[[#This Row],[Order Date]],"mmm")</f>
        <v>Jan</v>
      </c>
      <c r="N2555" s="1">
        <f>YEAR(Table1[[#This Row],[Order Date]])</f>
        <v>2023</v>
      </c>
    </row>
    <row r="2556" spans="1:14" x14ac:dyDescent="0.35">
      <c r="A2556" s="1" t="s">
        <v>3338</v>
      </c>
      <c r="B2556" s="1" t="s">
        <v>278</v>
      </c>
      <c r="C2556" s="1" t="s">
        <v>335</v>
      </c>
      <c r="D2556" s="1" t="s">
        <v>74</v>
      </c>
      <c r="E2556" s="1" t="s">
        <v>22</v>
      </c>
      <c r="F2556" s="1" t="s">
        <v>74</v>
      </c>
      <c r="G2556" s="1">
        <v>7</v>
      </c>
      <c r="H2556" s="1">
        <v>26458</v>
      </c>
      <c r="I2556" s="1">
        <v>0</v>
      </c>
      <c r="J2556" s="1">
        <v>185206</v>
      </c>
      <c r="K2556" s="1">
        <v>40997.49</v>
      </c>
      <c r="L2556" s="1" t="s">
        <v>17</v>
      </c>
      <c r="M2556" s="1" t="str">
        <f>TEXT(Table1[[#This Row],[Order Date]],"mmm")</f>
        <v>May</v>
      </c>
      <c r="N2556" s="1">
        <f>YEAR(Table1[[#This Row],[Order Date]])</f>
        <v>2024</v>
      </c>
    </row>
    <row r="2557" spans="1:14" x14ac:dyDescent="0.35">
      <c r="A2557" s="1" t="s">
        <v>3339</v>
      </c>
      <c r="B2557" s="1" t="s">
        <v>2321</v>
      </c>
      <c r="C2557" s="1" t="s">
        <v>140</v>
      </c>
      <c r="D2557" s="1" t="s">
        <v>56</v>
      </c>
      <c r="E2557" s="1" t="s">
        <v>22</v>
      </c>
      <c r="F2557" s="1" t="s">
        <v>56</v>
      </c>
      <c r="G2557" s="1">
        <v>6</v>
      </c>
      <c r="H2557" s="1">
        <v>49022</v>
      </c>
      <c r="I2557" s="1">
        <v>0</v>
      </c>
      <c r="J2557" s="1">
        <v>294132</v>
      </c>
      <c r="K2557" s="1">
        <v>43351.12</v>
      </c>
      <c r="L2557" s="1" t="s">
        <v>45</v>
      </c>
      <c r="M2557" s="1" t="str">
        <f>TEXT(Table1[[#This Row],[Order Date]],"mmm")</f>
        <v>Feb</v>
      </c>
      <c r="N2557" s="1">
        <f>YEAR(Table1[[#This Row],[Order Date]])</f>
        <v>2023</v>
      </c>
    </row>
    <row r="2558" spans="1:14" x14ac:dyDescent="0.35">
      <c r="A2558" s="1" t="s">
        <v>3340</v>
      </c>
      <c r="B2558" s="1" t="s">
        <v>569</v>
      </c>
      <c r="C2558" s="1" t="s">
        <v>94</v>
      </c>
      <c r="D2558" s="1" t="s">
        <v>64</v>
      </c>
      <c r="E2558" s="1" t="s">
        <v>33</v>
      </c>
      <c r="F2558" s="1" t="s">
        <v>64</v>
      </c>
      <c r="G2558" s="1">
        <v>5</v>
      </c>
      <c r="H2558" s="1">
        <v>12442</v>
      </c>
      <c r="I2558" s="1">
        <v>0.05</v>
      </c>
      <c r="J2558" s="1">
        <v>59099.5</v>
      </c>
      <c r="K2558" s="1">
        <v>7693.59</v>
      </c>
      <c r="L2558" s="1" t="s">
        <v>45</v>
      </c>
      <c r="M2558" s="1" t="str">
        <f>TEXT(Table1[[#This Row],[Order Date]],"mmm")</f>
        <v>Sep</v>
      </c>
      <c r="N2558" s="1">
        <f>YEAR(Table1[[#This Row],[Order Date]])</f>
        <v>2024</v>
      </c>
    </row>
    <row r="2559" spans="1:14" x14ac:dyDescent="0.35">
      <c r="A2559" s="1" t="s">
        <v>3341</v>
      </c>
      <c r="B2559" s="1" t="s">
        <v>62</v>
      </c>
      <c r="C2559" s="1" t="s">
        <v>14</v>
      </c>
      <c r="D2559" s="1" t="s">
        <v>95</v>
      </c>
      <c r="E2559" s="1" t="s">
        <v>33</v>
      </c>
      <c r="F2559" s="1" t="s">
        <v>95</v>
      </c>
      <c r="G2559" s="1">
        <v>6</v>
      </c>
      <c r="H2559" s="1">
        <v>51383</v>
      </c>
      <c r="I2559" s="1">
        <v>0</v>
      </c>
      <c r="J2559" s="1">
        <v>308298</v>
      </c>
      <c r="K2559" s="1">
        <v>71350.73</v>
      </c>
      <c r="L2559" s="1" t="s">
        <v>17</v>
      </c>
      <c r="M2559" s="1" t="str">
        <f>TEXT(Table1[[#This Row],[Order Date]],"mmm")</f>
        <v>Dec</v>
      </c>
      <c r="N2559" s="1">
        <f>YEAR(Table1[[#This Row],[Order Date]])</f>
        <v>2023</v>
      </c>
    </row>
    <row r="2560" spans="1:14" x14ac:dyDescent="0.35">
      <c r="A2560" s="1" t="s">
        <v>3342</v>
      </c>
      <c r="B2560" s="1" t="s">
        <v>1948</v>
      </c>
      <c r="C2560" s="1" t="s">
        <v>370</v>
      </c>
      <c r="D2560" s="1" t="s">
        <v>293</v>
      </c>
      <c r="E2560" s="1" t="s">
        <v>33</v>
      </c>
      <c r="F2560" s="1" t="s">
        <v>293</v>
      </c>
      <c r="G2560" s="1">
        <v>3</v>
      </c>
      <c r="H2560" s="1">
        <v>33284</v>
      </c>
      <c r="I2560" s="1">
        <v>0.15</v>
      </c>
      <c r="J2560" s="1">
        <v>84874.2</v>
      </c>
      <c r="K2560" s="1">
        <v>22807.06</v>
      </c>
      <c r="L2560" s="1" t="s">
        <v>23</v>
      </c>
      <c r="M2560" s="1" t="str">
        <f>TEXT(Table1[[#This Row],[Order Date]],"mmm")</f>
        <v>Dec</v>
      </c>
      <c r="N2560" s="1">
        <f>YEAR(Table1[[#This Row],[Order Date]])</f>
        <v>2023</v>
      </c>
    </row>
    <row r="2561" spans="1:14" x14ac:dyDescent="0.35">
      <c r="A2561" s="1" t="s">
        <v>3343</v>
      </c>
      <c r="B2561" s="1" t="s">
        <v>3344</v>
      </c>
      <c r="C2561" s="1" t="s">
        <v>155</v>
      </c>
      <c r="D2561" s="1" t="s">
        <v>60</v>
      </c>
      <c r="E2561" s="1" t="s">
        <v>33</v>
      </c>
      <c r="F2561" s="1" t="s">
        <v>60</v>
      </c>
      <c r="G2561" s="1">
        <v>5</v>
      </c>
      <c r="H2561" s="1">
        <v>59532</v>
      </c>
      <c r="I2561" s="1">
        <v>0.1</v>
      </c>
      <c r="J2561" s="1">
        <v>267894</v>
      </c>
      <c r="K2561" s="1">
        <v>56664.12</v>
      </c>
      <c r="L2561" s="1" t="s">
        <v>23</v>
      </c>
      <c r="M2561" s="1" t="str">
        <f>TEXT(Table1[[#This Row],[Order Date]],"mmm")</f>
        <v>Apr</v>
      </c>
      <c r="N2561" s="1">
        <f>YEAR(Table1[[#This Row],[Order Date]])</f>
        <v>2023</v>
      </c>
    </row>
    <row r="2562" spans="1:14" x14ac:dyDescent="0.35">
      <c r="A2562" s="1" t="s">
        <v>3345</v>
      </c>
      <c r="B2562" s="1" t="s">
        <v>1240</v>
      </c>
      <c r="C2562" s="1" t="s">
        <v>191</v>
      </c>
      <c r="D2562" s="1" t="s">
        <v>78</v>
      </c>
      <c r="E2562" s="1" t="s">
        <v>28</v>
      </c>
      <c r="F2562" s="1" t="s">
        <v>78</v>
      </c>
      <c r="G2562" s="1">
        <v>12</v>
      </c>
      <c r="H2562" s="1">
        <v>55907</v>
      </c>
      <c r="I2562" s="1">
        <v>0.1</v>
      </c>
      <c r="J2562" s="1">
        <v>603795.6</v>
      </c>
      <c r="K2562" s="1">
        <v>132225.79999999999</v>
      </c>
      <c r="L2562" s="1" t="s">
        <v>70</v>
      </c>
      <c r="M2562" s="1" t="str">
        <f>TEXT(Table1[[#This Row],[Order Date]],"mmm")</f>
        <v>Jan</v>
      </c>
      <c r="N2562" s="1">
        <f>YEAR(Table1[[#This Row],[Order Date]])</f>
        <v>2024</v>
      </c>
    </row>
    <row r="2563" spans="1:14" x14ac:dyDescent="0.35">
      <c r="A2563" s="1" t="s">
        <v>3346</v>
      </c>
      <c r="B2563" s="1" t="s">
        <v>1401</v>
      </c>
      <c r="C2563" s="1" t="s">
        <v>208</v>
      </c>
      <c r="D2563" s="1" t="s">
        <v>64</v>
      </c>
      <c r="E2563" s="1" t="s">
        <v>33</v>
      </c>
      <c r="F2563" s="1" t="s">
        <v>64</v>
      </c>
      <c r="G2563" s="1">
        <v>12</v>
      </c>
      <c r="H2563" s="1">
        <v>32863</v>
      </c>
      <c r="I2563" s="1">
        <v>0.1</v>
      </c>
      <c r="J2563" s="1">
        <v>354920.4</v>
      </c>
      <c r="K2563" s="1">
        <v>94150.66</v>
      </c>
      <c r="L2563" s="1" t="s">
        <v>45</v>
      </c>
      <c r="M2563" s="1" t="str">
        <f>TEXT(Table1[[#This Row],[Order Date]],"mmm")</f>
        <v>Nov</v>
      </c>
      <c r="N2563" s="1">
        <f>YEAR(Table1[[#This Row],[Order Date]])</f>
        <v>2023</v>
      </c>
    </row>
    <row r="2564" spans="1:14" x14ac:dyDescent="0.35">
      <c r="A2564" s="1" t="s">
        <v>3347</v>
      </c>
      <c r="B2564" s="1" t="s">
        <v>1431</v>
      </c>
      <c r="C2564" s="1" t="s">
        <v>120</v>
      </c>
      <c r="D2564" s="1" t="s">
        <v>44</v>
      </c>
      <c r="E2564" s="1" t="s">
        <v>28</v>
      </c>
      <c r="F2564" s="1" t="s">
        <v>44</v>
      </c>
      <c r="G2564" s="1">
        <v>14</v>
      </c>
      <c r="H2564" s="1">
        <v>54138</v>
      </c>
      <c r="I2564" s="1">
        <v>0.1</v>
      </c>
      <c r="J2564" s="1">
        <v>682138.8</v>
      </c>
      <c r="K2564" s="1">
        <v>193028.11</v>
      </c>
      <c r="L2564" s="1" t="s">
        <v>23</v>
      </c>
      <c r="M2564" s="1" t="str">
        <f>TEXT(Table1[[#This Row],[Order Date]],"mmm")</f>
        <v>Feb</v>
      </c>
      <c r="N2564" s="1">
        <f>YEAR(Table1[[#This Row],[Order Date]])</f>
        <v>2023</v>
      </c>
    </row>
    <row r="2565" spans="1:14" x14ac:dyDescent="0.35">
      <c r="A2565" s="1" t="s">
        <v>3348</v>
      </c>
      <c r="B2565" s="1" t="s">
        <v>1056</v>
      </c>
      <c r="C2565" s="1" t="s">
        <v>332</v>
      </c>
      <c r="D2565" s="1" t="s">
        <v>137</v>
      </c>
      <c r="E2565" s="1" t="s">
        <v>22</v>
      </c>
      <c r="F2565" s="1" t="s">
        <v>137</v>
      </c>
      <c r="G2565" s="1">
        <v>1</v>
      </c>
      <c r="H2565" s="1">
        <v>43750</v>
      </c>
      <c r="I2565" s="1">
        <v>0</v>
      </c>
      <c r="J2565" s="1">
        <v>43750</v>
      </c>
      <c r="K2565" s="1">
        <v>6182.02</v>
      </c>
      <c r="L2565" s="1" t="s">
        <v>17</v>
      </c>
      <c r="M2565" s="1" t="str">
        <f>TEXT(Table1[[#This Row],[Order Date]],"mmm")</f>
        <v>Jul</v>
      </c>
      <c r="N2565" s="1">
        <f>YEAR(Table1[[#This Row],[Order Date]])</f>
        <v>2024</v>
      </c>
    </row>
    <row r="2566" spans="1:14" x14ac:dyDescent="0.35">
      <c r="A2566" s="1" t="s">
        <v>3349</v>
      </c>
      <c r="B2566" s="1" t="s">
        <v>2430</v>
      </c>
      <c r="C2566" s="1" t="s">
        <v>208</v>
      </c>
      <c r="D2566" s="1" t="s">
        <v>78</v>
      </c>
      <c r="E2566" s="1" t="s">
        <v>28</v>
      </c>
      <c r="F2566" s="1" t="s">
        <v>78</v>
      </c>
      <c r="G2566" s="1">
        <v>5</v>
      </c>
      <c r="H2566" s="1">
        <v>56061</v>
      </c>
      <c r="I2566" s="1">
        <v>0.15</v>
      </c>
      <c r="J2566" s="1">
        <v>238259.25</v>
      </c>
      <c r="K2566" s="1">
        <v>47651.29</v>
      </c>
      <c r="L2566" s="1" t="s">
        <v>23</v>
      </c>
      <c r="M2566" s="1" t="str">
        <f>TEXT(Table1[[#This Row],[Order Date]],"mmm")</f>
        <v>Mar</v>
      </c>
      <c r="N2566" s="1">
        <f>YEAR(Table1[[#This Row],[Order Date]])</f>
        <v>2024</v>
      </c>
    </row>
    <row r="2567" spans="1:14" x14ac:dyDescent="0.35">
      <c r="A2567" s="1" t="s">
        <v>3350</v>
      </c>
      <c r="B2567" s="1" t="s">
        <v>1043</v>
      </c>
      <c r="C2567" s="1" t="s">
        <v>335</v>
      </c>
      <c r="D2567" s="1" t="s">
        <v>137</v>
      </c>
      <c r="E2567" s="1" t="s">
        <v>22</v>
      </c>
      <c r="F2567" s="1" t="s">
        <v>137</v>
      </c>
      <c r="G2567" s="1">
        <v>7</v>
      </c>
      <c r="H2567" s="1">
        <v>39381</v>
      </c>
      <c r="I2567" s="1">
        <v>0.05</v>
      </c>
      <c r="J2567" s="1">
        <v>261883.65</v>
      </c>
      <c r="K2567" s="1">
        <v>26912.52</v>
      </c>
      <c r="L2567" s="1" t="s">
        <v>17</v>
      </c>
      <c r="M2567" s="1" t="str">
        <f>TEXT(Table1[[#This Row],[Order Date]],"mmm")</f>
        <v>Aug</v>
      </c>
      <c r="N2567" s="1">
        <f>YEAR(Table1[[#This Row],[Order Date]])</f>
        <v>2024</v>
      </c>
    </row>
    <row r="2568" spans="1:14" x14ac:dyDescent="0.35">
      <c r="A2568" s="1" t="s">
        <v>3351</v>
      </c>
      <c r="B2568" s="1" t="s">
        <v>259</v>
      </c>
      <c r="C2568" s="1" t="s">
        <v>117</v>
      </c>
      <c r="D2568" s="1" t="s">
        <v>44</v>
      </c>
      <c r="E2568" s="1" t="s">
        <v>28</v>
      </c>
      <c r="F2568" s="1" t="s">
        <v>44</v>
      </c>
      <c r="G2568" s="1">
        <v>9</v>
      </c>
      <c r="H2568" s="1">
        <v>4611</v>
      </c>
      <c r="I2568" s="1">
        <v>0.05</v>
      </c>
      <c r="J2568" s="1">
        <v>39424.050000000003</v>
      </c>
      <c r="K2568" s="1">
        <v>3613.29</v>
      </c>
      <c r="L2568" s="1" t="s">
        <v>70</v>
      </c>
      <c r="M2568" s="1" t="str">
        <f>TEXT(Table1[[#This Row],[Order Date]],"mmm")</f>
        <v>Oct</v>
      </c>
      <c r="N2568" s="1">
        <f>YEAR(Table1[[#This Row],[Order Date]])</f>
        <v>2024</v>
      </c>
    </row>
    <row r="2569" spans="1:14" x14ac:dyDescent="0.35">
      <c r="A2569" s="1" t="s">
        <v>3352</v>
      </c>
      <c r="B2569" s="1" t="s">
        <v>3353</v>
      </c>
      <c r="C2569" s="1" t="s">
        <v>507</v>
      </c>
      <c r="D2569" s="1" t="s">
        <v>323</v>
      </c>
      <c r="E2569" s="1" t="s">
        <v>33</v>
      </c>
      <c r="F2569" s="1" t="s">
        <v>323</v>
      </c>
      <c r="G2569" s="1">
        <v>7</v>
      </c>
      <c r="H2569" s="1">
        <v>58066</v>
      </c>
      <c r="I2569" s="1">
        <v>0.2</v>
      </c>
      <c r="J2569" s="1">
        <v>325169.59999999998</v>
      </c>
      <c r="K2569" s="1">
        <v>35692.75</v>
      </c>
      <c r="L2569" s="1" t="s">
        <v>23</v>
      </c>
      <c r="M2569" s="1" t="str">
        <f>TEXT(Table1[[#This Row],[Order Date]],"mmm")</f>
        <v>Sep</v>
      </c>
      <c r="N2569" s="1">
        <f>YEAR(Table1[[#This Row],[Order Date]])</f>
        <v>2023</v>
      </c>
    </row>
    <row r="2570" spans="1:14" x14ac:dyDescent="0.35">
      <c r="A2570" s="1" t="s">
        <v>3354</v>
      </c>
      <c r="B2570" s="1" t="s">
        <v>1918</v>
      </c>
      <c r="C2570" s="1" t="s">
        <v>208</v>
      </c>
      <c r="D2570" s="1" t="s">
        <v>37</v>
      </c>
      <c r="E2570" s="1" t="s">
        <v>16</v>
      </c>
      <c r="F2570" s="1" t="s">
        <v>37</v>
      </c>
      <c r="G2570" s="1">
        <v>4</v>
      </c>
      <c r="H2570" s="1">
        <v>54224</v>
      </c>
      <c r="I2570" s="1">
        <v>0.2</v>
      </c>
      <c r="J2570" s="1">
        <v>173516.79999999999</v>
      </c>
      <c r="K2570" s="1">
        <v>46946.37</v>
      </c>
      <c r="L2570" s="1" t="s">
        <v>23</v>
      </c>
      <c r="M2570" s="1" t="str">
        <f>TEXT(Table1[[#This Row],[Order Date]],"mmm")</f>
        <v>Aug</v>
      </c>
      <c r="N2570" s="1">
        <f>YEAR(Table1[[#This Row],[Order Date]])</f>
        <v>2023</v>
      </c>
    </row>
    <row r="2571" spans="1:14" x14ac:dyDescent="0.35">
      <c r="A2571" s="1" t="s">
        <v>3355</v>
      </c>
      <c r="B2571" s="1" t="s">
        <v>25</v>
      </c>
      <c r="C2571" s="1" t="s">
        <v>88</v>
      </c>
      <c r="D2571" s="1" t="s">
        <v>37</v>
      </c>
      <c r="E2571" s="1" t="s">
        <v>16</v>
      </c>
      <c r="F2571" s="1" t="s">
        <v>37</v>
      </c>
      <c r="G2571" s="1">
        <v>1</v>
      </c>
      <c r="H2571" s="1">
        <v>38826</v>
      </c>
      <c r="I2571" s="1">
        <v>0.05</v>
      </c>
      <c r="J2571" s="1">
        <v>36884.699999999997</v>
      </c>
      <c r="K2571" s="1">
        <v>6683.72</v>
      </c>
      <c r="L2571" s="1" t="s">
        <v>17</v>
      </c>
      <c r="M2571" s="1" t="str">
        <f>TEXT(Table1[[#This Row],[Order Date]],"mmm")</f>
        <v>Apr</v>
      </c>
      <c r="N2571" s="1">
        <f>YEAR(Table1[[#This Row],[Order Date]])</f>
        <v>2023</v>
      </c>
    </row>
    <row r="2572" spans="1:14" x14ac:dyDescent="0.35">
      <c r="A2572" s="1" t="s">
        <v>3356</v>
      </c>
      <c r="B2572" s="1" t="s">
        <v>19</v>
      </c>
      <c r="C2572" s="1" t="s">
        <v>14</v>
      </c>
      <c r="D2572" s="1" t="s">
        <v>114</v>
      </c>
      <c r="E2572" s="1" t="s">
        <v>16</v>
      </c>
      <c r="F2572" s="1" t="s">
        <v>114</v>
      </c>
      <c r="G2572" s="1">
        <v>10</v>
      </c>
      <c r="H2572" s="1">
        <v>44543</v>
      </c>
      <c r="I2572" s="1">
        <v>0.05</v>
      </c>
      <c r="J2572" s="1">
        <v>423158.5</v>
      </c>
      <c r="K2572" s="1">
        <v>118798.66</v>
      </c>
      <c r="L2572" s="1" t="s">
        <v>70</v>
      </c>
      <c r="M2572" s="1" t="str">
        <f>TEXT(Table1[[#This Row],[Order Date]],"mmm")</f>
        <v>Jul</v>
      </c>
      <c r="N2572" s="1">
        <f>YEAR(Table1[[#This Row],[Order Date]])</f>
        <v>2023</v>
      </c>
    </row>
    <row r="2573" spans="1:14" x14ac:dyDescent="0.35">
      <c r="A2573" s="1" t="s">
        <v>3357</v>
      </c>
      <c r="B2573" s="1" t="s">
        <v>976</v>
      </c>
      <c r="C2573" s="1" t="s">
        <v>175</v>
      </c>
      <c r="D2573" s="1" t="s">
        <v>179</v>
      </c>
      <c r="E2573" s="1" t="s">
        <v>28</v>
      </c>
      <c r="F2573" s="1" t="s">
        <v>179</v>
      </c>
      <c r="G2573" s="1">
        <v>5</v>
      </c>
      <c r="H2573" s="1">
        <v>52787</v>
      </c>
      <c r="I2573" s="1">
        <v>0.05</v>
      </c>
      <c r="J2573" s="1">
        <v>250738.25</v>
      </c>
      <c r="K2573" s="1">
        <v>60456.11</v>
      </c>
      <c r="L2573" s="1" t="s">
        <v>23</v>
      </c>
      <c r="M2573" s="1" t="str">
        <f>TEXT(Table1[[#This Row],[Order Date]],"mmm")</f>
        <v>Oct</v>
      </c>
      <c r="N2573" s="1">
        <f>YEAR(Table1[[#This Row],[Order Date]])</f>
        <v>2024</v>
      </c>
    </row>
    <row r="2574" spans="1:14" x14ac:dyDescent="0.35">
      <c r="A2574" s="1" t="s">
        <v>3358</v>
      </c>
      <c r="B2574" s="1" t="s">
        <v>655</v>
      </c>
      <c r="C2574" s="1" t="s">
        <v>88</v>
      </c>
      <c r="D2574" s="1" t="s">
        <v>60</v>
      </c>
      <c r="E2574" s="1" t="s">
        <v>33</v>
      </c>
      <c r="F2574" s="1" t="s">
        <v>60</v>
      </c>
      <c r="G2574" s="1">
        <v>13</v>
      </c>
      <c r="H2574" s="1">
        <v>58336</v>
      </c>
      <c r="I2574" s="1">
        <v>0.15</v>
      </c>
      <c r="J2574" s="1">
        <v>644612.80000000005</v>
      </c>
      <c r="K2574" s="1">
        <v>173279.46</v>
      </c>
      <c r="L2574" s="1" t="s">
        <v>70</v>
      </c>
      <c r="M2574" s="1" t="str">
        <f>TEXT(Table1[[#This Row],[Order Date]],"mmm")</f>
        <v>Jul</v>
      </c>
      <c r="N2574" s="1">
        <f>YEAR(Table1[[#This Row],[Order Date]])</f>
        <v>2023</v>
      </c>
    </row>
    <row r="2575" spans="1:14" x14ac:dyDescent="0.35">
      <c r="A2575" s="1" t="s">
        <v>3359</v>
      </c>
      <c r="B2575" s="1" t="s">
        <v>1333</v>
      </c>
      <c r="C2575" s="1" t="s">
        <v>260</v>
      </c>
      <c r="D2575" s="1" t="s">
        <v>151</v>
      </c>
      <c r="E2575" s="1" t="s">
        <v>22</v>
      </c>
      <c r="F2575" s="1" t="s">
        <v>151</v>
      </c>
      <c r="G2575" s="1">
        <v>1</v>
      </c>
      <c r="H2575" s="1">
        <v>40329</v>
      </c>
      <c r="I2575" s="1">
        <v>0.15</v>
      </c>
      <c r="J2575" s="1">
        <v>34279.65</v>
      </c>
      <c r="K2575" s="1">
        <v>4817.8900000000003</v>
      </c>
      <c r="L2575" s="1" t="s">
        <v>17</v>
      </c>
      <c r="M2575" s="1" t="str">
        <f>TEXT(Table1[[#This Row],[Order Date]],"mmm")</f>
        <v>Jan</v>
      </c>
      <c r="N2575" s="1">
        <f>YEAR(Table1[[#This Row],[Order Date]])</f>
        <v>2024</v>
      </c>
    </row>
    <row r="2576" spans="1:14" x14ac:dyDescent="0.35">
      <c r="A2576" s="1" t="s">
        <v>3360</v>
      </c>
      <c r="B2576" s="1" t="s">
        <v>1951</v>
      </c>
      <c r="C2576" s="1" t="s">
        <v>507</v>
      </c>
      <c r="D2576" s="1" t="s">
        <v>44</v>
      </c>
      <c r="E2576" s="1" t="s">
        <v>28</v>
      </c>
      <c r="F2576" s="1" t="s">
        <v>44</v>
      </c>
      <c r="G2576" s="1">
        <v>4</v>
      </c>
      <c r="H2576" s="1">
        <v>53294</v>
      </c>
      <c r="I2576" s="1">
        <v>0.05</v>
      </c>
      <c r="J2576" s="1">
        <v>202517.2</v>
      </c>
      <c r="K2576" s="1">
        <v>60210.27</v>
      </c>
      <c r="L2576" s="1" t="s">
        <v>17</v>
      </c>
      <c r="M2576" s="1" t="str">
        <f>TEXT(Table1[[#This Row],[Order Date]],"mmm")</f>
        <v>May</v>
      </c>
      <c r="N2576" s="1">
        <f>YEAR(Table1[[#This Row],[Order Date]])</f>
        <v>2024</v>
      </c>
    </row>
    <row r="2577" spans="1:14" x14ac:dyDescent="0.35">
      <c r="A2577" s="1" t="s">
        <v>3361</v>
      </c>
      <c r="B2577" s="1" t="s">
        <v>1418</v>
      </c>
      <c r="C2577" s="1" t="s">
        <v>107</v>
      </c>
      <c r="D2577" s="1" t="s">
        <v>44</v>
      </c>
      <c r="E2577" s="1" t="s">
        <v>28</v>
      </c>
      <c r="F2577" s="1" t="s">
        <v>44</v>
      </c>
      <c r="G2577" s="1">
        <v>8</v>
      </c>
      <c r="H2577" s="1">
        <v>9969</v>
      </c>
      <c r="I2577" s="1">
        <v>0.2</v>
      </c>
      <c r="J2577" s="1">
        <v>63801.599999999999</v>
      </c>
      <c r="K2577" s="1">
        <v>12560.32</v>
      </c>
      <c r="L2577" s="1" t="s">
        <v>45</v>
      </c>
      <c r="M2577" s="1" t="str">
        <f>TEXT(Table1[[#This Row],[Order Date]],"mmm")</f>
        <v>Nov</v>
      </c>
      <c r="N2577" s="1">
        <f>YEAR(Table1[[#This Row],[Order Date]])</f>
        <v>2024</v>
      </c>
    </row>
    <row r="2578" spans="1:14" x14ac:dyDescent="0.35">
      <c r="A2578" s="1" t="s">
        <v>3362</v>
      </c>
      <c r="B2578" s="1" t="s">
        <v>351</v>
      </c>
      <c r="C2578" s="1" t="s">
        <v>31</v>
      </c>
      <c r="D2578" s="1" t="s">
        <v>323</v>
      </c>
      <c r="E2578" s="1" t="s">
        <v>33</v>
      </c>
      <c r="F2578" s="1" t="s">
        <v>323</v>
      </c>
      <c r="G2578" s="1">
        <v>12</v>
      </c>
      <c r="H2578" s="1">
        <v>54368</v>
      </c>
      <c r="I2578" s="1">
        <v>0.1</v>
      </c>
      <c r="J2578" s="1">
        <v>587174.40000000002</v>
      </c>
      <c r="K2578" s="1">
        <v>102384.11</v>
      </c>
      <c r="L2578" s="1" t="s">
        <v>45</v>
      </c>
      <c r="M2578" s="1" t="str">
        <f>TEXT(Table1[[#This Row],[Order Date]],"mmm")</f>
        <v>Apr</v>
      </c>
      <c r="N2578" s="1">
        <f>YEAR(Table1[[#This Row],[Order Date]])</f>
        <v>2023</v>
      </c>
    </row>
    <row r="2579" spans="1:14" x14ac:dyDescent="0.35">
      <c r="A2579" s="1" t="s">
        <v>3363</v>
      </c>
      <c r="B2579" s="1" t="s">
        <v>1492</v>
      </c>
      <c r="C2579" s="1" t="s">
        <v>260</v>
      </c>
      <c r="D2579" s="1" t="s">
        <v>27</v>
      </c>
      <c r="E2579" s="1" t="s">
        <v>28</v>
      </c>
      <c r="F2579" s="1" t="s">
        <v>27</v>
      </c>
      <c r="G2579" s="1">
        <v>9</v>
      </c>
      <c r="H2579" s="1">
        <v>39990</v>
      </c>
      <c r="I2579" s="1">
        <v>0.15</v>
      </c>
      <c r="J2579" s="1">
        <v>305923.5</v>
      </c>
      <c r="K2579" s="1">
        <v>27209.439999999999</v>
      </c>
      <c r="L2579" s="1" t="s">
        <v>70</v>
      </c>
      <c r="M2579" s="1" t="str">
        <f>TEXT(Table1[[#This Row],[Order Date]],"mmm")</f>
        <v>Mar</v>
      </c>
      <c r="N2579" s="1">
        <f>YEAR(Table1[[#This Row],[Order Date]])</f>
        <v>2024</v>
      </c>
    </row>
    <row r="2580" spans="1:14" x14ac:dyDescent="0.35">
      <c r="A2580" s="1" t="s">
        <v>3364</v>
      </c>
      <c r="B2580" s="1" t="s">
        <v>2099</v>
      </c>
      <c r="C2580" s="1" t="s">
        <v>73</v>
      </c>
      <c r="D2580" s="1" t="s">
        <v>56</v>
      </c>
      <c r="E2580" s="1" t="s">
        <v>22</v>
      </c>
      <c r="F2580" s="1" t="s">
        <v>56</v>
      </c>
      <c r="G2580" s="1">
        <v>13</v>
      </c>
      <c r="H2580" s="1">
        <v>37076</v>
      </c>
      <c r="I2580" s="1">
        <v>0.2</v>
      </c>
      <c r="J2580" s="1">
        <v>385590.4</v>
      </c>
      <c r="K2580" s="1">
        <v>75149.77</v>
      </c>
      <c r="L2580" s="1" t="s">
        <v>45</v>
      </c>
      <c r="M2580" s="1" t="str">
        <f>TEXT(Table1[[#This Row],[Order Date]],"mmm")</f>
        <v>Jan</v>
      </c>
      <c r="N2580" s="1">
        <f>YEAR(Table1[[#This Row],[Order Date]])</f>
        <v>2024</v>
      </c>
    </row>
    <row r="2581" spans="1:14" x14ac:dyDescent="0.35">
      <c r="A2581" s="1" t="s">
        <v>3365</v>
      </c>
      <c r="B2581" s="1" t="s">
        <v>322</v>
      </c>
      <c r="C2581" s="1" t="s">
        <v>332</v>
      </c>
      <c r="D2581" s="1" t="s">
        <v>179</v>
      </c>
      <c r="E2581" s="1" t="s">
        <v>28</v>
      </c>
      <c r="F2581" s="1" t="s">
        <v>179</v>
      </c>
      <c r="G2581" s="1">
        <v>5</v>
      </c>
      <c r="H2581" s="1">
        <v>15741</v>
      </c>
      <c r="I2581" s="1">
        <v>0</v>
      </c>
      <c r="J2581" s="1">
        <v>78705</v>
      </c>
      <c r="K2581" s="1">
        <v>22701.58</v>
      </c>
      <c r="L2581" s="1" t="s">
        <v>17</v>
      </c>
      <c r="M2581" s="1" t="str">
        <f>TEXT(Table1[[#This Row],[Order Date]],"mmm")</f>
        <v>Sep</v>
      </c>
      <c r="N2581" s="1">
        <f>YEAR(Table1[[#This Row],[Order Date]])</f>
        <v>2023</v>
      </c>
    </row>
    <row r="2582" spans="1:14" x14ac:dyDescent="0.35">
      <c r="A2582" s="1" t="s">
        <v>3366</v>
      </c>
      <c r="B2582" s="1" t="s">
        <v>2178</v>
      </c>
      <c r="C2582" s="1" t="s">
        <v>335</v>
      </c>
      <c r="D2582" s="1" t="s">
        <v>56</v>
      </c>
      <c r="E2582" s="1" t="s">
        <v>22</v>
      </c>
      <c r="F2582" s="1" t="s">
        <v>56</v>
      </c>
      <c r="G2582" s="1">
        <v>4</v>
      </c>
      <c r="H2582" s="1">
        <v>57926</v>
      </c>
      <c r="I2582" s="1">
        <v>0.1</v>
      </c>
      <c r="J2582" s="1">
        <v>208533.6</v>
      </c>
      <c r="K2582" s="1">
        <v>41247.96</v>
      </c>
      <c r="L2582" s="1" t="s">
        <v>17</v>
      </c>
      <c r="M2582" s="1" t="str">
        <f>TEXT(Table1[[#This Row],[Order Date]],"mmm")</f>
        <v>Jul</v>
      </c>
      <c r="N2582" s="1">
        <f>YEAR(Table1[[#This Row],[Order Date]])</f>
        <v>2023</v>
      </c>
    </row>
    <row r="2583" spans="1:14" x14ac:dyDescent="0.35">
      <c r="A2583" s="1" t="s">
        <v>3367</v>
      </c>
      <c r="B2583" s="1" t="s">
        <v>1720</v>
      </c>
      <c r="C2583" s="1" t="s">
        <v>178</v>
      </c>
      <c r="D2583" s="1" t="s">
        <v>91</v>
      </c>
      <c r="E2583" s="1" t="s">
        <v>16</v>
      </c>
      <c r="F2583" s="1" t="s">
        <v>91</v>
      </c>
      <c r="G2583" s="1">
        <v>11</v>
      </c>
      <c r="H2583" s="1">
        <v>3309</v>
      </c>
      <c r="I2583" s="1">
        <v>0.1</v>
      </c>
      <c r="J2583" s="1">
        <v>32759.1</v>
      </c>
      <c r="K2583" s="1">
        <v>9298.76</v>
      </c>
      <c r="L2583" s="1" t="s">
        <v>70</v>
      </c>
      <c r="M2583" s="1" t="str">
        <f>TEXT(Table1[[#This Row],[Order Date]],"mmm")</f>
        <v>Jan</v>
      </c>
      <c r="N2583" s="1">
        <f>YEAR(Table1[[#This Row],[Order Date]])</f>
        <v>2023</v>
      </c>
    </row>
    <row r="2584" spans="1:14" x14ac:dyDescent="0.35">
      <c r="A2584" s="1" t="s">
        <v>3368</v>
      </c>
      <c r="B2584" s="1" t="s">
        <v>1099</v>
      </c>
      <c r="C2584" s="1" t="s">
        <v>507</v>
      </c>
      <c r="D2584" s="1" t="s">
        <v>15</v>
      </c>
      <c r="E2584" s="1" t="s">
        <v>16</v>
      </c>
      <c r="F2584" s="1" t="s">
        <v>15</v>
      </c>
      <c r="G2584" s="1">
        <v>10</v>
      </c>
      <c r="H2584" s="1">
        <v>15577</v>
      </c>
      <c r="I2584" s="1">
        <v>0</v>
      </c>
      <c r="J2584" s="1">
        <v>155770</v>
      </c>
      <c r="K2584" s="1">
        <v>12706.94</v>
      </c>
      <c r="L2584" s="1" t="s">
        <v>17</v>
      </c>
      <c r="M2584" s="1" t="str">
        <f>TEXT(Table1[[#This Row],[Order Date]],"mmm")</f>
        <v>Oct</v>
      </c>
      <c r="N2584" s="1">
        <f>YEAR(Table1[[#This Row],[Order Date]])</f>
        <v>2023</v>
      </c>
    </row>
    <row r="2585" spans="1:14" x14ac:dyDescent="0.35">
      <c r="A2585" s="1" t="s">
        <v>3369</v>
      </c>
      <c r="B2585" s="1" t="s">
        <v>688</v>
      </c>
      <c r="C2585" s="1" t="s">
        <v>332</v>
      </c>
      <c r="D2585" s="1" t="s">
        <v>48</v>
      </c>
      <c r="E2585" s="1" t="s">
        <v>16</v>
      </c>
      <c r="F2585" s="1" t="s">
        <v>48</v>
      </c>
      <c r="G2585" s="1">
        <v>6</v>
      </c>
      <c r="H2585" s="1">
        <v>13463</v>
      </c>
      <c r="I2585" s="1">
        <v>0.2</v>
      </c>
      <c r="J2585" s="1">
        <v>64622.400000000001</v>
      </c>
      <c r="K2585" s="1">
        <v>5215.41</v>
      </c>
      <c r="L2585" s="1" t="s">
        <v>70</v>
      </c>
      <c r="M2585" s="1" t="str">
        <f>TEXT(Table1[[#This Row],[Order Date]],"mmm")</f>
        <v>Jul</v>
      </c>
      <c r="N2585" s="1">
        <f>YEAR(Table1[[#This Row],[Order Date]])</f>
        <v>2023</v>
      </c>
    </row>
    <row r="2586" spans="1:14" x14ac:dyDescent="0.35">
      <c r="A2586" s="1" t="s">
        <v>3370</v>
      </c>
      <c r="B2586" s="1" t="s">
        <v>169</v>
      </c>
      <c r="C2586" s="1" t="s">
        <v>84</v>
      </c>
      <c r="D2586" s="1" t="s">
        <v>91</v>
      </c>
      <c r="E2586" s="1" t="s">
        <v>16</v>
      </c>
      <c r="F2586" s="1" t="s">
        <v>91</v>
      </c>
      <c r="G2586" s="1">
        <v>8</v>
      </c>
      <c r="H2586" s="1">
        <v>3016</v>
      </c>
      <c r="I2586" s="1">
        <v>0.05</v>
      </c>
      <c r="J2586" s="1">
        <v>22921.599999999999</v>
      </c>
      <c r="K2586" s="1">
        <v>5869.13</v>
      </c>
      <c r="L2586" s="1" t="s">
        <v>70</v>
      </c>
      <c r="M2586" s="1" t="str">
        <f>TEXT(Table1[[#This Row],[Order Date]],"mmm")</f>
        <v>Nov</v>
      </c>
      <c r="N2586" s="1">
        <f>YEAR(Table1[[#This Row],[Order Date]])</f>
        <v>2024</v>
      </c>
    </row>
    <row r="2587" spans="1:14" x14ac:dyDescent="0.35">
      <c r="A2587" s="1" t="s">
        <v>3371</v>
      </c>
      <c r="B2587" s="1" t="s">
        <v>1705</v>
      </c>
      <c r="C2587" s="1" t="s">
        <v>188</v>
      </c>
      <c r="D2587" s="1" t="s">
        <v>108</v>
      </c>
      <c r="E2587" s="1" t="s">
        <v>22</v>
      </c>
      <c r="F2587" s="1" t="s">
        <v>108</v>
      </c>
      <c r="G2587" s="1">
        <v>14</v>
      </c>
      <c r="H2587" s="1">
        <v>44238</v>
      </c>
      <c r="I2587" s="1">
        <v>0</v>
      </c>
      <c r="J2587" s="1">
        <v>619332</v>
      </c>
      <c r="K2587" s="1">
        <v>107261.45</v>
      </c>
      <c r="L2587" s="1" t="s">
        <v>70</v>
      </c>
      <c r="M2587" s="1" t="str">
        <f>TEXT(Table1[[#This Row],[Order Date]],"mmm")</f>
        <v>Oct</v>
      </c>
      <c r="N2587" s="1">
        <f>YEAR(Table1[[#This Row],[Order Date]])</f>
        <v>2024</v>
      </c>
    </row>
    <row r="2588" spans="1:14" x14ac:dyDescent="0.35">
      <c r="A2588" s="1" t="s">
        <v>3372</v>
      </c>
      <c r="B2588" s="1" t="s">
        <v>127</v>
      </c>
      <c r="C2588" s="1" t="s">
        <v>507</v>
      </c>
      <c r="D2588" s="1" t="s">
        <v>179</v>
      </c>
      <c r="E2588" s="1" t="s">
        <v>28</v>
      </c>
      <c r="F2588" s="1" t="s">
        <v>179</v>
      </c>
      <c r="G2588" s="1">
        <v>12</v>
      </c>
      <c r="H2588" s="1">
        <v>11677</v>
      </c>
      <c r="I2588" s="1">
        <v>0.05</v>
      </c>
      <c r="J2588" s="1">
        <v>133117.79999999999</v>
      </c>
      <c r="K2588" s="1">
        <v>30593.53</v>
      </c>
      <c r="L2588" s="1" t="s">
        <v>45</v>
      </c>
      <c r="M2588" s="1" t="str">
        <f>TEXT(Table1[[#This Row],[Order Date]],"mmm")</f>
        <v>Nov</v>
      </c>
      <c r="N2588" s="1">
        <f>YEAR(Table1[[#This Row],[Order Date]])</f>
        <v>2024</v>
      </c>
    </row>
    <row r="2589" spans="1:14" x14ac:dyDescent="0.35">
      <c r="A2589" s="1" t="s">
        <v>3373</v>
      </c>
      <c r="B2589" s="1" t="s">
        <v>210</v>
      </c>
      <c r="C2589" s="1" t="s">
        <v>507</v>
      </c>
      <c r="D2589" s="1" t="s">
        <v>133</v>
      </c>
      <c r="E2589" s="1" t="s">
        <v>22</v>
      </c>
      <c r="F2589" s="1" t="s">
        <v>133</v>
      </c>
      <c r="G2589" s="1">
        <v>15</v>
      </c>
      <c r="H2589" s="1">
        <v>56027</v>
      </c>
      <c r="I2589" s="1">
        <v>0.05</v>
      </c>
      <c r="J2589" s="1">
        <v>798384.75</v>
      </c>
      <c r="K2589" s="1">
        <v>104586.01</v>
      </c>
      <c r="L2589" s="1" t="s">
        <v>45</v>
      </c>
      <c r="M2589" s="1" t="str">
        <f>TEXT(Table1[[#This Row],[Order Date]],"mmm")</f>
        <v>Jun</v>
      </c>
      <c r="N2589" s="1">
        <f>YEAR(Table1[[#This Row],[Order Date]])</f>
        <v>2023</v>
      </c>
    </row>
    <row r="2590" spans="1:14" x14ac:dyDescent="0.35">
      <c r="A2590" s="1" t="s">
        <v>3374</v>
      </c>
      <c r="B2590" s="1" t="s">
        <v>823</v>
      </c>
      <c r="C2590" s="1" t="s">
        <v>59</v>
      </c>
      <c r="D2590" s="1" t="s">
        <v>137</v>
      </c>
      <c r="E2590" s="1" t="s">
        <v>22</v>
      </c>
      <c r="F2590" s="1" t="s">
        <v>137</v>
      </c>
      <c r="G2590" s="1">
        <v>10</v>
      </c>
      <c r="H2590" s="1">
        <v>57550</v>
      </c>
      <c r="I2590" s="1">
        <v>0.1</v>
      </c>
      <c r="J2590" s="1">
        <v>517950</v>
      </c>
      <c r="K2590" s="1">
        <v>41643.58</v>
      </c>
      <c r="L2590" s="1" t="s">
        <v>45</v>
      </c>
      <c r="M2590" s="1" t="str">
        <f>TEXT(Table1[[#This Row],[Order Date]],"mmm")</f>
        <v>Jul</v>
      </c>
      <c r="N2590" s="1">
        <f>YEAR(Table1[[#This Row],[Order Date]])</f>
        <v>2024</v>
      </c>
    </row>
    <row r="2591" spans="1:14" x14ac:dyDescent="0.35">
      <c r="A2591" s="1" t="s">
        <v>3375</v>
      </c>
      <c r="B2591" s="1" t="s">
        <v>569</v>
      </c>
      <c r="C2591" s="1" t="s">
        <v>63</v>
      </c>
      <c r="D2591" s="1" t="s">
        <v>85</v>
      </c>
      <c r="E2591" s="1" t="s">
        <v>28</v>
      </c>
      <c r="F2591" s="1" t="s">
        <v>85</v>
      </c>
      <c r="G2591" s="1">
        <v>8</v>
      </c>
      <c r="H2591" s="1">
        <v>21428</v>
      </c>
      <c r="I2591" s="1">
        <v>0.05</v>
      </c>
      <c r="J2591" s="1">
        <v>162852.79999999999</v>
      </c>
      <c r="K2591" s="1">
        <v>25918.3</v>
      </c>
      <c r="L2591" s="1" t="s">
        <v>17</v>
      </c>
      <c r="M2591" s="1" t="str">
        <f>TEXT(Table1[[#This Row],[Order Date]],"mmm")</f>
        <v>Sep</v>
      </c>
      <c r="N2591" s="1">
        <f>YEAR(Table1[[#This Row],[Order Date]])</f>
        <v>2024</v>
      </c>
    </row>
    <row r="2592" spans="1:14" x14ac:dyDescent="0.35">
      <c r="A2592" s="1" t="s">
        <v>3376</v>
      </c>
      <c r="B2592" s="1" t="s">
        <v>2239</v>
      </c>
      <c r="C2592" s="1" t="s">
        <v>140</v>
      </c>
      <c r="D2592" s="1" t="s">
        <v>27</v>
      </c>
      <c r="E2592" s="1" t="s">
        <v>28</v>
      </c>
      <c r="F2592" s="1" t="s">
        <v>27</v>
      </c>
      <c r="G2592" s="1">
        <v>4</v>
      </c>
      <c r="H2592" s="1">
        <v>29284</v>
      </c>
      <c r="I2592" s="1">
        <v>0.05</v>
      </c>
      <c r="J2592" s="1">
        <v>111279.2</v>
      </c>
      <c r="K2592" s="1">
        <v>14825.35</v>
      </c>
      <c r="L2592" s="1" t="s">
        <v>45</v>
      </c>
      <c r="M2592" s="1" t="str">
        <f>TEXT(Table1[[#This Row],[Order Date]],"mmm")</f>
        <v>Oct</v>
      </c>
      <c r="N2592" s="1">
        <f>YEAR(Table1[[#This Row],[Order Date]])</f>
        <v>2023</v>
      </c>
    </row>
    <row r="2593" spans="1:14" x14ac:dyDescent="0.35">
      <c r="A2593" s="1" t="s">
        <v>3377</v>
      </c>
      <c r="B2593" s="1" t="s">
        <v>2176</v>
      </c>
      <c r="C2593" s="1" t="s">
        <v>55</v>
      </c>
      <c r="D2593" s="1" t="s">
        <v>95</v>
      </c>
      <c r="E2593" s="1" t="s">
        <v>33</v>
      </c>
      <c r="F2593" s="1" t="s">
        <v>95</v>
      </c>
      <c r="G2593" s="1">
        <v>7</v>
      </c>
      <c r="H2593" s="1">
        <v>13797</v>
      </c>
      <c r="I2593" s="1">
        <v>0.15</v>
      </c>
      <c r="J2593" s="1">
        <v>82092.149999999994</v>
      </c>
      <c r="K2593" s="1">
        <v>20664.71</v>
      </c>
      <c r="L2593" s="1" t="s">
        <v>45</v>
      </c>
      <c r="M2593" s="1" t="str">
        <f>TEXT(Table1[[#This Row],[Order Date]],"mmm")</f>
        <v>Sep</v>
      </c>
      <c r="N2593" s="1">
        <f>YEAR(Table1[[#This Row],[Order Date]])</f>
        <v>2024</v>
      </c>
    </row>
    <row r="2594" spans="1:14" x14ac:dyDescent="0.35">
      <c r="A2594" s="1" t="s">
        <v>3378</v>
      </c>
      <c r="B2594" s="1" t="s">
        <v>1346</v>
      </c>
      <c r="C2594" s="1" t="s">
        <v>170</v>
      </c>
      <c r="D2594" s="1" t="s">
        <v>52</v>
      </c>
      <c r="E2594" s="1" t="s">
        <v>28</v>
      </c>
      <c r="F2594" s="1" t="s">
        <v>52</v>
      </c>
      <c r="G2594" s="1">
        <v>5</v>
      </c>
      <c r="H2594" s="1">
        <v>24960</v>
      </c>
      <c r="I2594" s="1">
        <v>0.2</v>
      </c>
      <c r="J2594" s="1">
        <v>99840</v>
      </c>
      <c r="K2594" s="1">
        <v>24889.23</v>
      </c>
      <c r="L2594" s="1" t="s">
        <v>45</v>
      </c>
      <c r="M2594" s="1" t="str">
        <f>TEXT(Table1[[#This Row],[Order Date]],"mmm")</f>
        <v>Aug</v>
      </c>
      <c r="N2594" s="1">
        <f>YEAR(Table1[[#This Row],[Order Date]])</f>
        <v>2023</v>
      </c>
    </row>
    <row r="2595" spans="1:14" x14ac:dyDescent="0.35">
      <c r="A2595" s="1" t="s">
        <v>3379</v>
      </c>
      <c r="B2595" s="1" t="s">
        <v>276</v>
      </c>
      <c r="C2595" s="1" t="s">
        <v>14</v>
      </c>
      <c r="D2595" s="1" t="s">
        <v>32</v>
      </c>
      <c r="E2595" s="1" t="s">
        <v>33</v>
      </c>
      <c r="F2595" s="1" t="s">
        <v>32</v>
      </c>
      <c r="G2595" s="1">
        <v>1</v>
      </c>
      <c r="H2595" s="1">
        <v>6680</v>
      </c>
      <c r="I2595" s="1">
        <v>0.15</v>
      </c>
      <c r="J2595" s="1">
        <v>5678</v>
      </c>
      <c r="K2595" s="1">
        <v>1050.58</v>
      </c>
      <c r="L2595" s="1" t="s">
        <v>17</v>
      </c>
      <c r="M2595" s="1" t="str">
        <f>TEXT(Table1[[#This Row],[Order Date]],"mmm")</f>
        <v>Apr</v>
      </c>
      <c r="N2595" s="1">
        <f>YEAR(Table1[[#This Row],[Order Date]])</f>
        <v>2024</v>
      </c>
    </row>
    <row r="2596" spans="1:14" x14ac:dyDescent="0.35">
      <c r="A2596" s="1" t="s">
        <v>3380</v>
      </c>
      <c r="B2596" s="1" t="s">
        <v>404</v>
      </c>
      <c r="C2596" s="1" t="s">
        <v>36</v>
      </c>
      <c r="D2596" s="1" t="s">
        <v>137</v>
      </c>
      <c r="E2596" s="1" t="s">
        <v>22</v>
      </c>
      <c r="F2596" s="1" t="s">
        <v>137</v>
      </c>
      <c r="G2596" s="1">
        <v>1</v>
      </c>
      <c r="H2596" s="1">
        <v>33680</v>
      </c>
      <c r="I2596" s="1">
        <v>0.05</v>
      </c>
      <c r="J2596" s="1">
        <v>31996</v>
      </c>
      <c r="K2596" s="1">
        <v>3579.79</v>
      </c>
      <c r="L2596" s="1" t="s">
        <v>17</v>
      </c>
      <c r="M2596" s="1" t="str">
        <f>TEXT(Table1[[#This Row],[Order Date]],"mmm")</f>
        <v>Jan</v>
      </c>
      <c r="N2596" s="1">
        <f>YEAR(Table1[[#This Row],[Order Date]])</f>
        <v>2023</v>
      </c>
    </row>
    <row r="2597" spans="1:14" x14ac:dyDescent="0.35">
      <c r="A2597" s="1" t="s">
        <v>3381</v>
      </c>
      <c r="B2597" s="1" t="s">
        <v>50</v>
      </c>
      <c r="C2597" s="1" t="s">
        <v>63</v>
      </c>
      <c r="D2597" s="1" t="s">
        <v>224</v>
      </c>
      <c r="E2597" s="1" t="s">
        <v>33</v>
      </c>
      <c r="F2597" s="1" t="s">
        <v>224</v>
      </c>
      <c r="G2597" s="1">
        <v>6</v>
      </c>
      <c r="H2597" s="1">
        <v>11866</v>
      </c>
      <c r="I2597" s="1">
        <v>0.1</v>
      </c>
      <c r="J2597" s="1">
        <v>64076.4</v>
      </c>
      <c r="K2597" s="1">
        <v>17300.25</v>
      </c>
      <c r="L2597" s="1" t="s">
        <v>45</v>
      </c>
      <c r="M2597" s="1" t="str">
        <f>TEXT(Table1[[#This Row],[Order Date]],"mmm")</f>
        <v>May</v>
      </c>
      <c r="N2597" s="1">
        <f>YEAR(Table1[[#This Row],[Order Date]])</f>
        <v>2023</v>
      </c>
    </row>
    <row r="2598" spans="1:14" x14ac:dyDescent="0.35">
      <c r="A2598" s="1" t="s">
        <v>3382</v>
      </c>
      <c r="B2598" s="1" t="s">
        <v>457</v>
      </c>
      <c r="C2598" s="1" t="s">
        <v>40</v>
      </c>
      <c r="D2598" s="1" t="s">
        <v>91</v>
      </c>
      <c r="E2598" s="1" t="s">
        <v>16</v>
      </c>
      <c r="F2598" s="1" t="s">
        <v>91</v>
      </c>
      <c r="G2598" s="1">
        <v>2</v>
      </c>
      <c r="H2598" s="1">
        <v>14742</v>
      </c>
      <c r="I2598" s="1">
        <v>0.05</v>
      </c>
      <c r="J2598" s="1">
        <v>28009.8</v>
      </c>
      <c r="K2598" s="1">
        <v>2871.56</v>
      </c>
      <c r="L2598" s="1" t="s">
        <v>70</v>
      </c>
      <c r="M2598" s="1" t="str">
        <f>TEXT(Table1[[#This Row],[Order Date]],"mmm")</f>
        <v>Mar</v>
      </c>
      <c r="N2598" s="1">
        <f>YEAR(Table1[[#This Row],[Order Date]])</f>
        <v>2024</v>
      </c>
    </row>
    <row r="2599" spans="1:14" x14ac:dyDescent="0.35">
      <c r="A2599" s="1" t="s">
        <v>3383</v>
      </c>
      <c r="B2599" s="1" t="s">
        <v>698</v>
      </c>
      <c r="C2599" s="1" t="s">
        <v>77</v>
      </c>
      <c r="D2599" s="1" t="s">
        <v>32</v>
      </c>
      <c r="E2599" s="1" t="s">
        <v>33</v>
      </c>
      <c r="F2599" s="1" t="s">
        <v>32</v>
      </c>
      <c r="G2599" s="1">
        <v>5</v>
      </c>
      <c r="H2599" s="1">
        <v>20262</v>
      </c>
      <c r="I2599" s="1">
        <v>0.15</v>
      </c>
      <c r="J2599" s="1">
        <v>86113.5</v>
      </c>
      <c r="K2599" s="1">
        <v>23349.59</v>
      </c>
      <c r="L2599" s="1" t="s">
        <v>23</v>
      </c>
      <c r="M2599" s="1" t="str">
        <f>TEXT(Table1[[#This Row],[Order Date]],"mmm")</f>
        <v>Mar</v>
      </c>
      <c r="N2599" s="1">
        <f>YEAR(Table1[[#This Row],[Order Date]])</f>
        <v>2023</v>
      </c>
    </row>
    <row r="2600" spans="1:14" x14ac:dyDescent="0.35">
      <c r="A2600" s="1" t="s">
        <v>3384</v>
      </c>
      <c r="B2600" s="1" t="s">
        <v>705</v>
      </c>
      <c r="C2600" s="1" t="s">
        <v>208</v>
      </c>
      <c r="D2600" s="1" t="s">
        <v>44</v>
      </c>
      <c r="E2600" s="1" t="s">
        <v>28</v>
      </c>
      <c r="F2600" s="1" t="s">
        <v>44</v>
      </c>
      <c r="G2600" s="1">
        <v>4</v>
      </c>
      <c r="H2600" s="1">
        <v>2521</v>
      </c>
      <c r="I2600" s="1">
        <v>0</v>
      </c>
      <c r="J2600" s="1">
        <v>10084</v>
      </c>
      <c r="K2600" s="1">
        <v>2508.4299999999998</v>
      </c>
      <c r="L2600" s="1" t="s">
        <v>70</v>
      </c>
      <c r="M2600" s="1" t="str">
        <f>TEXT(Table1[[#This Row],[Order Date]],"mmm")</f>
        <v>May</v>
      </c>
      <c r="N2600" s="1">
        <f>YEAR(Table1[[#This Row],[Order Date]])</f>
        <v>2024</v>
      </c>
    </row>
    <row r="2601" spans="1:14" x14ac:dyDescent="0.35">
      <c r="A2601" s="1" t="s">
        <v>3385</v>
      </c>
      <c r="B2601" s="1" t="s">
        <v>207</v>
      </c>
      <c r="C2601" s="1" t="s">
        <v>111</v>
      </c>
      <c r="D2601" s="1" t="s">
        <v>114</v>
      </c>
      <c r="E2601" s="1" t="s">
        <v>16</v>
      </c>
      <c r="F2601" s="1" t="s">
        <v>114</v>
      </c>
      <c r="G2601" s="1">
        <v>2</v>
      </c>
      <c r="H2601" s="1">
        <v>3634</v>
      </c>
      <c r="I2601" s="1">
        <v>0.05</v>
      </c>
      <c r="J2601" s="1">
        <v>6904.6</v>
      </c>
      <c r="K2601" s="1">
        <v>813.23</v>
      </c>
      <c r="L2601" s="1" t="s">
        <v>23</v>
      </c>
      <c r="M2601" s="1" t="str">
        <f>TEXT(Table1[[#This Row],[Order Date]],"mmm")</f>
        <v>Jun</v>
      </c>
      <c r="N2601" s="1">
        <f>YEAR(Table1[[#This Row],[Order Date]])</f>
        <v>2024</v>
      </c>
    </row>
    <row r="2602" spans="1:14" x14ac:dyDescent="0.35">
      <c r="A2602" s="1" t="s">
        <v>3386</v>
      </c>
      <c r="B2602" s="1" t="s">
        <v>667</v>
      </c>
      <c r="C2602" s="1" t="s">
        <v>63</v>
      </c>
      <c r="D2602" s="1" t="s">
        <v>133</v>
      </c>
      <c r="E2602" s="1" t="s">
        <v>22</v>
      </c>
      <c r="F2602" s="1" t="s">
        <v>133</v>
      </c>
      <c r="G2602" s="1">
        <v>15</v>
      </c>
      <c r="H2602" s="1">
        <v>7041</v>
      </c>
      <c r="I2602" s="1">
        <v>0.05</v>
      </c>
      <c r="J2602" s="1">
        <v>100334.25</v>
      </c>
      <c r="K2602" s="1">
        <v>18954.900000000001</v>
      </c>
      <c r="L2602" s="1" t="s">
        <v>70</v>
      </c>
      <c r="M2602" s="1" t="str">
        <f>TEXT(Table1[[#This Row],[Order Date]],"mmm")</f>
        <v>Jun</v>
      </c>
      <c r="N2602" s="1">
        <f>YEAR(Table1[[#This Row],[Order Date]])</f>
        <v>2024</v>
      </c>
    </row>
    <row r="2603" spans="1:14" x14ac:dyDescent="0.35">
      <c r="A2603" s="1" t="s">
        <v>3387</v>
      </c>
      <c r="B2603" s="1" t="s">
        <v>1483</v>
      </c>
      <c r="C2603" s="1" t="s">
        <v>203</v>
      </c>
      <c r="D2603" s="1" t="s">
        <v>151</v>
      </c>
      <c r="E2603" s="1" t="s">
        <v>22</v>
      </c>
      <c r="F2603" s="1" t="s">
        <v>151</v>
      </c>
      <c r="G2603" s="1">
        <v>4</v>
      </c>
      <c r="H2603" s="1">
        <v>34257</v>
      </c>
      <c r="I2603" s="1">
        <v>0.15</v>
      </c>
      <c r="J2603" s="1">
        <v>116473.8</v>
      </c>
      <c r="K2603" s="1">
        <v>20235.98</v>
      </c>
      <c r="L2603" s="1" t="s">
        <v>45</v>
      </c>
      <c r="M2603" s="1" t="str">
        <f>TEXT(Table1[[#This Row],[Order Date]],"mmm")</f>
        <v>Aug</v>
      </c>
      <c r="N2603" s="1">
        <f>YEAR(Table1[[#This Row],[Order Date]])</f>
        <v>2023</v>
      </c>
    </row>
    <row r="2604" spans="1:14" x14ac:dyDescent="0.35">
      <c r="A2604" s="1" t="s">
        <v>3388</v>
      </c>
      <c r="B2604" s="1" t="s">
        <v>343</v>
      </c>
      <c r="C2604" s="1" t="s">
        <v>158</v>
      </c>
      <c r="D2604" s="1" t="s">
        <v>78</v>
      </c>
      <c r="E2604" s="1" t="s">
        <v>28</v>
      </c>
      <c r="F2604" s="1" t="s">
        <v>78</v>
      </c>
      <c r="G2604" s="1">
        <v>14</v>
      </c>
      <c r="H2604" s="1">
        <v>55129</v>
      </c>
      <c r="I2604" s="1">
        <v>0</v>
      </c>
      <c r="J2604" s="1">
        <v>771806</v>
      </c>
      <c r="K2604" s="1">
        <v>224523.94</v>
      </c>
      <c r="L2604" s="1" t="s">
        <v>17</v>
      </c>
      <c r="M2604" s="1" t="str">
        <f>TEXT(Table1[[#This Row],[Order Date]],"mmm")</f>
        <v>Feb</v>
      </c>
      <c r="N2604" s="1">
        <f>YEAR(Table1[[#This Row],[Order Date]])</f>
        <v>2024</v>
      </c>
    </row>
    <row r="2605" spans="1:14" x14ac:dyDescent="0.35">
      <c r="A2605" s="1" t="s">
        <v>3389</v>
      </c>
      <c r="B2605" s="1" t="s">
        <v>3390</v>
      </c>
      <c r="C2605" s="1" t="s">
        <v>370</v>
      </c>
      <c r="D2605" s="1" t="s">
        <v>32</v>
      </c>
      <c r="E2605" s="1" t="s">
        <v>33</v>
      </c>
      <c r="F2605" s="1" t="s">
        <v>32</v>
      </c>
      <c r="G2605" s="1">
        <v>9</v>
      </c>
      <c r="H2605" s="1">
        <v>41019</v>
      </c>
      <c r="I2605" s="1">
        <v>0</v>
      </c>
      <c r="J2605" s="1">
        <v>369171</v>
      </c>
      <c r="K2605" s="1">
        <v>69126.820000000007</v>
      </c>
      <c r="L2605" s="1" t="s">
        <v>70</v>
      </c>
      <c r="M2605" s="1" t="str">
        <f>TEXT(Table1[[#This Row],[Order Date]],"mmm")</f>
        <v>Dec</v>
      </c>
      <c r="N2605" s="1">
        <f>YEAR(Table1[[#This Row],[Order Date]])</f>
        <v>2023</v>
      </c>
    </row>
    <row r="2606" spans="1:14" x14ac:dyDescent="0.35">
      <c r="A2606" s="1" t="s">
        <v>3391</v>
      </c>
      <c r="B2606" s="1" t="s">
        <v>1299</v>
      </c>
      <c r="C2606" s="1" t="s">
        <v>51</v>
      </c>
      <c r="D2606" s="1" t="s">
        <v>293</v>
      </c>
      <c r="E2606" s="1" t="s">
        <v>33</v>
      </c>
      <c r="F2606" s="1" t="s">
        <v>293</v>
      </c>
      <c r="G2606" s="1">
        <v>15</v>
      </c>
      <c r="H2606" s="1">
        <v>39578</v>
      </c>
      <c r="I2606" s="1">
        <v>0.15</v>
      </c>
      <c r="J2606" s="1">
        <v>504619.5</v>
      </c>
      <c r="K2606" s="1">
        <v>45700.1</v>
      </c>
      <c r="L2606" s="1" t="s">
        <v>17</v>
      </c>
      <c r="M2606" s="1" t="str">
        <f>TEXT(Table1[[#This Row],[Order Date]],"mmm")</f>
        <v>Sep</v>
      </c>
      <c r="N2606" s="1">
        <f>YEAR(Table1[[#This Row],[Order Date]])</f>
        <v>2024</v>
      </c>
    </row>
    <row r="2607" spans="1:14" x14ac:dyDescent="0.35">
      <c r="A2607" s="1" t="s">
        <v>3392</v>
      </c>
      <c r="B2607" s="1" t="s">
        <v>383</v>
      </c>
      <c r="C2607" s="1" t="s">
        <v>188</v>
      </c>
      <c r="D2607" s="1" t="s">
        <v>44</v>
      </c>
      <c r="E2607" s="1" t="s">
        <v>28</v>
      </c>
      <c r="F2607" s="1" t="s">
        <v>44</v>
      </c>
      <c r="G2607" s="1">
        <v>9</v>
      </c>
      <c r="H2607" s="1">
        <v>51584</v>
      </c>
      <c r="I2607" s="1">
        <v>0</v>
      </c>
      <c r="J2607" s="1">
        <v>464256</v>
      </c>
      <c r="K2607" s="1">
        <v>112122.58</v>
      </c>
      <c r="L2607" s="1" t="s">
        <v>17</v>
      </c>
      <c r="M2607" s="1" t="str">
        <f>TEXT(Table1[[#This Row],[Order Date]],"mmm")</f>
        <v>Jun</v>
      </c>
      <c r="N2607" s="1">
        <f>YEAR(Table1[[#This Row],[Order Date]])</f>
        <v>2024</v>
      </c>
    </row>
    <row r="2608" spans="1:14" x14ac:dyDescent="0.35">
      <c r="A2608" s="1" t="s">
        <v>3393</v>
      </c>
      <c r="B2608" s="1" t="s">
        <v>1374</v>
      </c>
      <c r="C2608" s="1" t="s">
        <v>208</v>
      </c>
      <c r="D2608" s="1" t="s">
        <v>108</v>
      </c>
      <c r="E2608" s="1" t="s">
        <v>22</v>
      </c>
      <c r="F2608" s="1" t="s">
        <v>108</v>
      </c>
      <c r="G2608" s="1">
        <v>1</v>
      </c>
      <c r="H2608" s="1">
        <v>1965</v>
      </c>
      <c r="I2608" s="1">
        <v>0.1</v>
      </c>
      <c r="J2608" s="1">
        <v>1768.5</v>
      </c>
      <c r="K2608" s="1">
        <v>397.24</v>
      </c>
      <c r="L2608" s="1" t="s">
        <v>23</v>
      </c>
      <c r="M2608" s="1" t="str">
        <f>TEXT(Table1[[#This Row],[Order Date]],"mmm")</f>
        <v>May</v>
      </c>
      <c r="N2608" s="1">
        <f>YEAR(Table1[[#This Row],[Order Date]])</f>
        <v>2023</v>
      </c>
    </row>
    <row r="2609" spans="1:14" x14ac:dyDescent="0.35">
      <c r="A2609" s="1" t="s">
        <v>3394</v>
      </c>
      <c r="B2609" s="1" t="s">
        <v>3395</v>
      </c>
      <c r="C2609" s="1" t="s">
        <v>67</v>
      </c>
      <c r="D2609" s="1" t="s">
        <v>37</v>
      </c>
      <c r="E2609" s="1" t="s">
        <v>16</v>
      </c>
      <c r="F2609" s="1" t="s">
        <v>37</v>
      </c>
      <c r="G2609" s="1">
        <v>13</v>
      </c>
      <c r="H2609" s="1">
        <v>41312</v>
      </c>
      <c r="I2609" s="1">
        <v>0.05</v>
      </c>
      <c r="J2609" s="1">
        <v>510203.2</v>
      </c>
      <c r="K2609" s="1">
        <v>128445.07</v>
      </c>
      <c r="L2609" s="1" t="s">
        <v>45</v>
      </c>
      <c r="M2609" s="1" t="str">
        <f>TEXT(Table1[[#This Row],[Order Date]],"mmm")</f>
        <v>Feb</v>
      </c>
      <c r="N2609" s="1">
        <f>YEAR(Table1[[#This Row],[Order Date]])</f>
        <v>2023</v>
      </c>
    </row>
    <row r="2610" spans="1:14" x14ac:dyDescent="0.35">
      <c r="A2610" s="1" t="s">
        <v>3396</v>
      </c>
      <c r="B2610" s="1" t="s">
        <v>2169</v>
      </c>
      <c r="C2610" s="1" t="s">
        <v>125</v>
      </c>
      <c r="D2610" s="1" t="s">
        <v>133</v>
      </c>
      <c r="E2610" s="1" t="s">
        <v>22</v>
      </c>
      <c r="F2610" s="1" t="s">
        <v>133</v>
      </c>
      <c r="G2610" s="1">
        <v>5</v>
      </c>
      <c r="H2610" s="1">
        <v>4271</v>
      </c>
      <c r="I2610" s="1">
        <v>0.2</v>
      </c>
      <c r="J2610" s="1">
        <v>17084</v>
      </c>
      <c r="K2610" s="1">
        <v>4324.92</v>
      </c>
      <c r="L2610" s="1" t="s">
        <v>45</v>
      </c>
      <c r="M2610" s="1" t="str">
        <f>TEXT(Table1[[#This Row],[Order Date]],"mmm")</f>
        <v>Jul</v>
      </c>
      <c r="N2610" s="1">
        <f>YEAR(Table1[[#This Row],[Order Date]])</f>
        <v>2024</v>
      </c>
    </row>
    <row r="2611" spans="1:14" x14ac:dyDescent="0.35">
      <c r="A2611" s="1" t="s">
        <v>3397</v>
      </c>
      <c r="B2611" s="1" t="s">
        <v>1842</v>
      </c>
      <c r="C2611" s="1" t="s">
        <v>120</v>
      </c>
      <c r="D2611" s="1" t="s">
        <v>64</v>
      </c>
      <c r="E2611" s="1" t="s">
        <v>33</v>
      </c>
      <c r="F2611" s="1" t="s">
        <v>64</v>
      </c>
      <c r="G2611" s="1">
        <v>15</v>
      </c>
      <c r="H2611" s="1">
        <v>28477</v>
      </c>
      <c r="I2611" s="1">
        <v>0</v>
      </c>
      <c r="J2611" s="1">
        <v>427155</v>
      </c>
      <c r="K2611" s="1">
        <v>108399.44</v>
      </c>
      <c r="L2611" s="1" t="s">
        <v>45</v>
      </c>
      <c r="M2611" s="1" t="str">
        <f>TEXT(Table1[[#This Row],[Order Date]],"mmm")</f>
        <v>Oct</v>
      </c>
      <c r="N2611" s="1">
        <f>YEAR(Table1[[#This Row],[Order Date]])</f>
        <v>2023</v>
      </c>
    </row>
    <row r="2612" spans="1:14" x14ac:dyDescent="0.35">
      <c r="A2612" s="1" t="s">
        <v>3398</v>
      </c>
      <c r="B2612" s="1" t="s">
        <v>599</v>
      </c>
      <c r="C2612" s="1" t="s">
        <v>128</v>
      </c>
      <c r="D2612" s="1" t="s">
        <v>44</v>
      </c>
      <c r="E2612" s="1" t="s">
        <v>28</v>
      </c>
      <c r="F2612" s="1" t="s">
        <v>44</v>
      </c>
      <c r="G2612" s="1">
        <v>1</v>
      </c>
      <c r="H2612" s="1">
        <v>25464</v>
      </c>
      <c r="I2612" s="1">
        <v>0.2</v>
      </c>
      <c r="J2612" s="1">
        <v>20371.2</v>
      </c>
      <c r="K2612" s="1">
        <v>2782.74</v>
      </c>
      <c r="L2612" s="1" t="s">
        <v>45</v>
      </c>
      <c r="M2612" s="1" t="str">
        <f>TEXT(Table1[[#This Row],[Order Date]],"mmm")</f>
        <v>May</v>
      </c>
      <c r="N2612" s="1">
        <f>YEAR(Table1[[#This Row],[Order Date]])</f>
        <v>2023</v>
      </c>
    </row>
    <row r="2613" spans="1:14" x14ac:dyDescent="0.35">
      <c r="A2613" s="1" t="s">
        <v>3399</v>
      </c>
      <c r="B2613" s="1" t="s">
        <v>939</v>
      </c>
      <c r="C2613" s="1" t="s">
        <v>101</v>
      </c>
      <c r="D2613" s="1" t="s">
        <v>141</v>
      </c>
      <c r="E2613" s="1" t="s">
        <v>22</v>
      </c>
      <c r="F2613" s="1" t="s">
        <v>141</v>
      </c>
      <c r="G2613" s="1">
        <v>11</v>
      </c>
      <c r="H2613" s="1">
        <v>14895</v>
      </c>
      <c r="I2613" s="1">
        <v>0.2</v>
      </c>
      <c r="J2613" s="1">
        <v>131076</v>
      </c>
      <c r="K2613" s="1">
        <v>33512.83</v>
      </c>
      <c r="L2613" s="1" t="s">
        <v>23</v>
      </c>
      <c r="M2613" s="1" t="str">
        <f>TEXT(Table1[[#This Row],[Order Date]],"mmm")</f>
        <v>Apr</v>
      </c>
      <c r="N2613" s="1">
        <f>YEAR(Table1[[#This Row],[Order Date]])</f>
        <v>2024</v>
      </c>
    </row>
    <row r="2614" spans="1:14" x14ac:dyDescent="0.35">
      <c r="A2614" s="1" t="s">
        <v>3400</v>
      </c>
      <c r="B2614" s="1" t="s">
        <v>2414</v>
      </c>
      <c r="C2614" s="1" t="s">
        <v>81</v>
      </c>
      <c r="D2614" s="1" t="s">
        <v>108</v>
      </c>
      <c r="E2614" s="1" t="s">
        <v>22</v>
      </c>
      <c r="F2614" s="1" t="s">
        <v>108</v>
      </c>
      <c r="G2614" s="1">
        <v>15</v>
      </c>
      <c r="H2614" s="1">
        <v>53621</v>
      </c>
      <c r="I2614" s="1">
        <v>0.15</v>
      </c>
      <c r="J2614" s="1">
        <v>683667.75</v>
      </c>
      <c r="K2614" s="1">
        <v>155402.91</v>
      </c>
      <c r="L2614" s="1" t="s">
        <v>17</v>
      </c>
      <c r="M2614" s="1" t="str">
        <f>TEXT(Table1[[#This Row],[Order Date]],"mmm")</f>
        <v>Apr</v>
      </c>
      <c r="N2614" s="1">
        <f>YEAR(Table1[[#This Row],[Order Date]])</f>
        <v>2024</v>
      </c>
    </row>
    <row r="2615" spans="1:14" x14ac:dyDescent="0.35">
      <c r="A2615" s="1" t="s">
        <v>3401</v>
      </c>
      <c r="B2615" s="1" t="s">
        <v>2108</v>
      </c>
      <c r="C2615" s="1" t="s">
        <v>170</v>
      </c>
      <c r="D2615" s="1" t="s">
        <v>108</v>
      </c>
      <c r="E2615" s="1" t="s">
        <v>22</v>
      </c>
      <c r="F2615" s="1" t="s">
        <v>108</v>
      </c>
      <c r="G2615" s="1">
        <v>3</v>
      </c>
      <c r="H2615" s="1">
        <v>9108</v>
      </c>
      <c r="I2615" s="1">
        <v>0.2</v>
      </c>
      <c r="J2615" s="1">
        <v>21859.200000000001</v>
      </c>
      <c r="K2615" s="1">
        <v>5524.27</v>
      </c>
      <c r="L2615" s="1" t="s">
        <v>17</v>
      </c>
      <c r="M2615" s="1" t="str">
        <f>TEXT(Table1[[#This Row],[Order Date]],"mmm")</f>
        <v>Jun</v>
      </c>
      <c r="N2615" s="1">
        <f>YEAR(Table1[[#This Row],[Order Date]])</f>
        <v>2023</v>
      </c>
    </row>
    <row r="2616" spans="1:14" x14ac:dyDescent="0.35">
      <c r="A2616" s="1" t="s">
        <v>3402</v>
      </c>
      <c r="B2616" s="1" t="s">
        <v>327</v>
      </c>
      <c r="C2616" s="1" t="s">
        <v>260</v>
      </c>
      <c r="D2616" s="1" t="s">
        <v>151</v>
      </c>
      <c r="E2616" s="1" t="s">
        <v>22</v>
      </c>
      <c r="F2616" s="1" t="s">
        <v>151</v>
      </c>
      <c r="G2616" s="1">
        <v>13</v>
      </c>
      <c r="H2616" s="1">
        <v>48929</v>
      </c>
      <c r="I2616" s="1">
        <v>0</v>
      </c>
      <c r="J2616" s="1">
        <v>636077</v>
      </c>
      <c r="K2616" s="1">
        <v>62496.67</v>
      </c>
      <c r="L2616" s="1" t="s">
        <v>17</v>
      </c>
      <c r="M2616" s="1" t="str">
        <f>TEXT(Table1[[#This Row],[Order Date]],"mmm")</f>
        <v>Nov</v>
      </c>
      <c r="N2616" s="1">
        <f>YEAR(Table1[[#This Row],[Order Date]])</f>
        <v>2024</v>
      </c>
    </row>
    <row r="2617" spans="1:14" x14ac:dyDescent="0.35">
      <c r="A2617" s="1" t="s">
        <v>3403</v>
      </c>
      <c r="B2617" s="1" t="s">
        <v>327</v>
      </c>
      <c r="C2617" s="1" t="s">
        <v>51</v>
      </c>
      <c r="D2617" s="1" t="s">
        <v>37</v>
      </c>
      <c r="E2617" s="1" t="s">
        <v>16</v>
      </c>
      <c r="F2617" s="1" t="s">
        <v>37</v>
      </c>
      <c r="G2617" s="1">
        <v>7</v>
      </c>
      <c r="H2617" s="1">
        <v>603</v>
      </c>
      <c r="I2617" s="1">
        <v>0.2</v>
      </c>
      <c r="J2617" s="1">
        <v>3376.8</v>
      </c>
      <c r="K2617" s="1">
        <v>878.17</v>
      </c>
      <c r="L2617" s="1" t="s">
        <v>45</v>
      </c>
      <c r="M2617" s="1" t="str">
        <f>TEXT(Table1[[#This Row],[Order Date]],"mmm")</f>
        <v>Nov</v>
      </c>
      <c r="N2617" s="1">
        <f>YEAR(Table1[[#This Row],[Order Date]])</f>
        <v>2024</v>
      </c>
    </row>
    <row r="2618" spans="1:14" x14ac:dyDescent="0.35">
      <c r="A2618" s="1" t="s">
        <v>3404</v>
      </c>
      <c r="B2618" s="1" t="s">
        <v>1460</v>
      </c>
      <c r="C2618" s="1" t="s">
        <v>81</v>
      </c>
      <c r="D2618" s="1" t="s">
        <v>32</v>
      </c>
      <c r="E2618" s="1" t="s">
        <v>33</v>
      </c>
      <c r="F2618" s="1" t="s">
        <v>32</v>
      </c>
      <c r="G2618" s="1">
        <v>8</v>
      </c>
      <c r="H2618" s="1">
        <v>22029</v>
      </c>
      <c r="I2618" s="1">
        <v>0.2</v>
      </c>
      <c r="J2618" s="1">
        <v>140985.60000000001</v>
      </c>
      <c r="K2618" s="1">
        <v>19657.310000000001</v>
      </c>
      <c r="L2618" s="1" t="s">
        <v>70</v>
      </c>
      <c r="M2618" s="1" t="str">
        <f>TEXT(Table1[[#This Row],[Order Date]],"mmm")</f>
        <v>Feb</v>
      </c>
      <c r="N2618" s="1">
        <f>YEAR(Table1[[#This Row],[Order Date]])</f>
        <v>2023</v>
      </c>
    </row>
    <row r="2619" spans="1:14" x14ac:dyDescent="0.35">
      <c r="A2619" s="1" t="s">
        <v>3405</v>
      </c>
      <c r="B2619" s="1" t="s">
        <v>1124</v>
      </c>
      <c r="C2619" s="1" t="s">
        <v>260</v>
      </c>
      <c r="D2619" s="1" t="s">
        <v>60</v>
      </c>
      <c r="E2619" s="1" t="s">
        <v>33</v>
      </c>
      <c r="F2619" s="1" t="s">
        <v>60</v>
      </c>
      <c r="G2619" s="1">
        <v>14</v>
      </c>
      <c r="H2619" s="1">
        <v>52740</v>
      </c>
      <c r="I2619" s="1">
        <v>0.15</v>
      </c>
      <c r="J2619" s="1">
        <v>627606</v>
      </c>
      <c r="K2619" s="1">
        <v>143062.82</v>
      </c>
      <c r="L2619" s="1" t="s">
        <v>45</v>
      </c>
      <c r="M2619" s="1" t="str">
        <f>TEXT(Table1[[#This Row],[Order Date]],"mmm")</f>
        <v>Feb</v>
      </c>
      <c r="N2619" s="1">
        <f>YEAR(Table1[[#This Row],[Order Date]])</f>
        <v>2024</v>
      </c>
    </row>
    <row r="2620" spans="1:14" x14ac:dyDescent="0.35">
      <c r="A2620" s="1" t="s">
        <v>3406</v>
      </c>
      <c r="B2620" s="1" t="s">
        <v>1196</v>
      </c>
      <c r="C2620" s="1" t="s">
        <v>200</v>
      </c>
      <c r="D2620" s="1" t="s">
        <v>74</v>
      </c>
      <c r="E2620" s="1" t="s">
        <v>22</v>
      </c>
      <c r="F2620" s="1" t="s">
        <v>74</v>
      </c>
      <c r="G2620" s="1">
        <v>6</v>
      </c>
      <c r="H2620" s="1">
        <v>44894</v>
      </c>
      <c r="I2620" s="1">
        <v>0.1</v>
      </c>
      <c r="J2620" s="1">
        <v>242427.6</v>
      </c>
      <c r="K2620" s="1">
        <v>55522.85</v>
      </c>
      <c r="L2620" s="1" t="s">
        <v>45</v>
      </c>
      <c r="M2620" s="1" t="str">
        <f>TEXT(Table1[[#This Row],[Order Date]],"mmm")</f>
        <v>May</v>
      </c>
      <c r="N2620" s="1">
        <f>YEAR(Table1[[#This Row],[Order Date]])</f>
        <v>2023</v>
      </c>
    </row>
    <row r="2621" spans="1:14" x14ac:dyDescent="0.35">
      <c r="A2621" s="1" t="s">
        <v>3407</v>
      </c>
      <c r="B2621" s="1" t="s">
        <v>501</v>
      </c>
      <c r="C2621" s="1" t="s">
        <v>107</v>
      </c>
      <c r="D2621" s="1" t="s">
        <v>78</v>
      </c>
      <c r="E2621" s="1" t="s">
        <v>28</v>
      </c>
      <c r="F2621" s="1" t="s">
        <v>78</v>
      </c>
      <c r="G2621" s="1">
        <v>3</v>
      </c>
      <c r="H2621" s="1">
        <v>13083</v>
      </c>
      <c r="I2621" s="1">
        <v>0.2</v>
      </c>
      <c r="J2621" s="1">
        <v>31399.200000000001</v>
      </c>
      <c r="K2621" s="1">
        <v>8536.6</v>
      </c>
      <c r="L2621" s="1" t="s">
        <v>45</v>
      </c>
      <c r="M2621" s="1" t="str">
        <f>TEXT(Table1[[#This Row],[Order Date]],"mmm")</f>
        <v>Nov</v>
      </c>
      <c r="N2621" s="1">
        <f>YEAR(Table1[[#This Row],[Order Date]])</f>
        <v>2024</v>
      </c>
    </row>
    <row r="2622" spans="1:14" x14ac:dyDescent="0.35">
      <c r="A2622" s="1" t="s">
        <v>3408</v>
      </c>
      <c r="B2622" s="1" t="s">
        <v>1282</v>
      </c>
      <c r="C2622" s="1" t="s">
        <v>136</v>
      </c>
      <c r="D2622" s="1" t="s">
        <v>48</v>
      </c>
      <c r="E2622" s="1" t="s">
        <v>16</v>
      </c>
      <c r="F2622" s="1" t="s">
        <v>48</v>
      </c>
      <c r="G2622" s="1">
        <v>5</v>
      </c>
      <c r="H2622" s="1">
        <v>57412</v>
      </c>
      <c r="I2622" s="1">
        <v>0.05</v>
      </c>
      <c r="J2622" s="1">
        <v>272707</v>
      </c>
      <c r="K2622" s="1">
        <v>74150.259999999995</v>
      </c>
      <c r="L2622" s="1" t="s">
        <v>45</v>
      </c>
      <c r="M2622" s="1" t="str">
        <f>TEXT(Table1[[#This Row],[Order Date]],"mmm")</f>
        <v>Sep</v>
      </c>
      <c r="N2622" s="1">
        <f>YEAR(Table1[[#This Row],[Order Date]])</f>
        <v>2023</v>
      </c>
    </row>
    <row r="2623" spans="1:14" x14ac:dyDescent="0.35">
      <c r="A2623" s="1" t="s">
        <v>3409</v>
      </c>
      <c r="B2623" s="1" t="s">
        <v>1389</v>
      </c>
      <c r="C2623" s="1" t="s">
        <v>178</v>
      </c>
      <c r="D2623" s="1" t="s">
        <v>64</v>
      </c>
      <c r="E2623" s="1" t="s">
        <v>33</v>
      </c>
      <c r="F2623" s="1" t="s">
        <v>64</v>
      </c>
      <c r="G2623" s="1">
        <v>3</v>
      </c>
      <c r="H2623" s="1">
        <v>27380</v>
      </c>
      <c r="I2623" s="1">
        <v>0.05</v>
      </c>
      <c r="J2623" s="1">
        <v>78033</v>
      </c>
      <c r="K2623" s="1">
        <v>12055.49</v>
      </c>
      <c r="L2623" s="1" t="s">
        <v>17</v>
      </c>
      <c r="M2623" s="1" t="str">
        <f>TEXT(Table1[[#This Row],[Order Date]],"mmm")</f>
        <v>Apr</v>
      </c>
      <c r="N2623" s="1">
        <f>YEAR(Table1[[#This Row],[Order Date]])</f>
        <v>2023</v>
      </c>
    </row>
    <row r="2624" spans="1:14" x14ac:dyDescent="0.35">
      <c r="A2624" s="1" t="s">
        <v>3410</v>
      </c>
      <c r="B2624" s="1" t="s">
        <v>2594</v>
      </c>
      <c r="C2624" s="1" t="s">
        <v>120</v>
      </c>
      <c r="D2624" s="1" t="s">
        <v>64</v>
      </c>
      <c r="E2624" s="1" t="s">
        <v>33</v>
      </c>
      <c r="F2624" s="1" t="s">
        <v>64</v>
      </c>
      <c r="G2624" s="1">
        <v>1</v>
      </c>
      <c r="H2624" s="1">
        <v>10869</v>
      </c>
      <c r="I2624" s="1">
        <v>0</v>
      </c>
      <c r="J2624" s="1">
        <v>10869</v>
      </c>
      <c r="K2624" s="1">
        <v>2290.4499999999998</v>
      </c>
      <c r="L2624" s="1" t="s">
        <v>70</v>
      </c>
      <c r="M2624" s="1" t="str">
        <f>TEXT(Table1[[#This Row],[Order Date]],"mmm")</f>
        <v>Jul</v>
      </c>
      <c r="N2624" s="1">
        <f>YEAR(Table1[[#This Row],[Order Date]])</f>
        <v>2023</v>
      </c>
    </row>
    <row r="2625" spans="1:14" x14ac:dyDescent="0.35">
      <c r="A2625" s="1" t="s">
        <v>3411</v>
      </c>
      <c r="B2625" s="1" t="s">
        <v>2262</v>
      </c>
      <c r="C2625" s="1" t="s">
        <v>155</v>
      </c>
      <c r="D2625" s="1" t="s">
        <v>151</v>
      </c>
      <c r="E2625" s="1" t="s">
        <v>22</v>
      </c>
      <c r="F2625" s="1" t="s">
        <v>151</v>
      </c>
      <c r="G2625" s="1">
        <v>4</v>
      </c>
      <c r="H2625" s="1">
        <v>25452</v>
      </c>
      <c r="I2625" s="1">
        <v>0.15</v>
      </c>
      <c r="J2625" s="1">
        <v>86536.8</v>
      </c>
      <c r="K2625" s="1">
        <v>11073</v>
      </c>
      <c r="L2625" s="1" t="s">
        <v>23</v>
      </c>
      <c r="M2625" s="1" t="str">
        <f>TEXT(Table1[[#This Row],[Order Date]],"mmm")</f>
        <v>Aug</v>
      </c>
      <c r="N2625" s="1">
        <f>YEAR(Table1[[#This Row],[Order Date]])</f>
        <v>2024</v>
      </c>
    </row>
    <row r="2626" spans="1:14" x14ac:dyDescent="0.35">
      <c r="A2626" s="1" t="s">
        <v>3412</v>
      </c>
      <c r="B2626" s="1" t="s">
        <v>339</v>
      </c>
      <c r="C2626" s="1" t="s">
        <v>362</v>
      </c>
      <c r="D2626" s="1" t="s">
        <v>179</v>
      </c>
      <c r="E2626" s="1" t="s">
        <v>28</v>
      </c>
      <c r="F2626" s="1" t="s">
        <v>179</v>
      </c>
      <c r="G2626" s="1">
        <v>4</v>
      </c>
      <c r="H2626" s="1">
        <v>48898</v>
      </c>
      <c r="I2626" s="1">
        <v>0.05</v>
      </c>
      <c r="J2626" s="1">
        <v>185812.4</v>
      </c>
      <c r="K2626" s="1">
        <v>35614.33</v>
      </c>
      <c r="L2626" s="1" t="s">
        <v>17</v>
      </c>
      <c r="M2626" s="1" t="str">
        <f>TEXT(Table1[[#This Row],[Order Date]],"mmm")</f>
        <v>Jun</v>
      </c>
      <c r="N2626" s="1">
        <f>YEAR(Table1[[#This Row],[Order Date]])</f>
        <v>2024</v>
      </c>
    </row>
    <row r="2627" spans="1:14" x14ac:dyDescent="0.35">
      <c r="A2627" s="1" t="s">
        <v>3413</v>
      </c>
      <c r="B2627" s="1" t="s">
        <v>269</v>
      </c>
      <c r="C2627" s="1" t="s">
        <v>208</v>
      </c>
      <c r="D2627" s="1" t="s">
        <v>56</v>
      </c>
      <c r="E2627" s="1" t="s">
        <v>22</v>
      </c>
      <c r="F2627" s="1" t="s">
        <v>56</v>
      </c>
      <c r="G2627" s="1">
        <v>1</v>
      </c>
      <c r="H2627" s="1">
        <v>50916</v>
      </c>
      <c r="I2627" s="1">
        <v>0</v>
      </c>
      <c r="J2627" s="1">
        <v>50916</v>
      </c>
      <c r="K2627" s="1">
        <v>13325.8</v>
      </c>
      <c r="L2627" s="1" t="s">
        <v>17</v>
      </c>
      <c r="M2627" s="1" t="str">
        <f>TEXT(Table1[[#This Row],[Order Date]],"mmm")</f>
        <v>Dec</v>
      </c>
      <c r="N2627" s="1">
        <f>YEAR(Table1[[#This Row],[Order Date]])</f>
        <v>2023</v>
      </c>
    </row>
    <row r="2628" spans="1:14" x14ac:dyDescent="0.35">
      <c r="A2628" s="1" t="s">
        <v>3414</v>
      </c>
      <c r="B2628" s="1" t="s">
        <v>169</v>
      </c>
      <c r="C2628" s="1" t="s">
        <v>208</v>
      </c>
      <c r="D2628" s="1" t="s">
        <v>95</v>
      </c>
      <c r="E2628" s="1" t="s">
        <v>33</v>
      </c>
      <c r="F2628" s="1" t="s">
        <v>95</v>
      </c>
      <c r="G2628" s="1">
        <v>7</v>
      </c>
      <c r="H2628" s="1">
        <v>41204</v>
      </c>
      <c r="I2628" s="1">
        <v>0</v>
      </c>
      <c r="J2628" s="1">
        <v>288428</v>
      </c>
      <c r="K2628" s="1">
        <v>76998.34</v>
      </c>
      <c r="L2628" s="1" t="s">
        <v>70</v>
      </c>
      <c r="M2628" s="1" t="str">
        <f>TEXT(Table1[[#This Row],[Order Date]],"mmm")</f>
        <v>Nov</v>
      </c>
      <c r="N2628" s="1">
        <f>YEAR(Table1[[#This Row],[Order Date]])</f>
        <v>2024</v>
      </c>
    </row>
    <row r="2629" spans="1:14" x14ac:dyDescent="0.35">
      <c r="A2629" s="1" t="s">
        <v>3415</v>
      </c>
      <c r="B2629" s="1" t="s">
        <v>3119</v>
      </c>
      <c r="C2629" s="1" t="s">
        <v>335</v>
      </c>
      <c r="D2629" s="1" t="s">
        <v>137</v>
      </c>
      <c r="E2629" s="1" t="s">
        <v>22</v>
      </c>
      <c r="F2629" s="1" t="s">
        <v>137</v>
      </c>
      <c r="G2629" s="1">
        <v>11</v>
      </c>
      <c r="H2629" s="1">
        <v>57253</v>
      </c>
      <c r="I2629" s="1">
        <v>0.05</v>
      </c>
      <c r="J2629" s="1">
        <v>598293.85</v>
      </c>
      <c r="K2629" s="1">
        <v>133996.88</v>
      </c>
      <c r="L2629" s="1" t="s">
        <v>17</v>
      </c>
      <c r="M2629" s="1" t="str">
        <f>TEXT(Table1[[#This Row],[Order Date]],"mmm")</f>
        <v>Apr</v>
      </c>
      <c r="N2629" s="1">
        <f>YEAR(Table1[[#This Row],[Order Date]])</f>
        <v>2024</v>
      </c>
    </row>
    <row r="2630" spans="1:14" x14ac:dyDescent="0.35">
      <c r="A2630" s="1" t="s">
        <v>3416</v>
      </c>
      <c r="B2630" s="1" t="s">
        <v>119</v>
      </c>
      <c r="C2630" s="1" t="s">
        <v>67</v>
      </c>
      <c r="D2630" s="1" t="s">
        <v>91</v>
      </c>
      <c r="E2630" s="1" t="s">
        <v>16</v>
      </c>
      <c r="F2630" s="1" t="s">
        <v>91</v>
      </c>
      <c r="G2630" s="1">
        <v>4</v>
      </c>
      <c r="H2630" s="1">
        <v>8102</v>
      </c>
      <c r="I2630" s="1">
        <v>0.1</v>
      </c>
      <c r="J2630" s="1">
        <v>29167.200000000001</v>
      </c>
      <c r="K2630" s="1">
        <v>3122.94</v>
      </c>
      <c r="L2630" s="1" t="s">
        <v>23</v>
      </c>
      <c r="M2630" s="1" t="str">
        <f>TEXT(Table1[[#This Row],[Order Date]],"mmm")</f>
        <v>Apr</v>
      </c>
      <c r="N2630" s="1">
        <f>YEAR(Table1[[#This Row],[Order Date]])</f>
        <v>2024</v>
      </c>
    </row>
    <row r="2631" spans="1:14" x14ac:dyDescent="0.35">
      <c r="A2631" s="1" t="s">
        <v>3417</v>
      </c>
      <c r="B2631" s="1" t="s">
        <v>831</v>
      </c>
      <c r="C2631" s="1" t="s">
        <v>117</v>
      </c>
      <c r="D2631" s="1" t="s">
        <v>78</v>
      </c>
      <c r="E2631" s="1" t="s">
        <v>28</v>
      </c>
      <c r="F2631" s="1" t="s">
        <v>78</v>
      </c>
      <c r="G2631" s="1">
        <v>12</v>
      </c>
      <c r="H2631" s="1">
        <v>34662</v>
      </c>
      <c r="I2631" s="1">
        <v>0</v>
      </c>
      <c r="J2631" s="1">
        <v>415944</v>
      </c>
      <c r="K2631" s="1">
        <v>45007.48</v>
      </c>
      <c r="L2631" s="1" t="s">
        <v>70</v>
      </c>
      <c r="M2631" s="1" t="str">
        <f>TEXT(Table1[[#This Row],[Order Date]],"mmm")</f>
        <v>Jun</v>
      </c>
      <c r="N2631" s="1">
        <f>YEAR(Table1[[#This Row],[Order Date]])</f>
        <v>2024</v>
      </c>
    </row>
    <row r="2632" spans="1:14" x14ac:dyDescent="0.35">
      <c r="A2632" s="1" t="s">
        <v>3418</v>
      </c>
      <c r="B2632" s="1" t="s">
        <v>1140</v>
      </c>
      <c r="C2632" s="1" t="s">
        <v>67</v>
      </c>
      <c r="D2632" s="1" t="s">
        <v>133</v>
      </c>
      <c r="E2632" s="1" t="s">
        <v>22</v>
      </c>
      <c r="F2632" s="1" t="s">
        <v>133</v>
      </c>
      <c r="G2632" s="1">
        <v>2</v>
      </c>
      <c r="H2632" s="1">
        <v>1598</v>
      </c>
      <c r="I2632" s="1">
        <v>0</v>
      </c>
      <c r="J2632" s="1">
        <v>3196</v>
      </c>
      <c r="K2632" s="1">
        <v>559.03</v>
      </c>
      <c r="L2632" s="1" t="s">
        <v>17</v>
      </c>
      <c r="M2632" s="1" t="str">
        <f>TEXT(Table1[[#This Row],[Order Date]],"mmm")</f>
        <v>May</v>
      </c>
      <c r="N2632" s="1">
        <f>YEAR(Table1[[#This Row],[Order Date]])</f>
        <v>2024</v>
      </c>
    </row>
    <row r="2633" spans="1:14" x14ac:dyDescent="0.35">
      <c r="A2633" s="1" t="s">
        <v>3419</v>
      </c>
      <c r="B2633" s="1" t="s">
        <v>705</v>
      </c>
      <c r="C2633" s="1" t="s">
        <v>73</v>
      </c>
      <c r="D2633" s="1" t="s">
        <v>56</v>
      </c>
      <c r="E2633" s="1" t="s">
        <v>22</v>
      </c>
      <c r="F2633" s="1" t="s">
        <v>56</v>
      </c>
      <c r="G2633" s="1">
        <v>2</v>
      </c>
      <c r="H2633" s="1">
        <v>50584</v>
      </c>
      <c r="I2633" s="1">
        <v>0.2</v>
      </c>
      <c r="J2633" s="1">
        <v>80934.399999999994</v>
      </c>
      <c r="K2633" s="1">
        <v>21155.02</v>
      </c>
      <c r="L2633" s="1" t="s">
        <v>45</v>
      </c>
      <c r="M2633" s="1" t="str">
        <f>TEXT(Table1[[#This Row],[Order Date]],"mmm")</f>
        <v>May</v>
      </c>
      <c r="N2633" s="1">
        <f>YEAR(Table1[[#This Row],[Order Date]])</f>
        <v>2024</v>
      </c>
    </row>
    <row r="2634" spans="1:14" x14ac:dyDescent="0.35">
      <c r="A2634" s="1" t="s">
        <v>3420</v>
      </c>
      <c r="B2634" s="1" t="s">
        <v>587</v>
      </c>
      <c r="C2634" s="1" t="s">
        <v>140</v>
      </c>
      <c r="D2634" s="1" t="s">
        <v>85</v>
      </c>
      <c r="E2634" s="1" t="s">
        <v>28</v>
      </c>
      <c r="F2634" s="1" t="s">
        <v>85</v>
      </c>
      <c r="G2634" s="1">
        <v>5</v>
      </c>
      <c r="H2634" s="1">
        <v>13853</v>
      </c>
      <c r="I2634" s="1">
        <v>0</v>
      </c>
      <c r="J2634" s="1">
        <v>69265</v>
      </c>
      <c r="K2634" s="1">
        <v>15666.87</v>
      </c>
      <c r="L2634" s="1" t="s">
        <v>45</v>
      </c>
      <c r="M2634" s="1" t="str">
        <f>TEXT(Table1[[#This Row],[Order Date]],"mmm")</f>
        <v>Oct</v>
      </c>
      <c r="N2634" s="1">
        <f>YEAR(Table1[[#This Row],[Order Date]])</f>
        <v>2024</v>
      </c>
    </row>
    <row r="2635" spans="1:14" x14ac:dyDescent="0.35">
      <c r="A2635" s="1" t="s">
        <v>3421</v>
      </c>
      <c r="B2635" s="1" t="s">
        <v>954</v>
      </c>
      <c r="C2635" s="1" t="s">
        <v>104</v>
      </c>
      <c r="D2635" s="1" t="s">
        <v>48</v>
      </c>
      <c r="E2635" s="1" t="s">
        <v>16</v>
      </c>
      <c r="F2635" s="1" t="s">
        <v>48</v>
      </c>
      <c r="G2635" s="1">
        <v>11</v>
      </c>
      <c r="H2635" s="1">
        <v>16116</v>
      </c>
      <c r="I2635" s="1">
        <v>0.1</v>
      </c>
      <c r="J2635" s="1">
        <v>159548.4</v>
      </c>
      <c r="K2635" s="1">
        <v>32587.61</v>
      </c>
      <c r="L2635" s="1" t="s">
        <v>70</v>
      </c>
      <c r="M2635" s="1" t="str">
        <f>TEXT(Table1[[#This Row],[Order Date]],"mmm")</f>
        <v>Jul</v>
      </c>
      <c r="N2635" s="1">
        <f>YEAR(Table1[[#This Row],[Order Date]])</f>
        <v>2024</v>
      </c>
    </row>
    <row r="2636" spans="1:14" x14ac:dyDescent="0.35">
      <c r="A2636" s="1" t="s">
        <v>3422</v>
      </c>
      <c r="B2636" s="1" t="s">
        <v>316</v>
      </c>
      <c r="C2636" s="1" t="s">
        <v>640</v>
      </c>
      <c r="D2636" s="1" t="s">
        <v>15</v>
      </c>
      <c r="E2636" s="1" t="s">
        <v>16</v>
      </c>
      <c r="F2636" s="1" t="s">
        <v>15</v>
      </c>
      <c r="G2636" s="1">
        <v>9</v>
      </c>
      <c r="H2636" s="1">
        <v>47467</v>
      </c>
      <c r="I2636" s="1">
        <v>0.2</v>
      </c>
      <c r="J2636" s="1">
        <v>341762.4</v>
      </c>
      <c r="K2636" s="1">
        <v>42008.03</v>
      </c>
      <c r="L2636" s="1" t="s">
        <v>45</v>
      </c>
      <c r="M2636" s="1" t="str">
        <f>TEXT(Table1[[#This Row],[Order Date]],"mmm")</f>
        <v>Nov</v>
      </c>
      <c r="N2636" s="1">
        <f>YEAR(Table1[[#This Row],[Order Date]])</f>
        <v>2023</v>
      </c>
    </row>
    <row r="2637" spans="1:14" x14ac:dyDescent="0.35">
      <c r="A2637" s="1" t="s">
        <v>3423</v>
      </c>
      <c r="B2637" s="1" t="s">
        <v>475</v>
      </c>
      <c r="C2637" s="1" t="s">
        <v>155</v>
      </c>
      <c r="D2637" s="1" t="s">
        <v>151</v>
      </c>
      <c r="E2637" s="1" t="s">
        <v>22</v>
      </c>
      <c r="F2637" s="1" t="s">
        <v>151</v>
      </c>
      <c r="G2637" s="1">
        <v>12</v>
      </c>
      <c r="H2637" s="1">
        <v>16932</v>
      </c>
      <c r="I2637" s="1">
        <v>0.1</v>
      </c>
      <c r="J2637" s="1">
        <v>182865.6</v>
      </c>
      <c r="K2637" s="1">
        <v>25644.66</v>
      </c>
      <c r="L2637" s="1" t="s">
        <v>17</v>
      </c>
      <c r="M2637" s="1" t="str">
        <f>TEXT(Table1[[#This Row],[Order Date]],"mmm")</f>
        <v>Jun</v>
      </c>
      <c r="N2637" s="1">
        <f>YEAR(Table1[[#This Row],[Order Date]])</f>
        <v>2023</v>
      </c>
    </row>
    <row r="2638" spans="1:14" x14ac:dyDescent="0.35">
      <c r="A2638" s="1" t="s">
        <v>3424</v>
      </c>
      <c r="B2638" s="1" t="s">
        <v>1019</v>
      </c>
      <c r="C2638" s="1" t="s">
        <v>101</v>
      </c>
      <c r="D2638" s="1" t="s">
        <v>151</v>
      </c>
      <c r="E2638" s="1" t="s">
        <v>22</v>
      </c>
      <c r="F2638" s="1" t="s">
        <v>151</v>
      </c>
      <c r="G2638" s="1">
        <v>15</v>
      </c>
      <c r="H2638" s="1">
        <v>44321</v>
      </c>
      <c r="I2638" s="1">
        <v>0.1</v>
      </c>
      <c r="J2638" s="1">
        <v>598333.5</v>
      </c>
      <c r="K2638" s="1">
        <v>49435.18</v>
      </c>
      <c r="L2638" s="1" t="s">
        <v>23</v>
      </c>
      <c r="M2638" s="1" t="str">
        <f>TEXT(Table1[[#This Row],[Order Date]],"mmm")</f>
        <v>Jun</v>
      </c>
      <c r="N2638" s="1">
        <f>YEAR(Table1[[#This Row],[Order Date]])</f>
        <v>2024</v>
      </c>
    </row>
    <row r="2639" spans="1:14" x14ac:dyDescent="0.35">
      <c r="A2639" s="1" t="s">
        <v>3425</v>
      </c>
      <c r="B2639" s="1" t="s">
        <v>1604</v>
      </c>
      <c r="C2639" s="1" t="s">
        <v>146</v>
      </c>
      <c r="D2639" s="1" t="s">
        <v>27</v>
      </c>
      <c r="E2639" s="1" t="s">
        <v>28</v>
      </c>
      <c r="F2639" s="1" t="s">
        <v>27</v>
      </c>
      <c r="G2639" s="1">
        <v>13</v>
      </c>
      <c r="H2639" s="1">
        <v>51021</v>
      </c>
      <c r="I2639" s="1">
        <v>0</v>
      </c>
      <c r="J2639" s="1">
        <v>663273</v>
      </c>
      <c r="K2639" s="1">
        <v>164633.01999999999</v>
      </c>
      <c r="L2639" s="1" t="s">
        <v>23</v>
      </c>
      <c r="M2639" s="1" t="str">
        <f>TEXT(Table1[[#This Row],[Order Date]],"mmm")</f>
        <v>May</v>
      </c>
      <c r="N2639" s="1">
        <f>YEAR(Table1[[#This Row],[Order Date]])</f>
        <v>2024</v>
      </c>
    </row>
    <row r="2640" spans="1:14" x14ac:dyDescent="0.35">
      <c r="A2640" s="1" t="s">
        <v>3426</v>
      </c>
      <c r="B2640" s="1" t="s">
        <v>599</v>
      </c>
      <c r="C2640" s="1" t="s">
        <v>335</v>
      </c>
      <c r="D2640" s="1" t="s">
        <v>60</v>
      </c>
      <c r="E2640" s="1" t="s">
        <v>33</v>
      </c>
      <c r="F2640" s="1" t="s">
        <v>60</v>
      </c>
      <c r="G2640" s="1">
        <v>10</v>
      </c>
      <c r="H2640" s="1">
        <v>24986</v>
      </c>
      <c r="I2640" s="1">
        <v>0.05</v>
      </c>
      <c r="J2640" s="1">
        <v>237367</v>
      </c>
      <c r="K2640" s="1">
        <v>32419.1</v>
      </c>
      <c r="L2640" s="1" t="s">
        <v>45</v>
      </c>
      <c r="M2640" s="1" t="str">
        <f>TEXT(Table1[[#This Row],[Order Date]],"mmm")</f>
        <v>May</v>
      </c>
      <c r="N2640" s="1">
        <f>YEAR(Table1[[#This Row],[Order Date]])</f>
        <v>2023</v>
      </c>
    </row>
    <row r="2641" spans="1:14" x14ac:dyDescent="0.35">
      <c r="A2641" s="1" t="s">
        <v>3427</v>
      </c>
      <c r="B2641" s="1" t="s">
        <v>1043</v>
      </c>
      <c r="C2641" s="1" t="s">
        <v>146</v>
      </c>
      <c r="D2641" s="1" t="s">
        <v>56</v>
      </c>
      <c r="E2641" s="1" t="s">
        <v>22</v>
      </c>
      <c r="F2641" s="1" t="s">
        <v>56</v>
      </c>
      <c r="G2641" s="1">
        <v>5</v>
      </c>
      <c r="H2641" s="1">
        <v>51342</v>
      </c>
      <c r="I2641" s="1">
        <v>0</v>
      </c>
      <c r="J2641" s="1">
        <v>256710</v>
      </c>
      <c r="K2641" s="1">
        <v>73093.36</v>
      </c>
      <c r="L2641" s="1" t="s">
        <v>45</v>
      </c>
      <c r="M2641" s="1" t="str">
        <f>TEXT(Table1[[#This Row],[Order Date]],"mmm")</f>
        <v>Aug</v>
      </c>
      <c r="N2641" s="1">
        <f>YEAR(Table1[[#This Row],[Order Date]])</f>
        <v>2024</v>
      </c>
    </row>
    <row r="2642" spans="1:14" x14ac:dyDescent="0.35">
      <c r="A2642" s="1" t="s">
        <v>3428</v>
      </c>
      <c r="B2642" s="1" t="s">
        <v>312</v>
      </c>
      <c r="C2642" s="1" t="s">
        <v>162</v>
      </c>
      <c r="D2642" s="1" t="s">
        <v>108</v>
      </c>
      <c r="E2642" s="1" t="s">
        <v>22</v>
      </c>
      <c r="F2642" s="1" t="s">
        <v>108</v>
      </c>
      <c r="G2642" s="1">
        <v>13</v>
      </c>
      <c r="H2642" s="1">
        <v>7553</v>
      </c>
      <c r="I2642" s="1">
        <v>0.1</v>
      </c>
      <c r="J2642" s="1">
        <v>88370.1</v>
      </c>
      <c r="K2642" s="1">
        <v>7986.06</v>
      </c>
      <c r="L2642" s="1" t="s">
        <v>17</v>
      </c>
      <c r="M2642" s="1" t="str">
        <f>TEXT(Table1[[#This Row],[Order Date]],"mmm")</f>
        <v>May</v>
      </c>
      <c r="N2642" s="1">
        <f>YEAR(Table1[[#This Row],[Order Date]])</f>
        <v>2024</v>
      </c>
    </row>
    <row r="2643" spans="1:14" x14ac:dyDescent="0.35">
      <c r="A2643" s="1" t="s">
        <v>3429</v>
      </c>
      <c r="B2643" s="1" t="s">
        <v>2004</v>
      </c>
      <c r="C2643" s="1" t="s">
        <v>125</v>
      </c>
      <c r="D2643" s="1" t="s">
        <v>64</v>
      </c>
      <c r="E2643" s="1" t="s">
        <v>33</v>
      </c>
      <c r="F2643" s="1" t="s">
        <v>64</v>
      </c>
      <c r="G2643" s="1">
        <v>15</v>
      </c>
      <c r="H2643" s="1">
        <v>3234</v>
      </c>
      <c r="I2643" s="1">
        <v>0</v>
      </c>
      <c r="J2643" s="1">
        <v>48510</v>
      </c>
      <c r="K2643" s="1">
        <v>4444.46</v>
      </c>
      <c r="L2643" s="1" t="s">
        <v>45</v>
      </c>
      <c r="M2643" s="1" t="str">
        <f>TEXT(Table1[[#This Row],[Order Date]],"mmm")</f>
        <v>May</v>
      </c>
      <c r="N2643" s="1">
        <f>YEAR(Table1[[#This Row],[Order Date]])</f>
        <v>2023</v>
      </c>
    </row>
    <row r="2644" spans="1:14" x14ac:dyDescent="0.35">
      <c r="A2644" s="1" t="s">
        <v>3430</v>
      </c>
      <c r="B2644" s="1" t="s">
        <v>819</v>
      </c>
      <c r="C2644" s="1" t="s">
        <v>227</v>
      </c>
      <c r="D2644" s="1" t="s">
        <v>48</v>
      </c>
      <c r="E2644" s="1" t="s">
        <v>16</v>
      </c>
      <c r="F2644" s="1" t="s">
        <v>48</v>
      </c>
      <c r="G2644" s="1">
        <v>12</v>
      </c>
      <c r="H2644" s="1">
        <v>3831</v>
      </c>
      <c r="I2644" s="1">
        <v>0</v>
      </c>
      <c r="J2644" s="1">
        <v>45972</v>
      </c>
      <c r="K2644" s="1">
        <v>9462.02</v>
      </c>
      <c r="L2644" s="1" t="s">
        <v>70</v>
      </c>
      <c r="M2644" s="1" t="str">
        <f>TEXT(Table1[[#This Row],[Order Date]],"mmm")</f>
        <v>Sep</v>
      </c>
      <c r="N2644" s="1">
        <f>YEAR(Table1[[#This Row],[Order Date]])</f>
        <v>2024</v>
      </c>
    </row>
    <row r="2645" spans="1:14" x14ac:dyDescent="0.35">
      <c r="A2645" s="1" t="s">
        <v>3431</v>
      </c>
      <c r="B2645" s="1" t="s">
        <v>346</v>
      </c>
      <c r="C2645" s="1" t="s">
        <v>162</v>
      </c>
      <c r="D2645" s="1" t="s">
        <v>91</v>
      </c>
      <c r="E2645" s="1" t="s">
        <v>16</v>
      </c>
      <c r="F2645" s="1" t="s">
        <v>91</v>
      </c>
      <c r="G2645" s="1">
        <v>8</v>
      </c>
      <c r="H2645" s="1">
        <v>55468</v>
      </c>
      <c r="I2645" s="1">
        <v>0</v>
      </c>
      <c r="J2645" s="1">
        <v>443744</v>
      </c>
      <c r="K2645" s="1">
        <v>88022.1</v>
      </c>
      <c r="L2645" s="1" t="s">
        <v>45</v>
      </c>
      <c r="M2645" s="1" t="str">
        <f>TEXT(Table1[[#This Row],[Order Date]],"mmm")</f>
        <v>Oct</v>
      </c>
      <c r="N2645" s="1">
        <f>YEAR(Table1[[#This Row],[Order Date]])</f>
        <v>2023</v>
      </c>
    </row>
    <row r="2646" spans="1:14" x14ac:dyDescent="0.35">
      <c r="A2646" s="1" t="s">
        <v>3432</v>
      </c>
      <c r="B2646" s="1" t="s">
        <v>1573</v>
      </c>
      <c r="C2646" s="1" t="s">
        <v>98</v>
      </c>
      <c r="D2646" s="1" t="s">
        <v>85</v>
      </c>
      <c r="E2646" s="1" t="s">
        <v>28</v>
      </c>
      <c r="F2646" s="1" t="s">
        <v>85</v>
      </c>
      <c r="G2646" s="1">
        <v>9</v>
      </c>
      <c r="H2646" s="1">
        <v>43165</v>
      </c>
      <c r="I2646" s="1">
        <v>0</v>
      </c>
      <c r="J2646" s="1">
        <v>388485</v>
      </c>
      <c r="K2646" s="1">
        <v>64473.72</v>
      </c>
      <c r="L2646" s="1" t="s">
        <v>45</v>
      </c>
      <c r="M2646" s="1" t="str">
        <f>TEXT(Table1[[#This Row],[Order Date]],"mmm")</f>
        <v>Aug</v>
      </c>
      <c r="N2646" s="1">
        <f>YEAR(Table1[[#This Row],[Order Date]])</f>
        <v>2024</v>
      </c>
    </row>
    <row r="2647" spans="1:14" x14ac:dyDescent="0.35">
      <c r="A2647" s="1" t="s">
        <v>3433</v>
      </c>
      <c r="B2647" s="1" t="s">
        <v>2004</v>
      </c>
      <c r="C2647" s="1" t="s">
        <v>20</v>
      </c>
      <c r="D2647" s="1" t="s">
        <v>108</v>
      </c>
      <c r="E2647" s="1" t="s">
        <v>22</v>
      </c>
      <c r="F2647" s="1" t="s">
        <v>108</v>
      </c>
      <c r="G2647" s="1">
        <v>7</v>
      </c>
      <c r="H2647" s="1">
        <v>4988</v>
      </c>
      <c r="I2647" s="1">
        <v>0.05</v>
      </c>
      <c r="J2647" s="1">
        <v>33170.199999999997</v>
      </c>
      <c r="K2647" s="1">
        <v>7006.13</v>
      </c>
      <c r="L2647" s="1" t="s">
        <v>23</v>
      </c>
      <c r="M2647" s="1" t="str">
        <f>TEXT(Table1[[#This Row],[Order Date]],"mmm")</f>
        <v>May</v>
      </c>
      <c r="N2647" s="1">
        <f>YEAR(Table1[[#This Row],[Order Date]])</f>
        <v>2023</v>
      </c>
    </row>
    <row r="2648" spans="1:14" x14ac:dyDescent="0.35">
      <c r="A2648" s="1" t="s">
        <v>3434</v>
      </c>
      <c r="B2648" s="1" t="s">
        <v>603</v>
      </c>
      <c r="C2648" s="1" t="s">
        <v>20</v>
      </c>
      <c r="D2648" s="1" t="s">
        <v>56</v>
      </c>
      <c r="E2648" s="1" t="s">
        <v>22</v>
      </c>
      <c r="F2648" s="1" t="s">
        <v>56</v>
      </c>
      <c r="G2648" s="1">
        <v>13</v>
      </c>
      <c r="H2648" s="1">
        <v>41548</v>
      </c>
      <c r="I2648" s="1">
        <v>0.15</v>
      </c>
      <c r="J2648" s="1">
        <v>459105.4</v>
      </c>
      <c r="K2648" s="1">
        <v>105898.23</v>
      </c>
      <c r="L2648" s="1" t="s">
        <v>23</v>
      </c>
      <c r="M2648" s="1" t="str">
        <f>TEXT(Table1[[#This Row],[Order Date]],"mmm")</f>
        <v>Dec</v>
      </c>
      <c r="N2648" s="1">
        <f>YEAR(Table1[[#This Row],[Order Date]])</f>
        <v>2023</v>
      </c>
    </row>
    <row r="2649" spans="1:14" x14ac:dyDescent="0.35">
      <c r="A2649" s="1" t="s">
        <v>3435</v>
      </c>
      <c r="B2649" s="1" t="s">
        <v>509</v>
      </c>
      <c r="C2649" s="1" t="s">
        <v>155</v>
      </c>
      <c r="D2649" s="1" t="s">
        <v>167</v>
      </c>
      <c r="E2649" s="1" t="s">
        <v>16</v>
      </c>
      <c r="F2649" s="1" t="s">
        <v>167</v>
      </c>
      <c r="G2649" s="1">
        <v>3</v>
      </c>
      <c r="H2649" s="1">
        <v>32865</v>
      </c>
      <c r="I2649" s="1">
        <v>0</v>
      </c>
      <c r="J2649" s="1">
        <v>98595</v>
      </c>
      <c r="K2649" s="1">
        <v>12349.71</v>
      </c>
      <c r="L2649" s="1" t="s">
        <v>45</v>
      </c>
      <c r="M2649" s="1" t="str">
        <f>TEXT(Table1[[#This Row],[Order Date]],"mmm")</f>
        <v>Jan</v>
      </c>
      <c r="N2649" s="1">
        <f>YEAR(Table1[[#This Row],[Order Date]])</f>
        <v>2023</v>
      </c>
    </row>
    <row r="2650" spans="1:14" x14ac:dyDescent="0.35">
      <c r="A2650" s="1" t="s">
        <v>3436</v>
      </c>
      <c r="B2650" s="1" t="s">
        <v>472</v>
      </c>
      <c r="C2650" s="1" t="s">
        <v>111</v>
      </c>
      <c r="D2650" s="1" t="s">
        <v>137</v>
      </c>
      <c r="E2650" s="1" t="s">
        <v>22</v>
      </c>
      <c r="F2650" s="1" t="s">
        <v>137</v>
      </c>
      <c r="G2650" s="1">
        <v>5</v>
      </c>
      <c r="H2650" s="1">
        <v>28921</v>
      </c>
      <c r="I2650" s="1">
        <v>0</v>
      </c>
      <c r="J2650" s="1">
        <v>144605</v>
      </c>
      <c r="K2650" s="1">
        <v>38255.839999999997</v>
      </c>
      <c r="L2650" s="1" t="s">
        <v>45</v>
      </c>
      <c r="M2650" s="1" t="str">
        <f>TEXT(Table1[[#This Row],[Order Date]],"mmm")</f>
        <v>Feb</v>
      </c>
      <c r="N2650" s="1">
        <f>YEAR(Table1[[#This Row],[Order Date]])</f>
        <v>2024</v>
      </c>
    </row>
    <row r="2651" spans="1:14" x14ac:dyDescent="0.35">
      <c r="A2651" s="1" t="s">
        <v>3437</v>
      </c>
      <c r="B2651" s="1" t="s">
        <v>2167</v>
      </c>
      <c r="C2651" s="1" t="s">
        <v>260</v>
      </c>
      <c r="D2651" s="1" t="s">
        <v>56</v>
      </c>
      <c r="E2651" s="1" t="s">
        <v>22</v>
      </c>
      <c r="F2651" s="1" t="s">
        <v>56</v>
      </c>
      <c r="G2651" s="1">
        <v>8</v>
      </c>
      <c r="H2651" s="1">
        <v>58223</v>
      </c>
      <c r="I2651" s="1">
        <v>0.05</v>
      </c>
      <c r="J2651" s="1">
        <v>442494.8</v>
      </c>
      <c r="K2651" s="1">
        <v>74850.59</v>
      </c>
      <c r="L2651" s="1" t="s">
        <v>23</v>
      </c>
      <c r="M2651" s="1" t="str">
        <f>TEXT(Table1[[#This Row],[Order Date]],"mmm")</f>
        <v>Aug</v>
      </c>
      <c r="N2651" s="1">
        <f>YEAR(Table1[[#This Row],[Order Date]])</f>
        <v>2024</v>
      </c>
    </row>
    <row r="2652" spans="1:14" x14ac:dyDescent="0.35">
      <c r="A2652" s="1" t="s">
        <v>3438</v>
      </c>
      <c r="B2652" s="1" t="s">
        <v>2151</v>
      </c>
      <c r="C2652" s="1" t="s">
        <v>146</v>
      </c>
      <c r="D2652" s="1" t="s">
        <v>78</v>
      </c>
      <c r="E2652" s="1" t="s">
        <v>28</v>
      </c>
      <c r="F2652" s="1" t="s">
        <v>78</v>
      </c>
      <c r="G2652" s="1">
        <v>9</v>
      </c>
      <c r="H2652" s="1">
        <v>6821</v>
      </c>
      <c r="I2652" s="1">
        <v>0</v>
      </c>
      <c r="J2652" s="1">
        <v>61389</v>
      </c>
      <c r="K2652" s="1">
        <v>7550.82</v>
      </c>
      <c r="L2652" s="1" t="s">
        <v>70</v>
      </c>
      <c r="M2652" s="1" t="str">
        <f>TEXT(Table1[[#This Row],[Order Date]],"mmm")</f>
        <v>Jun</v>
      </c>
      <c r="N2652" s="1">
        <f>YEAR(Table1[[#This Row],[Order Date]])</f>
        <v>2024</v>
      </c>
    </row>
    <row r="2653" spans="1:14" x14ac:dyDescent="0.35">
      <c r="A2653" s="1" t="s">
        <v>3439</v>
      </c>
      <c r="B2653" s="1" t="s">
        <v>1366</v>
      </c>
      <c r="C2653" s="1" t="s">
        <v>111</v>
      </c>
      <c r="D2653" s="1" t="s">
        <v>27</v>
      </c>
      <c r="E2653" s="1" t="s">
        <v>28</v>
      </c>
      <c r="F2653" s="1" t="s">
        <v>27</v>
      </c>
      <c r="G2653" s="1">
        <v>5</v>
      </c>
      <c r="H2653" s="1">
        <v>19672</v>
      </c>
      <c r="I2653" s="1">
        <v>0</v>
      </c>
      <c r="J2653" s="1">
        <v>98360</v>
      </c>
      <c r="K2653" s="1">
        <v>29469.52</v>
      </c>
      <c r="L2653" s="1" t="s">
        <v>70</v>
      </c>
      <c r="M2653" s="1" t="str">
        <f>TEXT(Table1[[#This Row],[Order Date]],"mmm")</f>
        <v>Jan</v>
      </c>
      <c r="N2653" s="1">
        <f>YEAR(Table1[[#This Row],[Order Date]])</f>
        <v>2023</v>
      </c>
    </row>
    <row r="2654" spans="1:14" x14ac:dyDescent="0.35">
      <c r="A2654" s="1" t="s">
        <v>3440</v>
      </c>
      <c r="B2654" s="1" t="s">
        <v>891</v>
      </c>
      <c r="C2654" s="1" t="s">
        <v>104</v>
      </c>
      <c r="D2654" s="1" t="s">
        <v>37</v>
      </c>
      <c r="E2654" s="1" t="s">
        <v>16</v>
      </c>
      <c r="F2654" s="1" t="s">
        <v>37</v>
      </c>
      <c r="G2654" s="1">
        <v>6</v>
      </c>
      <c r="H2654" s="1">
        <v>59893</v>
      </c>
      <c r="I2654" s="1">
        <v>0.15</v>
      </c>
      <c r="J2654" s="1">
        <v>305454.3</v>
      </c>
      <c r="K2654" s="1">
        <v>29548.76</v>
      </c>
      <c r="L2654" s="1" t="s">
        <v>23</v>
      </c>
      <c r="M2654" s="1" t="str">
        <f>TEXT(Table1[[#This Row],[Order Date]],"mmm")</f>
        <v>Feb</v>
      </c>
      <c r="N2654" s="1">
        <f>YEAR(Table1[[#This Row],[Order Date]])</f>
        <v>2024</v>
      </c>
    </row>
    <row r="2655" spans="1:14" x14ac:dyDescent="0.35">
      <c r="A2655" s="1" t="s">
        <v>3441</v>
      </c>
      <c r="B2655" s="1" t="s">
        <v>1804</v>
      </c>
      <c r="C2655" s="1" t="s">
        <v>111</v>
      </c>
      <c r="D2655" s="1" t="s">
        <v>27</v>
      </c>
      <c r="E2655" s="1" t="s">
        <v>28</v>
      </c>
      <c r="F2655" s="1" t="s">
        <v>27</v>
      </c>
      <c r="G2655" s="1">
        <v>14</v>
      </c>
      <c r="H2655" s="1">
        <v>54817</v>
      </c>
      <c r="I2655" s="1">
        <v>0.05</v>
      </c>
      <c r="J2655" s="1">
        <v>729066.1</v>
      </c>
      <c r="K2655" s="1">
        <v>141668.5</v>
      </c>
      <c r="L2655" s="1" t="s">
        <v>23</v>
      </c>
      <c r="M2655" s="1" t="str">
        <f>TEXT(Table1[[#This Row],[Order Date]],"mmm")</f>
        <v>Nov</v>
      </c>
      <c r="N2655" s="1">
        <f>YEAR(Table1[[#This Row],[Order Date]])</f>
        <v>2023</v>
      </c>
    </row>
    <row r="2656" spans="1:14" x14ac:dyDescent="0.35">
      <c r="A2656" s="1" t="s">
        <v>3442</v>
      </c>
      <c r="B2656" s="1" t="s">
        <v>242</v>
      </c>
      <c r="C2656" s="1" t="s">
        <v>227</v>
      </c>
      <c r="D2656" s="1" t="s">
        <v>15</v>
      </c>
      <c r="E2656" s="1" t="s">
        <v>16</v>
      </c>
      <c r="F2656" s="1" t="s">
        <v>15</v>
      </c>
      <c r="G2656" s="1">
        <v>3</v>
      </c>
      <c r="H2656" s="1">
        <v>27332</v>
      </c>
      <c r="I2656" s="1">
        <v>0.2</v>
      </c>
      <c r="J2656" s="1">
        <v>65596.800000000003</v>
      </c>
      <c r="K2656" s="1">
        <v>9062.4699999999993</v>
      </c>
      <c r="L2656" s="1" t="s">
        <v>70</v>
      </c>
      <c r="M2656" s="1" t="str">
        <f>TEXT(Table1[[#This Row],[Order Date]],"mmm")</f>
        <v>May</v>
      </c>
      <c r="N2656" s="1">
        <f>YEAR(Table1[[#This Row],[Order Date]])</f>
        <v>2023</v>
      </c>
    </row>
    <row r="2657" spans="1:14" x14ac:dyDescent="0.35">
      <c r="A2657" s="1" t="s">
        <v>3443</v>
      </c>
      <c r="B2657" s="1" t="s">
        <v>1005</v>
      </c>
      <c r="C2657" s="1" t="s">
        <v>31</v>
      </c>
      <c r="D2657" s="1" t="s">
        <v>323</v>
      </c>
      <c r="E2657" s="1" t="s">
        <v>33</v>
      </c>
      <c r="F2657" s="1" t="s">
        <v>323</v>
      </c>
      <c r="G2657" s="1">
        <v>13</v>
      </c>
      <c r="H2657" s="1">
        <v>23794</v>
      </c>
      <c r="I2657" s="1">
        <v>0</v>
      </c>
      <c r="J2657" s="1">
        <v>309322</v>
      </c>
      <c r="K2657" s="1">
        <v>82490.73</v>
      </c>
      <c r="L2657" s="1" t="s">
        <v>17</v>
      </c>
      <c r="M2657" s="1" t="str">
        <f>TEXT(Table1[[#This Row],[Order Date]],"mmm")</f>
        <v>Aug</v>
      </c>
      <c r="N2657" s="1">
        <f>YEAR(Table1[[#This Row],[Order Date]])</f>
        <v>2023</v>
      </c>
    </row>
    <row r="2658" spans="1:14" x14ac:dyDescent="0.35">
      <c r="A2658" s="1" t="s">
        <v>3444</v>
      </c>
      <c r="B2658" s="1" t="s">
        <v>231</v>
      </c>
      <c r="C2658" s="1" t="s">
        <v>111</v>
      </c>
      <c r="D2658" s="1" t="s">
        <v>91</v>
      </c>
      <c r="E2658" s="1" t="s">
        <v>16</v>
      </c>
      <c r="F2658" s="1" t="s">
        <v>91</v>
      </c>
      <c r="G2658" s="1">
        <v>13</v>
      </c>
      <c r="H2658" s="1">
        <v>2479</v>
      </c>
      <c r="I2658" s="1">
        <v>0.15</v>
      </c>
      <c r="J2658" s="1">
        <v>27392.95</v>
      </c>
      <c r="K2658" s="1">
        <v>2678.64</v>
      </c>
      <c r="L2658" s="1" t="s">
        <v>70</v>
      </c>
      <c r="M2658" s="1" t="str">
        <f>TEXT(Table1[[#This Row],[Order Date]],"mmm")</f>
        <v>Sep</v>
      </c>
      <c r="N2658" s="1">
        <f>YEAR(Table1[[#This Row],[Order Date]])</f>
        <v>2024</v>
      </c>
    </row>
    <row r="2659" spans="1:14" x14ac:dyDescent="0.35">
      <c r="A2659" s="1" t="s">
        <v>3445</v>
      </c>
      <c r="B2659" s="1" t="s">
        <v>1934</v>
      </c>
      <c r="C2659" s="1" t="s">
        <v>158</v>
      </c>
      <c r="D2659" s="1" t="s">
        <v>56</v>
      </c>
      <c r="E2659" s="1" t="s">
        <v>22</v>
      </c>
      <c r="F2659" s="1" t="s">
        <v>56</v>
      </c>
      <c r="G2659" s="1">
        <v>6</v>
      </c>
      <c r="H2659" s="1">
        <v>45909</v>
      </c>
      <c r="I2659" s="1">
        <v>0.1</v>
      </c>
      <c r="J2659" s="1">
        <v>247908.6</v>
      </c>
      <c r="K2659" s="1">
        <v>20919.79</v>
      </c>
      <c r="L2659" s="1" t="s">
        <v>23</v>
      </c>
      <c r="M2659" s="1" t="str">
        <f>TEXT(Table1[[#This Row],[Order Date]],"mmm")</f>
        <v>Jul</v>
      </c>
      <c r="N2659" s="1">
        <f>YEAR(Table1[[#This Row],[Order Date]])</f>
        <v>2024</v>
      </c>
    </row>
    <row r="2660" spans="1:14" x14ac:dyDescent="0.35">
      <c r="A2660" s="1" t="s">
        <v>3446</v>
      </c>
      <c r="B2660" s="1" t="s">
        <v>3447</v>
      </c>
      <c r="C2660" s="1" t="s">
        <v>81</v>
      </c>
      <c r="D2660" s="1" t="s">
        <v>74</v>
      </c>
      <c r="E2660" s="1" t="s">
        <v>22</v>
      </c>
      <c r="F2660" s="1" t="s">
        <v>74</v>
      </c>
      <c r="G2660" s="1">
        <v>5</v>
      </c>
      <c r="H2660" s="1">
        <v>6479</v>
      </c>
      <c r="I2660" s="1">
        <v>0.2</v>
      </c>
      <c r="J2660" s="1">
        <v>25916</v>
      </c>
      <c r="K2660" s="1">
        <v>4045.46</v>
      </c>
      <c r="L2660" s="1" t="s">
        <v>45</v>
      </c>
      <c r="M2660" s="1" t="str">
        <f>TEXT(Table1[[#This Row],[Order Date]],"mmm")</f>
        <v>Jul</v>
      </c>
      <c r="N2660" s="1">
        <f>YEAR(Table1[[#This Row],[Order Date]])</f>
        <v>2024</v>
      </c>
    </row>
    <row r="2661" spans="1:14" x14ac:dyDescent="0.35">
      <c r="A2661" s="1" t="s">
        <v>3448</v>
      </c>
      <c r="B2661" s="1" t="s">
        <v>58</v>
      </c>
      <c r="C2661" s="1" t="s">
        <v>101</v>
      </c>
      <c r="D2661" s="1" t="s">
        <v>41</v>
      </c>
      <c r="E2661" s="1" t="s">
        <v>16</v>
      </c>
      <c r="F2661" s="1" t="s">
        <v>41</v>
      </c>
      <c r="G2661" s="1">
        <v>10</v>
      </c>
      <c r="H2661" s="1">
        <v>5997</v>
      </c>
      <c r="I2661" s="1">
        <v>0.1</v>
      </c>
      <c r="J2661" s="1">
        <v>53973</v>
      </c>
      <c r="K2661" s="1">
        <v>16171.12</v>
      </c>
      <c r="L2661" s="1" t="s">
        <v>17</v>
      </c>
      <c r="M2661" s="1" t="str">
        <f>TEXT(Table1[[#This Row],[Order Date]],"mmm")</f>
        <v>Aug</v>
      </c>
      <c r="N2661" s="1">
        <f>YEAR(Table1[[#This Row],[Order Date]])</f>
        <v>2024</v>
      </c>
    </row>
    <row r="2662" spans="1:14" x14ac:dyDescent="0.35">
      <c r="A2662" s="1" t="s">
        <v>3449</v>
      </c>
      <c r="B2662" s="1" t="s">
        <v>1149</v>
      </c>
      <c r="C2662" s="1" t="s">
        <v>208</v>
      </c>
      <c r="D2662" s="1" t="s">
        <v>78</v>
      </c>
      <c r="E2662" s="1" t="s">
        <v>28</v>
      </c>
      <c r="F2662" s="1" t="s">
        <v>78</v>
      </c>
      <c r="G2662" s="1">
        <v>15</v>
      </c>
      <c r="H2662" s="1">
        <v>35116</v>
      </c>
      <c r="I2662" s="1">
        <v>0.05</v>
      </c>
      <c r="J2662" s="1">
        <v>500403</v>
      </c>
      <c r="K2662" s="1">
        <v>147768.21</v>
      </c>
      <c r="L2662" s="1" t="s">
        <v>45</v>
      </c>
      <c r="M2662" s="1" t="str">
        <f>TEXT(Table1[[#This Row],[Order Date]],"mmm")</f>
        <v>Jul</v>
      </c>
      <c r="N2662" s="1">
        <f>YEAR(Table1[[#This Row],[Order Date]])</f>
        <v>2024</v>
      </c>
    </row>
    <row r="2663" spans="1:14" x14ac:dyDescent="0.35">
      <c r="A2663" s="1" t="s">
        <v>3450</v>
      </c>
      <c r="B2663" s="1" t="s">
        <v>2108</v>
      </c>
      <c r="C2663" s="1" t="s">
        <v>14</v>
      </c>
      <c r="D2663" s="1" t="s">
        <v>108</v>
      </c>
      <c r="E2663" s="1" t="s">
        <v>22</v>
      </c>
      <c r="F2663" s="1" t="s">
        <v>108</v>
      </c>
      <c r="G2663" s="1">
        <v>12</v>
      </c>
      <c r="H2663" s="1">
        <v>44472</v>
      </c>
      <c r="I2663" s="1">
        <v>0.05</v>
      </c>
      <c r="J2663" s="1">
        <v>506980.8</v>
      </c>
      <c r="K2663" s="1">
        <v>131352.13</v>
      </c>
      <c r="L2663" s="1" t="s">
        <v>17</v>
      </c>
      <c r="M2663" s="1" t="str">
        <f>TEXT(Table1[[#This Row],[Order Date]],"mmm")</f>
        <v>Jun</v>
      </c>
      <c r="N2663" s="1">
        <f>YEAR(Table1[[#This Row],[Order Date]])</f>
        <v>2023</v>
      </c>
    </row>
    <row r="2664" spans="1:14" x14ac:dyDescent="0.35">
      <c r="A2664" s="1" t="s">
        <v>3451</v>
      </c>
      <c r="B2664" s="1" t="s">
        <v>139</v>
      </c>
      <c r="C2664" s="1" t="s">
        <v>73</v>
      </c>
      <c r="D2664" s="1" t="s">
        <v>15</v>
      </c>
      <c r="E2664" s="1" t="s">
        <v>16</v>
      </c>
      <c r="F2664" s="1" t="s">
        <v>15</v>
      </c>
      <c r="G2664" s="1">
        <v>6</v>
      </c>
      <c r="H2664" s="1">
        <v>32770</v>
      </c>
      <c r="I2664" s="1">
        <v>0.2</v>
      </c>
      <c r="J2664" s="1">
        <v>157296</v>
      </c>
      <c r="K2664" s="1">
        <v>12675.49</v>
      </c>
      <c r="L2664" s="1" t="s">
        <v>23</v>
      </c>
      <c r="M2664" s="1" t="str">
        <f>TEXT(Table1[[#This Row],[Order Date]],"mmm")</f>
        <v>Dec</v>
      </c>
      <c r="N2664" s="1">
        <f>YEAR(Table1[[#This Row],[Order Date]])</f>
        <v>2023</v>
      </c>
    </row>
    <row r="2665" spans="1:14" x14ac:dyDescent="0.35">
      <c r="A2665" s="1" t="s">
        <v>3452</v>
      </c>
      <c r="B2665" s="1" t="s">
        <v>423</v>
      </c>
      <c r="C2665" s="1" t="s">
        <v>77</v>
      </c>
      <c r="D2665" s="1" t="s">
        <v>52</v>
      </c>
      <c r="E2665" s="1" t="s">
        <v>28</v>
      </c>
      <c r="F2665" s="1" t="s">
        <v>52</v>
      </c>
      <c r="G2665" s="1">
        <v>3</v>
      </c>
      <c r="H2665" s="1">
        <v>53683</v>
      </c>
      <c r="I2665" s="1">
        <v>0</v>
      </c>
      <c r="J2665" s="1">
        <v>161049</v>
      </c>
      <c r="K2665" s="1">
        <v>42681.06</v>
      </c>
      <c r="L2665" s="1" t="s">
        <v>23</v>
      </c>
      <c r="M2665" s="1" t="str">
        <f>TEXT(Table1[[#This Row],[Order Date]],"mmm")</f>
        <v>May</v>
      </c>
      <c r="N2665" s="1">
        <f>YEAR(Table1[[#This Row],[Order Date]])</f>
        <v>2023</v>
      </c>
    </row>
    <row r="2666" spans="1:14" x14ac:dyDescent="0.35">
      <c r="A2666" s="1" t="s">
        <v>3453</v>
      </c>
      <c r="B2666" s="1" t="s">
        <v>1618</v>
      </c>
      <c r="C2666" s="1" t="s">
        <v>175</v>
      </c>
      <c r="D2666" s="1" t="s">
        <v>21</v>
      </c>
      <c r="E2666" s="1" t="s">
        <v>22</v>
      </c>
      <c r="F2666" s="1" t="s">
        <v>21</v>
      </c>
      <c r="G2666" s="1">
        <v>6</v>
      </c>
      <c r="H2666" s="1">
        <v>42343</v>
      </c>
      <c r="I2666" s="1">
        <v>0.1</v>
      </c>
      <c r="J2666" s="1">
        <v>228652.2</v>
      </c>
      <c r="K2666" s="1">
        <v>48605.2</v>
      </c>
      <c r="L2666" s="1" t="s">
        <v>45</v>
      </c>
      <c r="M2666" s="1" t="str">
        <f>TEXT(Table1[[#This Row],[Order Date]],"mmm")</f>
        <v>Mar</v>
      </c>
      <c r="N2666" s="1">
        <f>YEAR(Table1[[#This Row],[Order Date]])</f>
        <v>2024</v>
      </c>
    </row>
    <row r="2667" spans="1:14" x14ac:dyDescent="0.35">
      <c r="A2667" s="1" t="s">
        <v>3454</v>
      </c>
      <c r="B2667" s="1" t="s">
        <v>632</v>
      </c>
      <c r="C2667" s="1" t="s">
        <v>370</v>
      </c>
      <c r="D2667" s="1" t="s">
        <v>141</v>
      </c>
      <c r="E2667" s="1" t="s">
        <v>22</v>
      </c>
      <c r="F2667" s="1" t="s">
        <v>141</v>
      </c>
      <c r="G2667" s="1">
        <v>5</v>
      </c>
      <c r="H2667" s="1">
        <v>54755</v>
      </c>
      <c r="I2667" s="1">
        <v>0.05</v>
      </c>
      <c r="J2667" s="1">
        <v>260086.25</v>
      </c>
      <c r="K2667" s="1">
        <v>59689.5</v>
      </c>
      <c r="L2667" s="1" t="s">
        <v>23</v>
      </c>
      <c r="M2667" s="1" t="str">
        <f>TEXT(Table1[[#This Row],[Order Date]],"mmm")</f>
        <v>Mar</v>
      </c>
      <c r="N2667" s="1">
        <f>YEAR(Table1[[#This Row],[Order Date]])</f>
        <v>2024</v>
      </c>
    </row>
    <row r="2668" spans="1:14" x14ac:dyDescent="0.35">
      <c r="A2668" s="1" t="s">
        <v>3455</v>
      </c>
      <c r="B2668" s="1" t="s">
        <v>169</v>
      </c>
      <c r="C2668" s="1" t="s">
        <v>136</v>
      </c>
      <c r="D2668" s="1" t="s">
        <v>114</v>
      </c>
      <c r="E2668" s="1" t="s">
        <v>16</v>
      </c>
      <c r="F2668" s="1" t="s">
        <v>114</v>
      </c>
      <c r="G2668" s="1">
        <v>3</v>
      </c>
      <c r="H2668" s="1">
        <v>31081</v>
      </c>
      <c r="I2668" s="1">
        <v>0.05</v>
      </c>
      <c r="J2668" s="1">
        <v>88580.85</v>
      </c>
      <c r="K2668" s="1">
        <v>11591.02</v>
      </c>
      <c r="L2668" s="1" t="s">
        <v>23</v>
      </c>
      <c r="M2668" s="1" t="str">
        <f>TEXT(Table1[[#This Row],[Order Date]],"mmm")</f>
        <v>Nov</v>
      </c>
      <c r="N2668" s="1">
        <f>YEAR(Table1[[#This Row],[Order Date]])</f>
        <v>2024</v>
      </c>
    </row>
    <row r="2669" spans="1:14" x14ac:dyDescent="0.35">
      <c r="A2669" s="1" t="s">
        <v>3456</v>
      </c>
      <c r="B2669" s="1" t="s">
        <v>601</v>
      </c>
      <c r="C2669" s="1" t="s">
        <v>59</v>
      </c>
      <c r="D2669" s="1" t="s">
        <v>27</v>
      </c>
      <c r="E2669" s="1" t="s">
        <v>28</v>
      </c>
      <c r="F2669" s="1" t="s">
        <v>27</v>
      </c>
      <c r="G2669" s="1">
        <v>1</v>
      </c>
      <c r="H2669" s="1">
        <v>3791</v>
      </c>
      <c r="I2669" s="1">
        <v>0</v>
      </c>
      <c r="J2669" s="1">
        <v>3791</v>
      </c>
      <c r="K2669" s="1">
        <v>713.15</v>
      </c>
      <c r="L2669" s="1" t="s">
        <v>45</v>
      </c>
      <c r="M2669" s="1" t="str">
        <f>TEXT(Table1[[#This Row],[Order Date]],"mmm")</f>
        <v>Aug</v>
      </c>
      <c r="N2669" s="1">
        <f>YEAR(Table1[[#This Row],[Order Date]])</f>
        <v>2024</v>
      </c>
    </row>
    <row r="2670" spans="1:14" x14ac:dyDescent="0.35">
      <c r="A2670" s="1" t="s">
        <v>3457</v>
      </c>
      <c r="B2670" s="1" t="s">
        <v>543</v>
      </c>
      <c r="C2670" s="1" t="s">
        <v>63</v>
      </c>
      <c r="D2670" s="1" t="s">
        <v>78</v>
      </c>
      <c r="E2670" s="1" t="s">
        <v>28</v>
      </c>
      <c r="F2670" s="1" t="s">
        <v>78</v>
      </c>
      <c r="G2670" s="1">
        <v>1</v>
      </c>
      <c r="H2670" s="1">
        <v>14276</v>
      </c>
      <c r="I2670" s="1">
        <v>0.05</v>
      </c>
      <c r="J2670" s="1">
        <v>13562.2</v>
      </c>
      <c r="K2670" s="1">
        <v>1896.54</v>
      </c>
      <c r="L2670" s="1" t="s">
        <v>17</v>
      </c>
      <c r="M2670" s="1" t="str">
        <f>TEXT(Table1[[#This Row],[Order Date]],"mmm")</f>
        <v>Jun</v>
      </c>
      <c r="N2670" s="1">
        <f>YEAR(Table1[[#This Row],[Order Date]])</f>
        <v>2024</v>
      </c>
    </row>
    <row r="2671" spans="1:14" x14ac:dyDescent="0.35">
      <c r="A2671" s="1" t="s">
        <v>3458</v>
      </c>
      <c r="B2671" s="1" t="s">
        <v>886</v>
      </c>
      <c r="C2671" s="1" t="s">
        <v>36</v>
      </c>
      <c r="D2671" s="1" t="s">
        <v>167</v>
      </c>
      <c r="E2671" s="1" t="s">
        <v>16</v>
      </c>
      <c r="F2671" s="1" t="s">
        <v>167</v>
      </c>
      <c r="G2671" s="1">
        <v>6</v>
      </c>
      <c r="H2671" s="1">
        <v>12375</v>
      </c>
      <c r="I2671" s="1">
        <v>0.2</v>
      </c>
      <c r="J2671" s="1">
        <v>59400</v>
      </c>
      <c r="K2671" s="1">
        <v>13297.8</v>
      </c>
      <c r="L2671" s="1" t="s">
        <v>23</v>
      </c>
      <c r="M2671" s="1" t="str">
        <f>TEXT(Table1[[#This Row],[Order Date]],"mmm")</f>
        <v>Apr</v>
      </c>
      <c r="N2671" s="1">
        <f>YEAR(Table1[[#This Row],[Order Date]])</f>
        <v>2023</v>
      </c>
    </row>
    <row r="2672" spans="1:14" x14ac:dyDescent="0.35">
      <c r="A2672" s="1" t="s">
        <v>3459</v>
      </c>
      <c r="B2672" s="1" t="s">
        <v>242</v>
      </c>
      <c r="C2672" s="1" t="s">
        <v>175</v>
      </c>
      <c r="D2672" s="1" t="s">
        <v>44</v>
      </c>
      <c r="E2672" s="1" t="s">
        <v>28</v>
      </c>
      <c r="F2672" s="1" t="s">
        <v>44</v>
      </c>
      <c r="G2672" s="1">
        <v>9</v>
      </c>
      <c r="H2672" s="1">
        <v>23549</v>
      </c>
      <c r="I2672" s="1">
        <v>0.1</v>
      </c>
      <c r="J2672" s="1">
        <v>190746.9</v>
      </c>
      <c r="K2672" s="1">
        <v>23980.12</v>
      </c>
      <c r="L2672" s="1" t="s">
        <v>70</v>
      </c>
      <c r="M2672" s="1" t="str">
        <f>TEXT(Table1[[#This Row],[Order Date]],"mmm")</f>
        <v>May</v>
      </c>
      <c r="N2672" s="1">
        <f>YEAR(Table1[[#This Row],[Order Date]])</f>
        <v>2023</v>
      </c>
    </row>
    <row r="2673" spans="1:14" x14ac:dyDescent="0.35">
      <c r="A2673" s="1" t="s">
        <v>3460</v>
      </c>
      <c r="B2673" s="1" t="s">
        <v>2154</v>
      </c>
      <c r="C2673" s="1" t="s">
        <v>349</v>
      </c>
      <c r="D2673" s="1" t="s">
        <v>91</v>
      </c>
      <c r="E2673" s="1" t="s">
        <v>16</v>
      </c>
      <c r="F2673" s="1" t="s">
        <v>91</v>
      </c>
      <c r="G2673" s="1">
        <v>9</v>
      </c>
      <c r="H2673" s="1">
        <v>19699</v>
      </c>
      <c r="I2673" s="1">
        <v>0.05</v>
      </c>
      <c r="J2673" s="1">
        <v>168426.45</v>
      </c>
      <c r="K2673" s="1">
        <v>26803.69</v>
      </c>
      <c r="L2673" s="1" t="s">
        <v>45</v>
      </c>
      <c r="M2673" s="1" t="str">
        <f>TEXT(Table1[[#This Row],[Order Date]],"mmm")</f>
        <v>Oct</v>
      </c>
      <c r="N2673" s="1">
        <f>YEAR(Table1[[#This Row],[Order Date]])</f>
        <v>2024</v>
      </c>
    </row>
    <row r="2674" spans="1:14" x14ac:dyDescent="0.35">
      <c r="A2674" s="1" t="s">
        <v>3461</v>
      </c>
      <c r="B2674" s="1" t="s">
        <v>601</v>
      </c>
      <c r="C2674" s="1" t="s">
        <v>507</v>
      </c>
      <c r="D2674" s="1" t="s">
        <v>52</v>
      </c>
      <c r="E2674" s="1" t="s">
        <v>28</v>
      </c>
      <c r="F2674" s="1" t="s">
        <v>52</v>
      </c>
      <c r="G2674" s="1">
        <v>3</v>
      </c>
      <c r="H2674" s="1">
        <v>11233</v>
      </c>
      <c r="I2674" s="1">
        <v>0.15</v>
      </c>
      <c r="J2674" s="1">
        <v>28644.15</v>
      </c>
      <c r="K2674" s="1">
        <v>6980.58</v>
      </c>
      <c r="L2674" s="1" t="s">
        <v>23</v>
      </c>
      <c r="M2674" s="1" t="str">
        <f>TEXT(Table1[[#This Row],[Order Date]],"mmm")</f>
        <v>Aug</v>
      </c>
      <c r="N2674" s="1">
        <f>YEAR(Table1[[#This Row],[Order Date]])</f>
        <v>2024</v>
      </c>
    </row>
    <row r="2675" spans="1:14" x14ac:dyDescent="0.35">
      <c r="A2675" s="1" t="s">
        <v>3462</v>
      </c>
      <c r="B2675" s="1" t="s">
        <v>308</v>
      </c>
      <c r="C2675" s="1" t="s">
        <v>200</v>
      </c>
      <c r="D2675" s="1" t="s">
        <v>21</v>
      </c>
      <c r="E2675" s="1" t="s">
        <v>22</v>
      </c>
      <c r="F2675" s="1" t="s">
        <v>21</v>
      </c>
      <c r="G2675" s="1">
        <v>3</v>
      </c>
      <c r="H2675" s="1">
        <v>19967</v>
      </c>
      <c r="I2675" s="1">
        <v>0.2</v>
      </c>
      <c r="J2675" s="1">
        <v>47920.800000000003</v>
      </c>
      <c r="K2675" s="1">
        <v>10860.14</v>
      </c>
      <c r="L2675" s="1" t="s">
        <v>23</v>
      </c>
      <c r="M2675" s="1" t="str">
        <f>TEXT(Table1[[#This Row],[Order Date]],"mmm")</f>
        <v>Jul</v>
      </c>
      <c r="N2675" s="1">
        <f>YEAR(Table1[[#This Row],[Order Date]])</f>
        <v>2024</v>
      </c>
    </row>
    <row r="2676" spans="1:14" x14ac:dyDescent="0.35">
      <c r="A2676" s="1" t="s">
        <v>3463</v>
      </c>
      <c r="B2676" s="1" t="s">
        <v>589</v>
      </c>
      <c r="C2676" s="1" t="s">
        <v>640</v>
      </c>
      <c r="D2676" s="1" t="s">
        <v>15</v>
      </c>
      <c r="E2676" s="1" t="s">
        <v>16</v>
      </c>
      <c r="F2676" s="1" t="s">
        <v>15</v>
      </c>
      <c r="G2676" s="1">
        <v>15</v>
      </c>
      <c r="H2676" s="1">
        <v>40534</v>
      </c>
      <c r="I2676" s="1">
        <v>0.05</v>
      </c>
      <c r="J2676" s="1">
        <v>577609.5</v>
      </c>
      <c r="K2676" s="1">
        <v>101743.16</v>
      </c>
      <c r="L2676" s="1" t="s">
        <v>17</v>
      </c>
      <c r="M2676" s="1" t="str">
        <f>TEXT(Table1[[#This Row],[Order Date]],"mmm")</f>
        <v>Sep</v>
      </c>
      <c r="N2676" s="1">
        <f>YEAR(Table1[[#This Row],[Order Date]])</f>
        <v>2023</v>
      </c>
    </row>
    <row r="2677" spans="1:14" x14ac:dyDescent="0.35">
      <c r="A2677" s="1" t="s">
        <v>3464</v>
      </c>
      <c r="B2677" s="1" t="s">
        <v>310</v>
      </c>
      <c r="C2677" s="1" t="s">
        <v>146</v>
      </c>
      <c r="D2677" s="1" t="s">
        <v>27</v>
      </c>
      <c r="E2677" s="1" t="s">
        <v>28</v>
      </c>
      <c r="F2677" s="1" t="s">
        <v>27</v>
      </c>
      <c r="G2677" s="1">
        <v>5</v>
      </c>
      <c r="H2677" s="1">
        <v>35228</v>
      </c>
      <c r="I2677" s="1">
        <v>0.05</v>
      </c>
      <c r="J2677" s="1">
        <v>167333</v>
      </c>
      <c r="K2677" s="1">
        <v>22455.97</v>
      </c>
      <c r="L2677" s="1" t="s">
        <v>45</v>
      </c>
      <c r="M2677" s="1" t="str">
        <f>TEXT(Table1[[#This Row],[Order Date]],"mmm")</f>
        <v>Feb</v>
      </c>
      <c r="N2677" s="1">
        <f>YEAR(Table1[[#This Row],[Order Date]])</f>
        <v>2023</v>
      </c>
    </row>
    <row r="2678" spans="1:14" x14ac:dyDescent="0.35">
      <c r="A2678" s="1" t="s">
        <v>3465</v>
      </c>
      <c r="B2678" s="1" t="s">
        <v>97</v>
      </c>
      <c r="C2678" s="1" t="s">
        <v>162</v>
      </c>
      <c r="D2678" s="1" t="s">
        <v>41</v>
      </c>
      <c r="E2678" s="1" t="s">
        <v>16</v>
      </c>
      <c r="F2678" s="1" t="s">
        <v>41</v>
      </c>
      <c r="G2678" s="1">
        <v>2</v>
      </c>
      <c r="H2678" s="1">
        <v>36868</v>
      </c>
      <c r="I2678" s="1">
        <v>0</v>
      </c>
      <c r="J2678" s="1">
        <v>73736</v>
      </c>
      <c r="K2678" s="1">
        <v>18535.060000000001</v>
      </c>
      <c r="L2678" s="1" t="s">
        <v>70</v>
      </c>
      <c r="M2678" s="1" t="str">
        <f>TEXT(Table1[[#This Row],[Order Date]],"mmm")</f>
        <v>Oct</v>
      </c>
      <c r="N2678" s="1">
        <f>YEAR(Table1[[#This Row],[Order Date]])</f>
        <v>2023</v>
      </c>
    </row>
    <row r="2679" spans="1:14" x14ac:dyDescent="0.35">
      <c r="A2679" s="1" t="s">
        <v>3466</v>
      </c>
      <c r="B2679" s="1" t="s">
        <v>1929</v>
      </c>
      <c r="C2679" s="1" t="s">
        <v>191</v>
      </c>
      <c r="D2679" s="1" t="s">
        <v>95</v>
      </c>
      <c r="E2679" s="1" t="s">
        <v>33</v>
      </c>
      <c r="F2679" s="1" t="s">
        <v>95</v>
      </c>
      <c r="G2679" s="1">
        <v>1</v>
      </c>
      <c r="H2679" s="1">
        <v>32582</v>
      </c>
      <c r="I2679" s="1">
        <v>0.2</v>
      </c>
      <c r="J2679" s="1">
        <v>26065.599999999999</v>
      </c>
      <c r="K2679" s="1">
        <v>4448.6899999999996</v>
      </c>
      <c r="L2679" s="1" t="s">
        <v>70</v>
      </c>
      <c r="M2679" s="1" t="str">
        <f>TEXT(Table1[[#This Row],[Order Date]],"mmm")</f>
        <v>Jan</v>
      </c>
      <c r="N2679" s="1">
        <f>YEAR(Table1[[#This Row],[Order Date]])</f>
        <v>2024</v>
      </c>
    </row>
    <row r="2680" spans="1:14" x14ac:dyDescent="0.35">
      <c r="A2680" s="1" t="s">
        <v>3467</v>
      </c>
      <c r="B2680" s="1" t="s">
        <v>449</v>
      </c>
      <c r="C2680" s="1" t="s">
        <v>332</v>
      </c>
      <c r="D2680" s="1" t="s">
        <v>27</v>
      </c>
      <c r="E2680" s="1" t="s">
        <v>28</v>
      </c>
      <c r="F2680" s="1" t="s">
        <v>27</v>
      </c>
      <c r="G2680" s="1">
        <v>3</v>
      </c>
      <c r="H2680" s="1">
        <v>50268</v>
      </c>
      <c r="I2680" s="1">
        <v>0.2</v>
      </c>
      <c r="J2680" s="1">
        <v>120643.2</v>
      </c>
      <c r="K2680" s="1">
        <v>28993.9</v>
      </c>
      <c r="L2680" s="1" t="s">
        <v>23</v>
      </c>
      <c r="M2680" s="1" t="str">
        <f>TEXT(Table1[[#This Row],[Order Date]],"mmm")</f>
        <v>Jan</v>
      </c>
      <c r="N2680" s="1">
        <f>YEAR(Table1[[#This Row],[Order Date]])</f>
        <v>2024</v>
      </c>
    </row>
    <row r="2681" spans="1:14" x14ac:dyDescent="0.35">
      <c r="A2681" s="1" t="s">
        <v>3468</v>
      </c>
      <c r="B2681" s="1" t="s">
        <v>750</v>
      </c>
      <c r="C2681" s="1" t="s">
        <v>227</v>
      </c>
      <c r="D2681" s="1" t="s">
        <v>151</v>
      </c>
      <c r="E2681" s="1" t="s">
        <v>22</v>
      </c>
      <c r="F2681" s="1" t="s">
        <v>151</v>
      </c>
      <c r="G2681" s="1">
        <v>9</v>
      </c>
      <c r="H2681" s="1">
        <v>43994</v>
      </c>
      <c r="I2681" s="1">
        <v>0.2</v>
      </c>
      <c r="J2681" s="1">
        <v>316756.8</v>
      </c>
      <c r="K2681" s="1">
        <v>43893.78</v>
      </c>
      <c r="L2681" s="1" t="s">
        <v>17</v>
      </c>
      <c r="M2681" s="1" t="str">
        <f>TEXT(Table1[[#This Row],[Order Date]],"mmm")</f>
        <v>Nov</v>
      </c>
      <c r="N2681" s="1">
        <f>YEAR(Table1[[#This Row],[Order Date]])</f>
        <v>2023</v>
      </c>
    </row>
    <row r="2682" spans="1:14" x14ac:dyDescent="0.35">
      <c r="A2682" s="1" t="s">
        <v>3469</v>
      </c>
      <c r="B2682" s="1" t="s">
        <v>174</v>
      </c>
      <c r="C2682" s="1" t="s">
        <v>200</v>
      </c>
      <c r="D2682" s="1" t="s">
        <v>167</v>
      </c>
      <c r="E2682" s="1" t="s">
        <v>16</v>
      </c>
      <c r="F2682" s="1" t="s">
        <v>167</v>
      </c>
      <c r="G2682" s="1">
        <v>10</v>
      </c>
      <c r="H2682" s="1">
        <v>13075</v>
      </c>
      <c r="I2682" s="1">
        <v>0</v>
      </c>
      <c r="J2682" s="1">
        <v>130750</v>
      </c>
      <c r="K2682" s="1">
        <v>26197.16</v>
      </c>
      <c r="L2682" s="1" t="s">
        <v>17</v>
      </c>
      <c r="M2682" s="1" t="str">
        <f>TEXT(Table1[[#This Row],[Order Date]],"mmm")</f>
        <v>Jun</v>
      </c>
      <c r="N2682" s="1">
        <f>YEAR(Table1[[#This Row],[Order Date]])</f>
        <v>2024</v>
      </c>
    </row>
    <row r="2683" spans="1:14" x14ac:dyDescent="0.35">
      <c r="A2683" s="1" t="s">
        <v>3470</v>
      </c>
      <c r="B2683" s="1" t="s">
        <v>632</v>
      </c>
      <c r="C2683" s="1" t="s">
        <v>40</v>
      </c>
      <c r="D2683" s="1" t="s">
        <v>74</v>
      </c>
      <c r="E2683" s="1" t="s">
        <v>22</v>
      </c>
      <c r="F2683" s="1" t="s">
        <v>74</v>
      </c>
      <c r="G2683" s="1">
        <v>4</v>
      </c>
      <c r="H2683" s="1">
        <v>50010</v>
      </c>
      <c r="I2683" s="1">
        <v>0</v>
      </c>
      <c r="J2683" s="1">
        <v>200040</v>
      </c>
      <c r="K2683" s="1">
        <v>27214.53</v>
      </c>
      <c r="L2683" s="1" t="s">
        <v>70</v>
      </c>
      <c r="M2683" s="1" t="str">
        <f>TEXT(Table1[[#This Row],[Order Date]],"mmm")</f>
        <v>Mar</v>
      </c>
      <c r="N2683" s="1">
        <f>YEAR(Table1[[#This Row],[Order Date]])</f>
        <v>2024</v>
      </c>
    </row>
    <row r="2684" spans="1:14" x14ac:dyDescent="0.35">
      <c r="A2684" s="1" t="s">
        <v>3471</v>
      </c>
      <c r="B2684" s="1" t="s">
        <v>314</v>
      </c>
      <c r="C2684" s="1" t="s">
        <v>98</v>
      </c>
      <c r="D2684" s="1" t="s">
        <v>151</v>
      </c>
      <c r="E2684" s="1" t="s">
        <v>22</v>
      </c>
      <c r="F2684" s="1" t="s">
        <v>151</v>
      </c>
      <c r="G2684" s="1">
        <v>15</v>
      </c>
      <c r="H2684" s="1">
        <v>27954</v>
      </c>
      <c r="I2684" s="1">
        <v>0.05</v>
      </c>
      <c r="J2684" s="1">
        <v>398344.5</v>
      </c>
      <c r="K2684" s="1">
        <v>118276.01</v>
      </c>
      <c r="L2684" s="1" t="s">
        <v>45</v>
      </c>
      <c r="M2684" s="1" t="str">
        <f>TEXT(Table1[[#This Row],[Order Date]],"mmm")</f>
        <v>Nov</v>
      </c>
      <c r="N2684" s="1">
        <f>YEAR(Table1[[#This Row],[Order Date]])</f>
        <v>2024</v>
      </c>
    </row>
    <row r="2685" spans="1:14" x14ac:dyDescent="0.35">
      <c r="A2685" s="1" t="s">
        <v>3472</v>
      </c>
      <c r="B2685" s="1" t="s">
        <v>185</v>
      </c>
      <c r="C2685" s="1" t="s">
        <v>36</v>
      </c>
      <c r="D2685" s="1" t="s">
        <v>44</v>
      </c>
      <c r="E2685" s="1" t="s">
        <v>28</v>
      </c>
      <c r="F2685" s="1" t="s">
        <v>44</v>
      </c>
      <c r="G2685" s="1">
        <v>12</v>
      </c>
      <c r="H2685" s="1">
        <v>5241</v>
      </c>
      <c r="I2685" s="1">
        <v>0.1</v>
      </c>
      <c r="J2685" s="1">
        <v>56602.8</v>
      </c>
      <c r="K2685" s="1">
        <v>16869.650000000001</v>
      </c>
      <c r="L2685" s="1" t="s">
        <v>17</v>
      </c>
      <c r="M2685" s="1" t="str">
        <f>TEXT(Table1[[#This Row],[Order Date]],"mmm")</f>
        <v>Jun</v>
      </c>
      <c r="N2685" s="1">
        <f>YEAR(Table1[[#This Row],[Order Date]])</f>
        <v>2023</v>
      </c>
    </row>
    <row r="2686" spans="1:14" x14ac:dyDescent="0.35">
      <c r="A2686" s="1" t="s">
        <v>3473</v>
      </c>
      <c r="B2686" s="1" t="s">
        <v>1774</v>
      </c>
      <c r="C2686" s="1" t="s">
        <v>55</v>
      </c>
      <c r="D2686" s="1" t="s">
        <v>60</v>
      </c>
      <c r="E2686" s="1" t="s">
        <v>33</v>
      </c>
      <c r="F2686" s="1" t="s">
        <v>60</v>
      </c>
      <c r="G2686" s="1">
        <v>8</v>
      </c>
      <c r="H2686" s="1">
        <v>51670</v>
      </c>
      <c r="I2686" s="1">
        <v>0.15</v>
      </c>
      <c r="J2686" s="1">
        <v>351356</v>
      </c>
      <c r="K2686" s="1">
        <v>91139.27</v>
      </c>
      <c r="L2686" s="1" t="s">
        <v>45</v>
      </c>
      <c r="M2686" s="1" t="str">
        <f>TEXT(Table1[[#This Row],[Order Date]],"mmm")</f>
        <v>Jun</v>
      </c>
      <c r="N2686" s="1">
        <f>YEAR(Table1[[#This Row],[Order Date]])</f>
        <v>2023</v>
      </c>
    </row>
    <row r="2687" spans="1:14" x14ac:dyDescent="0.35">
      <c r="A2687" s="1" t="s">
        <v>3474</v>
      </c>
      <c r="B2687" s="1" t="s">
        <v>425</v>
      </c>
      <c r="C2687" s="1" t="s">
        <v>335</v>
      </c>
      <c r="D2687" s="1" t="s">
        <v>78</v>
      </c>
      <c r="E2687" s="1" t="s">
        <v>28</v>
      </c>
      <c r="F2687" s="1" t="s">
        <v>78</v>
      </c>
      <c r="G2687" s="1">
        <v>15</v>
      </c>
      <c r="H2687" s="1">
        <v>986</v>
      </c>
      <c r="I2687" s="1">
        <v>0.05</v>
      </c>
      <c r="J2687" s="1">
        <v>14050.5</v>
      </c>
      <c r="K2687" s="1">
        <v>3346.92</v>
      </c>
      <c r="L2687" s="1" t="s">
        <v>70</v>
      </c>
      <c r="M2687" s="1" t="str">
        <f>TEXT(Table1[[#This Row],[Order Date]],"mmm")</f>
        <v>Oct</v>
      </c>
      <c r="N2687" s="1">
        <f>YEAR(Table1[[#This Row],[Order Date]])</f>
        <v>2024</v>
      </c>
    </row>
    <row r="2688" spans="1:14" x14ac:dyDescent="0.35">
      <c r="A2688" s="1" t="s">
        <v>3475</v>
      </c>
      <c r="B2688" s="1" t="s">
        <v>265</v>
      </c>
      <c r="C2688" s="1" t="s">
        <v>101</v>
      </c>
      <c r="D2688" s="1" t="s">
        <v>179</v>
      </c>
      <c r="E2688" s="1" t="s">
        <v>28</v>
      </c>
      <c r="F2688" s="1" t="s">
        <v>179</v>
      </c>
      <c r="G2688" s="1">
        <v>4</v>
      </c>
      <c r="H2688" s="1">
        <v>5773</v>
      </c>
      <c r="I2688" s="1">
        <v>0</v>
      </c>
      <c r="J2688" s="1">
        <v>23092</v>
      </c>
      <c r="K2688" s="1">
        <v>3747.48</v>
      </c>
      <c r="L2688" s="1" t="s">
        <v>45</v>
      </c>
      <c r="M2688" s="1" t="str">
        <f>TEXT(Table1[[#This Row],[Order Date]],"mmm")</f>
        <v>Aug</v>
      </c>
      <c r="N2688" s="1">
        <f>YEAR(Table1[[#This Row],[Order Date]])</f>
        <v>2023</v>
      </c>
    </row>
    <row r="2689" spans="1:14" x14ac:dyDescent="0.35">
      <c r="A2689" s="1" t="s">
        <v>3476</v>
      </c>
      <c r="B2689" s="1" t="s">
        <v>1346</v>
      </c>
      <c r="C2689" s="1" t="s">
        <v>63</v>
      </c>
      <c r="D2689" s="1" t="s">
        <v>137</v>
      </c>
      <c r="E2689" s="1" t="s">
        <v>22</v>
      </c>
      <c r="F2689" s="1" t="s">
        <v>137</v>
      </c>
      <c r="G2689" s="1">
        <v>15</v>
      </c>
      <c r="H2689" s="1">
        <v>56984</v>
      </c>
      <c r="I2689" s="1">
        <v>0.15</v>
      </c>
      <c r="J2689" s="1">
        <v>726546</v>
      </c>
      <c r="K2689" s="1">
        <v>214919.02</v>
      </c>
      <c r="L2689" s="1" t="s">
        <v>23</v>
      </c>
      <c r="M2689" s="1" t="str">
        <f>TEXT(Table1[[#This Row],[Order Date]],"mmm")</f>
        <v>Aug</v>
      </c>
      <c r="N2689" s="1">
        <f>YEAR(Table1[[#This Row],[Order Date]])</f>
        <v>2023</v>
      </c>
    </row>
    <row r="2690" spans="1:14" x14ac:dyDescent="0.35">
      <c r="A2690" s="1" t="s">
        <v>3477</v>
      </c>
      <c r="B2690" s="1" t="s">
        <v>1720</v>
      </c>
      <c r="C2690" s="1" t="s">
        <v>362</v>
      </c>
      <c r="D2690" s="1" t="s">
        <v>85</v>
      </c>
      <c r="E2690" s="1" t="s">
        <v>28</v>
      </c>
      <c r="F2690" s="1" t="s">
        <v>85</v>
      </c>
      <c r="G2690" s="1">
        <v>11</v>
      </c>
      <c r="H2690" s="1">
        <v>12378</v>
      </c>
      <c r="I2690" s="1">
        <v>0.15</v>
      </c>
      <c r="J2690" s="1">
        <v>115734.3</v>
      </c>
      <c r="K2690" s="1">
        <v>22655.38</v>
      </c>
      <c r="L2690" s="1" t="s">
        <v>17</v>
      </c>
      <c r="M2690" s="1" t="str">
        <f>TEXT(Table1[[#This Row],[Order Date]],"mmm")</f>
        <v>Jan</v>
      </c>
      <c r="N2690" s="1">
        <f>YEAR(Table1[[#This Row],[Order Date]])</f>
        <v>2023</v>
      </c>
    </row>
    <row r="2691" spans="1:14" x14ac:dyDescent="0.35">
      <c r="A2691" s="1" t="s">
        <v>3478</v>
      </c>
      <c r="B2691" s="1" t="s">
        <v>3479</v>
      </c>
      <c r="C2691" s="1" t="s">
        <v>255</v>
      </c>
      <c r="D2691" s="1" t="s">
        <v>224</v>
      </c>
      <c r="E2691" s="1" t="s">
        <v>33</v>
      </c>
      <c r="F2691" s="1" t="s">
        <v>224</v>
      </c>
      <c r="G2691" s="1">
        <v>3</v>
      </c>
      <c r="H2691" s="1">
        <v>24962</v>
      </c>
      <c r="I2691" s="1">
        <v>0.1</v>
      </c>
      <c r="J2691" s="1">
        <v>67397.399999999994</v>
      </c>
      <c r="K2691" s="1">
        <v>18663.73</v>
      </c>
      <c r="L2691" s="1" t="s">
        <v>17</v>
      </c>
      <c r="M2691" s="1" t="str">
        <f>TEXT(Table1[[#This Row],[Order Date]],"mmm")</f>
        <v>Oct</v>
      </c>
      <c r="N2691" s="1">
        <f>YEAR(Table1[[#This Row],[Order Date]])</f>
        <v>2024</v>
      </c>
    </row>
    <row r="2692" spans="1:14" x14ac:dyDescent="0.35">
      <c r="A2692" s="1" t="s">
        <v>3480</v>
      </c>
      <c r="B2692" s="1" t="s">
        <v>511</v>
      </c>
      <c r="C2692" s="1" t="s">
        <v>140</v>
      </c>
      <c r="D2692" s="1" t="s">
        <v>15</v>
      </c>
      <c r="E2692" s="1" t="s">
        <v>16</v>
      </c>
      <c r="F2692" s="1" t="s">
        <v>15</v>
      </c>
      <c r="G2692" s="1">
        <v>9</v>
      </c>
      <c r="H2692" s="1">
        <v>46909</v>
      </c>
      <c r="I2692" s="1">
        <v>0.2</v>
      </c>
      <c r="J2692" s="1">
        <v>337744.8</v>
      </c>
      <c r="K2692" s="1">
        <v>46225.89</v>
      </c>
      <c r="L2692" s="1" t="s">
        <v>17</v>
      </c>
      <c r="M2692" s="1" t="str">
        <f>TEXT(Table1[[#This Row],[Order Date]],"mmm")</f>
        <v>Sep</v>
      </c>
      <c r="N2692" s="1">
        <f>YEAR(Table1[[#This Row],[Order Date]])</f>
        <v>2023</v>
      </c>
    </row>
    <row r="2693" spans="1:14" x14ac:dyDescent="0.35">
      <c r="A2693" s="1" t="s">
        <v>3481</v>
      </c>
      <c r="B2693" s="1" t="s">
        <v>1688</v>
      </c>
      <c r="C2693" s="1" t="s">
        <v>120</v>
      </c>
      <c r="D2693" s="1" t="s">
        <v>15</v>
      </c>
      <c r="E2693" s="1" t="s">
        <v>16</v>
      </c>
      <c r="F2693" s="1" t="s">
        <v>15</v>
      </c>
      <c r="G2693" s="1">
        <v>6</v>
      </c>
      <c r="H2693" s="1">
        <v>5378</v>
      </c>
      <c r="I2693" s="1">
        <v>0.15</v>
      </c>
      <c r="J2693" s="1">
        <v>27427.8</v>
      </c>
      <c r="K2693" s="1">
        <v>6297.15</v>
      </c>
      <c r="L2693" s="1" t="s">
        <v>45</v>
      </c>
      <c r="M2693" s="1" t="str">
        <f>TEXT(Table1[[#This Row],[Order Date]],"mmm")</f>
        <v>Jul</v>
      </c>
      <c r="N2693" s="1">
        <f>YEAR(Table1[[#This Row],[Order Date]])</f>
        <v>2024</v>
      </c>
    </row>
    <row r="2694" spans="1:14" x14ac:dyDescent="0.35">
      <c r="A2694" s="1" t="s">
        <v>3482</v>
      </c>
      <c r="B2694" s="1" t="s">
        <v>205</v>
      </c>
      <c r="C2694" s="1" t="s">
        <v>188</v>
      </c>
      <c r="D2694" s="1" t="s">
        <v>137</v>
      </c>
      <c r="E2694" s="1" t="s">
        <v>22</v>
      </c>
      <c r="F2694" s="1" t="s">
        <v>137</v>
      </c>
      <c r="G2694" s="1">
        <v>12</v>
      </c>
      <c r="H2694" s="1">
        <v>28727</v>
      </c>
      <c r="I2694" s="1">
        <v>0.15</v>
      </c>
      <c r="J2694" s="1">
        <v>293015.40000000002</v>
      </c>
      <c r="K2694" s="1">
        <v>49154.18</v>
      </c>
      <c r="L2694" s="1" t="s">
        <v>70</v>
      </c>
      <c r="M2694" s="1" t="str">
        <f>TEXT(Table1[[#This Row],[Order Date]],"mmm")</f>
        <v>Feb</v>
      </c>
      <c r="N2694" s="1">
        <f>YEAR(Table1[[#This Row],[Order Date]])</f>
        <v>2023</v>
      </c>
    </row>
    <row r="2695" spans="1:14" x14ac:dyDescent="0.35">
      <c r="A2695" s="1" t="s">
        <v>3483</v>
      </c>
      <c r="B2695" s="1" t="s">
        <v>459</v>
      </c>
      <c r="C2695" s="1" t="s">
        <v>175</v>
      </c>
      <c r="D2695" s="1" t="s">
        <v>78</v>
      </c>
      <c r="E2695" s="1" t="s">
        <v>28</v>
      </c>
      <c r="F2695" s="1" t="s">
        <v>78</v>
      </c>
      <c r="G2695" s="1">
        <v>15</v>
      </c>
      <c r="H2695" s="1">
        <v>14449</v>
      </c>
      <c r="I2695" s="1">
        <v>0.15</v>
      </c>
      <c r="J2695" s="1">
        <v>184224.75</v>
      </c>
      <c r="K2695" s="1">
        <v>33131.86</v>
      </c>
      <c r="L2695" s="1" t="s">
        <v>17</v>
      </c>
      <c r="M2695" s="1" t="str">
        <f>TEXT(Table1[[#This Row],[Order Date]],"mmm")</f>
        <v>Feb</v>
      </c>
      <c r="N2695" s="1">
        <f>YEAR(Table1[[#This Row],[Order Date]])</f>
        <v>2023</v>
      </c>
    </row>
    <row r="2696" spans="1:14" x14ac:dyDescent="0.35">
      <c r="A2696" s="1" t="s">
        <v>3484</v>
      </c>
      <c r="B2696" s="1" t="s">
        <v>1420</v>
      </c>
      <c r="C2696" s="1" t="s">
        <v>640</v>
      </c>
      <c r="D2696" s="1" t="s">
        <v>141</v>
      </c>
      <c r="E2696" s="1" t="s">
        <v>22</v>
      </c>
      <c r="F2696" s="1" t="s">
        <v>141</v>
      </c>
      <c r="G2696" s="1">
        <v>5</v>
      </c>
      <c r="H2696" s="1">
        <v>38946</v>
      </c>
      <c r="I2696" s="1">
        <v>0</v>
      </c>
      <c r="J2696" s="1">
        <v>194730</v>
      </c>
      <c r="K2696" s="1">
        <v>47439.71</v>
      </c>
      <c r="L2696" s="1" t="s">
        <v>45</v>
      </c>
      <c r="M2696" s="1" t="str">
        <f>TEXT(Table1[[#This Row],[Order Date]],"mmm")</f>
        <v>Apr</v>
      </c>
      <c r="N2696" s="1">
        <f>YEAR(Table1[[#This Row],[Order Date]])</f>
        <v>2024</v>
      </c>
    </row>
    <row r="2697" spans="1:14" x14ac:dyDescent="0.35">
      <c r="A2697" s="1" t="s">
        <v>3485</v>
      </c>
      <c r="B2697" s="1" t="s">
        <v>1361</v>
      </c>
      <c r="C2697" s="1" t="s">
        <v>59</v>
      </c>
      <c r="D2697" s="1" t="s">
        <v>85</v>
      </c>
      <c r="E2697" s="1" t="s">
        <v>28</v>
      </c>
      <c r="F2697" s="1" t="s">
        <v>85</v>
      </c>
      <c r="G2697" s="1">
        <v>4</v>
      </c>
      <c r="H2697" s="1">
        <v>9387</v>
      </c>
      <c r="I2697" s="1">
        <v>0.1</v>
      </c>
      <c r="J2697" s="1">
        <v>33793.199999999997</v>
      </c>
      <c r="K2697" s="1">
        <v>9259.74</v>
      </c>
      <c r="L2697" s="1" t="s">
        <v>17</v>
      </c>
      <c r="M2697" s="1" t="str">
        <f>TEXT(Table1[[#This Row],[Order Date]],"mmm")</f>
        <v>Apr</v>
      </c>
      <c r="N2697" s="1">
        <f>YEAR(Table1[[#This Row],[Order Date]])</f>
        <v>2023</v>
      </c>
    </row>
    <row r="2698" spans="1:14" x14ac:dyDescent="0.35">
      <c r="A2698" s="1" t="s">
        <v>3486</v>
      </c>
      <c r="B2698" s="1" t="s">
        <v>1845</v>
      </c>
      <c r="C2698" s="1" t="s">
        <v>170</v>
      </c>
      <c r="D2698" s="1" t="s">
        <v>95</v>
      </c>
      <c r="E2698" s="1" t="s">
        <v>33</v>
      </c>
      <c r="F2698" s="1" t="s">
        <v>95</v>
      </c>
      <c r="G2698" s="1">
        <v>6</v>
      </c>
      <c r="H2698" s="1">
        <v>33416</v>
      </c>
      <c r="I2698" s="1">
        <v>0</v>
      </c>
      <c r="J2698" s="1">
        <v>200496</v>
      </c>
      <c r="K2698" s="1">
        <v>55137.97</v>
      </c>
      <c r="L2698" s="1" t="s">
        <v>23</v>
      </c>
      <c r="M2698" s="1" t="str">
        <f>TEXT(Table1[[#This Row],[Order Date]],"mmm")</f>
        <v>Mar</v>
      </c>
      <c r="N2698" s="1">
        <f>YEAR(Table1[[#This Row],[Order Date]])</f>
        <v>2023</v>
      </c>
    </row>
    <row r="2699" spans="1:14" x14ac:dyDescent="0.35">
      <c r="A2699" s="1" t="s">
        <v>3487</v>
      </c>
      <c r="B2699" s="1" t="s">
        <v>1083</v>
      </c>
      <c r="C2699" s="1" t="s">
        <v>84</v>
      </c>
      <c r="D2699" s="1" t="s">
        <v>91</v>
      </c>
      <c r="E2699" s="1" t="s">
        <v>16</v>
      </c>
      <c r="F2699" s="1" t="s">
        <v>91</v>
      </c>
      <c r="G2699" s="1">
        <v>4</v>
      </c>
      <c r="H2699" s="1">
        <v>48762</v>
      </c>
      <c r="I2699" s="1">
        <v>0</v>
      </c>
      <c r="J2699" s="1">
        <v>195048</v>
      </c>
      <c r="K2699" s="1">
        <v>49824</v>
      </c>
      <c r="L2699" s="1" t="s">
        <v>17</v>
      </c>
      <c r="M2699" s="1" t="str">
        <f>TEXT(Table1[[#This Row],[Order Date]],"mmm")</f>
        <v>Jul</v>
      </c>
      <c r="N2699" s="1">
        <f>YEAR(Table1[[#This Row],[Order Date]])</f>
        <v>2023</v>
      </c>
    </row>
    <row r="2700" spans="1:14" x14ac:dyDescent="0.35">
      <c r="A2700" s="1" t="s">
        <v>3488</v>
      </c>
      <c r="B2700" s="1" t="s">
        <v>306</v>
      </c>
      <c r="C2700" s="1" t="s">
        <v>162</v>
      </c>
      <c r="D2700" s="1" t="s">
        <v>133</v>
      </c>
      <c r="E2700" s="1" t="s">
        <v>22</v>
      </c>
      <c r="F2700" s="1" t="s">
        <v>133</v>
      </c>
      <c r="G2700" s="1">
        <v>8</v>
      </c>
      <c r="H2700" s="1">
        <v>58395</v>
      </c>
      <c r="I2700" s="1">
        <v>0.05</v>
      </c>
      <c r="J2700" s="1">
        <v>443802</v>
      </c>
      <c r="K2700" s="1">
        <v>110916.54</v>
      </c>
      <c r="L2700" s="1" t="s">
        <v>17</v>
      </c>
      <c r="M2700" s="1" t="str">
        <f>TEXT(Table1[[#This Row],[Order Date]],"mmm")</f>
        <v>Jul</v>
      </c>
      <c r="N2700" s="1">
        <f>YEAR(Table1[[#This Row],[Order Date]])</f>
        <v>2024</v>
      </c>
    </row>
    <row r="2701" spans="1:14" x14ac:dyDescent="0.35">
      <c r="A2701" s="1" t="s">
        <v>3489</v>
      </c>
      <c r="B2701" s="1" t="s">
        <v>1489</v>
      </c>
      <c r="C2701" s="1" t="s">
        <v>162</v>
      </c>
      <c r="D2701" s="1" t="s">
        <v>52</v>
      </c>
      <c r="E2701" s="1" t="s">
        <v>28</v>
      </c>
      <c r="F2701" s="1" t="s">
        <v>52</v>
      </c>
      <c r="G2701" s="1">
        <v>8</v>
      </c>
      <c r="H2701" s="1">
        <v>48359</v>
      </c>
      <c r="I2701" s="1">
        <v>0.1</v>
      </c>
      <c r="J2701" s="1">
        <v>348184.8</v>
      </c>
      <c r="K2701" s="1">
        <v>28241.91</v>
      </c>
      <c r="L2701" s="1" t="s">
        <v>17</v>
      </c>
      <c r="M2701" s="1" t="str">
        <f>TEXT(Table1[[#This Row],[Order Date]],"mmm")</f>
        <v>Mar</v>
      </c>
      <c r="N2701" s="1">
        <f>YEAR(Table1[[#This Row],[Order Date]])</f>
        <v>2023</v>
      </c>
    </row>
    <row r="2702" spans="1:14" x14ac:dyDescent="0.35">
      <c r="A2702" s="1" t="s">
        <v>3490</v>
      </c>
      <c r="B2702" s="1" t="s">
        <v>979</v>
      </c>
      <c r="C2702" s="1" t="s">
        <v>73</v>
      </c>
      <c r="D2702" s="1" t="s">
        <v>91</v>
      </c>
      <c r="E2702" s="1" t="s">
        <v>16</v>
      </c>
      <c r="F2702" s="1" t="s">
        <v>91</v>
      </c>
      <c r="G2702" s="1">
        <v>13</v>
      </c>
      <c r="H2702" s="1">
        <v>50411</v>
      </c>
      <c r="I2702" s="1">
        <v>0.1</v>
      </c>
      <c r="J2702" s="1">
        <v>589808.69999999995</v>
      </c>
      <c r="K2702" s="1">
        <v>75295.92</v>
      </c>
      <c r="L2702" s="1" t="s">
        <v>45</v>
      </c>
      <c r="M2702" s="1" t="str">
        <f>TEXT(Table1[[#This Row],[Order Date]],"mmm")</f>
        <v>Jul</v>
      </c>
      <c r="N2702" s="1">
        <f>YEAR(Table1[[#This Row],[Order Date]])</f>
        <v>2024</v>
      </c>
    </row>
    <row r="2703" spans="1:14" x14ac:dyDescent="0.35">
      <c r="A2703" s="1" t="s">
        <v>3491</v>
      </c>
      <c r="B2703" s="1" t="s">
        <v>327</v>
      </c>
      <c r="C2703" s="1" t="s">
        <v>26</v>
      </c>
      <c r="D2703" s="1" t="s">
        <v>85</v>
      </c>
      <c r="E2703" s="1" t="s">
        <v>28</v>
      </c>
      <c r="F2703" s="1" t="s">
        <v>85</v>
      </c>
      <c r="G2703" s="1">
        <v>7</v>
      </c>
      <c r="H2703" s="1">
        <v>56927</v>
      </c>
      <c r="I2703" s="1">
        <v>0.1</v>
      </c>
      <c r="J2703" s="1">
        <v>358640.1</v>
      </c>
      <c r="K2703" s="1">
        <v>64106.38</v>
      </c>
      <c r="L2703" s="1" t="s">
        <v>70</v>
      </c>
      <c r="M2703" s="1" t="str">
        <f>TEXT(Table1[[#This Row],[Order Date]],"mmm")</f>
        <v>Nov</v>
      </c>
      <c r="N2703" s="1">
        <f>YEAR(Table1[[#This Row],[Order Date]])</f>
        <v>2024</v>
      </c>
    </row>
    <row r="2704" spans="1:14" x14ac:dyDescent="0.35">
      <c r="A2704" s="1" t="s">
        <v>3492</v>
      </c>
      <c r="B2704" s="1" t="s">
        <v>322</v>
      </c>
      <c r="C2704" s="1" t="s">
        <v>84</v>
      </c>
      <c r="D2704" s="1" t="s">
        <v>37</v>
      </c>
      <c r="E2704" s="1" t="s">
        <v>16</v>
      </c>
      <c r="F2704" s="1" t="s">
        <v>37</v>
      </c>
      <c r="G2704" s="1">
        <v>2</v>
      </c>
      <c r="H2704" s="1">
        <v>40870</v>
      </c>
      <c r="I2704" s="1">
        <v>0.05</v>
      </c>
      <c r="J2704" s="1">
        <v>77653</v>
      </c>
      <c r="K2704" s="1">
        <v>11475.13</v>
      </c>
      <c r="L2704" s="1" t="s">
        <v>17</v>
      </c>
      <c r="M2704" s="1" t="str">
        <f>TEXT(Table1[[#This Row],[Order Date]],"mmm")</f>
        <v>Sep</v>
      </c>
      <c r="N2704" s="1">
        <f>YEAR(Table1[[#This Row],[Order Date]])</f>
        <v>2023</v>
      </c>
    </row>
    <row r="2705" spans="1:14" x14ac:dyDescent="0.35">
      <c r="A2705" s="1" t="s">
        <v>3493</v>
      </c>
      <c r="B2705" s="1" t="s">
        <v>2589</v>
      </c>
      <c r="C2705" s="1" t="s">
        <v>51</v>
      </c>
      <c r="D2705" s="1" t="s">
        <v>64</v>
      </c>
      <c r="E2705" s="1" t="s">
        <v>33</v>
      </c>
      <c r="F2705" s="1" t="s">
        <v>64</v>
      </c>
      <c r="G2705" s="1">
        <v>1</v>
      </c>
      <c r="H2705" s="1">
        <v>41033</v>
      </c>
      <c r="I2705" s="1">
        <v>0.2</v>
      </c>
      <c r="J2705" s="1">
        <v>32826.400000000001</v>
      </c>
      <c r="K2705" s="1">
        <v>3411.69</v>
      </c>
      <c r="L2705" s="1" t="s">
        <v>17</v>
      </c>
      <c r="M2705" s="1" t="str">
        <f>TEXT(Table1[[#This Row],[Order Date]],"mmm")</f>
        <v>Feb</v>
      </c>
      <c r="N2705" s="1">
        <f>YEAR(Table1[[#This Row],[Order Date]])</f>
        <v>2024</v>
      </c>
    </row>
    <row r="2706" spans="1:14" x14ac:dyDescent="0.35">
      <c r="A2706" s="1" t="s">
        <v>3494</v>
      </c>
      <c r="B2706" s="1" t="s">
        <v>776</v>
      </c>
      <c r="C2706" s="1" t="s">
        <v>88</v>
      </c>
      <c r="D2706" s="1" t="s">
        <v>179</v>
      </c>
      <c r="E2706" s="1" t="s">
        <v>28</v>
      </c>
      <c r="F2706" s="1" t="s">
        <v>179</v>
      </c>
      <c r="G2706" s="1">
        <v>13</v>
      </c>
      <c r="H2706" s="1">
        <v>9492</v>
      </c>
      <c r="I2706" s="1">
        <v>0.05</v>
      </c>
      <c r="J2706" s="1">
        <v>117226.2</v>
      </c>
      <c r="K2706" s="1">
        <v>30982.65</v>
      </c>
      <c r="L2706" s="1" t="s">
        <v>70</v>
      </c>
      <c r="M2706" s="1" t="str">
        <f>TEXT(Table1[[#This Row],[Order Date]],"mmm")</f>
        <v>Feb</v>
      </c>
      <c r="N2706" s="1">
        <f>YEAR(Table1[[#This Row],[Order Date]])</f>
        <v>2024</v>
      </c>
    </row>
    <row r="2707" spans="1:14" x14ac:dyDescent="0.35">
      <c r="A2707" s="1" t="s">
        <v>3495</v>
      </c>
      <c r="B2707" s="1" t="s">
        <v>515</v>
      </c>
      <c r="C2707" s="1" t="s">
        <v>63</v>
      </c>
      <c r="D2707" s="1" t="s">
        <v>78</v>
      </c>
      <c r="E2707" s="1" t="s">
        <v>28</v>
      </c>
      <c r="F2707" s="1" t="s">
        <v>78</v>
      </c>
      <c r="G2707" s="1">
        <v>13</v>
      </c>
      <c r="H2707" s="1">
        <v>44023</v>
      </c>
      <c r="I2707" s="1">
        <v>0.05</v>
      </c>
      <c r="J2707" s="1">
        <v>543684.05000000005</v>
      </c>
      <c r="K2707" s="1">
        <v>45733.53</v>
      </c>
      <c r="L2707" s="1" t="s">
        <v>17</v>
      </c>
      <c r="M2707" s="1" t="str">
        <f>TEXT(Table1[[#This Row],[Order Date]],"mmm")</f>
        <v>Apr</v>
      </c>
      <c r="N2707" s="1">
        <f>YEAR(Table1[[#This Row],[Order Date]])</f>
        <v>2024</v>
      </c>
    </row>
    <row r="2708" spans="1:14" x14ac:dyDescent="0.35">
      <c r="A2708" s="1" t="s">
        <v>3496</v>
      </c>
      <c r="B2708" s="1" t="s">
        <v>634</v>
      </c>
      <c r="C2708" s="1" t="s">
        <v>191</v>
      </c>
      <c r="D2708" s="1" t="s">
        <v>95</v>
      </c>
      <c r="E2708" s="1" t="s">
        <v>33</v>
      </c>
      <c r="F2708" s="1" t="s">
        <v>95</v>
      </c>
      <c r="G2708" s="1">
        <v>2</v>
      </c>
      <c r="H2708" s="1">
        <v>46260</v>
      </c>
      <c r="I2708" s="1">
        <v>0.15</v>
      </c>
      <c r="J2708" s="1">
        <v>78642</v>
      </c>
      <c r="K2708" s="1">
        <v>16063.21</v>
      </c>
      <c r="L2708" s="1" t="s">
        <v>23</v>
      </c>
      <c r="M2708" s="1" t="str">
        <f>TEXT(Table1[[#This Row],[Order Date]],"mmm")</f>
        <v>Nov</v>
      </c>
      <c r="N2708" s="1">
        <f>YEAR(Table1[[#This Row],[Order Date]])</f>
        <v>2024</v>
      </c>
    </row>
    <row r="2709" spans="1:14" x14ac:dyDescent="0.35">
      <c r="A2709" s="1" t="s">
        <v>3497</v>
      </c>
      <c r="B2709" s="1" t="s">
        <v>859</v>
      </c>
      <c r="C2709" s="1" t="s">
        <v>335</v>
      </c>
      <c r="D2709" s="1" t="s">
        <v>151</v>
      </c>
      <c r="E2709" s="1" t="s">
        <v>22</v>
      </c>
      <c r="F2709" s="1" t="s">
        <v>151</v>
      </c>
      <c r="G2709" s="1">
        <v>5</v>
      </c>
      <c r="H2709" s="1">
        <v>27123</v>
      </c>
      <c r="I2709" s="1">
        <v>0</v>
      </c>
      <c r="J2709" s="1">
        <v>135615</v>
      </c>
      <c r="K2709" s="1">
        <v>40539.06</v>
      </c>
      <c r="L2709" s="1" t="s">
        <v>70</v>
      </c>
      <c r="M2709" s="1" t="str">
        <f>TEXT(Table1[[#This Row],[Order Date]],"mmm")</f>
        <v>Mar</v>
      </c>
      <c r="N2709" s="1">
        <f>YEAR(Table1[[#This Row],[Order Date]])</f>
        <v>2023</v>
      </c>
    </row>
    <row r="2710" spans="1:14" x14ac:dyDescent="0.35">
      <c r="A2710" s="1" t="s">
        <v>3498</v>
      </c>
      <c r="B2710" s="1" t="s">
        <v>267</v>
      </c>
      <c r="C2710" s="1" t="s">
        <v>200</v>
      </c>
      <c r="D2710" s="1" t="s">
        <v>74</v>
      </c>
      <c r="E2710" s="1" t="s">
        <v>22</v>
      </c>
      <c r="F2710" s="1" t="s">
        <v>74</v>
      </c>
      <c r="G2710" s="1">
        <v>7</v>
      </c>
      <c r="H2710" s="1">
        <v>21018</v>
      </c>
      <c r="I2710" s="1">
        <v>0.15</v>
      </c>
      <c r="J2710" s="1">
        <v>125057.1</v>
      </c>
      <c r="K2710" s="1">
        <v>10615.23</v>
      </c>
      <c r="L2710" s="1" t="s">
        <v>70</v>
      </c>
      <c r="M2710" s="1" t="str">
        <f>TEXT(Table1[[#This Row],[Order Date]],"mmm")</f>
        <v>Jun</v>
      </c>
      <c r="N2710" s="1">
        <f>YEAR(Table1[[#This Row],[Order Date]])</f>
        <v>2023</v>
      </c>
    </row>
    <row r="2711" spans="1:14" x14ac:dyDescent="0.35">
      <c r="A2711" s="1" t="s">
        <v>3499</v>
      </c>
      <c r="B2711" s="1" t="s">
        <v>387</v>
      </c>
      <c r="C2711" s="1" t="s">
        <v>155</v>
      </c>
      <c r="D2711" s="1" t="s">
        <v>37</v>
      </c>
      <c r="E2711" s="1" t="s">
        <v>16</v>
      </c>
      <c r="F2711" s="1" t="s">
        <v>37</v>
      </c>
      <c r="G2711" s="1">
        <v>6</v>
      </c>
      <c r="H2711" s="1">
        <v>19783</v>
      </c>
      <c r="I2711" s="1">
        <v>0.15</v>
      </c>
      <c r="J2711" s="1">
        <v>100893.3</v>
      </c>
      <c r="K2711" s="1">
        <v>20787.349999999999</v>
      </c>
      <c r="L2711" s="1" t="s">
        <v>23</v>
      </c>
      <c r="M2711" s="1" t="str">
        <f>TEXT(Table1[[#This Row],[Order Date]],"mmm")</f>
        <v>May</v>
      </c>
      <c r="N2711" s="1">
        <f>YEAR(Table1[[#This Row],[Order Date]])</f>
        <v>2024</v>
      </c>
    </row>
    <row r="2712" spans="1:14" x14ac:dyDescent="0.35">
      <c r="A2712" s="1" t="s">
        <v>3500</v>
      </c>
      <c r="B2712" s="1" t="s">
        <v>299</v>
      </c>
      <c r="C2712" s="1" t="s">
        <v>81</v>
      </c>
      <c r="D2712" s="1" t="s">
        <v>323</v>
      </c>
      <c r="E2712" s="1" t="s">
        <v>33</v>
      </c>
      <c r="F2712" s="1" t="s">
        <v>323</v>
      </c>
      <c r="G2712" s="1">
        <v>5</v>
      </c>
      <c r="H2712" s="1">
        <v>57496</v>
      </c>
      <c r="I2712" s="1">
        <v>0.05</v>
      </c>
      <c r="J2712" s="1">
        <v>273106</v>
      </c>
      <c r="K2712" s="1">
        <v>33493.379999999997</v>
      </c>
      <c r="L2712" s="1" t="s">
        <v>70</v>
      </c>
      <c r="M2712" s="1" t="str">
        <f>TEXT(Table1[[#This Row],[Order Date]],"mmm")</f>
        <v>May</v>
      </c>
      <c r="N2712" s="1">
        <f>YEAR(Table1[[#This Row],[Order Date]])</f>
        <v>2023</v>
      </c>
    </row>
    <row r="2713" spans="1:14" x14ac:dyDescent="0.35">
      <c r="A2713" s="1" t="s">
        <v>3501</v>
      </c>
      <c r="B2713" s="1" t="s">
        <v>565</v>
      </c>
      <c r="C2713" s="1" t="s">
        <v>98</v>
      </c>
      <c r="D2713" s="1" t="s">
        <v>78</v>
      </c>
      <c r="E2713" s="1" t="s">
        <v>28</v>
      </c>
      <c r="F2713" s="1" t="s">
        <v>78</v>
      </c>
      <c r="G2713" s="1">
        <v>10</v>
      </c>
      <c r="H2713" s="1">
        <v>3138</v>
      </c>
      <c r="I2713" s="1">
        <v>0.2</v>
      </c>
      <c r="J2713" s="1">
        <v>25104</v>
      </c>
      <c r="K2713" s="1">
        <v>4156.62</v>
      </c>
      <c r="L2713" s="1" t="s">
        <v>45</v>
      </c>
      <c r="M2713" s="1" t="str">
        <f>TEXT(Table1[[#This Row],[Order Date]],"mmm")</f>
        <v>Nov</v>
      </c>
      <c r="N2713" s="1">
        <f>YEAR(Table1[[#This Row],[Order Date]])</f>
        <v>2024</v>
      </c>
    </row>
    <row r="2714" spans="1:14" x14ac:dyDescent="0.35">
      <c r="A2714" s="1" t="s">
        <v>3502</v>
      </c>
      <c r="B2714" s="1" t="s">
        <v>1153</v>
      </c>
      <c r="C2714" s="1" t="s">
        <v>370</v>
      </c>
      <c r="D2714" s="1" t="s">
        <v>141</v>
      </c>
      <c r="E2714" s="1" t="s">
        <v>22</v>
      </c>
      <c r="F2714" s="1" t="s">
        <v>141</v>
      </c>
      <c r="G2714" s="1">
        <v>4</v>
      </c>
      <c r="H2714" s="1">
        <v>5689</v>
      </c>
      <c r="I2714" s="1">
        <v>0</v>
      </c>
      <c r="J2714" s="1">
        <v>22756</v>
      </c>
      <c r="K2714" s="1">
        <v>2376.0500000000002</v>
      </c>
      <c r="L2714" s="1" t="s">
        <v>70</v>
      </c>
      <c r="M2714" s="1" t="str">
        <f>TEXT(Table1[[#This Row],[Order Date]],"mmm")</f>
        <v>Feb</v>
      </c>
      <c r="N2714" s="1">
        <f>YEAR(Table1[[#This Row],[Order Date]])</f>
        <v>2024</v>
      </c>
    </row>
    <row r="2715" spans="1:14" x14ac:dyDescent="0.35">
      <c r="A2715" s="1" t="s">
        <v>3503</v>
      </c>
      <c r="B2715" s="1" t="s">
        <v>807</v>
      </c>
      <c r="C2715" s="1" t="s">
        <v>255</v>
      </c>
      <c r="D2715" s="1" t="s">
        <v>41</v>
      </c>
      <c r="E2715" s="1" t="s">
        <v>16</v>
      </c>
      <c r="F2715" s="1" t="s">
        <v>41</v>
      </c>
      <c r="G2715" s="1">
        <v>7</v>
      </c>
      <c r="H2715" s="1">
        <v>56853</v>
      </c>
      <c r="I2715" s="1">
        <v>0</v>
      </c>
      <c r="J2715" s="1">
        <v>397971</v>
      </c>
      <c r="K2715" s="1">
        <v>94775.47</v>
      </c>
      <c r="L2715" s="1" t="s">
        <v>17</v>
      </c>
      <c r="M2715" s="1" t="str">
        <f>TEXT(Table1[[#This Row],[Order Date]],"mmm")</f>
        <v>Sep</v>
      </c>
      <c r="N2715" s="1">
        <f>YEAR(Table1[[#This Row],[Order Date]])</f>
        <v>2024</v>
      </c>
    </row>
    <row r="2716" spans="1:14" x14ac:dyDescent="0.35">
      <c r="A2716" s="1" t="s">
        <v>3504</v>
      </c>
      <c r="B2716" s="1" t="s">
        <v>934</v>
      </c>
      <c r="C2716" s="1" t="s">
        <v>107</v>
      </c>
      <c r="D2716" s="1" t="s">
        <v>27</v>
      </c>
      <c r="E2716" s="1" t="s">
        <v>28</v>
      </c>
      <c r="F2716" s="1" t="s">
        <v>27</v>
      </c>
      <c r="G2716" s="1">
        <v>6</v>
      </c>
      <c r="H2716" s="1">
        <v>52074</v>
      </c>
      <c r="I2716" s="1">
        <v>0.2</v>
      </c>
      <c r="J2716" s="1">
        <v>249955.20000000001</v>
      </c>
      <c r="K2716" s="1">
        <v>51110.239999999998</v>
      </c>
      <c r="L2716" s="1" t="s">
        <v>23</v>
      </c>
      <c r="M2716" s="1" t="str">
        <f>TEXT(Table1[[#This Row],[Order Date]],"mmm")</f>
        <v>Jun</v>
      </c>
      <c r="N2716" s="1">
        <f>YEAR(Table1[[#This Row],[Order Date]])</f>
        <v>2023</v>
      </c>
    </row>
    <row r="2717" spans="1:14" x14ac:dyDescent="0.35">
      <c r="A2717" s="1" t="s">
        <v>3505</v>
      </c>
      <c r="B2717" s="1" t="s">
        <v>551</v>
      </c>
      <c r="C2717" s="1" t="s">
        <v>140</v>
      </c>
      <c r="D2717" s="1" t="s">
        <v>151</v>
      </c>
      <c r="E2717" s="1" t="s">
        <v>22</v>
      </c>
      <c r="F2717" s="1" t="s">
        <v>151</v>
      </c>
      <c r="G2717" s="1">
        <v>1</v>
      </c>
      <c r="H2717" s="1">
        <v>21650</v>
      </c>
      <c r="I2717" s="1">
        <v>0.1</v>
      </c>
      <c r="J2717" s="1">
        <v>19485</v>
      </c>
      <c r="K2717" s="1">
        <v>1681.35</v>
      </c>
      <c r="L2717" s="1" t="s">
        <v>70</v>
      </c>
      <c r="M2717" s="1" t="str">
        <f>TEXT(Table1[[#This Row],[Order Date]],"mmm")</f>
        <v>Apr</v>
      </c>
      <c r="N2717" s="1">
        <f>YEAR(Table1[[#This Row],[Order Date]])</f>
        <v>2024</v>
      </c>
    </row>
    <row r="2718" spans="1:14" x14ac:dyDescent="0.35">
      <c r="A2718" s="1" t="s">
        <v>3506</v>
      </c>
      <c r="B2718" s="1" t="s">
        <v>39</v>
      </c>
      <c r="C2718" s="1" t="s">
        <v>125</v>
      </c>
      <c r="D2718" s="1" t="s">
        <v>91</v>
      </c>
      <c r="E2718" s="1" t="s">
        <v>16</v>
      </c>
      <c r="F2718" s="1" t="s">
        <v>91</v>
      </c>
      <c r="G2718" s="1">
        <v>7</v>
      </c>
      <c r="H2718" s="1">
        <v>31720</v>
      </c>
      <c r="I2718" s="1">
        <v>0.2</v>
      </c>
      <c r="J2718" s="1">
        <v>177632</v>
      </c>
      <c r="K2718" s="1">
        <v>18343.34</v>
      </c>
      <c r="L2718" s="1" t="s">
        <v>17</v>
      </c>
      <c r="M2718" s="1" t="str">
        <f>TEXT(Table1[[#This Row],[Order Date]],"mmm")</f>
        <v>Nov</v>
      </c>
      <c r="N2718" s="1">
        <f>YEAR(Table1[[#This Row],[Order Date]])</f>
        <v>2023</v>
      </c>
    </row>
    <row r="2719" spans="1:14" x14ac:dyDescent="0.35">
      <c r="A2719" s="1" t="s">
        <v>3507</v>
      </c>
      <c r="B2719" s="1" t="s">
        <v>1341</v>
      </c>
      <c r="C2719" s="1" t="s">
        <v>260</v>
      </c>
      <c r="D2719" s="1" t="s">
        <v>224</v>
      </c>
      <c r="E2719" s="1" t="s">
        <v>33</v>
      </c>
      <c r="F2719" s="1" t="s">
        <v>224</v>
      </c>
      <c r="G2719" s="1">
        <v>12</v>
      </c>
      <c r="H2719" s="1">
        <v>18854</v>
      </c>
      <c r="I2719" s="1">
        <v>0.15</v>
      </c>
      <c r="J2719" s="1">
        <v>192310.8</v>
      </c>
      <c r="K2719" s="1">
        <v>28599.05</v>
      </c>
      <c r="L2719" s="1" t="s">
        <v>23</v>
      </c>
      <c r="M2719" s="1" t="str">
        <f>TEXT(Table1[[#This Row],[Order Date]],"mmm")</f>
        <v>Oct</v>
      </c>
      <c r="N2719" s="1">
        <f>YEAR(Table1[[#This Row],[Order Date]])</f>
        <v>2024</v>
      </c>
    </row>
    <row r="2720" spans="1:14" x14ac:dyDescent="0.35">
      <c r="A2720" s="1" t="s">
        <v>3508</v>
      </c>
      <c r="B2720" s="1" t="s">
        <v>1747</v>
      </c>
      <c r="C2720" s="1" t="s">
        <v>203</v>
      </c>
      <c r="D2720" s="1" t="s">
        <v>37</v>
      </c>
      <c r="E2720" s="1" t="s">
        <v>16</v>
      </c>
      <c r="F2720" s="1" t="s">
        <v>37</v>
      </c>
      <c r="G2720" s="1">
        <v>4</v>
      </c>
      <c r="H2720" s="1">
        <v>12854</v>
      </c>
      <c r="I2720" s="1">
        <v>0.05</v>
      </c>
      <c r="J2720" s="1">
        <v>48845.2</v>
      </c>
      <c r="K2720" s="1">
        <v>11075.59</v>
      </c>
      <c r="L2720" s="1" t="s">
        <v>70</v>
      </c>
      <c r="M2720" s="1" t="str">
        <f>TEXT(Table1[[#This Row],[Order Date]],"mmm")</f>
        <v>Mar</v>
      </c>
      <c r="N2720" s="1">
        <f>YEAR(Table1[[#This Row],[Order Date]])</f>
        <v>2023</v>
      </c>
    </row>
    <row r="2721" spans="1:14" x14ac:dyDescent="0.35">
      <c r="A2721" s="1" t="s">
        <v>3509</v>
      </c>
      <c r="B2721" s="1" t="s">
        <v>1326</v>
      </c>
      <c r="C2721" s="1" t="s">
        <v>98</v>
      </c>
      <c r="D2721" s="1" t="s">
        <v>137</v>
      </c>
      <c r="E2721" s="1" t="s">
        <v>22</v>
      </c>
      <c r="F2721" s="1" t="s">
        <v>137</v>
      </c>
      <c r="G2721" s="1">
        <v>3</v>
      </c>
      <c r="H2721" s="1">
        <v>31003</v>
      </c>
      <c r="I2721" s="1">
        <v>0.1</v>
      </c>
      <c r="J2721" s="1">
        <v>83708.100000000006</v>
      </c>
      <c r="K2721" s="1">
        <v>16711.64</v>
      </c>
      <c r="L2721" s="1" t="s">
        <v>17</v>
      </c>
      <c r="M2721" s="1" t="str">
        <f>TEXT(Table1[[#This Row],[Order Date]],"mmm")</f>
        <v>Dec</v>
      </c>
      <c r="N2721" s="1">
        <f>YEAR(Table1[[#This Row],[Order Date]])</f>
        <v>2023</v>
      </c>
    </row>
    <row r="2722" spans="1:14" x14ac:dyDescent="0.35">
      <c r="A2722" s="1" t="s">
        <v>3510</v>
      </c>
      <c r="B2722" s="1" t="s">
        <v>119</v>
      </c>
      <c r="C2722" s="1" t="s">
        <v>140</v>
      </c>
      <c r="D2722" s="1" t="s">
        <v>91</v>
      </c>
      <c r="E2722" s="1" t="s">
        <v>16</v>
      </c>
      <c r="F2722" s="1" t="s">
        <v>91</v>
      </c>
      <c r="G2722" s="1">
        <v>14</v>
      </c>
      <c r="H2722" s="1">
        <v>58101</v>
      </c>
      <c r="I2722" s="1">
        <v>0.05</v>
      </c>
      <c r="J2722" s="1">
        <v>772743.3</v>
      </c>
      <c r="K2722" s="1">
        <v>97664.03</v>
      </c>
      <c r="L2722" s="1" t="s">
        <v>17</v>
      </c>
      <c r="M2722" s="1" t="str">
        <f>TEXT(Table1[[#This Row],[Order Date]],"mmm")</f>
        <v>Apr</v>
      </c>
      <c r="N2722" s="1">
        <f>YEAR(Table1[[#This Row],[Order Date]])</f>
        <v>2024</v>
      </c>
    </row>
    <row r="2723" spans="1:14" x14ac:dyDescent="0.35">
      <c r="A2723" s="1" t="s">
        <v>3511</v>
      </c>
      <c r="B2723" s="1" t="s">
        <v>3512</v>
      </c>
      <c r="C2723" s="1" t="s">
        <v>51</v>
      </c>
      <c r="D2723" s="1" t="s">
        <v>85</v>
      </c>
      <c r="E2723" s="1" t="s">
        <v>28</v>
      </c>
      <c r="F2723" s="1" t="s">
        <v>85</v>
      </c>
      <c r="G2723" s="1">
        <v>4</v>
      </c>
      <c r="H2723" s="1">
        <v>40785</v>
      </c>
      <c r="I2723" s="1">
        <v>0.05</v>
      </c>
      <c r="J2723" s="1">
        <v>154983</v>
      </c>
      <c r="K2723" s="1">
        <v>37009.64</v>
      </c>
      <c r="L2723" s="1" t="s">
        <v>23</v>
      </c>
      <c r="M2723" s="1" t="str">
        <f>TEXT(Table1[[#This Row],[Order Date]],"mmm")</f>
        <v>Sep</v>
      </c>
      <c r="N2723" s="1">
        <f>YEAR(Table1[[#This Row],[Order Date]])</f>
        <v>2024</v>
      </c>
    </row>
    <row r="2724" spans="1:14" x14ac:dyDescent="0.35">
      <c r="A2724" s="1" t="s">
        <v>3513</v>
      </c>
      <c r="B2724" s="1" t="s">
        <v>817</v>
      </c>
      <c r="C2724" s="1" t="s">
        <v>101</v>
      </c>
      <c r="D2724" s="1" t="s">
        <v>21</v>
      </c>
      <c r="E2724" s="1" t="s">
        <v>22</v>
      </c>
      <c r="F2724" s="1" t="s">
        <v>21</v>
      </c>
      <c r="G2724" s="1">
        <v>8</v>
      </c>
      <c r="H2724" s="1">
        <v>1011</v>
      </c>
      <c r="I2724" s="1">
        <v>0.15</v>
      </c>
      <c r="J2724" s="1">
        <v>6874.8</v>
      </c>
      <c r="K2724" s="1">
        <v>1910.96</v>
      </c>
      <c r="L2724" s="1" t="s">
        <v>23</v>
      </c>
      <c r="M2724" s="1" t="str">
        <f>TEXT(Table1[[#This Row],[Order Date]],"mmm")</f>
        <v>Jul</v>
      </c>
      <c r="N2724" s="1">
        <f>YEAR(Table1[[#This Row],[Order Date]])</f>
        <v>2024</v>
      </c>
    </row>
    <row r="2725" spans="1:14" x14ac:dyDescent="0.35">
      <c r="A2725" s="1" t="s">
        <v>3514</v>
      </c>
      <c r="B2725" s="1" t="s">
        <v>164</v>
      </c>
      <c r="C2725" s="1" t="s">
        <v>26</v>
      </c>
      <c r="D2725" s="1" t="s">
        <v>114</v>
      </c>
      <c r="E2725" s="1" t="s">
        <v>16</v>
      </c>
      <c r="F2725" s="1" t="s">
        <v>114</v>
      </c>
      <c r="G2725" s="1">
        <v>4</v>
      </c>
      <c r="H2725" s="1">
        <v>10436</v>
      </c>
      <c r="I2725" s="1">
        <v>0.15</v>
      </c>
      <c r="J2725" s="1">
        <v>35482.400000000001</v>
      </c>
      <c r="K2725" s="1">
        <v>4998.87</v>
      </c>
      <c r="L2725" s="1" t="s">
        <v>70</v>
      </c>
      <c r="M2725" s="1" t="str">
        <f>TEXT(Table1[[#This Row],[Order Date]],"mmm")</f>
        <v>May</v>
      </c>
      <c r="N2725" s="1">
        <f>YEAR(Table1[[#This Row],[Order Date]])</f>
        <v>2023</v>
      </c>
    </row>
    <row r="2726" spans="1:14" x14ac:dyDescent="0.35">
      <c r="A2726" s="1" t="s">
        <v>3515</v>
      </c>
      <c r="B2726" s="1" t="s">
        <v>504</v>
      </c>
      <c r="C2726" s="1" t="s">
        <v>155</v>
      </c>
      <c r="D2726" s="1" t="s">
        <v>133</v>
      </c>
      <c r="E2726" s="1" t="s">
        <v>22</v>
      </c>
      <c r="F2726" s="1" t="s">
        <v>133</v>
      </c>
      <c r="G2726" s="1">
        <v>9</v>
      </c>
      <c r="H2726" s="1">
        <v>17267</v>
      </c>
      <c r="I2726" s="1">
        <v>0.05</v>
      </c>
      <c r="J2726" s="1">
        <v>147632.85</v>
      </c>
      <c r="K2726" s="1">
        <v>39947.31</v>
      </c>
      <c r="L2726" s="1" t="s">
        <v>17</v>
      </c>
      <c r="M2726" s="1" t="str">
        <f>TEXT(Table1[[#This Row],[Order Date]],"mmm")</f>
        <v>Aug</v>
      </c>
      <c r="N2726" s="1">
        <f>YEAR(Table1[[#This Row],[Order Date]])</f>
        <v>2023</v>
      </c>
    </row>
    <row r="2727" spans="1:14" x14ac:dyDescent="0.35">
      <c r="A2727" s="1" t="s">
        <v>3516</v>
      </c>
      <c r="B2727" s="1" t="s">
        <v>630</v>
      </c>
      <c r="C2727" s="1" t="s">
        <v>101</v>
      </c>
      <c r="D2727" s="1" t="s">
        <v>293</v>
      </c>
      <c r="E2727" s="1" t="s">
        <v>33</v>
      </c>
      <c r="F2727" s="1" t="s">
        <v>293</v>
      </c>
      <c r="G2727" s="1">
        <v>5</v>
      </c>
      <c r="H2727" s="1">
        <v>14598</v>
      </c>
      <c r="I2727" s="1">
        <v>0.05</v>
      </c>
      <c r="J2727" s="1">
        <v>69340.5</v>
      </c>
      <c r="K2727" s="1">
        <v>16787.37</v>
      </c>
      <c r="L2727" s="1" t="s">
        <v>17</v>
      </c>
      <c r="M2727" s="1" t="str">
        <f>TEXT(Table1[[#This Row],[Order Date]],"mmm")</f>
        <v>Aug</v>
      </c>
      <c r="N2727" s="1">
        <f>YEAR(Table1[[#This Row],[Order Date]])</f>
        <v>2023</v>
      </c>
    </row>
    <row r="2728" spans="1:14" x14ac:dyDescent="0.35">
      <c r="A2728" s="1" t="s">
        <v>3517</v>
      </c>
      <c r="B2728" s="1" t="s">
        <v>325</v>
      </c>
      <c r="C2728" s="1" t="s">
        <v>175</v>
      </c>
      <c r="D2728" s="1" t="s">
        <v>91</v>
      </c>
      <c r="E2728" s="1" t="s">
        <v>16</v>
      </c>
      <c r="F2728" s="1" t="s">
        <v>91</v>
      </c>
      <c r="G2728" s="1">
        <v>3</v>
      </c>
      <c r="H2728" s="1">
        <v>1635</v>
      </c>
      <c r="I2728" s="1">
        <v>0.15</v>
      </c>
      <c r="J2728" s="1">
        <v>4169.25</v>
      </c>
      <c r="K2728" s="1">
        <v>1042.76</v>
      </c>
      <c r="L2728" s="1" t="s">
        <v>70</v>
      </c>
      <c r="M2728" s="1" t="str">
        <f>TEXT(Table1[[#This Row],[Order Date]],"mmm")</f>
        <v>Aug</v>
      </c>
      <c r="N2728" s="1">
        <f>YEAR(Table1[[#This Row],[Order Date]])</f>
        <v>2023</v>
      </c>
    </row>
    <row r="2729" spans="1:14" x14ac:dyDescent="0.35">
      <c r="A2729" s="1" t="s">
        <v>3518</v>
      </c>
      <c r="B2729" s="1" t="s">
        <v>2247</v>
      </c>
      <c r="C2729" s="1" t="s">
        <v>260</v>
      </c>
      <c r="D2729" s="1" t="s">
        <v>32</v>
      </c>
      <c r="E2729" s="1" t="s">
        <v>33</v>
      </c>
      <c r="F2729" s="1" t="s">
        <v>32</v>
      </c>
      <c r="G2729" s="1">
        <v>12</v>
      </c>
      <c r="H2729" s="1">
        <v>16001</v>
      </c>
      <c r="I2729" s="1">
        <v>0.05</v>
      </c>
      <c r="J2729" s="1">
        <v>182411.4</v>
      </c>
      <c r="K2729" s="1">
        <v>51361.15</v>
      </c>
      <c r="L2729" s="1" t="s">
        <v>17</v>
      </c>
      <c r="M2729" s="1" t="str">
        <f>TEXT(Table1[[#This Row],[Order Date]],"mmm")</f>
        <v>Apr</v>
      </c>
      <c r="N2729" s="1">
        <f>YEAR(Table1[[#This Row],[Order Date]])</f>
        <v>2024</v>
      </c>
    </row>
    <row r="2730" spans="1:14" x14ac:dyDescent="0.35">
      <c r="A2730" s="1" t="s">
        <v>3519</v>
      </c>
      <c r="B2730" s="1" t="s">
        <v>1926</v>
      </c>
      <c r="C2730" s="1" t="s">
        <v>101</v>
      </c>
      <c r="D2730" s="1" t="s">
        <v>60</v>
      </c>
      <c r="E2730" s="1" t="s">
        <v>33</v>
      </c>
      <c r="F2730" s="1" t="s">
        <v>60</v>
      </c>
      <c r="G2730" s="1">
        <v>10</v>
      </c>
      <c r="H2730" s="1">
        <v>46331</v>
      </c>
      <c r="I2730" s="1">
        <v>0.1</v>
      </c>
      <c r="J2730" s="1">
        <v>416979</v>
      </c>
      <c r="K2730" s="1">
        <v>83601.649999999994</v>
      </c>
      <c r="L2730" s="1" t="s">
        <v>17</v>
      </c>
      <c r="M2730" s="1" t="str">
        <f>TEXT(Table1[[#This Row],[Order Date]],"mmm")</f>
        <v>Oct</v>
      </c>
      <c r="N2730" s="1">
        <f>YEAR(Table1[[#This Row],[Order Date]])</f>
        <v>2023</v>
      </c>
    </row>
    <row r="2731" spans="1:14" x14ac:dyDescent="0.35">
      <c r="A2731" s="1" t="s">
        <v>3520</v>
      </c>
      <c r="B2731" s="1" t="s">
        <v>47</v>
      </c>
      <c r="C2731" s="1" t="s">
        <v>120</v>
      </c>
      <c r="D2731" s="1" t="s">
        <v>141</v>
      </c>
      <c r="E2731" s="1" t="s">
        <v>22</v>
      </c>
      <c r="F2731" s="1" t="s">
        <v>141</v>
      </c>
      <c r="G2731" s="1">
        <v>15</v>
      </c>
      <c r="H2731" s="1">
        <v>50765</v>
      </c>
      <c r="I2731" s="1">
        <v>0</v>
      </c>
      <c r="J2731" s="1">
        <v>761475</v>
      </c>
      <c r="K2731" s="1">
        <v>214177.59</v>
      </c>
      <c r="L2731" s="1" t="s">
        <v>70</v>
      </c>
      <c r="M2731" s="1" t="str">
        <f>TEXT(Table1[[#This Row],[Order Date]],"mmm")</f>
        <v>May</v>
      </c>
      <c r="N2731" s="1">
        <f>YEAR(Table1[[#This Row],[Order Date]])</f>
        <v>2023</v>
      </c>
    </row>
    <row r="2732" spans="1:14" x14ac:dyDescent="0.35">
      <c r="A2732" s="1" t="s">
        <v>3521</v>
      </c>
      <c r="B2732" s="1" t="s">
        <v>267</v>
      </c>
      <c r="C2732" s="1" t="s">
        <v>81</v>
      </c>
      <c r="D2732" s="1" t="s">
        <v>179</v>
      </c>
      <c r="E2732" s="1" t="s">
        <v>28</v>
      </c>
      <c r="F2732" s="1" t="s">
        <v>179</v>
      </c>
      <c r="G2732" s="1">
        <v>2</v>
      </c>
      <c r="H2732" s="1">
        <v>17704</v>
      </c>
      <c r="I2732" s="1">
        <v>0.1</v>
      </c>
      <c r="J2732" s="1">
        <v>31867.200000000001</v>
      </c>
      <c r="K2732" s="1">
        <v>8115.92</v>
      </c>
      <c r="L2732" s="1" t="s">
        <v>45</v>
      </c>
      <c r="M2732" s="1" t="str">
        <f>TEXT(Table1[[#This Row],[Order Date]],"mmm")</f>
        <v>Jun</v>
      </c>
      <c r="N2732" s="1">
        <f>YEAR(Table1[[#This Row],[Order Date]])</f>
        <v>2023</v>
      </c>
    </row>
    <row r="2733" spans="1:14" x14ac:dyDescent="0.35">
      <c r="A2733" s="1" t="s">
        <v>3522</v>
      </c>
      <c r="B2733" s="1" t="s">
        <v>1356</v>
      </c>
      <c r="C2733" s="1" t="s">
        <v>77</v>
      </c>
      <c r="D2733" s="1" t="s">
        <v>133</v>
      </c>
      <c r="E2733" s="1" t="s">
        <v>22</v>
      </c>
      <c r="F2733" s="1" t="s">
        <v>133</v>
      </c>
      <c r="G2733" s="1">
        <v>1</v>
      </c>
      <c r="H2733" s="1">
        <v>47990</v>
      </c>
      <c r="I2733" s="1">
        <v>0.05</v>
      </c>
      <c r="J2733" s="1">
        <v>45590.5</v>
      </c>
      <c r="K2733" s="1">
        <v>10135.44</v>
      </c>
      <c r="L2733" s="1" t="s">
        <v>70</v>
      </c>
      <c r="M2733" s="1" t="str">
        <f>TEXT(Table1[[#This Row],[Order Date]],"mmm")</f>
        <v>Jun</v>
      </c>
      <c r="N2733" s="1">
        <f>YEAR(Table1[[#This Row],[Order Date]])</f>
        <v>2023</v>
      </c>
    </row>
    <row r="2734" spans="1:14" x14ac:dyDescent="0.35">
      <c r="A2734" s="1" t="s">
        <v>3523</v>
      </c>
      <c r="B2734" s="1" t="s">
        <v>97</v>
      </c>
      <c r="C2734" s="1" t="s">
        <v>260</v>
      </c>
      <c r="D2734" s="1" t="s">
        <v>141</v>
      </c>
      <c r="E2734" s="1" t="s">
        <v>22</v>
      </c>
      <c r="F2734" s="1" t="s">
        <v>141</v>
      </c>
      <c r="G2734" s="1">
        <v>8</v>
      </c>
      <c r="H2734" s="1">
        <v>25024</v>
      </c>
      <c r="I2734" s="1">
        <v>0.2</v>
      </c>
      <c r="J2734" s="1">
        <v>160153.60000000001</v>
      </c>
      <c r="K2734" s="1">
        <v>19325.060000000001</v>
      </c>
      <c r="L2734" s="1" t="s">
        <v>70</v>
      </c>
      <c r="M2734" s="1" t="str">
        <f>TEXT(Table1[[#This Row],[Order Date]],"mmm")</f>
        <v>Oct</v>
      </c>
      <c r="N2734" s="1">
        <f>YEAR(Table1[[#This Row],[Order Date]])</f>
        <v>2023</v>
      </c>
    </row>
    <row r="2735" spans="1:14" x14ac:dyDescent="0.35">
      <c r="A2735" s="1" t="s">
        <v>3524</v>
      </c>
      <c r="B2735" s="1" t="s">
        <v>800</v>
      </c>
      <c r="C2735" s="1" t="s">
        <v>51</v>
      </c>
      <c r="D2735" s="1" t="s">
        <v>78</v>
      </c>
      <c r="E2735" s="1" t="s">
        <v>28</v>
      </c>
      <c r="F2735" s="1" t="s">
        <v>78</v>
      </c>
      <c r="G2735" s="1">
        <v>4</v>
      </c>
      <c r="H2735" s="1">
        <v>4158</v>
      </c>
      <c r="I2735" s="1">
        <v>0</v>
      </c>
      <c r="J2735" s="1">
        <v>16632</v>
      </c>
      <c r="K2735" s="1">
        <v>4935.21</v>
      </c>
      <c r="L2735" s="1" t="s">
        <v>45</v>
      </c>
      <c r="M2735" s="1" t="str">
        <f>TEXT(Table1[[#This Row],[Order Date]],"mmm")</f>
        <v>Oct</v>
      </c>
      <c r="N2735" s="1">
        <f>YEAR(Table1[[#This Row],[Order Date]])</f>
        <v>2023</v>
      </c>
    </row>
    <row r="2736" spans="1:14" x14ac:dyDescent="0.35">
      <c r="A2736" s="1" t="s">
        <v>3525</v>
      </c>
      <c r="B2736" s="1" t="s">
        <v>979</v>
      </c>
      <c r="C2736" s="1" t="s">
        <v>170</v>
      </c>
      <c r="D2736" s="1" t="s">
        <v>133</v>
      </c>
      <c r="E2736" s="1" t="s">
        <v>22</v>
      </c>
      <c r="F2736" s="1" t="s">
        <v>133</v>
      </c>
      <c r="G2736" s="1">
        <v>12</v>
      </c>
      <c r="H2736" s="1">
        <v>47630</v>
      </c>
      <c r="I2736" s="1">
        <v>0.2</v>
      </c>
      <c r="J2736" s="1">
        <v>457248</v>
      </c>
      <c r="K2736" s="1">
        <v>99123.83</v>
      </c>
      <c r="L2736" s="1" t="s">
        <v>70</v>
      </c>
      <c r="M2736" s="1" t="str">
        <f>TEXT(Table1[[#This Row],[Order Date]],"mmm")</f>
        <v>Jul</v>
      </c>
      <c r="N2736" s="1">
        <f>YEAR(Table1[[#This Row],[Order Date]])</f>
        <v>2024</v>
      </c>
    </row>
    <row r="2737" spans="1:14" x14ac:dyDescent="0.35">
      <c r="A2737" s="1" t="s">
        <v>3526</v>
      </c>
      <c r="B2737" s="1" t="s">
        <v>827</v>
      </c>
      <c r="C2737" s="1" t="s">
        <v>26</v>
      </c>
      <c r="D2737" s="1" t="s">
        <v>15</v>
      </c>
      <c r="E2737" s="1" t="s">
        <v>16</v>
      </c>
      <c r="F2737" s="1" t="s">
        <v>15</v>
      </c>
      <c r="G2737" s="1">
        <v>13</v>
      </c>
      <c r="H2737" s="1">
        <v>20013</v>
      </c>
      <c r="I2737" s="1">
        <v>0.1</v>
      </c>
      <c r="J2737" s="1">
        <v>234152.1</v>
      </c>
      <c r="K2737" s="1">
        <v>59291.38</v>
      </c>
      <c r="L2737" s="1" t="s">
        <v>17</v>
      </c>
      <c r="M2737" s="1" t="str">
        <f>TEXT(Table1[[#This Row],[Order Date]],"mmm")</f>
        <v>Jan</v>
      </c>
      <c r="N2737" s="1">
        <f>YEAR(Table1[[#This Row],[Order Date]])</f>
        <v>2023</v>
      </c>
    </row>
    <row r="2738" spans="1:14" x14ac:dyDescent="0.35">
      <c r="A2738" s="1" t="s">
        <v>3527</v>
      </c>
      <c r="B2738" s="1" t="s">
        <v>1133</v>
      </c>
      <c r="C2738" s="1" t="s">
        <v>191</v>
      </c>
      <c r="D2738" s="1" t="s">
        <v>32</v>
      </c>
      <c r="E2738" s="1" t="s">
        <v>33</v>
      </c>
      <c r="F2738" s="1" t="s">
        <v>32</v>
      </c>
      <c r="G2738" s="1">
        <v>11</v>
      </c>
      <c r="H2738" s="1">
        <v>11465</v>
      </c>
      <c r="I2738" s="1">
        <v>0.1</v>
      </c>
      <c r="J2738" s="1">
        <v>113503.5</v>
      </c>
      <c r="K2738" s="1">
        <v>10899.72</v>
      </c>
      <c r="L2738" s="1" t="s">
        <v>70</v>
      </c>
      <c r="M2738" s="1" t="str">
        <f>TEXT(Table1[[#This Row],[Order Date]],"mmm")</f>
        <v>Nov</v>
      </c>
      <c r="N2738" s="1">
        <f>YEAR(Table1[[#This Row],[Order Date]])</f>
        <v>2024</v>
      </c>
    </row>
    <row r="2739" spans="1:14" x14ac:dyDescent="0.35">
      <c r="A2739" s="1" t="s">
        <v>3528</v>
      </c>
      <c r="B2739" s="1" t="s">
        <v>2340</v>
      </c>
      <c r="C2739" s="1" t="s">
        <v>14</v>
      </c>
      <c r="D2739" s="1" t="s">
        <v>91</v>
      </c>
      <c r="E2739" s="1" t="s">
        <v>16</v>
      </c>
      <c r="F2739" s="1" t="s">
        <v>91</v>
      </c>
      <c r="G2739" s="1">
        <v>12</v>
      </c>
      <c r="H2739" s="1">
        <v>50380</v>
      </c>
      <c r="I2739" s="1">
        <v>0.15</v>
      </c>
      <c r="J2739" s="1">
        <v>513876</v>
      </c>
      <c r="K2739" s="1">
        <v>108267.85</v>
      </c>
      <c r="L2739" s="1" t="s">
        <v>17</v>
      </c>
      <c r="M2739" s="1" t="str">
        <f>TEXT(Table1[[#This Row],[Order Date]],"mmm")</f>
        <v>Sep</v>
      </c>
      <c r="N2739" s="1">
        <f>YEAR(Table1[[#This Row],[Order Date]])</f>
        <v>2023</v>
      </c>
    </row>
    <row r="2740" spans="1:14" x14ac:dyDescent="0.35">
      <c r="A2740" s="1" t="s">
        <v>3529</v>
      </c>
      <c r="B2740" s="1" t="s">
        <v>1750</v>
      </c>
      <c r="C2740" s="1" t="s">
        <v>88</v>
      </c>
      <c r="D2740" s="1" t="s">
        <v>133</v>
      </c>
      <c r="E2740" s="1" t="s">
        <v>22</v>
      </c>
      <c r="F2740" s="1" t="s">
        <v>133</v>
      </c>
      <c r="G2740" s="1">
        <v>15</v>
      </c>
      <c r="H2740" s="1">
        <v>7500</v>
      </c>
      <c r="I2740" s="1">
        <v>0.1</v>
      </c>
      <c r="J2740" s="1">
        <v>101250</v>
      </c>
      <c r="K2740" s="1">
        <v>27268.18</v>
      </c>
      <c r="L2740" s="1" t="s">
        <v>45</v>
      </c>
      <c r="M2740" s="1" t="str">
        <f>TEXT(Table1[[#This Row],[Order Date]],"mmm")</f>
        <v>Jul</v>
      </c>
      <c r="N2740" s="1">
        <f>YEAR(Table1[[#This Row],[Order Date]])</f>
        <v>2024</v>
      </c>
    </row>
    <row r="2741" spans="1:14" x14ac:dyDescent="0.35">
      <c r="A2741" s="1" t="s">
        <v>3530</v>
      </c>
      <c r="B2741" s="1" t="s">
        <v>1056</v>
      </c>
      <c r="C2741" s="1" t="s">
        <v>88</v>
      </c>
      <c r="D2741" s="1" t="s">
        <v>37</v>
      </c>
      <c r="E2741" s="1" t="s">
        <v>16</v>
      </c>
      <c r="F2741" s="1" t="s">
        <v>37</v>
      </c>
      <c r="G2741" s="1">
        <v>8</v>
      </c>
      <c r="H2741" s="1">
        <v>41789</v>
      </c>
      <c r="I2741" s="1">
        <v>0.05</v>
      </c>
      <c r="J2741" s="1">
        <v>317596.40000000002</v>
      </c>
      <c r="K2741" s="1">
        <v>91023.07</v>
      </c>
      <c r="L2741" s="1" t="s">
        <v>70</v>
      </c>
      <c r="M2741" s="1" t="str">
        <f>TEXT(Table1[[#This Row],[Order Date]],"mmm")</f>
        <v>Jul</v>
      </c>
      <c r="N2741" s="1">
        <f>YEAR(Table1[[#This Row],[Order Date]])</f>
        <v>2024</v>
      </c>
    </row>
    <row r="2742" spans="1:14" x14ac:dyDescent="0.35">
      <c r="A2742" s="1" t="s">
        <v>3531</v>
      </c>
      <c r="B2742" s="1" t="s">
        <v>276</v>
      </c>
      <c r="C2742" s="1" t="s">
        <v>208</v>
      </c>
      <c r="D2742" s="1" t="s">
        <v>32</v>
      </c>
      <c r="E2742" s="1" t="s">
        <v>33</v>
      </c>
      <c r="F2742" s="1" t="s">
        <v>32</v>
      </c>
      <c r="G2742" s="1">
        <v>15</v>
      </c>
      <c r="H2742" s="1">
        <v>44637</v>
      </c>
      <c r="I2742" s="1">
        <v>0.05</v>
      </c>
      <c r="J2742" s="1">
        <v>636077.25</v>
      </c>
      <c r="K2742" s="1">
        <v>182479.31</v>
      </c>
      <c r="L2742" s="1" t="s">
        <v>45</v>
      </c>
      <c r="M2742" s="1" t="str">
        <f>TEXT(Table1[[#This Row],[Order Date]],"mmm")</f>
        <v>Apr</v>
      </c>
      <c r="N2742" s="1">
        <f>YEAR(Table1[[#This Row],[Order Date]])</f>
        <v>2024</v>
      </c>
    </row>
    <row r="2743" spans="1:14" x14ac:dyDescent="0.35">
      <c r="A2743" s="1" t="s">
        <v>3532</v>
      </c>
      <c r="B2743" s="1" t="s">
        <v>2430</v>
      </c>
      <c r="C2743" s="1" t="s">
        <v>332</v>
      </c>
      <c r="D2743" s="1" t="s">
        <v>179</v>
      </c>
      <c r="E2743" s="1" t="s">
        <v>28</v>
      </c>
      <c r="F2743" s="1" t="s">
        <v>179</v>
      </c>
      <c r="G2743" s="1">
        <v>7</v>
      </c>
      <c r="H2743" s="1">
        <v>18647</v>
      </c>
      <c r="I2743" s="1">
        <v>0.1</v>
      </c>
      <c r="J2743" s="1">
        <v>117476.1</v>
      </c>
      <c r="K2743" s="1">
        <v>21298.9</v>
      </c>
      <c r="L2743" s="1" t="s">
        <v>23</v>
      </c>
      <c r="M2743" s="1" t="str">
        <f>TEXT(Table1[[#This Row],[Order Date]],"mmm")</f>
        <v>Mar</v>
      </c>
      <c r="N2743" s="1">
        <f>YEAR(Table1[[#This Row],[Order Date]])</f>
        <v>2024</v>
      </c>
    </row>
    <row r="2744" spans="1:14" x14ac:dyDescent="0.35">
      <c r="A2744" s="1" t="s">
        <v>3533</v>
      </c>
      <c r="B2744" s="1" t="s">
        <v>1027</v>
      </c>
      <c r="C2744" s="1" t="s">
        <v>170</v>
      </c>
      <c r="D2744" s="1" t="s">
        <v>323</v>
      </c>
      <c r="E2744" s="1" t="s">
        <v>33</v>
      </c>
      <c r="F2744" s="1" t="s">
        <v>323</v>
      </c>
      <c r="G2744" s="1">
        <v>12</v>
      </c>
      <c r="H2744" s="1">
        <v>12750</v>
      </c>
      <c r="I2744" s="1">
        <v>0.1</v>
      </c>
      <c r="J2744" s="1">
        <v>137700</v>
      </c>
      <c r="K2744" s="1">
        <v>21474.2</v>
      </c>
      <c r="L2744" s="1" t="s">
        <v>70</v>
      </c>
      <c r="M2744" s="1" t="str">
        <f>TEXT(Table1[[#This Row],[Order Date]],"mmm")</f>
        <v>Nov</v>
      </c>
      <c r="N2744" s="1">
        <f>YEAR(Table1[[#This Row],[Order Date]])</f>
        <v>2023</v>
      </c>
    </row>
    <row r="2745" spans="1:14" x14ac:dyDescent="0.35">
      <c r="A2745" s="1" t="s">
        <v>3534</v>
      </c>
      <c r="B2745" s="1" t="s">
        <v>944</v>
      </c>
      <c r="C2745" s="1" t="s">
        <v>88</v>
      </c>
      <c r="D2745" s="1" t="s">
        <v>293</v>
      </c>
      <c r="E2745" s="1" t="s">
        <v>33</v>
      </c>
      <c r="F2745" s="1" t="s">
        <v>293</v>
      </c>
      <c r="G2745" s="1">
        <v>1</v>
      </c>
      <c r="H2745" s="1">
        <v>59861</v>
      </c>
      <c r="I2745" s="1">
        <v>0.05</v>
      </c>
      <c r="J2745" s="1">
        <v>56867.95</v>
      </c>
      <c r="K2745" s="1">
        <v>4601.5600000000004</v>
      </c>
      <c r="L2745" s="1" t="s">
        <v>17</v>
      </c>
      <c r="M2745" s="1" t="str">
        <f>TEXT(Table1[[#This Row],[Order Date]],"mmm")</f>
        <v>Aug</v>
      </c>
      <c r="N2745" s="1">
        <f>YEAR(Table1[[#This Row],[Order Date]])</f>
        <v>2024</v>
      </c>
    </row>
    <row r="2746" spans="1:14" x14ac:dyDescent="0.35">
      <c r="A2746" s="1" t="s">
        <v>3535</v>
      </c>
      <c r="B2746" s="1" t="s">
        <v>909</v>
      </c>
      <c r="C2746" s="1" t="s">
        <v>140</v>
      </c>
      <c r="D2746" s="1" t="s">
        <v>44</v>
      </c>
      <c r="E2746" s="1" t="s">
        <v>28</v>
      </c>
      <c r="F2746" s="1" t="s">
        <v>44</v>
      </c>
      <c r="G2746" s="1">
        <v>7</v>
      </c>
      <c r="H2746" s="1">
        <v>34563</v>
      </c>
      <c r="I2746" s="1">
        <v>0.2</v>
      </c>
      <c r="J2746" s="1">
        <v>193552.8</v>
      </c>
      <c r="K2746" s="1">
        <v>33865.14</v>
      </c>
      <c r="L2746" s="1" t="s">
        <v>23</v>
      </c>
      <c r="M2746" s="1" t="str">
        <f>TEXT(Table1[[#This Row],[Order Date]],"mmm")</f>
        <v>Sep</v>
      </c>
      <c r="N2746" s="1">
        <f>YEAR(Table1[[#This Row],[Order Date]])</f>
        <v>2024</v>
      </c>
    </row>
    <row r="2747" spans="1:14" x14ac:dyDescent="0.35">
      <c r="A2747" s="1" t="s">
        <v>3536</v>
      </c>
      <c r="B2747" s="1" t="s">
        <v>1645</v>
      </c>
      <c r="C2747" s="1" t="s">
        <v>20</v>
      </c>
      <c r="D2747" s="1" t="s">
        <v>323</v>
      </c>
      <c r="E2747" s="1" t="s">
        <v>33</v>
      </c>
      <c r="F2747" s="1" t="s">
        <v>323</v>
      </c>
      <c r="G2747" s="1">
        <v>3</v>
      </c>
      <c r="H2747" s="1">
        <v>2249</v>
      </c>
      <c r="I2747" s="1">
        <v>0.05</v>
      </c>
      <c r="J2747" s="1">
        <v>6409.65</v>
      </c>
      <c r="K2747" s="1">
        <v>689.31</v>
      </c>
      <c r="L2747" s="1" t="s">
        <v>23</v>
      </c>
      <c r="M2747" s="1" t="str">
        <f>TEXT(Table1[[#This Row],[Order Date]],"mmm")</f>
        <v>Nov</v>
      </c>
      <c r="N2747" s="1">
        <f>YEAR(Table1[[#This Row],[Order Date]])</f>
        <v>2023</v>
      </c>
    </row>
    <row r="2748" spans="1:14" x14ac:dyDescent="0.35">
      <c r="A2748" s="1" t="s">
        <v>3537</v>
      </c>
      <c r="B2748" s="1" t="s">
        <v>2671</v>
      </c>
      <c r="C2748" s="1" t="s">
        <v>162</v>
      </c>
      <c r="D2748" s="1" t="s">
        <v>52</v>
      </c>
      <c r="E2748" s="1" t="s">
        <v>28</v>
      </c>
      <c r="F2748" s="1" t="s">
        <v>52</v>
      </c>
      <c r="G2748" s="1">
        <v>15</v>
      </c>
      <c r="H2748" s="1">
        <v>43853</v>
      </c>
      <c r="I2748" s="1">
        <v>0</v>
      </c>
      <c r="J2748" s="1">
        <v>657795</v>
      </c>
      <c r="K2748" s="1">
        <v>154003.67000000001</v>
      </c>
      <c r="L2748" s="1" t="s">
        <v>45</v>
      </c>
      <c r="M2748" s="1" t="str">
        <f>TEXT(Table1[[#This Row],[Order Date]],"mmm")</f>
        <v>Nov</v>
      </c>
      <c r="N2748" s="1">
        <f>YEAR(Table1[[#This Row],[Order Date]])</f>
        <v>2023</v>
      </c>
    </row>
    <row r="2749" spans="1:14" x14ac:dyDescent="0.35">
      <c r="A2749" s="1" t="s">
        <v>3538</v>
      </c>
      <c r="B2749" s="1" t="s">
        <v>823</v>
      </c>
      <c r="C2749" s="1" t="s">
        <v>200</v>
      </c>
      <c r="D2749" s="1" t="s">
        <v>32</v>
      </c>
      <c r="E2749" s="1" t="s">
        <v>33</v>
      </c>
      <c r="F2749" s="1" t="s">
        <v>32</v>
      </c>
      <c r="G2749" s="1">
        <v>1</v>
      </c>
      <c r="H2749" s="1">
        <v>37048</v>
      </c>
      <c r="I2749" s="1">
        <v>0.05</v>
      </c>
      <c r="J2749" s="1">
        <v>35195.599999999999</v>
      </c>
      <c r="K2749" s="1">
        <v>7927.4</v>
      </c>
      <c r="L2749" s="1" t="s">
        <v>23</v>
      </c>
      <c r="M2749" s="1" t="str">
        <f>TEXT(Table1[[#This Row],[Order Date]],"mmm")</f>
        <v>Jul</v>
      </c>
      <c r="N2749" s="1">
        <f>YEAR(Table1[[#This Row],[Order Date]])</f>
        <v>2024</v>
      </c>
    </row>
    <row r="2750" spans="1:14" x14ac:dyDescent="0.35">
      <c r="A2750" s="1" t="s">
        <v>3539</v>
      </c>
      <c r="B2750" s="1" t="s">
        <v>1361</v>
      </c>
      <c r="C2750" s="1" t="s">
        <v>260</v>
      </c>
      <c r="D2750" s="1" t="s">
        <v>167</v>
      </c>
      <c r="E2750" s="1" t="s">
        <v>16</v>
      </c>
      <c r="F2750" s="1" t="s">
        <v>167</v>
      </c>
      <c r="G2750" s="1">
        <v>15</v>
      </c>
      <c r="H2750" s="1">
        <v>1373</v>
      </c>
      <c r="I2750" s="1">
        <v>0.1</v>
      </c>
      <c r="J2750" s="1">
        <v>18535.5</v>
      </c>
      <c r="K2750" s="1">
        <v>4301.08</v>
      </c>
      <c r="L2750" s="1" t="s">
        <v>23</v>
      </c>
      <c r="M2750" s="1" t="str">
        <f>TEXT(Table1[[#This Row],[Order Date]],"mmm")</f>
        <v>Apr</v>
      </c>
      <c r="N2750" s="1">
        <f>YEAR(Table1[[#This Row],[Order Date]])</f>
        <v>2023</v>
      </c>
    </row>
    <row r="2751" spans="1:14" x14ac:dyDescent="0.35">
      <c r="A2751" s="1" t="s">
        <v>3540</v>
      </c>
      <c r="B2751" s="1" t="s">
        <v>2719</v>
      </c>
      <c r="C2751" s="1" t="s">
        <v>98</v>
      </c>
      <c r="D2751" s="1" t="s">
        <v>37</v>
      </c>
      <c r="E2751" s="1" t="s">
        <v>16</v>
      </c>
      <c r="F2751" s="1" t="s">
        <v>37</v>
      </c>
      <c r="G2751" s="1">
        <v>7</v>
      </c>
      <c r="H2751" s="1">
        <v>42024</v>
      </c>
      <c r="I2751" s="1">
        <v>0.2</v>
      </c>
      <c r="J2751" s="1">
        <v>235334.39999999999</v>
      </c>
      <c r="K2751" s="1">
        <v>28256.85</v>
      </c>
      <c r="L2751" s="1" t="s">
        <v>17</v>
      </c>
      <c r="M2751" s="1" t="str">
        <f>TEXT(Table1[[#This Row],[Order Date]],"mmm")</f>
        <v>Apr</v>
      </c>
      <c r="N2751" s="1">
        <f>YEAR(Table1[[#This Row],[Order Date]])</f>
        <v>2023</v>
      </c>
    </row>
    <row r="2752" spans="1:14" x14ac:dyDescent="0.35">
      <c r="A2752" s="1" t="s">
        <v>3541</v>
      </c>
      <c r="B2752" s="1" t="s">
        <v>1101</v>
      </c>
      <c r="C2752" s="1" t="s">
        <v>117</v>
      </c>
      <c r="D2752" s="1" t="s">
        <v>52</v>
      </c>
      <c r="E2752" s="1" t="s">
        <v>28</v>
      </c>
      <c r="F2752" s="1" t="s">
        <v>52</v>
      </c>
      <c r="G2752" s="1">
        <v>12</v>
      </c>
      <c r="H2752" s="1">
        <v>12663</v>
      </c>
      <c r="I2752" s="1">
        <v>0.1</v>
      </c>
      <c r="J2752" s="1">
        <v>136760.4</v>
      </c>
      <c r="K2752" s="1">
        <v>36378.31</v>
      </c>
      <c r="L2752" s="1" t="s">
        <v>17</v>
      </c>
      <c r="M2752" s="1" t="str">
        <f>TEXT(Table1[[#This Row],[Order Date]],"mmm")</f>
        <v>Jun</v>
      </c>
      <c r="N2752" s="1">
        <f>YEAR(Table1[[#This Row],[Order Date]])</f>
        <v>2024</v>
      </c>
    </row>
    <row r="2753" spans="1:14" x14ac:dyDescent="0.35">
      <c r="A2753" s="1" t="s">
        <v>3542</v>
      </c>
      <c r="B2753" s="1" t="s">
        <v>299</v>
      </c>
      <c r="C2753" s="1" t="s">
        <v>101</v>
      </c>
      <c r="D2753" s="1" t="s">
        <v>64</v>
      </c>
      <c r="E2753" s="1" t="s">
        <v>33</v>
      </c>
      <c r="F2753" s="1" t="s">
        <v>64</v>
      </c>
      <c r="G2753" s="1">
        <v>11</v>
      </c>
      <c r="H2753" s="1">
        <v>25997</v>
      </c>
      <c r="I2753" s="1">
        <v>0.1</v>
      </c>
      <c r="J2753" s="1">
        <v>257370.3</v>
      </c>
      <c r="K2753" s="1">
        <v>48693.919999999998</v>
      </c>
      <c r="L2753" s="1" t="s">
        <v>23</v>
      </c>
      <c r="M2753" s="1" t="str">
        <f>TEXT(Table1[[#This Row],[Order Date]],"mmm")</f>
        <v>May</v>
      </c>
      <c r="N2753" s="1">
        <f>YEAR(Table1[[#This Row],[Order Date]])</f>
        <v>2023</v>
      </c>
    </row>
    <row r="2754" spans="1:14" x14ac:dyDescent="0.35">
      <c r="A2754" s="1" t="s">
        <v>3543</v>
      </c>
      <c r="B2754" s="1" t="s">
        <v>1299</v>
      </c>
      <c r="C2754" s="1" t="s">
        <v>73</v>
      </c>
      <c r="D2754" s="1" t="s">
        <v>137</v>
      </c>
      <c r="E2754" s="1" t="s">
        <v>22</v>
      </c>
      <c r="F2754" s="1" t="s">
        <v>137</v>
      </c>
      <c r="G2754" s="1">
        <v>10</v>
      </c>
      <c r="H2754" s="1">
        <v>23566</v>
      </c>
      <c r="I2754" s="1">
        <v>0.15</v>
      </c>
      <c r="J2754" s="1">
        <v>200311</v>
      </c>
      <c r="K2754" s="1">
        <v>52262.42</v>
      </c>
      <c r="L2754" s="1" t="s">
        <v>70</v>
      </c>
      <c r="M2754" s="1" t="str">
        <f>TEXT(Table1[[#This Row],[Order Date]],"mmm")</f>
        <v>Sep</v>
      </c>
      <c r="N2754" s="1">
        <f>YEAR(Table1[[#This Row],[Order Date]])</f>
        <v>2024</v>
      </c>
    </row>
    <row r="2755" spans="1:14" x14ac:dyDescent="0.35">
      <c r="A2755" s="1" t="s">
        <v>3544</v>
      </c>
      <c r="B2755" s="1" t="s">
        <v>965</v>
      </c>
      <c r="C2755" s="1" t="s">
        <v>146</v>
      </c>
      <c r="D2755" s="1" t="s">
        <v>137</v>
      </c>
      <c r="E2755" s="1" t="s">
        <v>22</v>
      </c>
      <c r="F2755" s="1" t="s">
        <v>137</v>
      </c>
      <c r="G2755" s="1">
        <v>7</v>
      </c>
      <c r="H2755" s="1">
        <v>50909</v>
      </c>
      <c r="I2755" s="1">
        <v>0.2</v>
      </c>
      <c r="J2755" s="1">
        <v>285090.40000000002</v>
      </c>
      <c r="K2755" s="1">
        <v>45204.47</v>
      </c>
      <c r="L2755" s="1" t="s">
        <v>70</v>
      </c>
      <c r="M2755" s="1" t="str">
        <f>TEXT(Table1[[#This Row],[Order Date]],"mmm")</f>
        <v>Jan</v>
      </c>
      <c r="N2755" s="1">
        <f>YEAR(Table1[[#This Row],[Order Date]])</f>
        <v>2024</v>
      </c>
    </row>
    <row r="2756" spans="1:14" x14ac:dyDescent="0.35">
      <c r="A2756" s="1" t="s">
        <v>3545</v>
      </c>
      <c r="B2756" s="1" t="s">
        <v>643</v>
      </c>
      <c r="C2756" s="1" t="s">
        <v>94</v>
      </c>
      <c r="D2756" s="1" t="s">
        <v>108</v>
      </c>
      <c r="E2756" s="1" t="s">
        <v>22</v>
      </c>
      <c r="F2756" s="1" t="s">
        <v>108</v>
      </c>
      <c r="G2756" s="1">
        <v>4</v>
      </c>
      <c r="H2756" s="1">
        <v>28024</v>
      </c>
      <c r="I2756" s="1">
        <v>0.2</v>
      </c>
      <c r="J2756" s="1">
        <v>89676.800000000003</v>
      </c>
      <c r="K2756" s="1">
        <v>19627.91</v>
      </c>
      <c r="L2756" s="1" t="s">
        <v>45</v>
      </c>
      <c r="M2756" s="1" t="str">
        <f>TEXT(Table1[[#This Row],[Order Date]],"mmm")</f>
        <v>Aug</v>
      </c>
      <c r="N2756" s="1">
        <f>YEAR(Table1[[#This Row],[Order Date]])</f>
        <v>2024</v>
      </c>
    </row>
    <row r="2757" spans="1:14" x14ac:dyDescent="0.35">
      <c r="A2757" s="1" t="s">
        <v>3546</v>
      </c>
      <c r="B2757" s="1" t="s">
        <v>472</v>
      </c>
      <c r="C2757" s="1" t="s">
        <v>370</v>
      </c>
      <c r="D2757" s="1" t="s">
        <v>52</v>
      </c>
      <c r="E2757" s="1" t="s">
        <v>28</v>
      </c>
      <c r="F2757" s="1" t="s">
        <v>52</v>
      </c>
      <c r="G2757" s="1">
        <v>5</v>
      </c>
      <c r="H2757" s="1">
        <v>30133</v>
      </c>
      <c r="I2757" s="1">
        <v>0.2</v>
      </c>
      <c r="J2757" s="1">
        <v>120532</v>
      </c>
      <c r="K2757" s="1">
        <v>24855.06</v>
      </c>
      <c r="L2757" s="1" t="s">
        <v>23</v>
      </c>
      <c r="M2757" s="1" t="str">
        <f>TEXT(Table1[[#This Row],[Order Date]],"mmm")</f>
        <v>Feb</v>
      </c>
      <c r="N2757" s="1">
        <f>YEAR(Table1[[#This Row],[Order Date]])</f>
        <v>2024</v>
      </c>
    </row>
    <row r="2758" spans="1:14" x14ac:dyDescent="0.35">
      <c r="A2758" s="1" t="s">
        <v>3547</v>
      </c>
      <c r="B2758" s="1" t="s">
        <v>907</v>
      </c>
      <c r="C2758" s="1" t="s">
        <v>370</v>
      </c>
      <c r="D2758" s="1" t="s">
        <v>114</v>
      </c>
      <c r="E2758" s="1" t="s">
        <v>16</v>
      </c>
      <c r="F2758" s="1" t="s">
        <v>114</v>
      </c>
      <c r="G2758" s="1">
        <v>13</v>
      </c>
      <c r="H2758" s="1">
        <v>59122</v>
      </c>
      <c r="I2758" s="1">
        <v>0.15</v>
      </c>
      <c r="J2758" s="1">
        <v>653298.1</v>
      </c>
      <c r="K2758" s="1">
        <v>64145.05</v>
      </c>
      <c r="L2758" s="1" t="s">
        <v>70</v>
      </c>
      <c r="M2758" s="1" t="str">
        <f>TEXT(Table1[[#This Row],[Order Date]],"mmm")</f>
        <v>Mar</v>
      </c>
      <c r="N2758" s="1">
        <f>YEAR(Table1[[#This Row],[Order Date]])</f>
        <v>2023</v>
      </c>
    </row>
    <row r="2759" spans="1:14" x14ac:dyDescent="0.35">
      <c r="A2759" s="1" t="s">
        <v>3548</v>
      </c>
      <c r="B2759" s="1" t="s">
        <v>843</v>
      </c>
      <c r="C2759" s="1" t="s">
        <v>84</v>
      </c>
      <c r="D2759" s="1" t="s">
        <v>137</v>
      </c>
      <c r="E2759" s="1" t="s">
        <v>22</v>
      </c>
      <c r="F2759" s="1" t="s">
        <v>137</v>
      </c>
      <c r="G2759" s="1">
        <v>12</v>
      </c>
      <c r="H2759" s="1">
        <v>49722</v>
      </c>
      <c r="I2759" s="1">
        <v>0.2</v>
      </c>
      <c r="J2759" s="1">
        <v>477331.20000000001</v>
      </c>
      <c r="K2759" s="1">
        <v>142701.13</v>
      </c>
      <c r="L2759" s="1" t="s">
        <v>45</v>
      </c>
      <c r="M2759" s="1" t="str">
        <f>TEXT(Table1[[#This Row],[Order Date]],"mmm")</f>
        <v>Feb</v>
      </c>
      <c r="N2759" s="1">
        <f>YEAR(Table1[[#This Row],[Order Date]])</f>
        <v>2023</v>
      </c>
    </row>
    <row r="2760" spans="1:14" x14ac:dyDescent="0.35">
      <c r="A2760" s="1" t="s">
        <v>3549</v>
      </c>
      <c r="B2760" s="1" t="s">
        <v>3073</v>
      </c>
      <c r="C2760" s="1" t="s">
        <v>191</v>
      </c>
      <c r="D2760" s="1" t="s">
        <v>37</v>
      </c>
      <c r="E2760" s="1" t="s">
        <v>16</v>
      </c>
      <c r="F2760" s="1" t="s">
        <v>37</v>
      </c>
      <c r="G2760" s="1">
        <v>10</v>
      </c>
      <c r="H2760" s="1">
        <v>34905</v>
      </c>
      <c r="I2760" s="1">
        <v>0</v>
      </c>
      <c r="J2760" s="1">
        <v>349050</v>
      </c>
      <c r="K2760" s="1">
        <v>59547.09</v>
      </c>
      <c r="L2760" s="1" t="s">
        <v>70</v>
      </c>
      <c r="M2760" s="1" t="str">
        <f>TEXT(Table1[[#This Row],[Order Date]],"mmm")</f>
        <v>Aug</v>
      </c>
      <c r="N2760" s="1">
        <f>YEAR(Table1[[#This Row],[Order Date]])</f>
        <v>2024</v>
      </c>
    </row>
    <row r="2761" spans="1:14" x14ac:dyDescent="0.35">
      <c r="A2761" s="1" t="s">
        <v>3550</v>
      </c>
      <c r="B2761" s="1" t="s">
        <v>132</v>
      </c>
      <c r="C2761" s="1" t="s">
        <v>260</v>
      </c>
      <c r="D2761" s="1" t="s">
        <v>37</v>
      </c>
      <c r="E2761" s="1" t="s">
        <v>16</v>
      </c>
      <c r="F2761" s="1" t="s">
        <v>37</v>
      </c>
      <c r="G2761" s="1">
        <v>9</v>
      </c>
      <c r="H2761" s="1">
        <v>37270</v>
      </c>
      <c r="I2761" s="1">
        <v>0.1</v>
      </c>
      <c r="J2761" s="1">
        <v>301887</v>
      </c>
      <c r="K2761" s="1">
        <v>65243.68</v>
      </c>
      <c r="L2761" s="1" t="s">
        <v>45</v>
      </c>
      <c r="M2761" s="1" t="str">
        <f>TEXT(Table1[[#This Row],[Order Date]],"mmm")</f>
        <v>Feb</v>
      </c>
      <c r="N2761" s="1">
        <f>YEAR(Table1[[#This Row],[Order Date]])</f>
        <v>2023</v>
      </c>
    </row>
    <row r="2762" spans="1:14" x14ac:dyDescent="0.35">
      <c r="A2762" s="1" t="s">
        <v>3551</v>
      </c>
      <c r="B2762" s="1" t="s">
        <v>1115</v>
      </c>
      <c r="C2762" s="1" t="s">
        <v>170</v>
      </c>
      <c r="D2762" s="1" t="s">
        <v>32</v>
      </c>
      <c r="E2762" s="1" t="s">
        <v>33</v>
      </c>
      <c r="F2762" s="1" t="s">
        <v>32</v>
      </c>
      <c r="G2762" s="1">
        <v>6</v>
      </c>
      <c r="H2762" s="1">
        <v>45350</v>
      </c>
      <c r="I2762" s="1">
        <v>0.2</v>
      </c>
      <c r="J2762" s="1">
        <v>217680</v>
      </c>
      <c r="K2762" s="1">
        <v>21879.5</v>
      </c>
      <c r="L2762" s="1" t="s">
        <v>45</v>
      </c>
      <c r="M2762" s="1" t="str">
        <f>TEXT(Table1[[#This Row],[Order Date]],"mmm")</f>
        <v>Jan</v>
      </c>
      <c r="N2762" s="1">
        <f>YEAR(Table1[[#This Row],[Order Date]])</f>
        <v>2024</v>
      </c>
    </row>
    <row r="2763" spans="1:14" x14ac:dyDescent="0.35">
      <c r="A2763" s="1" t="s">
        <v>3552</v>
      </c>
      <c r="B2763" s="1" t="s">
        <v>679</v>
      </c>
      <c r="C2763" s="1" t="s">
        <v>94</v>
      </c>
      <c r="D2763" s="1" t="s">
        <v>293</v>
      </c>
      <c r="E2763" s="1" t="s">
        <v>33</v>
      </c>
      <c r="F2763" s="1" t="s">
        <v>293</v>
      </c>
      <c r="G2763" s="1">
        <v>1</v>
      </c>
      <c r="H2763" s="1">
        <v>25112</v>
      </c>
      <c r="I2763" s="1">
        <v>0.15</v>
      </c>
      <c r="J2763" s="1">
        <v>21345.200000000001</v>
      </c>
      <c r="K2763" s="1">
        <v>2372.1999999999998</v>
      </c>
      <c r="L2763" s="1" t="s">
        <v>70</v>
      </c>
      <c r="M2763" s="1" t="str">
        <f>TEXT(Table1[[#This Row],[Order Date]],"mmm")</f>
        <v>Jul</v>
      </c>
      <c r="N2763" s="1">
        <f>YEAR(Table1[[#This Row],[Order Date]])</f>
        <v>2023</v>
      </c>
    </row>
    <row r="2764" spans="1:14" x14ac:dyDescent="0.35">
      <c r="A2764" s="1" t="s">
        <v>3553</v>
      </c>
      <c r="B2764" s="1" t="s">
        <v>2619</v>
      </c>
      <c r="C2764" s="1" t="s">
        <v>111</v>
      </c>
      <c r="D2764" s="1" t="s">
        <v>323</v>
      </c>
      <c r="E2764" s="1" t="s">
        <v>33</v>
      </c>
      <c r="F2764" s="1" t="s">
        <v>323</v>
      </c>
      <c r="G2764" s="1">
        <v>8</v>
      </c>
      <c r="H2764" s="1">
        <v>29871</v>
      </c>
      <c r="I2764" s="1">
        <v>0.05</v>
      </c>
      <c r="J2764" s="1">
        <v>227019.6</v>
      </c>
      <c r="K2764" s="1">
        <v>58216.67</v>
      </c>
      <c r="L2764" s="1" t="s">
        <v>70</v>
      </c>
      <c r="M2764" s="1" t="str">
        <f>TEXT(Table1[[#This Row],[Order Date]],"mmm")</f>
        <v>Mar</v>
      </c>
      <c r="N2764" s="1">
        <f>YEAR(Table1[[#This Row],[Order Date]])</f>
        <v>2024</v>
      </c>
    </row>
    <row r="2765" spans="1:14" x14ac:dyDescent="0.35">
      <c r="A2765" s="1" t="s">
        <v>3554</v>
      </c>
      <c r="B2765" s="1" t="s">
        <v>2340</v>
      </c>
      <c r="C2765" s="1" t="s">
        <v>332</v>
      </c>
      <c r="D2765" s="1" t="s">
        <v>179</v>
      </c>
      <c r="E2765" s="1" t="s">
        <v>28</v>
      </c>
      <c r="F2765" s="1" t="s">
        <v>179</v>
      </c>
      <c r="G2765" s="1">
        <v>11</v>
      </c>
      <c r="H2765" s="1">
        <v>35025</v>
      </c>
      <c r="I2765" s="1">
        <v>0.2</v>
      </c>
      <c r="J2765" s="1">
        <v>308220</v>
      </c>
      <c r="K2765" s="1">
        <v>26656.14</v>
      </c>
      <c r="L2765" s="1" t="s">
        <v>45</v>
      </c>
      <c r="M2765" s="1" t="str">
        <f>TEXT(Table1[[#This Row],[Order Date]],"mmm")</f>
        <v>Sep</v>
      </c>
      <c r="N2765" s="1">
        <f>YEAR(Table1[[#This Row],[Order Date]])</f>
        <v>2023</v>
      </c>
    </row>
    <row r="2766" spans="1:14" x14ac:dyDescent="0.35">
      <c r="A2766" s="1" t="s">
        <v>3555</v>
      </c>
      <c r="B2766" s="1" t="s">
        <v>1186</v>
      </c>
      <c r="C2766" s="1" t="s">
        <v>77</v>
      </c>
      <c r="D2766" s="1" t="s">
        <v>179</v>
      </c>
      <c r="E2766" s="1" t="s">
        <v>28</v>
      </c>
      <c r="F2766" s="1" t="s">
        <v>179</v>
      </c>
      <c r="G2766" s="1">
        <v>5</v>
      </c>
      <c r="H2766" s="1">
        <v>55269</v>
      </c>
      <c r="I2766" s="1">
        <v>0.1</v>
      </c>
      <c r="J2766" s="1">
        <v>248710.5</v>
      </c>
      <c r="K2766" s="1">
        <v>65300.47</v>
      </c>
      <c r="L2766" s="1" t="s">
        <v>23</v>
      </c>
      <c r="M2766" s="1" t="str">
        <f>TEXT(Table1[[#This Row],[Order Date]],"mmm")</f>
        <v>Mar</v>
      </c>
      <c r="N2766" s="1">
        <f>YEAR(Table1[[#This Row],[Order Date]])</f>
        <v>2023</v>
      </c>
    </row>
    <row r="2767" spans="1:14" x14ac:dyDescent="0.35">
      <c r="A2767" s="1" t="s">
        <v>3556</v>
      </c>
      <c r="B2767" s="1" t="s">
        <v>787</v>
      </c>
      <c r="C2767" s="1" t="s">
        <v>73</v>
      </c>
      <c r="D2767" s="1" t="s">
        <v>78</v>
      </c>
      <c r="E2767" s="1" t="s">
        <v>28</v>
      </c>
      <c r="F2767" s="1" t="s">
        <v>78</v>
      </c>
      <c r="G2767" s="1">
        <v>14</v>
      </c>
      <c r="H2767" s="1">
        <v>45456</v>
      </c>
      <c r="I2767" s="1">
        <v>0</v>
      </c>
      <c r="J2767" s="1">
        <v>636384</v>
      </c>
      <c r="K2767" s="1">
        <v>93185.85</v>
      </c>
      <c r="L2767" s="1" t="s">
        <v>70</v>
      </c>
      <c r="M2767" s="1" t="str">
        <f>TEXT(Table1[[#This Row],[Order Date]],"mmm")</f>
        <v>Feb</v>
      </c>
      <c r="N2767" s="1">
        <f>YEAR(Table1[[#This Row],[Order Date]])</f>
        <v>2023</v>
      </c>
    </row>
    <row r="2768" spans="1:14" x14ac:dyDescent="0.35">
      <c r="A2768" s="1" t="s">
        <v>3557</v>
      </c>
      <c r="B2768" s="1" t="s">
        <v>2239</v>
      </c>
      <c r="C2768" s="1" t="s">
        <v>67</v>
      </c>
      <c r="D2768" s="1" t="s">
        <v>293</v>
      </c>
      <c r="E2768" s="1" t="s">
        <v>33</v>
      </c>
      <c r="F2768" s="1" t="s">
        <v>293</v>
      </c>
      <c r="G2768" s="1">
        <v>7</v>
      </c>
      <c r="H2768" s="1">
        <v>44331</v>
      </c>
      <c r="I2768" s="1">
        <v>0.2</v>
      </c>
      <c r="J2768" s="1">
        <v>248253.6</v>
      </c>
      <c r="K2768" s="1">
        <v>32087.09</v>
      </c>
      <c r="L2768" s="1" t="s">
        <v>70</v>
      </c>
      <c r="M2768" s="1" t="str">
        <f>TEXT(Table1[[#This Row],[Order Date]],"mmm")</f>
        <v>Oct</v>
      </c>
      <c r="N2768" s="1">
        <f>YEAR(Table1[[#This Row],[Order Date]])</f>
        <v>2023</v>
      </c>
    </row>
    <row r="2769" spans="1:14" x14ac:dyDescent="0.35">
      <c r="A2769" s="1" t="s">
        <v>3558</v>
      </c>
      <c r="B2769" s="1" t="s">
        <v>244</v>
      </c>
      <c r="C2769" s="1" t="s">
        <v>81</v>
      </c>
      <c r="D2769" s="1" t="s">
        <v>27</v>
      </c>
      <c r="E2769" s="1" t="s">
        <v>28</v>
      </c>
      <c r="F2769" s="1" t="s">
        <v>27</v>
      </c>
      <c r="G2769" s="1">
        <v>1</v>
      </c>
      <c r="H2769" s="1">
        <v>31873</v>
      </c>
      <c r="I2769" s="1">
        <v>0</v>
      </c>
      <c r="J2769" s="1">
        <v>31873</v>
      </c>
      <c r="K2769" s="1">
        <v>3090.22</v>
      </c>
      <c r="L2769" s="1" t="s">
        <v>17</v>
      </c>
      <c r="M2769" s="1" t="str">
        <f>TEXT(Table1[[#This Row],[Order Date]],"mmm")</f>
        <v>Dec</v>
      </c>
      <c r="N2769" s="1">
        <f>YEAR(Table1[[#This Row],[Order Date]])</f>
        <v>2023</v>
      </c>
    </row>
    <row r="2770" spans="1:14" x14ac:dyDescent="0.35">
      <c r="A2770" s="1" t="s">
        <v>3559</v>
      </c>
      <c r="B2770" s="1" t="s">
        <v>864</v>
      </c>
      <c r="C2770" s="1" t="s">
        <v>146</v>
      </c>
      <c r="D2770" s="1" t="s">
        <v>64</v>
      </c>
      <c r="E2770" s="1" t="s">
        <v>33</v>
      </c>
      <c r="F2770" s="1" t="s">
        <v>64</v>
      </c>
      <c r="G2770" s="1">
        <v>10</v>
      </c>
      <c r="H2770" s="1">
        <v>12775</v>
      </c>
      <c r="I2770" s="1">
        <v>0.1</v>
      </c>
      <c r="J2770" s="1">
        <v>114975</v>
      </c>
      <c r="K2770" s="1">
        <v>18510.54</v>
      </c>
      <c r="L2770" s="1" t="s">
        <v>45</v>
      </c>
      <c r="M2770" s="1" t="str">
        <f>TEXT(Table1[[#This Row],[Order Date]],"mmm")</f>
        <v>May</v>
      </c>
      <c r="N2770" s="1">
        <f>YEAR(Table1[[#This Row],[Order Date]])</f>
        <v>2024</v>
      </c>
    </row>
    <row r="2771" spans="1:14" x14ac:dyDescent="0.35">
      <c r="A2771" s="1" t="s">
        <v>3560</v>
      </c>
      <c r="B2771" s="1" t="s">
        <v>72</v>
      </c>
      <c r="C2771" s="1" t="s">
        <v>63</v>
      </c>
      <c r="D2771" s="1" t="s">
        <v>41</v>
      </c>
      <c r="E2771" s="1" t="s">
        <v>16</v>
      </c>
      <c r="F2771" s="1" t="s">
        <v>41</v>
      </c>
      <c r="G2771" s="1">
        <v>15</v>
      </c>
      <c r="H2771" s="1">
        <v>56404</v>
      </c>
      <c r="I2771" s="1">
        <v>0</v>
      </c>
      <c r="J2771" s="1">
        <v>846060</v>
      </c>
      <c r="K2771" s="1">
        <v>248622.24</v>
      </c>
      <c r="L2771" s="1" t="s">
        <v>70</v>
      </c>
      <c r="M2771" s="1" t="str">
        <f>TEXT(Table1[[#This Row],[Order Date]],"mmm")</f>
        <v>Aug</v>
      </c>
      <c r="N2771" s="1">
        <f>YEAR(Table1[[#This Row],[Order Date]])</f>
        <v>2023</v>
      </c>
    </row>
    <row r="2772" spans="1:14" x14ac:dyDescent="0.35">
      <c r="A2772" s="1" t="s">
        <v>3561</v>
      </c>
      <c r="B2772" s="1" t="s">
        <v>831</v>
      </c>
      <c r="C2772" s="1" t="s">
        <v>98</v>
      </c>
      <c r="D2772" s="1" t="s">
        <v>141</v>
      </c>
      <c r="E2772" s="1" t="s">
        <v>22</v>
      </c>
      <c r="F2772" s="1" t="s">
        <v>141</v>
      </c>
      <c r="G2772" s="1">
        <v>10</v>
      </c>
      <c r="H2772" s="1">
        <v>19820</v>
      </c>
      <c r="I2772" s="1">
        <v>0.05</v>
      </c>
      <c r="J2772" s="1">
        <v>188290</v>
      </c>
      <c r="K2772" s="1">
        <v>16660.36</v>
      </c>
      <c r="L2772" s="1" t="s">
        <v>45</v>
      </c>
      <c r="M2772" s="1" t="str">
        <f>TEXT(Table1[[#This Row],[Order Date]],"mmm")</f>
        <v>Jun</v>
      </c>
      <c r="N2772" s="1">
        <f>YEAR(Table1[[#This Row],[Order Date]])</f>
        <v>2024</v>
      </c>
    </row>
    <row r="2773" spans="1:14" x14ac:dyDescent="0.35">
      <c r="A2773" s="1" t="s">
        <v>3562</v>
      </c>
      <c r="B2773" s="1" t="s">
        <v>1478</v>
      </c>
      <c r="C2773" s="1" t="s">
        <v>260</v>
      </c>
      <c r="D2773" s="1" t="s">
        <v>91</v>
      </c>
      <c r="E2773" s="1" t="s">
        <v>16</v>
      </c>
      <c r="F2773" s="1" t="s">
        <v>91</v>
      </c>
      <c r="G2773" s="1">
        <v>8</v>
      </c>
      <c r="H2773" s="1">
        <v>28365</v>
      </c>
      <c r="I2773" s="1">
        <v>0</v>
      </c>
      <c r="J2773" s="1">
        <v>226920</v>
      </c>
      <c r="K2773" s="1">
        <v>52580.28</v>
      </c>
      <c r="L2773" s="1" t="s">
        <v>23</v>
      </c>
      <c r="M2773" s="1" t="str">
        <f>TEXT(Table1[[#This Row],[Order Date]],"mmm")</f>
        <v>Jan</v>
      </c>
      <c r="N2773" s="1">
        <f>YEAR(Table1[[#This Row],[Order Date]])</f>
        <v>2024</v>
      </c>
    </row>
    <row r="2774" spans="1:14" x14ac:dyDescent="0.35">
      <c r="A2774" s="1" t="s">
        <v>3563</v>
      </c>
      <c r="B2774" s="1" t="s">
        <v>1017</v>
      </c>
      <c r="C2774" s="1" t="s">
        <v>88</v>
      </c>
      <c r="D2774" s="1" t="s">
        <v>85</v>
      </c>
      <c r="E2774" s="1" t="s">
        <v>28</v>
      </c>
      <c r="F2774" s="1" t="s">
        <v>85</v>
      </c>
      <c r="G2774" s="1">
        <v>6</v>
      </c>
      <c r="H2774" s="1">
        <v>4966</v>
      </c>
      <c r="I2774" s="1">
        <v>0.1</v>
      </c>
      <c r="J2774" s="1">
        <v>26816.400000000001</v>
      </c>
      <c r="K2774" s="1">
        <v>5825.08</v>
      </c>
      <c r="L2774" s="1" t="s">
        <v>17</v>
      </c>
      <c r="M2774" s="1" t="str">
        <f>TEXT(Table1[[#This Row],[Order Date]],"mmm")</f>
        <v>Feb</v>
      </c>
      <c r="N2774" s="1">
        <f>YEAR(Table1[[#This Row],[Order Date]])</f>
        <v>2023</v>
      </c>
    </row>
    <row r="2775" spans="1:14" x14ac:dyDescent="0.35">
      <c r="A2775" s="1" t="s">
        <v>3564</v>
      </c>
      <c r="B2775" s="1" t="s">
        <v>660</v>
      </c>
      <c r="C2775" s="1" t="s">
        <v>255</v>
      </c>
      <c r="D2775" s="1" t="s">
        <v>323</v>
      </c>
      <c r="E2775" s="1" t="s">
        <v>33</v>
      </c>
      <c r="F2775" s="1" t="s">
        <v>323</v>
      </c>
      <c r="G2775" s="1">
        <v>5</v>
      </c>
      <c r="H2775" s="1">
        <v>6830</v>
      </c>
      <c r="I2775" s="1">
        <v>0.15</v>
      </c>
      <c r="J2775" s="1">
        <v>29027.5</v>
      </c>
      <c r="K2775" s="1">
        <v>2762.79</v>
      </c>
      <c r="L2775" s="1" t="s">
        <v>23</v>
      </c>
      <c r="M2775" s="1" t="str">
        <f>TEXT(Table1[[#This Row],[Order Date]],"mmm")</f>
        <v>May</v>
      </c>
      <c r="N2775" s="1">
        <f>YEAR(Table1[[#This Row],[Order Date]])</f>
        <v>2023</v>
      </c>
    </row>
    <row r="2776" spans="1:14" x14ac:dyDescent="0.35">
      <c r="A2776" s="1" t="s">
        <v>3565</v>
      </c>
      <c r="B2776" s="1" t="s">
        <v>800</v>
      </c>
      <c r="C2776" s="1" t="s">
        <v>260</v>
      </c>
      <c r="D2776" s="1" t="s">
        <v>151</v>
      </c>
      <c r="E2776" s="1" t="s">
        <v>22</v>
      </c>
      <c r="F2776" s="1" t="s">
        <v>151</v>
      </c>
      <c r="G2776" s="1">
        <v>1</v>
      </c>
      <c r="H2776" s="1">
        <v>47985</v>
      </c>
      <c r="I2776" s="1">
        <v>0.2</v>
      </c>
      <c r="J2776" s="1">
        <v>38388</v>
      </c>
      <c r="K2776" s="1">
        <v>6483.03</v>
      </c>
      <c r="L2776" s="1" t="s">
        <v>17</v>
      </c>
      <c r="M2776" s="1" t="str">
        <f>TEXT(Table1[[#This Row],[Order Date]],"mmm")</f>
        <v>Oct</v>
      </c>
      <c r="N2776" s="1">
        <f>YEAR(Table1[[#This Row],[Order Date]])</f>
        <v>2023</v>
      </c>
    </row>
    <row r="2777" spans="1:14" x14ac:dyDescent="0.35">
      <c r="A2777" s="1" t="s">
        <v>3566</v>
      </c>
      <c r="B2777" s="1" t="s">
        <v>2059</v>
      </c>
      <c r="C2777" s="1" t="s">
        <v>67</v>
      </c>
      <c r="D2777" s="1" t="s">
        <v>44</v>
      </c>
      <c r="E2777" s="1" t="s">
        <v>28</v>
      </c>
      <c r="F2777" s="1" t="s">
        <v>44</v>
      </c>
      <c r="G2777" s="1">
        <v>14</v>
      </c>
      <c r="H2777" s="1">
        <v>1684</v>
      </c>
      <c r="I2777" s="1">
        <v>0.15</v>
      </c>
      <c r="J2777" s="1">
        <v>20039.599999999999</v>
      </c>
      <c r="K2777" s="1">
        <v>5540.73</v>
      </c>
      <c r="L2777" s="1" t="s">
        <v>23</v>
      </c>
      <c r="M2777" s="1" t="str">
        <f>TEXT(Table1[[#This Row],[Order Date]],"mmm")</f>
        <v>Nov</v>
      </c>
      <c r="N2777" s="1">
        <f>YEAR(Table1[[#This Row],[Order Date]])</f>
        <v>2023</v>
      </c>
    </row>
    <row r="2778" spans="1:14" x14ac:dyDescent="0.35">
      <c r="A2778" s="1" t="s">
        <v>3567</v>
      </c>
      <c r="B2778" s="1" t="s">
        <v>1278</v>
      </c>
      <c r="C2778" s="1" t="s">
        <v>77</v>
      </c>
      <c r="D2778" s="1" t="s">
        <v>108</v>
      </c>
      <c r="E2778" s="1" t="s">
        <v>22</v>
      </c>
      <c r="F2778" s="1" t="s">
        <v>108</v>
      </c>
      <c r="G2778" s="1">
        <v>10</v>
      </c>
      <c r="H2778" s="1">
        <v>20974</v>
      </c>
      <c r="I2778" s="1">
        <v>0</v>
      </c>
      <c r="J2778" s="1">
        <v>209740</v>
      </c>
      <c r="K2778" s="1">
        <v>48825.65</v>
      </c>
      <c r="L2778" s="1" t="s">
        <v>70</v>
      </c>
      <c r="M2778" s="1" t="str">
        <f>TEXT(Table1[[#This Row],[Order Date]],"mmm")</f>
        <v>Aug</v>
      </c>
      <c r="N2778" s="1">
        <f>YEAR(Table1[[#This Row],[Order Date]])</f>
        <v>2023</v>
      </c>
    </row>
    <row r="2779" spans="1:14" x14ac:dyDescent="0.35">
      <c r="A2779" s="1" t="s">
        <v>3568</v>
      </c>
      <c r="B2779" s="1" t="s">
        <v>1755</v>
      </c>
      <c r="C2779" s="1" t="s">
        <v>14</v>
      </c>
      <c r="D2779" s="1" t="s">
        <v>323</v>
      </c>
      <c r="E2779" s="1" t="s">
        <v>33</v>
      </c>
      <c r="F2779" s="1" t="s">
        <v>323</v>
      </c>
      <c r="G2779" s="1">
        <v>7</v>
      </c>
      <c r="H2779" s="1">
        <v>50050</v>
      </c>
      <c r="I2779" s="1">
        <v>0</v>
      </c>
      <c r="J2779" s="1">
        <v>350350</v>
      </c>
      <c r="K2779" s="1">
        <v>47633.47</v>
      </c>
      <c r="L2779" s="1" t="s">
        <v>70</v>
      </c>
      <c r="M2779" s="1" t="str">
        <f>TEXT(Table1[[#This Row],[Order Date]],"mmm")</f>
        <v>May</v>
      </c>
      <c r="N2779" s="1">
        <f>YEAR(Table1[[#This Row],[Order Date]])</f>
        <v>2024</v>
      </c>
    </row>
    <row r="2780" spans="1:14" x14ac:dyDescent="0.35">
      <c r="A2780" s="1" t="s">
        <v>3569</v>
      </c>
      <c r="B2780" s="1" t="s">
        <v>3263</v>
      </c>
      <c r="C2780" s="1" t="s">
        <v>188</v>
      </c>
      <c r="D2780" s="1" t="s">
        <v>41</v>
      </c>
      <c r="E2780" s="1" t="s">
        <v>16</v>
      </c>
      <c r="F2780" s="1" t="s">
        <v>41</v>
      </c>
      <c r="G2780" s="1">
        <v>6</v>
      </c>
      <c r="H2780" s="1">
        <v>1670</v>
      </c>
      <c r="I2780" s="1">
        <v>0.15</v>
      </c>
      <c r="J2780" s="1">
        <v>8517</v>
      </c>
      <c r="K2780" s="1">
        <v>2315.58</v>
      </c>
      <c r="L2780" s="1" t="s">
        <v>23</v>
      </c>
      <c r="M2780" s="1" t="str">
        <f>TEXT(Table1[[#This Row],[Order Date]],"mmm")</f>
        <v>May</v>
      </c>
      <c r="N2780" s="1">
        <f>YEAR(Table1[[#This Row],[Order Date]])</f>
        <v>2023</v>
      </c>
    </row>
    <row r="2781" spans="1:14" x14ac:dyDescent="0.35">
      <c r="A2781" s="1" t="s">
        <v>3570</v>
      </c>
      <c r="B2781" s="1" t="s">
        <v>415</v>
      </c>
      <c r="C2781" s="1" t="s">
        <v>146</v>
      </c>
      <c r="D2781" s="1" t="s">
        <v>56</v>
      </c>
      <c r="E2781" s="1" t="s">
        <v>22</v>
      </c>
      <c r="F2781" s="1" t="s">
        <v>56</v>
      </c>
      <c r="G2781" s="1">
        <v>3</v>
      </c>
      <c r="H2781" s="1">
        <v>36832</v>
      </c>
      <c r="I2781" s="1">
        <v>0.2</v>
      </c>
      <c r="J2781" s="1">
        <v>88396.800000000003</v>
      </c>
      <c r="K2781" s="1">
        <v>20458.16</v>
      </c>
      <c r="L2781" s="1" t="s">
        <v>70</v>
      </c>
      <c r="M2781" s="1" t="str">
        <f>TEXT(Table1[[#This Row],[Order Date]],"mmm")</f>
        <v>Jan</v>
      </c>
      <c r="N2781" s="1">
        <f>YEAR(Table1[[#This Row],[Order Date]])</f>
        <v>2024</v>
      </c>
    </row>
    <row r="2782" spans="1:14" x14ac:dyDescent="0.35">
      <c r="A2782" s="1" t="s">
        <v>3571</v>
      </c>
      <c r="B2782" s="1" t="s">
        <v>3572</v>
      </c>
      <c r="C2782" s="1" t="s">
        <v>59</v>
      </c>
      <c r="D2782" s="1" t="s">
        <v>151</v>
      </c>
      <c r="E2782" s="1" t="s">
        <v>22</v>
      </c>
      <c r="F2782" s="1" t="s">
        <v>151</v>
      </c>
      <c r="G2782" s="1">
        <v>2</v>
      </c>
      <c r="H2782" s="1">
        <v>13110</v>
      </c>
      <c r="I2782" s="1">
        <v>0.15</v>
      </c>
      <c r="J2782" s="1">
        <v>22287</v>
      </c>
      <c r="K2782" s="1">
        <v>3147.85</v>
      </c>
      <c r="L2782" s="1" t="s">
        <v>45</v>
      </c>
      <c r="M2782" s="1" t="str">
        <f>TEXT(Table1[[#This Row],[Order Date]],"mmm")</f>
        <v>Mar</v>
      </c>
      <c r="N2782" s="1">
        <f>YEAR(Table1[[#This Row],[Order Date]])</f>
        <v>2024</v>
      </c>
    </row>
    <row r="2783" spans="1:14" x14ac:dyDescent="0.35">
      <c r="A2783" s="1" t="s">
        <v>3573</v>
      </c>
      <c r="B2783" s="1" t="s">
        <v>242</v>
      </c>
      <c r="C2783" s="1" t="s">
        <v>507</v>
      </c>
      <c r="D2783" s="1" t="s">
        <v>78</v>
      </c>
      <c r="E2783" s="1" t="s">
        <v>28</v>
      </c>
      <c r="F2783" s="1" t="s">
        <v>78</v>
      </c>
      <c r="G2783" s="1">
        <v>5</v>
      </c>
      <c r="H2783" s="1">
        <v>50484</v>
      </c>
      <c r="I2783" s="1">
        <v>0.05</v>
      </c>
      <c r="J2783" s="1">
        <v>239799</v>
      </c>
      <c r="K2783" s="1">
        <v>55493.35</v>
      </c>
      <c r="L2783" s="1" t="s">
        <v>70</v>
      </c>
      <c r="M2783" s="1" t="str">
        <f>TEXT(Table1[[#This Row],[Order Date]],"mmm")</f>
        <v>May</v>
      </c>
      <c r="N2783" s="1">
        <f>YEAR(Table1[[#This Row],[Order Date]])</f>
        <v>2023</v>
      </c>
    </row>
    <row r="2784" spans="1:14" x14ac:dyDescent="0.35">
      <c r="A2784" s="1" t="s">
        <v>3574</v>
      </c>
      <c r="B2784" s="1" t="s">
        <v>2241</v>
      </c>
      <c r="C2784" s="1" t="s">
        <v>40</v>
      </c>
      <c r="D2784" s="1" t="s">
        <v>15</v>
      </c>
      <c r="E2784" s="1" t="s">
        <v>16</v>
      </c>
      <c r="F2784" s="1" t="s">
        <v>15</v>
      </c>
      <c r="G2784" s="1">
        <v>15</v>
      </c>
      <c r="H2784" s="1">
        <v>25773</v>
      </c>
      <c r="I2784" s="1">
        <v>0</v>
      </c>
      <c r="J2784" s="1">
        <v>386595</v>
      </c>
      <c r="K2784" s="1">
        <v>83794.3</v>
      </c>
      <c r="L2784" s="1" t="s">
        <v>70</v>
      </c>
      <c r="M2784" s="1" t="str">
        <f>TEXT(Table1[[#This Row],[Order Date]],"mmm")</f>
        <v>Feb</v>
      </c>
      <c r="N2784" s="1">
        <f>YEAR(Table1[[#This Row],[Order Date]])</f>
        <v>2024</v>
      </c>
    </row>
    <row r="2785" spans="1:14" x14ac:dyDescent="0.35">
      <c r="A2785" s="1" t="s">
        <v>3575</v>
      </c>
      <c r="B2785" s="1" t="s">
        <v>881</v>
      </c>
      <c r="C2785" s="1" t="s">
        <v>31</v>
      </c>
      <c r="D2785" s="1" t="s">
        <v>64</v>
      </c>
      <c r="E2785" s="1" t="s">
        <v>33</v>
      </c>
      <c r="F2785" s="1" t="s">
        <v>64</v>
      </c>
      <c r="G2785" s="1">
        <v>15</v>
      </c>
      <c r="H2785" s="1">
        <v>55687</v>
      </c>
      <c r="I2785" s="1">
        <v>0</v>
      </c>
      <c r="J2785" s="1">
        <v>835305</v>
      </c>
      <c r="K2785" s="1">
        <v>231060.17</v>
      </c>
      <c r="L2785" s="1" t="s">
        <v>23</v>
      </c>
      <c r="M2785" s="1" t="str">
        <f>TEXT(Table1[[#This Row],[Order Date]],"mmm")</f>
        <v>Oct</v>
      </c>
      <c r="N2785" s="1">
        <f>YEAR(Table1[[#This Row],[Order Date]])</f>
        <v>2024</v>
      </c>
    </row>
    <row r="2786" spans="1:14" x14ac:dyDescent="0.35">
      <c r="A2786" s="1" t="s">
        <v>3576</v>
      </c>
      <c r="B2786" s="1" t="s">
        <v>3447</v>
      </c>
      <c r="C2786" s="1" t="s">
        <v>63</v>
      </c>
      <c r="D2786" s="1" t="s">
        <v>32</v>
      </c>
      <c r="E2786" s="1" t="s">
        <v>33</v>
      </c>
      <c r="F2786" s="1" t="s">
        <v>32</v>
      </c>
      <c r="G2786" s="1">
        <v>3</v>
      </c>
      <c r="H2786" s="1">
        <v>37570</v>
      </c>
      <c r="I2786" s="1">
        <v>0</v>
      </c>
      <c r="J2786" s="1">
        <v>112710</v>
      </c>
      <c r="K2786" s="1">
        <v>30948.31</v>
      </c>
      <c r="L2786" s="1" t="s">
        <v>23</v>
      </c>
      <c r="M2786" s="1" t="str">
        <f>TEXT(Table1[[#This Row],[Order Date]],"mmm")</f>
        <v>Jul</v>
      </c>
      <c r="N2786" s="1">
        <f>YEAR(Table1[[#This Row],[Order Date]])</f>
        <v>2024</v>
      </c>
    </row>
    <row r="2787" spans="1:14" x14ac:dyDescent="0.35">
      <c r="A2787" s="1" t="s">
        <v>3577</v>
      </c>
      <c r="B2787" s="1" t="s">
        <v>839</v>
      </c>
      <c r="C2787" s="1" t="s">
        <v>260</v>
      </c>
      <c r="D2787" s="1" t="s">
        <v>293</v>
      </c>
      <c r="E2787" s="1" t="s">
        <v>33</v>
      </c>
      <c r="F2787" s="1" t="s">
        <v>293</v>
      </c>
      <c r="G2787" s="1">
        <v>5</v>
      </c>
      <c r="H2787" s="1">
        <v>35246</v>
      </c>
      <c r="I2787" s="1">
        <v>0</v>
      </c>
      <c r="J2787" s="1">
        <v>176230</v>
      </c>
      <c r="K2787" s="1">
        <v>52591.78</v>
      </c>
      <c r="L2787" s="1" t="s">
        <v>70</v>
      </c>
      <c r="M2787" s="1" t="str">
        <f>TEXT(Table1[[#This Row],[Order Date]],"mmm")</f>
        <v>Aug</v>
      </c>
      <c r="N2787" s="1">
        <f>YEAR(Table1[[#This Row],[Order Date]])</f>
        <v>2024</v>
      </c>
    </row>
    <row r="2788" spans="1:14" x14ac:dyDescent="0.35">
      <c r="A2788" s="1" t="s">
        <v>3578</v>
      </c>
      <c r="B2788" s="1" t="s">
        <v>1184</v>
      </c>
      <c r="C2788" s="1" t="s">
        <v>260</v>
      </c>
      <c r="D2788" s="1" t="s">
        <v>64</v>
      </c>
      <c r="E2788" s="1" t="s">
        <v>33</v>
      </c>
      <c r="F2788" s="1" t="s">
        <v>64</v>
      </c>
      <c r="G2788" s="1">
        <v>2</v>
      </c>
      <c r="H2788" s="1">
        <v>27542</v>
      </c>
      <c r="I2788" s="1">
        <v>0.15</v>
      </c>
      <c r="J2788" s="1">
        <v>46821.4</v>
      </c>
      <c r="K2788" s="1">
        <v>6636.2</v>
      </c>
      <c r="L2788" s="1" t="s">
        <v>17</v>
      </c>
      <c r="M2788" s="1" t="str">
        <f>TEXT(Table1[[#This Row],[Order Date]],"mmm")</f>
        <v>Oct</v>
      </c>
      <c r="N2788" s="1">
        <f>YEAR(Table1[[#This Row],[Order Date]])</f>
        <v>2023</v>
      </c>
    </row>
    <row r="2789" spans="1:14" x14ac:dyDescent="0.35">
      <c r="A2789" s="1" t="s">
        <v>3579</v>
      </c>
      <c r="B2789" s="1" t="s">
        <v>979</v>
      </c>
      <c r="C2789" s="1" t="s">
        <v>40</v>
      </c>
      <c r="D2789" s="1" t="s">
        <v>37</v>
      </c>
      <c r="E2789" s="1" t="s">
        <v>16</v>
      </c>
      <c r="F2789" s="1" t="s">
        <v>37</v>
      </c>
      <c r="G2789" s="1">
        <v>9</v>
      </c>
      <c r="H2789" s="1">
        <v>5705</v>
      </c>
      <c r="I2789" s="1">
        <v>0.2</v>
      </c>
      <c r="J2789" s="1">
        <v>41076</v>
      </c>
      <c r="K2789" s="1">
        <v>6992.92</v>
      </c>
      <c r="L2789" s="1" t="s">
        <v>45</v>
      </c>
      <c r="M2789" s="1" t="str">
        <f>TEXT(Table1[[#This Row],[Order Date]],"mmm")</f>
        <v>Jul</v>
      </c>
      <c r="N2789" s="1">
        <f>YEAR(Table1[[#This Row],[Order Date]])</f>
        <v>2024</v>
      </c>
    </row>
    <row r="2790" spans="1:14" x14ac:dyDescent="0.35">
      <c r="A2790" s="1" t="s">
        <v>3580</v>
      </c>
      <c r="B2790" s="1" t="s">
        <v>367</v>
      </c>
      <c r="C2790" s="1" t="s">
        <v>63</v>
      </c>
      <c r="D2790" s="1" t="s">
        <v>85</v>
      </c>
      <c r="E2790" s="1" t="s">
        <v>28</v>
      </c>
      <c r="F2790" s="1" t="s">
        <v>85</v>
      </c>
      <c r="G2790" s="1">
        <v>12</v>
      </c>
      <c r="H2790" s="1">
        <v>18327</v>
      </c>
      <c r="I2790" s="1">
        <v>0</v>
      </c>
      <c r="J2790" s="1">
        <v>219924</v>
      </c>
      <c r="K2790" s="1">
        <v>40370.559999999998</v>
      </c>
      <c r="L2790" s="1" t="s">
        <v>70</v>
      </c>
      <c r="M2790" s="1" t="str">
        <f>TEXT(Table1[[#This Row],[Order Date]],"mmm")</f>
        <v>Mar</v>
      </c>
      <c r="N2790" s="1">
        <f>YEAR(Table1[[#This Row],[Order Date]])</f>
        <v>2024</v>
      </c>
    </row>
    <row r="2791" spans="1:14" x14ac:dyDescent="0.35">
      <c r="A2791" s="1" t="s">
        <v>3581</v>
      </c>
      <c r="B2791" s="1" t="s">
        <v>1161</v>
      </c>
      <c r="C2791" s="1" t="s">
        <v>507</v>
      </c>
      <c r="D2791" s="1" t="s">
        <v>91</v>
      </c>
      <c r="E2791" s="1" t="s">
        <v>16</v>
      </c>
      <c r="F2791" s="1" t="s">
        <v>91</v>
      </c>
      <c r="G2791" s="1">
        <v>9</v>
      </c>
      <c r="H2791" s="1">
        <v>5281</v>
      </c>
      <c r="I2791" s="1">
        <v>0.2</v>
      </c>
      <c r="J2791" s="1">
        <v>38023.199999999997</v>
      </c>
      <c r="K2791" s="1">
        <v>10202.59</v>
      </c>
      <c r="L2791" s="1" t="s">
        <v>23</v>
      </c>
      <c r="M2791" s="1" t="str">
        <f>TEXT(Table1[[#This Row],[Order Date]],"mmm")</f>
        <v>Mar</v>
      </c>
      <c r="N2791" s="1">
        <f>YEAR(Table1[[#This Row],[Order Date]])</f>
        <v>2024</v>
      </c>
    </row>
    <row r="2792" spans="1:14" x14ac:dyDescent="0.35">
      <c r="A2792" s="1" t="s">
        <v>3582</v>
      </c>
      <c r="B2792" s="1" t="s">
        <v>2430</v>
      </c>
      <c r="C2792" s="1" t="s">
        <v>111</v>
      </c>
      <c r="D2792" s="1" t="s">
        <v>85</v>
      </c>
      <c r="E2792" s="1" t="s">
        <v>28</v>
      </c>
      <c r="F2792" s="1" t="s">
        <v>85</v>
      </c>
      <c r="G2792" s="1">
        <v>6</v>
      </c>
      <c r="H2792" s="1">
        <v>25117</v>
      </c>
      <c r="I2792" s="1">
        <v>0.1</v>
      </c>
      <c r="J2792" s="1">
        <v>135631.79999999999</v>
      </c>
      <c r="K2792" s="1">
        <v>35852.22</v>
      </c>
      <c r="L2792" s="1" t="s">
        <v>23</v>
      </c>
      <c r="M2792" s="1" t="str">
        <f>TEXT(Table1[[#This Row],[Order Date]],"mmm")</f>
        <v>Mar</v>
      </c>
      <c r="N2792" s="1">
        <f>YEAR(Table1[[#This Row],[Order Date]])</f>
        <v>2024</v>
      </c>
    </row>
    <row r="2793" spans="1:14" x14ac:dyDescent="0.35">
      <c r="A2793" s="1" t="s">
        <v>3583</v>
      </c>
      <c r="B2793" s="1" t="s">
        <v>1948</v>
      </c>
      <c r="C2793" s="1" t="s">
        <v>146</v>
      </c>
      <c r="D2793" s="1" t="s">
        <v>133</v>
      </c>
      <c r="E2793" s="1" t="s">
        <v>22</v>
      </c>
      <c r="F2793" s="1" t="s">
        <v>133</v>
      </c>
      <c r="G2793" s="1">
        <v>15</v>
      </c>
      <c r="H2793" s="1">
        <v>48921</v>
      </c>
      <c r="I2793" s="1">
        <v>0</v>
      </c>
      <c r="J2793" s="1">
        <v>733815</v>
      </c>
      <c r="K2793" s="1">
        <v>93579.27</v>
      </c>
      <c r="L2793" s="1" t="s">
        <v>23</v>
      </c>
      <c r="M2793" s="1" t="str">
        <f>TEXT(Table1[[#This Row],[Order Date]],"mmm")</f>
        <v>Dec</v>
      </c>
      <c r="N2793" s="1">
        <f>YEAR(Table1[[#This Row],[Order Date]])</f>
        <v>2023</v>
      </c>
    </row>
    <row r="2794" spans="1:14" x14ac:dyDescent="0.35">
      <c r="A2794" s="1" t="s">
        <v>3584</v>
      </c>
      <c r="B2794" s="1" t="s">
        <v>246</v>
      </c>
      <c r="C2794" s="1" t="s">
        <v>20</v>
      </c>
      <c r="D2794" s="1" t="s">
        <v>52</v>
      </c>
      <c r="E2794" s="1" t="s">
        <v>28</v>
      </c>
      <c r="F2794" s="1" t="s">
        <v>52</v>
      </c>
      <c r="G2794" s="1">
        <v>11</v>
      </c>
      <c r="H2794" s="1">
        <v>46402</v>
      </c>
      <c r="I2794" s="1">
        <v>0.15</v>
      </c>
      <c r="J2794" s="1">
        <v>433858.7</v>
      </c>
      <c r="K2794" s="1">
        <v>66551.83</v>
      </c>
      <c r="L2794" s="1" t="s">
        <v>23</v>
      </c>
      <c r="M2794" s="1" t="str">
        <f>TEXT(Table1[[#This Row],[Order Date]],"mmm")</f>
        <v>Feb</v>
      </c>
      <c r="N2794" s="1">
        <f>YEAR(Table1[[#This Row],[Order Date]])</f>
        <v>2023</v>
      </c>
    </row>
    <row r="2795" spans="1:14" x14ac:dyDescent="0.35">
      <c r="A2795" s="1" t="s">
        <v>3585</v>
      </c>
      <c r="B2795" s="1" t="s">
        <v>1299</v>
      </c>
      <c r="C2795" s="1" t="s">
        <v>63</v>
      </c>
      <c r="D2795" s="1" t="s">
        <v>141</v>
      </c>
      <c r="E2795" s="1" t="s">
        <v>22</v>
      </c>
      <c r="F2795" s="1" t="s">
        <v>141</v>
      </c>
      <c r="G2795" s="1">
        <v>4</v>
      </c>
      <c r="H2795" s="1">
        <v>58205</v>
      </c>
      <c r="I2795" s="1">
        <v>0.1</v>
      </c>
      <c r="J2795" s="1">
        <v>209538</v>
      </c>
      <c r="K2795" s="1">
        <v>26623.08</v>
      </c>
      <c r="L2795" s="1" t="s">
        <v>45</v>
      </c>
      <c r="M2795" s="1" t="str">
        <f>TEXT(Table1[[#This Row],[Order Date]],"mmm")</f>
        <v>Sep</v>
      </c>
      <c r="N2795" s="1">
        <f>YEAR(Table1[[#This Row],[Order Date]])</f>
        <v>2024</v>
      </c>
    </row>
    <row r="2796" spans="1:14" x14ac:dyDescent="0.35">
      <c r="A2796" s="1" t="s">
        <v>3586</v>
      </c>
      <c r="B2796" s="1" t="s">
        <v>1149</v>
      </c>
      <c r="C2796" s="1" t="s">
        <v>94</v>
      </c>
      <c r="D2796" s="1" t="s">
        <v>41</v>
      </c>
      <c r="E2796" s="1" t="s">
        <v>16</v>
      </c>
      <c r="F2796" s="1" t="s">
        <v>41</v>
      </c>
      <c r="G2796" s="1">
        <v>11</v>
      </c>
      <c r="H2796" s="1">
        <v>15677</v>
      </c>
      <c r="I2796" s="1">
        <v>0.05</v>
      </c>
      <c r="J2796" s="1">
        <v>163824.65</v>
      </c>
      <c r="K2796" s="1">
        <v>21221.59</v>
      </c>
      <c r="L2796" s="1" t="s">
        <v>45</v>
      </c>
      <c r="M2796" s="1" t="str">
        <f>TEXT(Table1[[#This Row],[Order Date]],"mmm")</f>
        <v>Jul</v>
      </c>
      <c r="N2796" s="1">
        <f>YEAR(Table1[[#This Row],[Order Date]])</f>
        <v>2024</v>
      </c>
    </row>
    <row r="2797" spans="1:14" x14ac:dyDescent="0.35">
      <c r="A2797" s="1" t="s">
        <v>3587</v>
      </c>
      <c r="B2797" s="1" t="s">
        <v>387</v>
      </c>
      <c r="C2797" s="1" t="s">
        <v>81</v>
      </c>
      <c r="D2797" s="1" t="s">
        <v>85</v>
      </c>
      <c r="E2797" s="1" t="s">
        <v>28</v>
      </c>
      <c r="F2797" s="1" t="s">
        <v>85</v>
      </c>
      <c r="G2797" s="1">
        <v>5</v>
      </c>
      <c r="H2797" s="1">
        <v>43218</v>
      </c>
      <c r="I2797" s="1">
        <v>0.1</v>
      </c>
      <c r="J2797" s="1">
        <v>194481</v>
      </c>
      <c r="K2797" s="1">
        <v>34383.07</v>
      </c>
      <c r="L2797" s="1" t="s">
        <v>17</v>
      </c>
      <c r="M2797" s="1" t="str">
        <f>TEXT(Table1[[#This Row],[Order Date]],"mmm")</f>
        <v>May</v>
      </c>
      <c r="N2797" s="1">
        <f>YEAR(Table1[[#This Row],[Order Date]])</f>
        <v>2024</v>
      </c>
    </row>
    <row r="2798" spans="1:14" x14ac:dyDescent="0.35">
      <c r="A2798" s="1" t="s">
        <v>3588</v>
      </c>
      <c r="B2798" s="1" t="s">
        <v>398</v>
      </c>
      <c r="C2798" s="1" t="s">
        <v>128</v>
      </c>
      <c r="D2798" s="1" t="s">
        <v>85</v>
      </c>
      <c r="E2798" s="1" t="s">
        <v>28</v>
      </c>
      <c r="F2798" s="1" t="s">
        <v>85</v>
      </c>
      <c r="G2798" s="1">
        <v>13</v>
      </c>
      <c r="H2798" s="1">
        <v>33968</v>
      </c>
      <c r="I2798" s="1">
        <v>0.15</v>
      </c>
      <c r="J2798" s="1">
        <v>375346.4</v>
      </c>
      <c r="K2798" s="1">
        <v>55015.94</v>
      </c>
      <c r="L2798" s="1" t="s">
        <v>17</v>
      </c>
      <c r="M2798" s="1" t="str">
        <f>TEXT(Table1[[#This Row],[Order Date]],"mmm")</f>
        <v>Sep</v>
      </c>
      <c r="N2798" s="1">
        <f>YEAR(Table1[[#This Row],[Order Date]])</f>
        <v>2023</v>
      </c>
    </row>
    <row r="2799" spans="1:14" x14ac:dyDescent="0.35">
      <c r="A2799" s="1" t="s">
        <v>3589</v>
      </c>
      <c r="B2799" s="1" t="s">
        <v>663</v>
      </c>
      <c r="C2799" s="1" t="s">
        <v>98</v>
      </c>
      <c r="D2799" s="1" t="s">
        <v>91</v>
      </c>
      <c r="E2799" s="1" t="s">
        <v>16</v>
      </c>
      <c r="F2799" s="1" t="s">
        <v>91</v>
      </c>
      <c r="G2799" s="1">
        <v>7</v>
      </c>
      <c r="H2799" s="1">
        <v>37398</v>
      </c>
      <c r="I2799" s="1">
        <v>0.2</v>
      </c>
      <c r="J2799" s="1">
        <v>209428.8</v>
      </c>
      <c r="K2799" s="1">
        <v>23599.52</v>
      </c>
      <c r="L2799" s="1" t="s">
        <v>23</v>
      </c>
      <c r="M2799" s="1" t="str">
        <f>TEXT(Table1[[#This Row],[Order Date]],"mmm")</f>
        <v>Oct</v>
      </c>
      <c r="N2799" s="1">
        <f>YEAR(Table1[[#This Row],[Order Date]])</f>
        <v>2023</v>
      </c>
    </row>
    <row r="2800" spans="1:14" x14ac:dyDescent="0.35">
      <c r="A2800" s="1" t="s">
        <v>3590</v>
      </c>
      <c r="B2800" s="1" t="s">
        <v>1716</v>
      </c>
      <c r="C2800" s="1" t="s">
        <v>55</v>
      </c>
      <c r="D2800" s="1" t="s">
        <v>64</v>
      </c>
      <c r="E2800" s="1" t="s">
        <v>33</v>
      </c>
      <c r="F2800" s="1" t="s">
        <v>64</v>
      </c>
      <c r="G2800" s="1">
        <v>12</v>
      </c>
      <c r="H2800" s="1">
        <v>39305</v>
      </c>
      <c r="I2800" s="1">
        <v>0.1</v>
      </c>
      <c r="J2800" s="1">
        <v>424494</v>
      </c>
      <c r="K2800" s="1">
        <v>74270.210000000006</v>
      </c>
      <c r="L2800" s="1" t="s">
        <v>17</v>
      </c>
      <c r="M2800" s="1" t="str">
        <f>TEXT(Table1[[#This Row],[Order Date]],"mmm")</f>
        <v>Jul</v>
      </c>
      <c r="N2800" s="1">
        <f>YEAR(Table1[[#This Row],[Order Date]])</f>
        <v>2024</v>
      </c>
    </row>
    <row r="2801" spans="1:14" x14ac:dyDescent="0.35">
      <c r="A2801" s="1" t="s">
        <v>3591</v>
      </c>
      <c r="B2801" s="1" t="s">
        <v>1299</v>
      </c>
      <c r="C2801" s="1" t="s">
        <v>98</v>
      </c>
      <c r="D2801" s="1" t="s">
        <v>224</v>
      </c>
      <c r="E2801" s="1" t="s">
        <v>33</v>
      </c>
      <c r="F2801" s="1" t="s">
        <v>224</v>
      </c>
      <c r="G2801" s="1">
        <v>8</v>
      </c>
      <c r="H2801" s="1">
        <v>39769</v>
      </c>
      <c r="I2801" s="1">
        <v>0.05</v>
      </c>
      <c r="J2801" s="1">
        <v>302244.40000000002</v>
      </c>
      <c r="K2801" s="1">
        <v>61157.3</v>
      </c>
      <c r="L2801" s="1" t="s">
        <v>45</v>
      </c>
      <c r="M2801" s="1" t="str">
        <f>TEXT(Table1[[#This Row],[Order Date]],"mmm")</f>
        <v>Sep</v>
      </c>
      <c r="N2801" s="1">
        <f>YEAR(Table1[[#This Row],[Order Date]])</f>
        <v>2024</v>
      </c>
    </row>
    <row r="2802" spans="1:14" x14ac:dyDescent="0.35">
      <c r="A2802" s="1" t="s">
        <v>3592</v>
      </c>
      <c r="B2802" s="1" t="s">
        <v>1568</v>
      </c>
      <c r="C2802" s="1" t="s">
        <v>178</v>
      </c>
      <c r="D2802" s="1" t="s">
        <v>141</v>
      </c>
      <c r="E2802" s="1" t="s">
        <v>22</v>
      </c>
      <c r="F2802" s="1" t="s">
        <v>141</v>
      </c>
      <c r="G2802" s="1">
        <v>3</v>
      </c>
      <c r="H2802" s="1">
        <v>43732</v>
      </c>
      <c r="I2802" s="1">
        <v>0.1</v>
      </c>
      <c r="J2802" s="1">
        <v>118076.4</v>
      </c>
      <c r="K2802" s="1">
        <v>30719.72</v>
      </c>
      <c r="L2802" s="1" t="s">
        <v>70</v>
      </c>
      <c r="M2802" s="1" t="str">
        <f>TEXT(Table1[[#This Row],[Order Date]],"mmm")</f>
        <v>Feb</v>
      </c>
      <c r="N2802" s="1">
        <f>YEAR(Table1[[#This Row],[Order Date]])</f>
        <v>2024</v>
      </c>
    </row>
    <row r="2803" spans="1:14" x14ac:dyDescent="0.35">
      <c r="A2803" s="1" t="s">
        <v>3593</v>
      </c>
      <c r="B2803" s="1" t="s">
        <v>1778</v>
      </c>
      <c r="C2803" s="1" t="s">
        <v>84</v>
      </c>
      <c r="D2803" s="1" t="s">
        <v>27</v>
      </c>
      <c r="E2803" s="1" t="s">
        <v>28</v>
      </c>
      <c r="F2803" s="1" t="s">
        <v>27</v>
      </c>
      <c r="G2803" s="1">
        <v>13</v>
      </c>
      <c r="H2803" s="1">
        <v>16702</v>
      </c>
      <c r="I2803" s="1">
        <v>0.15</v>
      </c>
      <c r="J2803" s="1">
        <v>184557.1</v>
      </c>
      <c r="K2803" s="1">
        <v>23799.79</v>
      </c>
      <c r="L2803" s="1" t="s">
        <v>70</v>
      </c>
      <c r="M2803" s="1" t="str">
        <f>TEXT(Table1[[#This Row],[Order Date]],"mmm")</f>
        <v>May</v>
      </c>
      <c r="N2803" s="1">
        <f>YEAR(Table1[[#This Row],[Order Date]])</f>
        <v>2023</v>
      </c>
    </row>
    <row r="2804" spans="1:14" x14ac:dyDescent="0.35">
      <c r="A2804" s="1" t="s">
        <v>3594</v>
      </c>
      <c r="B2804" s="1" t="s">
        <v>169</v>
      </c>
      <c r="C2804" s="1" t="s">
        <v>120</v>
      </c>
      <c r="D2804" s="1" t="s">
        <v>167</v>
      </c>
      <c r="E2804" s="1" t="s">
        <v>16</v>
      </c>
      <c r="F2804" s="1" t="s">
        <v>167</v>
      </c>
      <c r="G2804" s="1">
        <v>12</v>
      </c>
      <c r="H2804" s="1">
        <v>32980</v>
      </c>
      <c r="I2804" s="1">
        <v>0.15</v>
      </c>
      <c r="J2804" s="1">
        <v>336396</v>
      </c>
      <c r="K2804" s="1">
        <v>50197.47</v>
      </c>
      <c r="L2804" s="1" t="s">
        <v>70</v>
      </c>
      <c r="M2804" s="1" t="str">
        <f>TEXT(Table1[[#This Row],[Order Date]],"mmm")</f>
        <v>Nov</v>
      </c>
      <c r="N2804" s="1">
        <f>YEAR(Table1[[#This Row],[Order Date]])</f>
        <v>2024</v>
      </c>
    </row>
    <row r="2805" spans="1:14" x14ac:dyDescent="0.35">
      <c r="A2805" s="1" t="s">
        <v>3595</v>
      </c>
      <c r="B2805" s="1" t="s">
        <v>1944</v>
      </c>
      <c r="C2805" s="1" t="s">
        <v>51</v>
      </c>
      <c r="D2805" s="1" t="s">
        <v>37</v>
      </c>
      <c r="E2805" s="1" t="s">
        <v>16</v>
      </c>
      <c r="F2805" s="1" t="s">
        <v>37</v>
      </c>
      <c r="G2805" s="1">
        <v>10</v>
      </c>
      <c r="H2805" s="1">
        <v>37779</v>
      </c>
      <c r="I2805" s="1">
        <v>0.1</v>
      </c>
      <c r="J2805" s="1">
        <v>340011</v>
      </c>
      <c r="K2805" s="1">
        <v>89435.24</v>
      </c>
      <c r="L2805" s="1" t="s">
        <v>23</v>
      </c>
      <c r="M2805" s="1" t="str">
        <f>TEXT(Table1[[#This Row],[Order Date]],"mmm")</f>
        <v>Sep</v>
      </c>
      <c r="N2805" s="1">
        <f>YEAR(Table1[[#This Row],[Order Date]])</f>
        <v>2023</v>
      </c>
    </row>
    <row r="2806" spans="1:14" x14ac:dyDescent="0.35">
      <c r="A2806" s="1" t="s">
        <v>3596</v>
      </c>
      <c r="B2806" s="1" t="s">
        <v>1203</v>
      </c>
      <c r="C2806" s="1" t="s">
        <v>67</v>
      </c>
      <c r="D2806" s="1" t="s">
        <v>21</v>
      </c>
      <c r="E2806" s="1" t="s">
        <v>22</v>
      </c>
      <c r="F2806" s="1" t="s">
        <v>21</v>
      </c>
      <c r="G2806" s="1">
        <v>14</v>
      </c>
      <c r="H2806" s="1">
        <v>34628</v>
      </c>
      <c r="I2806" s="1">
        <v>0.1</v>
      </c>
      <c r="J2806" s="1">
        <v>436312.8</v>
      </c>
      <c r="K2806" s="1">
        <v>56325.71</v>
      </c>
      <c r="L2806" s="1" t="s">
        <v>45</v>
      </c>
      <c r="M2806" s="1" t="str">
        <f>TEXT(Table1[[#This Row],[Order Date]],"mmm")</f>
        <v>Apr</v>
      </c>
      <c r="N2806" s="1">
        <f>YEAR(Table1[[#This Row],[Order Date]])</f>
        <v>2024</v>
      </c>
    </row>
    <row r="2807" spans="1:14" x14ac:dyDescent="0.35">
      <c r="A2807" s="1" t="s">
        <v>3597</v>
      </c>
      <c r="B2807" s="1" t="s">
        <v>135</v>
      </c>
      <c r="C2807" s="1" t="s">
        <v>81</v>
      </c>
      <c r="D2807" s="1" t="s">
        <v>60</v>
      </c>
      <c r="E2807" s="1" t="s">
        <v>33</v>
      </c>
      <c r="F2807" s="1" t="s">
        <v>60</v>
      </c>
      <c r="G2807" s="1">
        <v>8</v>
      </c>
      <c r="H2807" s="1">
        <v>24084</v>
      </c>
      <c r="I2807" s="1">
        <v>0.15</v>
      </c>
      <c r="J2807" s="1">
        <v>163771.20000000001</v>
      </c>
      <c r="K2807" s="1">
        <v>34261.22</v>
      </c>
      <c r="L2807" s="1" t="s">
        <v>17</v>
      </c>
      <c r="M2807" s="1" t="str">
        <f>TEXT(Table1[[#This Row],[Order Date]],"mmm")</f>
        <v>Sep</v>
      </c>
      <c r="N2807" s="1">
        <f>YEAR(Table1[[#This Row],[Order Date]])</f>
        <v>2024</v>
      </c>
    </row>
    <row r="2808" spans="1:14" x14ac:dyDescent="0.35">
      <c r="A2808" s="1" t="s">
        <v>3598</v>
      </c>
      <c r="B2808" s="1" t="s">
        <v>889</v>
      </c>
      <c r="C2808" s="1" t="s">
        <v>81</v>
      </c>
      <c r="D2808" s="1" t="s">
        <v>323</v>
      </c>
      <c r="E2808" s="1" t="s">
        <v>33</v>
      </c>
      <c r="F2808" s="1" t="s">
        <v>323</v>
      </c>
      <c r="G2808" s="1">
        <v>12</v>
      </c>
      <c r="H2808" s="1">
        <v>750</v>
      </c>
      <c r="I2808" s="1">
        <v>0.05</v>
      </c>
      <c r="J2808" s="1">
        <v>8550</v>
      </c>
      <c r="K2808" s="1">
        <v>1048.74</v>
      </c>
      <c r="L2808" s="1" t="s">
        <v>70</v>
      </c>
      <c r="M2808" s="1" t="str">
        <f>TEXT(Table1[[#This Row],[Order Date]],"mmm")</f>
        <v>Jul</v>
      </c>
      <c r="N2808" s="1">
        <f>YEAR(Table1[[#This Row],[Order Date]])</f>
        <v>2023</v>
      </c>
    </row>
    <row r="2809" spans="1:14" x14ac:dyDescent="0.35">
      <c r="A2809" s="1" t="s">
        <v>3599</v>
      </c>
      <c r="B2809" s="1" t="s">
        <v>106</v>
      </c>
      <c r="C2809" s="1" t="s">
        <v>117</v>
      </c>
      <c r="D2809" s="1" t="s">
        <v>151</v>
      </c>
      <c r="E2809" s="1" t="s">
        <v>22</v>
      </c>
      <c r="F2809" s="1" t="s">
        <v>151</v>
      </c>
      <c r="G2809" s="1">
        <v>1</v>
      </c>
      <c r="H2809" s="1">
        <v>32196</v>
      </c>
      <c r="I2809" s="1">
        <v>0.1</v>
      </c>
      <c r="J2809" s="1">
        <v>28976.400000000001</v>
      </c>
      <c r="K2809" s="1">
        <v>7772.08</v>
      </c>
      <c r="L2809" s="1" t="s">
        <v>45</v>
      </c>
      <c r="M2809" s="1" t="str">
        <f>TEXT(Table1[[#This Row],[Order Date]],"mmm")</f>
        <v>Jun</v>
      </c>
      <c r="N2809" s="1">
        <f>YEAR(Table1[[#This Row],[Order Date]])</f>
        <v>2023</v>
      </c>
    </row>
    <row r="2810" spans="1:14" x14ac:dyDescent="0.35">
      <c r="A2810" s="1" t="s">
        <v>3600</v>
      </c>
      <c r="B2810" s="1" t="s">
        <v>821</v>
      </c>
      <c r="C2810" s="1" t="s">
        <v>14</v>
      </c>
      <c r="D2810" s="1" t="s">
        <v>141</v>
      </c>
      <c r="E2810" s="1" t="s">
        <v>22</v>
      </c>
      <c r="F2810" s="1" t="s">
        <v>141</v>
      </c>
      <c r="G2810" s="1">
        <v>6</v>
      </c>
      <c r="H2810" s="1">
        <v>47961</v>
      </c>
      <c r="I2810" s="1">
        <v>0</v>
      </c>
      <c r="J2810" s="1">
        <v>287766</v>
      </c>
      <c r="K2810" s="1">
        <v>57771.47</v>
      </c>
      <c r="L2810" s="1" t="s">
        <v>17</v>
      </c>
      <c r="M2810" s="1" t="str">
        <f>TEXT(Table1[[#This Row],[Order Date]],"mmm")</f>
        <v>Aug</v>
      </c>
      <c r="N2810" s="1">
        <f>YEAR(Table1[[#This Row],[Order Date]])</f>
        <v>2024</v>
      </c>
    </row>
    <row r="2811" spans="1:14" x14ac:dyDescent="0.35">
      <c r="A2811" s="1" t="s">
        <v>3601</v>
      </c>
      <c r="B2811" s="1" t="s">
        <v>30</v>
      </c>
      <c r="C2811" s="1" t="s">
        <v>208</v>
      </c>
      <c r="D2811" s="1" t="s">
        <v>293</v>
      </c>
      <c r="E2811" s="1" t="s">
        <v>33</v>
      </c>
      <c r="F2811" s="1" t="s">
        <v>293</v>
      </c>
      <c r="G2811" s="1">
        <v>15</v>
      </c>
      <c r="H2811" s="1">
        <v>28479</v>
      </c>
      <c r="I2811" s="1">
        <v>0.05</v>
      </c>
      <c r="J2811" s="1">
        <v>405825.75</v>
      </c>
      <c r="K2811" s="1">
        <v>69890.570000000007</v>
      </c>
      <c r="L2811" s="1" t="s">
        <v>23</v>
      </c>
      <c r="M2811" s="1" t="str">
        <f>TEXT(Table1[[#This Row],[Order Date]],"mmm")</f>
        <v>Apr</v>
      </c>
      <c r="N2811" s="1">
        <f>YEAR(Table1[[#This Row],[Order Date]])</f>
        <v>2023</v>
      </c>
    </row>
    <row r="2812" spans="1:14" x14ac:dyDescent="0.35">
      <c r="A2812" s="1" t="s">
        <v>3602</v>
      </c>
      <c r="B2812" s="1" t="s">
        <v>1934</v>
      </c>
      <c r="C2812" s="1" t="s">
        <v>73</v>
      </c>
      <c r="D2812" s="1" t="s">
        <v>21</v>
      </c>
      <c r="E2812" s="1" t="s">
        <v>22</v>
      </c>
      <c r="F2812" s="1" t="s">
        <v>21</v>
      </c>
      <c r="G2812" s="1">
        <v>6</v>
      </c>
      <c r="H2812" s="1">
        <v>34820</v>
      </c>
      <c r="I2812" s="1">
        <v>0.15</v>
      </c>
      <c r="J2812" s="1">
        <v>177582</v>
      </c>
      <c r="K2812" s="1">
        <v>24944.18</v>
      </c>
      <c r="L2812" s="1" t="s">
        <v>17</v>
      </c>
      <c r="M2812" s="1" t="str">
        <f>TEXT(Table1[[#This Row],[Order Date]],"mmm")</f>
        <v>Jul</v>
      </c>
      <c r="N2812" s="1">
        <f>YEAR(Table1[[#This Row],[Order Date]])</f>
        <v>2024</v>
      </c>
    </row>
    <row r="2813" spans="1:14" x14ac:dyDescent="0.35">
      <c r="A2813" s="1" t="s">
        <v>3603</v>
      </c>
      <c r="B2813" s="1" t="s">
        <v>240</v>
      </c>
      <c r="C2813" s="1" t="s">
        <v>59</v>
      </c>
      <c r="D2813" s="1" t="s">
        <v>32</v>
      </c>
      <c r="E2813" s="1" t="s">
        <v>33</v>
      </c>
      <c r="F2813" s="1" t="s">
        <v>32</v>
      </c>
      <c r="G2813" s="1">
        <v>10</v>
      </c>
      <c r="H2813" s="1">
        <v>18301</v>
      </c>
      <c r="I2813" s="1">
        <v>0.05</v>
      </c>
      <c r="J2813" s="1">
        <v>173859.5</v>
      </c>
      <c r="K2813" s="1">
        <v>16566.55</v>
      </c>
      <c r="L2813" s="1" t="s">
        <v>17</v>
      </c>
      <c r="M2813" s="1" t="str">
        <f>TEXT(Table1[[#This Row],[Order Date]],"mmm")</f>
        <v>Sep</v>
      </c>
      <c r="N2813" s="1">
        <f>YEAR(Table1[[#This Row],[Order Date]])</f>
        <v>2024</v>
      </c>
    </row>
    <row r="2814" spans="1:14" x14ac:dyDescent="0.35">
      <c r="A2814" s="1" t="s">
        <v>3604</v>
      </c>
      <c r="B2814" s="1" t="s">
        <v>517</v>
      </c>
      <c r="C2814" s="1" t="s">
        <v>162</v>
      </c>
      <c r="D2814" s="1" t="s">
        <v>293</v>
      </c>
      <c r="E2814" s="1" t="s">
        <v>33</v>
      </c>
      <c r="F2814" s="1" t="s">
        <v>293</v>
      </c>
      <c r="G2814" s="1">
        <v>11</v>
      </c>
      <c r="H2814" s="1">
        <v>47396</v>
      </c>
      <c r="I2814" s="1">
        <v>0.2</v>
      </c>
      <c r="J2814" s="1">
        <v>417084.8</v>
      </c>
      <c r="K2814" s="1">
        <v>73834.14</v>
      </c>
      <c r="L2814" s="1" t="s">
        <v>23</v>
      </c>
      <c r="M2814" s="1" t="str">
        <f>TEXT(Table1[[#This Row],[Order Date]],"mmm")</f>
        <v>Jun</v>
      </c>
      <c r="N2814" s="1">
        <f>YEAR(Table1[[#This Row],[Order Date]])</f>
        <v>2024</v>
      </c>
    </row>
    <row r="2815" spans="1:14" x14ac:dyDescent="0.35">
      <c r="A2815" s="1" t="s">
        <v>3605</v>
      </c>
      <c r="B2815" s="1" t="s">
        <v>688</v>
      </c>
      <c r="C2815" s="1" t="s">
        <v>155</v>
      </c>
      <c r="D2815" s="1" t="s">
        <v>91</v>
      </c>
      <c r="E2815" s="1" t="s">
        <v>16</v>
      </c>
      <c r="F2815" s="1" t="s">
        <v>91</v>
      </c>
      <c r="G2815" s="1">
        <v>4</v>
      </c>
      <c r="H2815" s="1">
        <v>59540</v>
      </c>
      <c r="I2815" s="1">
        <v>0.05</v>
      </c>
      <c r="J2815" s="1">
        <v>226252</v>
      </c>
      <c r="K2815" s="1">
        <v>50198.79</v>
      </c>
      <c r="L2815" s="1" t="s">
        <v>17</v>
      </c>
      <c r="M2815" s="1" t="str">
        <f>TEXT(Table1[[#This Row],[Order Date]],"mmm")</f>
        <v>Jul</v>
      </c>
      <c r="N2815" s="1">
        <f>YEAR(Table1[[#This Row],[Order Date]])</f>
        <v>2023</v>
      </c>
    </row>
    <row r="2816" spans="1:14" x14ac:dyDescent="0.35">
      <c r="A2816" s="1" t="s">
        <v>3606</v>
      </c>
      <c r="B2816" s="1" t="s">
        <v>462</v>
      </c>
      <c r="C2816" s="1" t="s">
        <v>162</v>
      </c>
      <c r="D2816" s="1" t="s">
        <v>15</v>
      </c>
      <c r="E2816" s="1" t="s">
        <v>16</v>
      </c>
      <c r="F2816" s="1" t="s">
        <v>15</v>
      </c>
      <c r="G2816" s="1">
        <v>7</v>
      </c>
      <c r="H2816" s="1">
        <v>8214</v>
      </c>
      <c r="I2816" s="1">
        <v>0</v>
      </c>
      <c r="J2816" s="1">
        <v>57498</v>
      </c>
      <c r="K2816" s="1">
        <v>10144.84</v>
      </c>
      <c r="L2816" s="1" t="s">
        <v>70</v>
      </c>
      <c r="M2816" s="1" t="str">
        <f>TEXT(Table1[[#This Row],[Order Date]],"mmm")</f>
        <v>Jul</v>
      </c>
      <c r="N2816" s="1">
        <f>YEAR(Table1[[#This Row],[Order Date]])</f>
        <v>2024</v>
      </c>
    </row>
    <row r="2817" spans="1:14" x14ac:dyDescent="0.35">
      <c r="A2817" s="1" t="s">
        <v>3607</v>
      </c>
      <c r="B2817" s="1" t="s">
        <v>489</v>
      </c>
      <c r="C2817" s="1" t="s">
        <v>51</v>
      </c>
      <c r="D2817" s="1" t="s">
        <v>44</v>
      </c>
      <c r="E2817" s="1" t="s">
        <v>28</v>
      </c>
      <c r="F2817" s="1" t="s">
        <v>44</v>
      </c>
      <c r="G2817" s="1">
        <v>3</v>
      </c>
      <c r="H2817" s="1">
        <v>45198</v>
      </c>
      <c r="I2817" s="1">
        <v>0.1</v>
      </c>
      <c r="J2817" s="1">
        <v>122034.6</v>
      </c>
      <c r="K2817" s="1">
        <v>20879.79</v>
      </c>
      <c r="L2817" s="1" t="s">
        <v>45</v>
      </c>
      <c r="M2817" s="1" t="str">
        <f>TEXT(Table1[[#This Row],[Order Date]],"mmm")</f>
        <v>Aug</v>
      </c>
      <c r="N2817" s="1">
        <f>YEAR(Table1[[#This Row],[Order Date]])</f>
        <v>2023</v>
      </c>
    </row>
    <row r="2818" spans="1:14" x14ac:dyDescent="0.35">
      <c r="A2818" s="1" t="s">
        <v>3608</v>
      </c>
      <c r="B2818" s="1" t="s">
        <v>2225</v>
      </c>
      <c r="C2818" s="1" t="s">
        <v>84</v>
      </c>
      <c r="D2818" s="1" t="s">
        <v>293</v>
      </c>
      <c r="E2818" s="1" t="s">
        <v>33</v>
      </c>
      <c r="F2818" s="1" t="s">
        <v>293</v>
      </c>
      <c r="G2818" s="1">
        <v>10</v>
      </c>
      <c r="H2818" s="1">
        <v>16820</v>
      </c>
      <c r="I2818" s="1">
        <v>0.1</v>
      </c>
      <c r="J2818" s="1">
        <v>151380</v>
      </c>
      <c r="K2818" s="1">
        <v>25494.45</v>
      </c>
      <c r="L2818" s="1" t="s">
        <v>23</v>
      </c>
      <c r="M2818" s="1" t="str">
        <f>TEXT(Table1[[#This Row],[Order Date]],"mmm")</f>
        <v>Nov</v>
      </c>
      <c r="N2818" s="1">
        <f>YEAR(Table1[[#This Row],[Order Date]])</f>
        <v>2023</v>
      </c>
    </row>
    <row r="2819" spans="1:14" x14ac:dyDescent="0.35">
      <c r="A2819" s="1" t="s">
        <v>3609</v>
      </c>
      <c r="B2819" s="1" t="s">
        <v>1361</v>
      </c>
      <c r="C2819" s="1" t="s">
        <v>101</v>
      </c>
      <c r="D2819" s="1" t="s">
        <v>133</v>
      </c>
      <c r="E2819" s="1" t="s">
        <v>22</v>
      </c>
      <c r="F2819" s="1" t="s">
        <v>133</v>
      </c>
      <c r="G2819" s="1">
        <v>12</v>
      </c>
      <c r="H2819" s="1">
        <v>8386</v>
      </c>
      <c r="I2819" s="1">
        <v>0.15</v>
      </c>
      <c r="J2819" s="1">
        <v>85537.2</v>
      </c>
      <c r="K2819" s="1">
        <v>22200.85</v>
      </c>
      <c r="L2819" s="1" t="s">
        <v>70</v>
      </c>
      <c r="M2819" s="1" t="str">
        <f>TEXT(Table1[[#This Row],[Order Date]],"mmm")</f>
        <v>Apr</v>
      </c>
      <c r="N2819" s="1">
        <f>YEAR(Table1[[#This Row],[Order Date]])</f>
        <v>2023</v>
      </c>
    </row>
    <row r="2820" spans="1:14" x14ac:dyDescent="0.35">
      <c r="A2820" s="1" t="s">
        <v>3610</v>
      </c>
      <c r="B2820" s="1" t="s">
        <v>308</v>
      </c>
      <c r="C2820" s="1" t="s">
        <v>88</v>
      </c>
      <c r="D2820" s="1" t="s">
        <v>137</v>
      </c>
      <c r="E2820" s="1" t="s">
        <v>22</v>
      </c>
      <c r="F2820" s="1" t="s">
        <v>137</v>
      </c>
      <c r="G2820" s="1">
        <v>5</v>
      </c>
      <c r="H2820" s="1">
        <v>2936</v>
      </c>
      <c r="I2820" s="1">
        <v>0.2</v>
      </c>
      <c r="J2820" s="1">
        <v>11744</v>
      </c>
      <c r="K2820" s="1">
        <v>1899.96</v>
      </c>
      <c r="L2820" s="1" t="s">
        <v>17</v>
      </c>
      <c r="M2820" s="1" t="str">
        <f>TEXT(Table1[[#This Row],[Order Date]],"mmm")</f>
        <v>Jul</v>
      </c>
      <c r="N2820" s="1">
        <f>YEAR(Table1[[#This Row],[Order Date]])</f>
        <v>2024</v>
      </c>
    </row>
    <row r="2821" spans="1:14" x14ac:dyDescent="0.35">
      <c r="A2821" s="1" t="s">
        <v>3611</v>
      </c>
      <c r="B2821" s="1" t="s">
        <v>891</v>
      </c>
      <c r="C2821" s="1" t="s">
        <v>146</v>
      </c>
      <c r="D2821" s="1" t="s">
        <v>78</v>
      </c>
      <c r="E2821" s="1" t="s">
        <v>28</v>
      </c>
      <c r="F2821" s="1" t="s">
        <v>78</v>
      </c>
      <c r="G2821" s="1">
        <v>7</v>
      </c>
      <c r="H2821" s="1">
        <v>55797</v>
      </c>
      <c r="I2821" s="1">
        <v>0.2</v>
      </c>
      <c r="J2821" s="1">
        <v>312463.2</v>
      </c>
      <c r="K2821" s="1">
        <v>56040.959999999999</v>
      </c>
      <c r="L2821" s="1" t="s">
        <v>23</v>
      </c>
      <c r="M2821" s="1" t="str">
        <f>TEXT(Table1[[#This Row],[Order Date]],"mmm")</f>
        <v>Feb</v>
      </c>
      <c r="N2821" s="1">
        <f>YEAR(Table1[[#This Row],[Order Date]])</f>
        <v>2024</v>
      </c>
    </row>
    <row r="2822" spans="1:14" x14ac:dyDescent="0.35">
      <c r="A2822" s="1" t="s">
        <v>3612</v>
      </c>
      <c r="B2822" s="1" t="s">
        <v>205</v>
      </c>
      <c r="C2822" s="1" t="s">
        <v>101</v>
      </c>
      <c r="D2822" s="1" t="s">
        <v>21</v>
      </c>
      <c r="E2822" s="1" t="s">
        <v>22</v>
      </c>
      <c r="F2822" s="1" t="s">
        <v>21</v>
      </c>
      <c r="G2822" s="1">
        <v>14</v>
      </c>
      <c r="H2822" s="1">
        <v>14437</v>
      </c>
      <c r="I2822" s="1">
        <v>0.1</v>
      </c>
      <c r="J2822" s="1">
        <v>181906.2</v>
      </c>
      <c r="K2822" s="1">
        <v>16915.63</v>
      </c>
      <c r="L2822" s="1" t="s">
        <v>45</v>
      </c>
      <c r="M2822" s="1" t="str">
        <f>TEXT(Table1[[#This Row],[Order Date]],"mmm")</f>
        <v>Feb</v>
      </c>
      <c r="N2822" s="1">
        <f>YEAR(Table1[[#This Row],[Order Date]])</f>
        <v>2023</v>
      </c>
    </row>
    <row r="2823" spans="1:14" x14ac:dyDescent="0.35">
      <c r="A2823" s="1" t="s">
        <v>3613</v>
      </c>
      <c r="B2823" s="1" t="s">
        <v>608</v>
      </c>
      <c r="C2823" s="1" t="s">
        <v>370</v>
      </c>
      <c r="D2823" s="1" t="s">
        <v>91</v>
      </c>
      <c r="E2823" s="1" t="s">
        <v>16</v>
      </c>
      <c r="F2823" s="1" t="s">
        <v>91</v>
      </c>
      <c r="G2823" s="1">
        <v>8</v>
      </c>
      <c r="H2823" s="1">
        <v>40959</v>
      </c>
      <c r="I2823" s="1">
        <v>0.1</v>
      </c>
      <c r="J2823" s="1">
        <v>294904.8</v>
      </c>
      <c r="K2823" s="1">
        <v>67219.87</v>
      </c>
      <c r="L2823" s="1" t="s">
        <v>45</v>
      </c>
      <c r="M2823" s="1" t="str">
        <f>TEXT(Table1[[#This Row],[Order Date]],"mmm")</f>
        <v>May</v>
      </c>
      <c r="N2823" s="1">
        <f>YEAR(Table1[[#This Row],[Order Date]])</f>
        <v>2024</v>
      </c>
    </row>
    <row r="2824" spans="1:14" x14ac:dyDescent="0.35">
      <c r="A2824" s="1" t="s">
        <v>3614</v>
      </c>
      <c r="B2824" s="1" t="s">
        <v>569</v>
      </c>
      <c r="C2824" s="1" t="s">
        <v>170</v>
      </c>
      <c r="D2824" s="1" t="s">
        <v>27</v>
      </c>
      <c r="E2824" s="1" t="s">
        <v>28</v>
      </c>
      <c r="F2824" s="1" t="s">
        <v>27</v>
      </c>
      <c r="G2824" s="1">
        <v>9</v>
      </c>
      <c r="H2824" s="1">
        <v>19585</v>
      </c>
      <c r="I2824" s="1">
        <v>0.15</v>
      </c>
      <c r="J2824" s="1">
        <v>149825.25</v>
      </c>
      <c r="K2824" s="1">
        <v>32109.62</v>
      </c>
      <c r="L2824" s="1" t="s">
        <v>45</v>
      </c>
      <c r="M2824" s="1" t="str">
        <f>TEXT(Table1[[#This Row],[Order Date]],"mmm")</f>
        <v>Sep</v>
      </c>
      <c r="N2824" s="1">
        <f>YEAR(Table1[[#This Row],[Order Date]])</f>
        <v>2024</v>
      </c>
    </row>
    <row r="2825" spans="1:14" x14ac:dyDescent="0.35">
      <c r="A2825" s="1" t="s">
        <v>3615</v>
      </c>
      <c r="B2825" s="1" t="s">
        <v>139</v>
      </c>
      <c r="C2825" s="1" t="s">
        <v>55</v>
      </c>
      <c r="D2825" s="1" t="s">
        <v>151</v>
      </c>
      <c r="E2825" s="1" t="s">
        <v>22</v>
      </c>
      <c r="F2825" s="1" t="s">
        <v>151</v>
      </c>
      <c r="G2825" s="1">
        <v>10</v>
      </c>
      <c r="H2825" s="1">
        <v>31337</v>
      </c>
      <c r="I2825" s="1">
        <v>0.05</v>
      </c>
      <c r="J2825" s="1">
        <v>297701.5</v>
      </c>
      <c r="K2825" s="1">
        <v>39138.639999999999</v>
      </c>
      <c r="L2825" s="1" t="s">
        <v>70</v>
      </c>
      <c r="M2825" s="1" t="str">
        <f>TEXT(Table1[[#This Row],[Order Date]],"mmm")</f>
        <v>Dec</v>
      </c>
      <c r="N2825" s="1">
        <f>YEAR(Table1[[#This Row],[Order Date]])</f>
        <v>2023</v>
      </c>
    </row>
    <row r="2826" spans="1:14" x14ac:dyDescent="0.35">
      <c r="A2826" s="1" t="s">
        <v>3616</v>
      </c>
      <c r="B2826" s="1" t="s">
        <v>1276</v>
      </c>
      <c r="C2826" s="1" t="s">
        <v>51</v>
      </c>
      <c r="D2826" s="1" t="s">
        <v>91</v>
      </c>
      <c r="E2826" s="1" t="s">
        <v>16</v>
      </c>
      <c r="F2826" s="1" t="s">
        <v>91</v>
      </c>
      <c r="G2826" s="1">
        <v>8</v>
      </c>
      <c r="H2826" s="1">
        <v>5808</v>
      </c>
      <c r="I2826" s="1">
        <v>0</v>
      </c>
      <c r="J2826" s="1">
        <v>46464</v>
      </c>
      <c r="K2826" s="1">
        <v>7192.14</v>
      </c>
      <c r="L2826" s="1" t="s">
        <v>17</v>
      </c>
      <c r="M2826" s="1" t="str">
        <f>TEXT(Table1[[#This Row],[Order Date]],"mmm")</f>
        <v>Apr</v>
      </c>
      <c r="N2826" s="1">
        <f>YEAR(Table1[[#This Row],[Order Date]])</f>
        <v>2023</v>
      </c>
    </row>
    <row r="2827" spans="1:14" x14ac:dyDescent="0.35">
      <c r="A2827" s="1" t="s">
        <v>3617</v>
      </c>
      <c r="B2827" s="1" t="s">
        <v>545</v>
      </c>
      <c r="C2827" s="1" t="s">
        <v>73</v>
      </c>
      <c r="D2827" s="1" t="s">
        <v>27</v>
      </c>
      <c r="E2827" s="1" t="s">
        <v>28</v>
      </c>
      <c r="F2827" s="1" t="s">
        <v>27</v>
      </c>
      <c r="G2827" s="1">
        <v>14</v>
      </c>
      <c r="H2827" s="1">
        <v>38754</v>
      </c>
      <c r="I2827" s="1">
        <v>0</v>
      </c>
      <c r="J2827" s="1">
        <v>542556</v>
      </c>
      <c r="K2827" s="1">
        <v>105534.9</v>
      </c>
      <c r="L2827" s="1" t="s">
        <v>45</v>
      </c>
      <c r="M2827" s="1" t="str">
        <f>TEXT(Table1[[#This Row],[Order Date]],"mmm")</f>
        <v>Jan</v>
      </c>
      <c r="N2827" s="1">
        <f>YEAR(Table1[[#This Row],[Order Date]])</f>
        <v>2024</v>
      </c>
    </row>
    <row r="2828" spans="1:14" x14ac:dyDescent="0.35">
      <c r="A2828" s="1" t="s">
        <v>3618</v>
      </c>
      <c r="B2828" s="1" t="s">
        <v>827</v>
      </c>
      <c r="C2828" s="1" t="s">
        <v>162</v>
      </c>
      <c r="D2828" s="1" t="s">
        <v>52</v>
      </c>
      <c r="E2828" s="1" t="s">
        <v>28</v>
      </c>
      <c r="F2828" s="1" t="s">
        <v>52</v>
      </c>
      <c r="G2828" s="1">
        <v>12</v>
      </c>
      <c r="H2828" s="1">
        <v>33237</v>
      </c>
      <c r="I2828" s="1">
        <v>0.1</v>
      </c>
      <c r="J2828" s="1">
        <v>358959.6</v>
      </c>
      <c r="K2828" s="1">
        <v>76483.83</v>
      </c>
      <c r="L2828" s="1" t="s">
        <v>45</v>
      </c>
      <c r="M2828" s="1" t="str">
        <f>TEXT(Table1[[#This Row],[Order Date]],"mmm")</f>
        <v>Jan</v>
      </c>
      <c r="N2828" s="1">
        <f>YEAR(Table1[[#This Row],[Order Date]])</f>
        <v>2023</v>
      </c>
    </row>
    <row r="2829" spans="1:14" x14ac:dyDescent="0.35">
      <c r="A2829" s="1" t="s">
        <v>3619</v>
      </c>
      <c r="B2829" s="1" t="s">
        <v>513</v>
      </c>
      <c r="C2829" s="1" t="s">
        <v>255</v>
      </c>
      <c r="D2829" s="1" t="s">
        <v>27</v>
      </c>
      <c r="E2829" s="1" t="s">
        <v>28</v>
      </c>
      <c r="F2829" s="1" t="s">
        <v>27</v>
      </c>
      <c r="G2829" s="1">
        <v>2</v>
      </c>
      <c r="H2829" s="1">
        <v>45233</v>
      </c>
      <c r="I2829" s="1">
        <v>0.05</v>
      </c>
      <c r="J2829" s="1">
        <v>85942.7</v>
      </c>
      <c r="K2829" s="1">
        <v>20036.009999999998</v>
      </c>
      <c r="L2829" s="1" t="s">
        <v>45</v>
      </c>
      <c r="M2829" s="1" t="str">
        <f>TEXT(Table1[[#This Row],[Order Date]],"mmm")</f>
        <v>Sep</v>
      </c>
      <c r="N2829" s="1">
        <f>YEAR(Table1[[#This Row],[Order Date]])</f>
        <v>2023</v>
      </c>
    </row>
    <row r="2830" spans="1:14" x14ac:dyDescent="0.35">
      <c r="A2830" s="1" t="s">
        <v>3620</v>
      </c>
      <c r="B2830" s="1" t="s">
        <v>1341</v>
      </c>
      <c r="C2830" s="1" t="s">
        <v>59</v>
      </c>
      <c r="D2830" s="1" t="s">
        <v>21</v>
      </c>
      <c r="E2830" s="1" t="s">
        <v>22</v>
      </c>
      <c r="F2830" s="1" t="s">
        <v>21</v>
      </c>
      <c r="G2830" s="1">
        <v>6</v>
      </c>
      <c r="H2830" s="1">
        <v>38691</v>
      </c>
      <c r="I2830" s="1">
        <v>0.15</v>
      </c>
      <c r="J2830" s="1">
        <v>197324.1</v>
      </c>
      <c r="K2830" s="1">
        <v>50063.91</v>
      </c>
      <c r="L2830" s="1" t="s">
        <v>23</v>
      </c>
      <c r="M2830" s="1" t="str">
        <f>TEXT(Table1[[#This Row],[Order Date]],"mmm")</f>
        <v>Oct</v>
      </c>
      <c r="N2830" s="1">
        <f>YEAR(Table1[[#This Row],[Order Date]])</f>
        <v>2024</v>
      </c>
    </row>
    <row r="2831" spans="1:14" x14ac:dyDescent="0.35">
      <c r="A2831" s="1" t="s">
        <v>3621</v>
      </c>
      <c r="B2831" s="1" t="s">
        <v>3622</v>
      </c>
      <c r="C2831" s="1" t="s">
        <v>128</v>
      </c>
      <c r="D2831" s="1" t="s">
        <v>52</v>
      </c>
      <c r="E2831" s="1" t="s">
        <v>28</v>
      </c>
      <c r="F2831" s="1" t="s">
        <v>52</v>
      </c>
      <c r="G2831" s="1">
        <v>1</v>
      </c>
      <c r="H2831" s="1">
        <v>10559</v>
      </c>
      <c r="I2831" s="1">
        <v>0.15</v>
      </c>
      <c r="J2831" s="1">
        <v>8975.15</v>
      </c>
      <c r="K2831" s="1">
        <v>1107.05</v>
      </c>
      <c r="L2831" s="1" t="s">
        <v>70</v>
      </c>
      <c r="M2831" s="1" t="str">
        <f>TEXT(Table1[[#This Row],[Order Date]],"mmm")</f>
        <v>Oct</v>
      </c>
      <c r="N2831" s="1">
        <f>YEAR(Table1[[#This Row],[Order Date]])</f>
        <v>2023</v>
      </c>
    </row>
    <row r="2832" spans="1:14" x14ac:dyDescent="0.35">
      <c r="A2832" s="1" t="s">
        <v>3623</v>
      </c>
      <c r="B2832" s="1" t="s">
        <v>83</v>
      </c>
      <c r="C2832" s="1" t="s">
        <v>362</v>
      </c>
      <c r="D2832" s="1" t="s">
        <v>151</v>
      </c>
      <c r="E2832" s="1" t="s">
        <v>22</v>
      </c>
      <c r="F2832" s="1" t="s">
        <v>151</v>
      </c>
      <c r="G2832" s="1">
        <v>8</v>
      </c>
      <c r="H2832" s="1">
        <v>19632</v>
      </c>
      <c r="I2832" s="1">
        <v>0.05</v>
      </c>
      <c r="J2832" s="1">
        <v>149203.20000000001</v>
      </c>
      <c r="K2832" s="1">
        <v>21156.84</v>
      </c>
      <c r="L2832" s="1" t="s">
        <v>70</v>
      </c>
      <c r="M2832" s="1" t="str">
        <f>TEXT(Table1[[#This Row],[Order Date]],"mmm")</f>
        <v>Mar</v>
      </c>
      <c r="N2832" s="1">
        <f>YEAR(Table1[[#This Row],[Order Date]])</f>
        <v>2024</v>
      </c>
    </row>
    <row r="2833" spans="1:14" x14ac:dyDescent="0.35">
      <c r="A2833" s="1" t="s">
        <v>3624</v>
      </c>
      <c r="B2833" s="1" t="s">
        <v>1010</v>
      </c>
      <c r="C2833" s="1" t="s">
        <v>188</v>
      </c>
      <c r="D2833" s="1" t="s">
        <v>27</v>
      </c>
      <c r="E2833" s="1" t="s">
        <v>28</v>
      </c>
      <c r="F2833" s="1" t="s">
        <v>27</v>
      </c>
      <c r="G2833" s="1">
        <v>13</v>
      </c>
      <c r="H2833" s="1">
        <v>35320</v>
      </c>
      <c r="I2833" s="1">
        <v>0.15</v>
      </c>
      <c r="J2833" s="1">
        <v>390286</v>
      </c>
      <c r="K2833" s="1">
        <v>89842.03</v>
      </c>
      <c r="L2833" s="1" t="s">
        <v>45</v>
      </c>
      <c r="M2833" s="1" t="str">
        <f>TEXT(Table1[[#This Row],[Order Date]],"mmm")</f>
        <v>May</v>
      </c>
      <c r="N2833" s="1">
        <f>YEAR(Table1[[#This Row],[Order Date]])</f>
        <v>2024</v>
      </c>
    </row>
    <row r="2834" spans="1:14" x14ac:dyDescent="0.35">
      <c r="A2834" s="1" t="s">
        <v>3625</v>
      </c>
      <c r="B2834" s="1" t="s">
        <v>694</v>
      </c>
      <c r="C2834" s="1" t="s">
        <v>125</v>
      </c>
      <c r="D2834" s="1" t="s">
        <v>179</v>
      </c>
      <c r="E2834" s="1" t="s">
        <v>28</v>
      </c>
      <c r="F2834" s="1" t="s">
        <v>179</v>
      </c>
      <c r="G2834" s="1">
        <v>4</v>
      </c>
      <c r="H2834" s="1">
        <v>15312</v>
      </c>
      <c r="I2834" s="1">
        <v>0.05</v>
      </c>
      <c r="J2834" s="1">
        <v>58185.599999999999</v>
      </c>
      <c r="K2834" s="1">
        <v>6160.17</v>
      </c>
      <c r="L2834" s="1" t="s">
        <v>23</v>
      </c>
      <c r="M2834" s="1" t="str">
        <f>TEXT(Table1[[#This Row],[Order Date]],"mmm")</f>
        <v>Aug</v>
      </c>
      <c r="N2834" s="1">
        <f>YEAR(Table1[[#This Row],[Order Date]])</f>
        <v>2023</v>
      </c>
    </row>
    <row r="2835" spans="1:14" x14ac:dyDescent="0.35">
      <c r="A2835" s="1" t="s">
        <v>3626</v>
      </c>
      <c r="B2835" s="1" t="s">
        <v>2099</v>
      </c>
      <c r="C2835" s="1" t="s">
        <v>349</v>
      </c>
      <c r="D2835" s="1" t="s">
        <v>179</v>
      </c>
      <c r="E2835" s="1" t="s">
        <v>28</v>
      </c>
      <c r="F2835" s="1" t="s">
        <v>179</v>
      </c>
      <c r="G2835" s="1">
        <v>11</v>
      </c>
      <c r="H2835" s="1">
        <v>27550</v>
      </c>
      <c r="I2835" s="1">
        <v>0.1</v>
      </c>
      <c r="J2835" s="1">
        <v>272745</v>
      </c>
      <c r="K2835" s="1">
        <v>73905.03</v>
      </c>
      <c r="L2835" s="1" t="s">
        <v>17</v>
      </c>
      <c r="M2835" s="1" t="str">
        <f>TEXT(Table1[[#This Row],[Order Date]],"mmm")</f>
        <v>Jan</v>
      </c>
      <c r="N2835" s="1">
        <f>YEAR(Table1[[#This Row],[Order Date]])</f>
        <v>2024</v>
      </c>
    </row>
    <row r="2836" spans="1:14" x14ac:dyDescent="0.35">
      <c r="A2836" s="1" t="s">
        <v>3627</v>
      </c>
      <c r="B2836" s="1" t="s">
        <v>475</v>
      </c>
      <c r="C2836" s="1" t="s">
        <v>55</v>
      </c>
      <c r="D2836" s="1" t="s">
        <v>141</v>
      </c>
      <c r="E2836" s="1" t="s">
        <v>22</v>
      </c>
      <c r="F2836" s="1" t="s">
        <v>141</v>
      </c>
      <c r="G2836" s="1">
        <v>3</v>
      </c>
      <c r="H2836" s="1">
        <v>10194</v>
      </c>
      <c r="I2836" s="1">
        <v>0</v>
      </c>
      <c r="J2836" s="1">
        <v>30582</v>
      </c>
      <c r="K2836" s="1">
        <v>9112.5</v>
      </c>
      <c r="L2836" s="1" t="s">
        <v>45</v>
      </c>
      <c r="M2836" s="1" t="str">
        <f>TEXT(Table1[[#This Row],[Order Date]],"mmm")</f>
        <v>Jun</v>
      </c>
      <c r="N2836" s="1">
        <f>YEAR(Table1[[#This Row],[Order Date]])</f>
        <v>2023</v>
      </c>
    </row>
    <row r="2837" spans="1:14" x14ac:dyDescent="0.35">
      <c r="A2837" s="1" t="s">
        <v>3628</v>
      </c>
      <c r="B2837" s="1" t="s">
        <v>1043</v>
      </c>
      <c r="C2837" s="1" t="s">
        <v>14</v>
      </c>
      <c r="D2837" s="1" t="s">
        <v>74</v>
      </c>
      <c r="E2837" s="1" t="s">
        <v>22</v>
      </c>
      <c r="F2837" s="1" t="s">
        <v>74</v>
      </c>
      <c r="G2837" s="1">
        <v>10</v>
      </c>
      <c r="H2837" s="1">
        <v>31964</v>
      </c>
      <c r="I2837" s="1">
        <v>0</v>
      </c>
      <c r="J2837" s="1">
        <v>319640</v>
      </c>
      <c r="K2837" s="1">
        <v>83450.34</v>
      </c>
      <c r="L2837" s="1" t="s">
        <v>70</v>
      </c>
      <c r="M2837" s="1" t="str">
        <f>TEXT(Table1[[#This Row],[Order Date]],"mmm")</f>
        <v>Aug</v>
      </c>
      <c r="N2837" s="1">
        <f>YEAR(Table1[[#This Row],[Order Date]])</f>
        <v>2024</v>
      </c>
    </row>
    <row r="2838" spans="1:14" x14ac:dyDescent="0.35">
      <c r="A2838" s="1" t="s">
        <v>3629</v>
      </c>
      <c r="B2838" s="1" t="s">
        <v>1411</v>
      </c>
      <c r="C2838" s="1" t="s">
        <v>20</v>
      </c>
      <c r="D2838" s="1" t="s">
        <v>15</v>
      </c>
      <c r="E2838" s="1" t="s">
        <v>16</v>
      </c>
      <c r="F2838" s="1" t="s">
        <v>15</v>
      </c>
      <c r="G2838" s="1">
        <v>13</v>
      </c>
      <c r="H2838" s="1">
        <v>45349</v>
      </c>
      <c r="I2838" s="1">
        <v>0.05</v>
      </c>
      <c r="J2838" s="1">
        <v>560060.15</v>
      </c>
      <c r="K2838" s="1">
        <v>86457.42</v>
      </c>
      <c r="L2838" s="1" t="s">
        <v>23</v>
      </c>
      <c r="M2838" s="1" t="str">
        <f>TEXT(Table1[[#This Row],[Order Date]],"mmm")</f>
        <v>Oct</v>
      </c>
      <c r="N2838" s="1">
        <f>YEAR(Table1[[#This Row],[Order Date]])</f>
        <v>2023</v>
      </c>
    </row>
    <row r="2839" spans="1:14" x14ac:dyDescent="0.35">
      <c r="A2839" s="1" t="s">
        <v>3630</v>
      </c>
      <c r="B2839" s="1" t="s">
        <v>1598</v>
      </c>
      <c r="C2839" s="1" t="s">
        <v>178</v>
      </c>
      <c r="D2839" s="1" t="s">
        <v>114</v>
      </c>
      <c r="E2839" s="1" t="s">
        <v>16</v>
      </c>
      <c r="F2839" s="1" t="s">
        <v>114</v>
      </c>
      <c r="G2839" s="1">
        <v>5</v>
      </c>
      <c r="H2839" s="1">
        <v>14586</v>
      </c>
      <c r="I2839" s="1">
        <v>0.2</v>
      </c>
      <c r="J2839" s="1">
        <v>58344</v>
      </c>
      <c r="K2839" s="1">
        <v>12623.91</v>
      </c>
      <c r="L2839" s="1" t="s">
        <v>23</v>
      </c>
      <c r="M2839" s="1" t="str">
        <f>TEXT(Table1[[#This Row],[Order Date]],"mmm")</f>
        <v>Sep</v>
      </c>
      <c r="N2839" s="1">
        <f>YEAR(Table1[[#This Row],[Order Date]])</f>
        <v>2023</v>
      </c>
    </row>
    <row r="2840" spans="1:14" x14ac:dyDescent="0.35">
      <c r="A2840" s="1" t="s">
        <v>3631</v>
      </c>
      <c r="B2840" s="1" t="s">
        <v>1531</v>
      </c>
      <c r="C2840" s="1" t="s">
        <v>162</v>
      </c>
      <c r="D2840" s="1" t="s">
        <v>60</v>
      </c>
      <c r="E2840" s="1" t="s">
        <v>33</v>
      </c>
      <c r="F2840" s="1" t="s">
        <v>60</v>
      </c>
      <c r="G2840" s="1">
        <v>1</v>
      </c>
      <c r="H2840" s="1">
        <v>45259</v>
      </c>
      <c r="I2840" s="1">
        <v>0.15</v>
      </c>
      <c r="J2840" s="1">
        <v>38470.15</v>
      </c>
      <c r="K2840" s="1">
        <v>7473.92</v>
      </c>
      <c r="L2840" s="1" t="s">
        <v>45</v>
      </c>
      <c r="M2840" s="1" t="str">
        <f>TEXT(Table1[[#This Row],[Order Date]],"mmm")</f>
        <v>Aug</v>
      </c>
      <c r="N2840" s="1">
        <f>YEAR(Table1[[#This Row],[Order Date]])</f>
        <v>2023</v>
      </c>
    </row>
    <row r="2841" spans="1:14" x14ac:dyDescent="0.35">
      <c r="A2841" s="1" t="s">
        <v>3632</v>
      </c>
      <c r="B2841" s="1" t="s">
        <v>2589</v>
      </c>
      <c r="C2841" s="1" t="s">
        <v>155</v>
      </c>
      <c r="D2841" s="1" t="s">
        <v>114</v>
      </c>
      <c r="E2841" s="1" t="s">
        <v>16</v>
      </c>
      <c r="F2841" s="1" t="s">
        <v>114</v>
      </c>
      <c r="G2841" s="1">
        <v>6</v>
      </c>
      <c r="H2841" s="1">
        <v>41677</v>
      </c>
      <c r="I2841" s="1">
        <v>0.15</v>
      </c>
      <c r="J2841" s="1">
        <v>212552.7</v>
      </c>
      <c r="K2841" s="1">
        <v>35525.83</v>
      </c>
      <c r="L2841" s="1" t="s">
        <v>70</v>
      </c>
      <c r="M2841" s="1" t="str">
        <f>TEXT(Table1[[#This Row],[Order Date]],"mmm")</f>
        <v>Feb</v>
      </c>
      <c r="N2841" s="1">
        <f>YEAR(Table1[[#This Row],[Order Date]])</f>
        <v>2024</v>
      </c>
    </row>
    <row r="2842" spans="1:14" x14ac:dyDescent="0.35">
      <c r="A2842" s="1" t="s">
        <v>3633</v>
      </c>
      <c r="B2842" s="1" t="s">
        <v>1804</v>
      </c>
      <c r="C2842" s="1" t="s">
        <v>203</v>
      </c>
      <c r="D2842" s="1" t="s">
        <v>179</v>
      </c>
      <c r="E2842" s="1" t="s">
        <v>28</v>
      </c>
      <c r="F2842" s="1" t="s">
        <v>179</v>
      </c>
      <c r="G2842" s="1">
        <v>3</v>
      </c>
      <c r="H2842" s="1">
        <v>12187</v>
      </c>
      <c r="I2842" s="1">
        <v>0.1</v>
      </c>
      <c r="J2842" s="1">
        <v>32904.9</v>
      </c>
      <c r="K2842" s="1">
        <v>4897.6899999999996</v>
      </c>
      <c r="L2842" s="1" t="s">
        <v>70</v>
      </c>
      <c r="M2842" s="1" t="str">
        <f>TEXT(Table1[[#This Row],[Order Date]],"mmm")</f>
        <v>Nov</v>
      </c>
      <c r="N2842" s="1">
        <f>YEAR(Table1[[#This Row],[Order Date]])</f>
        <v>2023</v>
      </c>
    </row>
    <row r="2843" spans="1:14" x14ac:dyDescent="0.35">
      <c r="A2843" s="1" t="s">
        <v>3634</v>
      </c>
      <c r="B2843" s="1" t="s">
        <v>1658</v>
      </c>
      <c r="C2843" s="1" t="s">
        <v>51</v>
      </c>
      <c r="D2843" s="1" t="s">
        <v>85</v>
      </c>
      <c r="E2843" s="1" t="s">
        <v>28</v>
      </c>
      <c r="F2843" s="1" t="s">
        <v>85</v>
      </c>
      <c r="G2843" s="1">
        <v>6</v>
      </c>
      <c r="H2843" s="1">
        <v>7866</v>
      </c>
      <c r="I2843" s="1">
        <v>0.2</v>
      </c>
      <c r="J2843" s="1">
        <v>37756.800000000003</v>
      </c>
      <c r="K2843" s="1">
        <v>8006.17</v>
      </c>
      <c r="L2843" s="1" t="s">
        <v>17</v>
      </c>
      <c r="M2843" s="1" t="str">
        <f>TEXT(Table1[[#This Row],[Order Date]],"mmm")</f>
        <v>Sep</v>
      </c>
      <c r="N2843" s="1">
        <f>YEAR(Table1[[#This Row],[Order Date]])</f>
        <v>2024</v>
      </c>
    </row>
    <row r="2844" spans="1:14" x14ac:dyDescent="0.35">
      <c r="A2844" s="1" t="s">
        <v>3635</v>
      </c>
      <c r="B2844" s="1" t="s">
        <v>2619</v>
      </c>
      <c r="C2844" s="1" t="s">
        <v>111</v>
      </c>
      <c r="D2844" s="1" t="s">
        <v>15</v>
      </c>
      <c r="E2844" s="1" t="s">
        <v>16</v>
      </c>
      <c r="F2844" s="1" t="s">
        <v>15</v>
      </c>
      <c r="G2844" s="1">
        <v>7</v>
      </c>
      <c r="H2844" s="1">
        <v>33858</v>
      </c>
      <c r="I2844" s="1">
        <v>0.2</v>
      </c>
      <c r="J2844" s="1">
        <v>189604.8</v>
      </c>
      <c r="K2844" s="1">
        <v>25589</v>
      </c>
      <c r="L2844" s="1" t="s">
        <v>45</v>
      </c>
      <c r="M2844" s="1" t="str">
        <f>TEXT(Table1[[#This Row],[Order Date]],"mmm")</f>
        <v>Mar</v>
      </c>
      <c r="N2844" s="1">
        <f>YEAR(Table1[[#This Row],[Order Date]])</f>
        <v>2024</v>
      </c>
    </row>
    <row r="2845" spans="1:14" x14ac:dyDescent="0.35">
      <c r="A2845" s="1" t="s">
        <v>3636</v>
      </c>
      <c r="B2845" s="1" t="s">
        <v>930</v>
      </c>
      <c r="C2845" s="1" t="s">
        <v>255</v>
      </c>
      <c r="D2845" s="1" t="s">
        <v>74</v>
      </c>
      <c r="E2845" s="1" t="s">
        <v>22</v>
      </c>
      <c r="F2845" s="1" t="s">
        <v>74</v>
      </c>
      <c r="G2845" s="1">
        <v>4</v>
      </c>
      <c r="H2845" s="1">
        <v>51024</v>
      </c>
      <c r="I2845" s="1">
        <v>0.15</v>
      </c>
      <c r="J2845" s="1">
        <v>173481.60000000001</v>
      </c>
      <c r="K2845" s="1">
        <v>24343.33</v>
      </c>
      <c r="L2845" s="1" t="s">
        <v>45</v>
      </c>
      <c r="M2845" s="1" t="str">
        <f>TEXT(Table1[[#This Row],[Order Date]],"mmm")</f>
        <v>Apr</v>
      </c>
      <c r="N2845" s="1">
        <f>YEAR(Table1[[#This Row],[Order Date]])</f>
        <v>2024</v>
      </c>
    </row>
    <row r="2846" spans="1:14" x14ac:dyDescent="0.35">
      <c r="A2846" s="1" t="s">
        <v>3637</v>
      </c>
      <c r="B2846" s="1" t="s">
        <v>451</v>
      </c>
      <c r="C2846" s="1" t="s">
        <v>125</v>
      </c>
      <c r="D2846" s="1" t="s">
        <v>60</v>
      </c>
      <c r="E2846" s="1" t="s">
        <v>33</v>
      </c>
      <c r="F2846" s="1" t="s">
        <v>60</v>
      </c>
      <c r="G2846" s="1">
        <v>1</v>
      </c>
      <c r="H2846" s="1">
        <v>20138</v>
      </c>
      <c r="I2846" s="1">
        <v>0.15</v>
      </c>
      <c r="J2846" s="1">
        <v>17117.3</v>
      </c>
      <c r="K2846" s="1">
        <v>1969.04</v>
      </c>
      <c r="L2846" s="1" t="s">
        <v>45</v>
      </c>
      <c r="M2846" s="1" t="str">
        <f>TEXT(Table1[[#This Row],[Order Date]],"mmm")</f>
        <v>Nov</v>
      </c>
      <c r="N2846" s="1">
        <f>YEAR(Table1[[#This Row],[Order Date]])</f>
        <v>2024</v>
      </c>
    </row>
    <row r="2847" spans="1:14" x14ac:dyDescent="0.35">
      <c r="A2847" s="1" t="s">
        <v>3638</v>
      </c>
      <c r="B2847" s="1" t="s">
        <v>62</v>
      </c>
      <c r="C2847" s="1" t="s">
        <v>255</v>
      </c>
      <c r="D2847" s="1" t="s">
        <v>167</v>
      </c>
      <c r="E2847" s="1" t="s">
        <v>16</v>
      </c>
      <c r="F2847" s="1" t="s">
        <v>167</v>
      </c>
      <c r="G2847" s="1">
        <v>10</v>
      </c>
      <c r="H2847" s="1">
        <v>30445</v>
      </c>
      <c r="I2847" s="1">
        <v>0.2</v>
      </c>
      <c r="J2847" s="1">
        <v>243560</v>
      </c>
      <c r="K2847" s="1">
        <v>62655.46</v>
      </c>
      <c r="L2847" s="1" t="s">
        <v>45</v>
      </c>
      <c r="M2847" s="1" t="str">
        <f>TEXT(Table1[[#This Row],[Order Date]],"mmm")</f>
        <v>Dec</v>
      </c>
      <c r="N2847" s="1">
        <f>YEAR(Table1[[#This Row],[Order Date]])</f>
        <v>2023</v>
      </c>
    </row>
    <row r="2848" spans="1:14" x14ac:dyDescent="0.35">
      <c r="A2848" s="1" t="s">
        <v>3639</v>
      </c>
      <c r="B2848" s="1" t="s">
        <v>1205</v>
      </c>
      <c r="C2848" s="1" t="s">
        <v>14</v>
      </c>
      <c r="D2848" s="1" t="s">
        <v>78</v>
      </c>
      <c r="E2848" s="1" t="s">
        <v>28</v>
      </c>
      <c r="F2848" s="1" t="s">
        <v>78</v>
      </c>
      <c r="G2848" s="1">
        <v>9</v>
      </c>
      <c r="H2848" s="1">
        <v>53725</v>
      </c>
      <c r="I2848" s="1">
        <v>0.1</v>
      </c>
      <c r="J2848" s="1">
        <v>435172.5</v>
      </c>
      <c r="K2848" s="1">
        <v>66449.990000000005</v>
      </c>
      <c r="L2848" s="1" t="s">
        <v>45</v>
      </c>
      <c r="M2848" s="1" t="str">
        <f>TEXT(Table1[[#This Row],[Order Date]],"mmm")</f>
        <v>Dec</v>
      </c>
      <c r="N2848" s="1">
        <f>YEAR(Table1[[#This Row],[Order Date]])</f>
        <v>2023</v>
      </c>
    </row>
    <row r="2849" spans="1:14" x14ac:dyDescent="0.35">
      <c r="A2849" s="1" t="s">
        <v>3640</v>
      </c>
      <c r="B2849" s="1" t="s">
        <v>737</v>
      </c>
      <c r="C2849" s="1" t="s">
        <v>170</v>
      </c>
      <c r="D2849" s="1" t="s">
        <v>27</v>
      </c>
      <c r="E2849" s="1" t="s">
        <v>28</v>
      </c>
      <c r="F2849" s="1" t="s">
        <v>27</v>
      </c>
      <c r="G2849" s="1">
        <v>9</v>
      </c>
      <c r="H2849" s="1">
        <v>47649</v>
      </c>
      <c r="I2849" s="1">
        <v>0.2</v>
      </c>
      <c r="J2849" s="1">
        <v>343072.8</v>
      </c>
      <c r="K2849" s="1">
        <v>35945.5</v>
      </c>
      <c r="L2849" s="1" t="s">
        <v>23</v>
      </c>
      <c r="M2849" s="1" t="str">
        <f>TEXT(Table1[[#This Row],[Order Date]],"mmm")</f>
        <v>Aug</v>
      </c>
      <c r="N2849" s="1">
        <f>YEAR(Table1[[#This Row],[Order Date]])</f>
        <v>2023</v>
      </c>
    </row>
    <row r="2850" spans="1:14" x14ac:dyDescent="0.35">
      <c r="A2850" s="1" t="s">
        <v>3641</v>
      </c>
      <c r="B2850" s="1" t="s">
        <v>3572</v>
      </c>
      <c r="C2850" s="1" t="s">
        <v>88</v>
      </c>
      <c r="D2850" s="1" t="s">
        <v>151</v>
      </c>
      <c r="E2850" s="1" t="s">
        <v>22</v>
      </c>
      <c r="F2850" s="1" t="s">
        <v>151</v>
      </c>
      <c r="G2850" s="1">
        <v>7</v>
      </c>
      <c r="H2850" s="1">
        <v>58098</v>
      </c>
      <c r="I2850" s="1">
        <v>0.05</v>
      </c>
      <c r="J2850" s="1">
        <v>386351.7</v>
      </c>
      <c r="K2850" s="1">
        <v>31808.59</v>
      </c>
      <c r="L2850" s="1" t="s">
        <v>45</v>
      </c>
      <c r="M2850" s="1" t="str">
        <f>TEXT(Table1[[#This Row],[Order Date]],"mmm")</f>
        <v>Mar</v>
      </c>
      <c r="N2850" s="1">
        <f>YEAR(Table1[[#This Row],[Order Date]])</f>
        <v>2024</v>
      </c>
    </row>
    <row r="2851" spans="1:14" x14ac:dyDescent="0.35">
      <c r="A2851" s="1" t="s">
        <v>3642</v>
      </c>
      <c r="B2851" s="1" t="s">
        <v>1778</v>
      </c>
      <c r="C2851" s="1" t="s">
        <v>111</v>
      </c>
      <c r="D2851" s="1" t="s">
        <v>32</v>
      </c>
      <c r="E2851" s="1" t="s">
        <v>33</v>
      </c>
      <c r="F2851" s="1" t="s">
        <v>32</v>
      </c>
      <c r="G2851" s="1">
        <v>11</v>
      </c>
      <c r="H2851" s="1">
        <v>56095</v>
      </c>
      <c r="I2851" s="1">
        <v>0.1</v>
      </c>
      <c r="J2851" s="1">
        <v>555340.5</v>
      </c>
      <c r="K2851" s="1">
        <v>127259.16</v>
      </c>
      <c r="L2851" s="1" t="s">
        <v>17</v>
      </c>
      <c r="M2851" s="1" t="str">
        <f>TEXT(Table1[[#This Row],[Order Date]],"mmm")</f>
        <v>May</v>
      </c>
      <c r="N2851" s="1">
        <f>YEAR(Table1[[#This Row],[Order Date]])</f>
        <v>2023</v>
      </c>
    </row>
    <row r="2852" spans="1:14" x14ac:dyDescent="0.35">
      <c r="A2852" s="1" t="s">
        <v>3643</v>
      </c>
      <c r="B2852" s="1" t="s">
        <v>1113</v>
      </c>
      <c r="C2852" s="1" t="s">
        <v>63</v>
      </c>
      <c r="D2852" s="1" t="s">
        <v>108</v>
      </c>
      <c r="E2852" s="1" t="s">
        <v>22</v>
      </c>
      <c r="F2852" s="1" t="s">
        <v>108</v>
      </c>
      <c r="G2852" s="1">
        <v>10</v>
      </c>
      <c r="H2852" s="1">
        <v>32979</v>
      </c>
      <c r="I2852" s="1">
        <v>0</v>
      </c>
      <c r="J2852" s="1">
        <v>329790</v>
      </c>
      <c r="K2852" s="1">
        <v>83929.9</v>
      </c>
      <c r="L2852" s="1" t="s">
        <v>23</v>
      </c>
      <c r="M2852" s="1" t="str">
        <f>TEXT(Table1[[#This Row],[Order Date]],"mmm")</f>
        <v>Feb</v>
      </c>
      <c r="N2852" s="1">
        <f>YEAR(Table1[[#This Row],[Order Date]])</f>
        <v>2023</v>
      </c>
    </row>
    <row r="2853" spans="1:14" x14ac:dyDescent="0.35">
      <c r="A2853" s="1" t="s">
        <v>3644</v>
      </c>
      <c r="B2853" s="1" t="s">
        <v>299</v>
      </c>
      <c r="C2853" s="1" t="s">
        <v>208</v>
      </c>
      <c r="D2853" s="1" t="s">
        <v>91</v>
      </c>
      <c r="E2853" s="1" t="s">
        <v>16</v>
      </c>
      <c r="F2853" s="1" t="s">
        <v>91</v>
      </c>
      <c r="G2853" s="1">
        <v>8</v>
      </c>
      <c r="H2853" s="1">
        <v>51675</v>
      </c>
      <c r="I2853" s="1">
        <v>0.15</v>
      </c>
      <c r="J2853" s="1">
        <v>351390</v>
      </c>
      <c r="K2853" s="1">
        <v>33856.15</v>
      </c>
      <c r="L2853" s="1" t="s">
        <v>45</v>
      </c>
      <c r="M2853" s="1" t="str">
        <f>TEXT(Table1[[#This Row],[Order Date]],"mmm")</f>
        <v>May</v>
      </c>
      <c r="N2853" s="1">
        <f>YEAR(Table1[[#This Row],[Order Date]])</f>
        <v>2023</v>
      </c>
    </row>
    <row r="2854" spans="1:14" x14ac:dyDescent="0.35">
      <c r="A2854" s="1" t="s">
        <v>3645</v>
      </c>
      <c r="B2854" s="1" t="s">
        <v>1245</v>
      </c>
      <c r="C2854" s="1" t="s">
        <v>370</v>
      </c>
      <c r="D2854" s="1" t="s">
        <v>91</v>
      </c>
      <c r="E2854" s="1" t="s">
        <v>16</v>
      </c>
      <c r="F2854" s="1" t="s">
        <v>91</v>
      </c>
      <c r="G2854" s="1">
        <v>6</v>
      </c>
      <c r="H2854" s="1">
        <v>24786</v>
      </c>
      <c r="I2854" s="1">
        <v>0.05</v>
      </c>
      <c r="J2854" s="1">
        <v>141280.20000000001</v>
      </c>
      <c r="K2854" s="1">
        <v>14300.77</v>
      </c>
      <c r="L2854" s="1" t="s">
        <v>70</v>
      </c>
      <c r="M2854" s="1" t="str">
        <f>TEXT(Table1[[#This Row],[Order Date]],"mmm")</f>
        <v>Nov</v>
      </c>
      <c r="N2854" s="1">
        <f>YEAR(Table1[[#This Row],[Order Date]])</f>
        <v>2024</v>
      </c>
    </row>
    <row r="2855" spans="1:14" x14ac:dyDescent="0.35">
      <c r="A2855" s="1" t="s">
        <v>3646</v>
      </c>
      <c r="B2855" s="1" t="s">
        <v>372</v>
      </c>
      <c r="C2855" s="1" t="s">
        <v>98</v>
      </c>
      <c r="D2855" s="1" t="s">
        <v>141</v>
      </c>
      <c r="E2855" s="1" t="s">
        <v>22</v>
      </c>
      <c r="F2855" s="1" t="s">
        <v>141</v>
      </c>
      <c r="G2855" s="1">
        <v>13</v>
      </c>
      <c r="H2855" s="1">
        <v>51788</v>
      </c>
      <c r="I2855" s="1">
        <v>0.15</v>
      </c>
      <c r="J2855" s="1">
        <v>572257.4</v>
      </c>
      <c r="K2855" s="1">
        <v>118392.97</v>
      </c>
      <c r="L2855" s="1" t="s">
        <v>45</v>
      </c>
      <c r="M2855" s="1" t="str">
        <f>TEXT(Table1[[#This Row],[Order Date]],"mmm")</f>
        <v>Jan</v>
      </c>
      <c r="N2855" s="1">
        <f>YEAR(Table1[[#This Row],[Order Date]])</f>
        <v>2023</v>
      </c>
    </row>
    <row r="2856" spans="1:14" x14ac:dyDescent="0.35">
      <c r="A2856" s="1" t="s">
        <v>3647</v>
      </c>
      <c r="B2856" s="1" t="s">
        <v>248</v>
      </c>
      <c r="C2856" s="1" t="s">
        <v>111</v>
      </c>
      <c r="D2856" s="1" t="s">
        <v>323</v>
      </c>
      <c r="E2856" s="1" t="s">
        <v>33</v>
      </c>
      <c r="F2856" s="1" t="s">
        <v>323</v>
      </c>
      <c r="G2856" s="1">
        <v>5</v>
      </c>
      <c r="H2856" s="1">
        <v>33864</v>
      </c>
      <c r="I2856" s="1">
        <v>0.15</v>
      </c>
      <c r="J2856" s="1">
        <v>143922</v>
      </c>
      <c r="K2856" s="1">
        <v>37048.769999999997</v>
      </c>
      <c r="L2856" s="1" t="s">
        <v>17</v>
      </c>
      <c r="M2856" s="1" t="str">
        <f>TEXT(Table1[[#This Row],[Order Date]],"mmm")</f>
        <v>Oct</v>
      </c>
      <c r="N2856" s="1">
        <f>YEAR(Table1[[#This Row],[Order Date]])</f>
        <v>2024</v>
      </c>
    </row>
    <row r="2857" spans="1:14" x14ac:dyDescent="0.35">
      <c r="A2857" s="1" t="s">
        <v>3648</v>
      </c>
      <c r="B2857" s="1" t="s">
        <v>153</v>
      </c>
      <c r="C2857" s="1" t="s">
        <v>507</v>
      </c>
      <c r="D2857" s="1" t="s">
        <v>108</v>
      </c>
      <c r="E2857" s="1" t="s">
        <v>22</v>
      </c>
      <c r="F2857" s="1" t="s">
        <v>108</v>
      </c>
      <c r="G2857" s="1">
        <v>7</v>
      </c>
      <c r="H2857" s="1">
        <v>25517</v>
      </c>
      <c r="I2857" s="1">
        <v>0</v>
      </c>
      <c r="J2857" s="1">
        <v>178619</v>
      </c>
      <c r="K2857" s="1">
        <v>44103.37</v>
      </c>
      <c r="L2857" s="1" t="s">
        <v>45</v>
      </c>
      <c r="M2857" s="1" t="str">
        <f>TEXT(Table1[[#This Row],[Order Date]],"mmm")</f>
        <v>Feb</v>
      </c>
      <c r="N2857" s="1">
        <f>YEAR(Table1[[#This Row],[Order Date]])</f>
        <v>2024</v>
      </c>
    </row>
    <row r="2858" spans="1:14" x14ac:dyDescent="0.35">
      <c r="A2858" s="1" t="s">
        <v>3649</v>
      </c>
      <c r="B2858" s="1" t="s">
        <v>577</v>
      </c>
      <c r="C2858" s="1" t="s">
        <v>63</v>
      </c>
      <c r="D2858" s="1" t="s">
        <v>37</v>
      </c>
      <c r="E2858" s="1" t="s">
        <v>16</v>
      </c>
      <c r="F2858" s="1" t="s">
        <v>37</v>
      </c>
      <c r="G2858" s="1">
        <v>3</v>
      </c>
      <c r="H2858" s="1">
        <v>54494</v>
      </c>
      <c r="I2858" s="1">
        <v>0</v>
      </c>
      <c r="J2858" s="1">
        <v>163482</v>
      </c>
      <c r="K2858" s="1">
        <v>26124.7</v>
      </c>
      <c r="L2858" s="1" t="s">
        <v>17</v>
      </c>
      <c r="M2858" s="1" t="str">
        <f>TEXT(Table1[[#This Row],[Order Date]],"mmm")</f>
        <v>Mar</v>
      </c>
      <c r="N2858" s="1">
        <f>YEAR(Table1[[#This Row],[Order Date]])</f>
        <v>2024</v>
      </c>
    </row>
    <row r="2859" spans="1:14" x14ac:dyDescent="0.35">
      <c r="A2859" s="1" t="s">
        <v>3650</v>
      </c>
      <c r="B2859" s="1" t="s">
        <v>478</v>
      </c>
      <c r="C2859" s="1" t="s">
        <v>162</v>
      </c>
      <c r="D2859" s="1" t="s">
        <v>48</v>
      </c>
      <c r="E2859" s="1" t="s">
        <v>16</v>
      </c>
      <c r="F2859" s="1" t="s">
        <v>48</v>
      </c>
      <c r="G2859" s="1">
        <v>9</v>
      </c>
      <c r="H2859" s="1">
        <v>7044</v>
      </c>
      <c r="I2859" s="1">
        <v>0.2</v>
      </c>
      <c r="J2859" s="1">
        <v>50716.800000000003</v>
      </c>
      <c r="K2859" s="1">
        <v>15097.16</v>
      </c>
      <c r="L2859" s="1" t="s">
        <v>70</v>
      </c>
      <c r="M2859" s="1" t="str">
        <f>TEXT(Table1[[#This Row],[Order Date]],"mmm")</f>
        <v>May</v>
      </c>
      <c r="N2859" s="1">
        <f>YEAR(Table1[[#This Row],[Order Date]])</f>
        <v>2024</v>
      </c>
    </row>
    <row r="2860" spans="1:14" x14ac:dyDescent="0.35">
      <c r="A2860" s="1" t="s">
        <v>3651</v>
      </c>
      <c r="B2860" s="1" t="s">
        <v>515</v>
      </c>
      <c r="C2860" s="1" t="s">
        <v>155</v>
      </c>
      <c r="D2860" s="1" t="s">
        <v>37</v>
      </c>
      <c r="E2860" s="1" t="s">
        <v>16</v>
      </c>
      <c r="F2860" s="1" t="s">
        <v>37</v>
      </c>
      <c r="G2860" s="1">
        <v>15</v>
      </c>
      <c r="H2860" s="1">
        <v>29635</v>
      </c>
      <c r="I2860" s="1">
        <v>0.1</v>
      </c>
      <c r="J2860" s="1">
        <v>400072.5</v>
      </c>
      <c r="K2860" s="1">
        <v>43376.53</v>
      </c>
      <c r="L2860" s="1" t="s">
        <v>17</v>
      </c>
      <c r="M2860" s="1" t="str">
        <f>TEXT(Table1[[#This Row],[Order Date]],"mmm")</f>
        <v>Apr</v>
      </c>
      <c r="N2860" s="1">
        <f>YEAR(Table1[[#This Row],[Order Date]])</f>
        <v>2024</v>
      </c>
    </row>
    <row r="2861" spans="1:14" x14ac:dyDescent="0.35">
      <c r="A2861" s="1" t="s">
        <v>3652</v>
      </c>
      <c r="B2861" s="1" t="s">
        <v>1638</v>
      </c>
      <c r="C2861" s="1" t="s">
        <v>26</v>
      </c>
      <c r="D2861" s="1" t="s">
        <v>151</v>
      </c>
      <c r="E2861" s="1" t="s">
        <v>22</v>
      </c>
      <c r="F2861" s="1" t="s">
        <v>151</v>
      </c>
      <c r="G2861" s="1">
        <v>12</v>
      </c>
      <c r="H2861" s="1">
        <v>27917</v>
      </c>
      <c r="I2861" s="1">
        <v>0.15</v>
      </c>
      <c r="J2861" s="1">
        <v>284753.40000000002</v>
      </c>
      <c r="K2861" s="1">
        <v>62061.89</v>
      </c>
      <c r="L2861" s="1" t="s">
        <v>70</v>
      </c>
      <c r="M2861" s="1" t="str">
        <f>TEXT(Table1[[#This Row],[Order Date]],"mmm")</f>
        <v>Feb</v>
      </c>
      <c r="N2861" s="1">
        <f>YEAR(Table1[[#This Row],[Order Date]])</f>
        <v>2023</v>
      </c>
    </row>
    <row r="2862" spans="1:14" x14ac:dyDescent="0.35">
      <c r="A2862" s="1" t="s">
        <v>3653</v>
      </c>
      <c r="B2862" s="1" t="s">
        <v>341</v>
      </c>
      <c r="C2862" s="1" t="s">
        <v>255</v>
      </c>
      <c r="D2862" s="1" t="s">
        <v>224</v>
      </c>
      <c r="E2862" s="1" t="s">
        <v>33</v>
      </c>
      <c r="F2862" s="1" t="s">
        <v>224</v>
      </c>
      <c r="G2862" s="1">
        <v>15</v>
      </c>
      <c r="H2862" s="1">
        <v>22158</v>
      </c>
      <c r="I2862" s="1">
        <v>0</v>
      </c>
      <c r="J2862" s="1">
        <v>332370</v>
      </c>
      <c r="K2862" s="1">
        <v>78301.62</v>
      </c>
      <c r="L2862" s="1" t="s">
        <v>45</v>
      </c>
      <c r="M2862" s="1" t="str">
        <f>TEXT(Table1[[#This Row],[Order Date]],"mmm")</f>
        <v>May</v>
      </c>
      <c r="N2862" s="1">
        <f>YEAR(Table1[[#This Row],[Order Date]])</f>
        <v>2023</v>
      </c>
    </row>
    <row r="2863" spans="1:14" x14ac:dyDescent="0.35">
      <c r="A2863" s="1" t="s">
        <v>3654</v>
      </c>
      <c r="B2863" s="1" t="s">
        <v>1423</v>
      </c>
      <c r="C2863" s="1" t="s">
        <v>51</v>
      </c>
      <c r="D2863" s="1" t="s">
        <v>21</v>
      </c>
      <c r="E2863" s="1" t="s">
        <v>22</v>
      </c>
      <c r="F2863" s="1" t="s">
        <v>21</v>
      </c>
      <c r="G2863" s="1">
        <v>1</v>
      </c>
      <c r="H2863" s="1">
        <v>31299</v>
      </c>
      <c r="I2863" s="1">
        <v>0.15</v>
      </c>
      <c r="J2863" s="1">
        <v>26604.15</v>
      </c>
      <c r="K2863" s="1">
        <v>6825.37</v>
      </c>
      <c r="L2863" s="1" t="s">
        <v>23</v>
      </c>
      <c r="M2863" s="1" t="str">
        <f>TEXT(Table1[[#This Row],[Order Date]],"mmm")</f>
        <v>Nov</v>
      </c>
      <c r="N2863" s="1">
        <f>YEAR(Table1[[#This Row],[Order Date]])</f>
        <v>2023</v>
      </c>
    </row>
    <row r="2864" spans="1:14" x14ac:dyDescent="0.35">
      <c r="A2864" s="1" t="s">
        <v>3655</v>
      </c>
      <c r="B2864" s="1" t="s">
        <v>236</v>
      </c>
      <c r="C2864" s="1" t="s">
        <v>107</v>
      </c>
      <c r="D2864" s="1" t="s">
        <v>91</v>
      </c>
      <c r="E2864" s="1" t="s">
        <v>16</v>
      </c>
      <c r="F2864" s="1" t="s">
        <v>91</v>
      </c>
      <c r="G2864" s="1">
        <v>3</v>
      </c>
      <c r="H2864" s="1">
        <v>3611</v>
      </c>
      <c r="I2864" s="1">
        <v>0</v>
      </c>
      <c r="J2864" s="1">
        <v>10833</v>
      </c>
      <c r="K2864" s="1">
        <v>1210.0999999999999</v>
      </c>
      <c r="L2864" s="1" t="s">
        <v>23</v>
      </c>
      <c r="M2864" s="1" t="str">
        <f>TEXT(Table1[[#This Row],[Order Date]],"mmm")</f>
        <v>May</v>
      </c>
      <c r="N2864" s="1">
        <f>YEAR(Table1[[#This Row],[Order Date]])</f>
        <v>2024</v>
      </c>
    </row>
    <row r="2865" spans="1:14" x14ac:dyDescent="0.35">
      <c r="A2865" s="1" t="s">
        <v>3656</v>
      </c>
      <c r="B2865" s="1" t="s">
        <v>1276</v>
      </c>
      <c r="C2865" s="1" t="s">
        <v>146</v>
      </c>
      <c r="D2865" s="1" t="s">
        <v>21</v>
      </c>
      <c r="E2865" s="1" t="s">
        <v>22</v>
      </c>
      <c r="F2865" s="1" t="s">
        <v>21</v>
      </c>
      <c r="G2865" s="1">
        <v>2</v>
      </c>
      <c r="H2865" s="1">
        <v>50826</v>
      </c>
      <c r="I2865" s="1">
        <v>0</v>
      </c>
      <c r="J2865" s="1">
        <v>101652</v>
      </c>
      <c r="K2865" s="1">
        <v>10619.96</v>
      </c>
      <c r="L2865" s="1" t="s">
        <v>70</v>
      </c>
      <c r="M2865" s="1" t="str">
        <f>TEXT(Table1[[#This Row],[Order Date]],"mmm")</f>
        <v>Apr</v>
      </c>
      <c r="N2865" s="1">
        <f>YEAR(Table1[[#This Row],[Order Date]])</f>
        <v>2023</v>
      </c>
    </row>
    <row r="2866" spans="1:14" x14ac:dyDescent="0.35">
      <c r="A2866" s="1" t="s">
        <v>3657</v>
      </c>
      <c r="B2866" s="1" t="s">
        <v>2815</v>
      </c>
      <c r="C2866" s="1" t="s">
        <v>370</v>
      </c>
      <c r="D2866" s="1" t="s">
        <v>114</v>
      </c>
      <c r="E2866" s="1" t="s">
        <v>16</v>
      </c>
      <c r="F2866" s="1" t="s">
        <v>114</v>
      </c>
      <c r="G2866" s="1">
        <v>10</v>
      </c>
      <c r="H2866" s="1">
        <v>15424</v>
      </c>
      <c r="I2866" s="1">
        <v>0.05</v>
      </c>
      <c r="J2866" s="1">
        <v>146528</v>
      </c>
      <c r="K2866" s="1">
        <v>26960.65</v>
      </c>
      <c r="L2866" s="1" t="s">
        <v>23</v>
      </c>
      <c r="M2866" s="1" t="str">
        <f>TEXT(Table1[[#This Row],[Order Date]],"mmm")</f>
        <v>Mar</v>
      </c>
      <c r="N2866" s="1">
        <f>YEAR(Table1[[#This Row],[Order Date]])</f>
        <v>2024</v>
      </c>
    </row>
    <row r="2867" spans="1:14" x14ac:dyDescent="0.35">
      <c r="A2867" s="1" t="s">
        <v>3658</v>
      </c>
      <c r="B2867" s="1" t="s">
        <v>1760</v>
      </c>
      <c r="C2867" s="1" t="s">
        <v>188</v>
      </c>
      <c r="D2867" s="1" t="s">
        <v>91</v>
      </c>
      <c r="E2867" s="1" t="s">
        <v>16</v>
      </c>
      <c r="F2867" s="1" t="s">
        <v>91</v>
      </c>
      <c r="G2867" s="1">
        <v>1</v>
      </c>
      <c r="H2867" s="1">
        <v>8920</v>
      </c>
      <c r="I2867" s="1">
        <v>0.15</v>
      </c>
      <c r="J2867" s="1">
        <v>7582</v>
      </c>
      <c r="K2867" s="1">
        <v>1779.47</v>
      </c>
      <c r="L2867" s="1" t="s">
        <v>23</v>
      </c>
      <c r="M2867" s="1" t="str">
        <f>TEXT(Table1[[#This Row],[Order Date]],"mmm")</f>
        <v>Aug</v>
      </c>
      <c r="N2867" s="1">
        <f>YEAR(Table1[[#This Row],[Order Date]])</f>
        <v>2024</v>
      </c>
    </row>
    <row r="2868" spans="1:14" x14ac:dyDescent="0.35">
      <c r="A2868" s="1" t="s">
        <v>3659</v>
      </c>
      <c r="B2868" s="1" t="s">
        <v>937</v>
      </c>
      <c r="C2868" s="1" t="s">
        <v>101</v>
      </c>
      <c r="D2868" s="1" t="s">
        <v>293</v>
      </c>
      <c r="E2868" s="1" t="s">
        <v>33</v>
      </c>
      <c r="F2868" s="1" t="s">
        <v>293</v>
      </c>
      <c r="G2868" s="1">
        <v>7</v>
      </c>
      <c r="H2868" s="1">
        <v>10766</v>
      </c>
      <c r="I2868" s="1">
        <v>0.2</v>
      </c>
      <c r="J2868" s="1">
        <v>60289.599999999999</v>
      </c>
      <c r="K2868" s="1">
        <v>16244.85</v>
      </c>
      <c r="L2868" s="1" t="s">
        <v>70</v>
      </c>
      <c r="M2868" s="1" t="str">
        <f>TEXT(Table1[[#This Row],[Order Date]],"mmm")</f>
        <v>Oct</v>
      </c>
      <c r="N2868" s="1">
        <f>YEAR(Table1[[#This Row],[Order Date]])</f>
        <v>2023</v>
      </c>
    </row>
    <row r="2869" spans="1:14" x14ac:dyDescent="0.35">
      <c r="A2869" s="1" t="s">
        <v>3660</v>
      </c>
      <c r="B2869" s="1" t="s">
        <v>522</v>
      </c>
      <c r="C2869" s="1" t="s">
        <v>98</v>
      </c>
      <c r="D2869" s="1" t="s">
        <v>32</v>
      </c>
      <c r="E2869" s="1" t="s">
        <v>33</v>
      </c>
      <c r="F2869" s="1" t="s">
        <v>32</v>
      </c>
      <c r="G2869" s="1">
        <v>2</v>
      </c>
      <c r="H2869" s="1">
        <v>11804</v>
      </c>
      <c r="I2869" s="1">
        <v>0.1</v>
      </c>
      <c r="J2869" s="1">
        <v>21247.200000000001</v>
      </c>
      <c r="K2869" s="1">
        <v>2061.0700000000002</v>
      </c>
      <c r="L2869" s="1" t="s">
        <v>23</v>
      </c>
      <c r="M2869" s="1" t="str">
        <f>TEXT(Table1[[#This Row],[Order Date]],"mmm")</f>
        <v>Jan</v>
      </c>
      <c r="N2869" s="1">
        <f>YEAR(Table1[[#This Row],[Order Date]])</f>
        <v>2023</v>
      </c>
    </row>
    <row r="2870" spans="1:14" x14ac:dyDescent="0.35">
      <c r="A2870" s="1" t="s">
        <v>3661</v>
      </c>
      <c r="B2870" s="1" t="s">
        <v>1832</v>
      </c>
      <c r="C2870" s="1" t="s">
        <v>178</v>
      </c>
      <c r="D2870" s="1" t="s">
        <v>37</v>
      </c>
      <c r="E2870" s="1" t="s">
        <v>16</v>
      </c>
      <c r="F2870" s="1" t="s">
        <v>37</v>
      </c>
      <c r="G2870" s="1">
        <v>8</v>
      </c>
      <c r="H2870" s="1">
        <v>18264</v>
      </c>
      <c r="I2870" s="1">
        <v>0</v>
      </c>
      <c r="J2870" s="1">
        <v>146112</v>
      </c>
      <c r="K2870" s="1">
        <v>18560.2</v>
      </c>
      <c r="L2870" s="1" t="s">
        <v>17</v>
      </c>
      <c r="M2870" s="1" t="str">
        <f>TEXT(Table1[[#This Row],[Order Date]],"mmm")</f>
        <v>Sep</v>
      </c>
      <c r="N2870" s="1">
        <f>YEAR(Table1[[#This Row],[Order Date]])</f>
        <v>2023</v>
      </c>
    </row>
    <row r="2871" spans="1:14" x14ac:dyDescent="0.35">
      <c r="A2871" s="1" t="s">
        <v>3662</v>
      </c>
      <c r="B2871" s="1" t="s">
        <v>1166</v>
      </c>
      <c r="C2871" s="1" t="s">
        <v>67</v>
      </c>
      <c r="D2871" s="1" t="s">
        <v>167</v>
      </c>
      <c r="E2871" s="1" t="s">
        <v>16</v>
      </c>
      <c r="F2871" s="1" t="s">
        <v>167</v>
      </c>
      <c r="G2871" s="1">
        <v>11</v>
      </c>
      <c r="H2871" s="1">
        <v>42108</v>
      </c>
      <c r="I2871" s="1">
        <v>0</v>
      </c>
      <c r="J2871" s="1">
        <v>463188</v>
      </c>
      <c r="K2871" s="1">
        <v>47154.14</v>
      </c>
      <c r="L2871" s="1" t="s">
        <v>23</v>
      </c>
      <c r="M2871" s="1" t="str">
        <f>TEXT(Table1[[#This Row],[Order Date]],"mmm")</f>
        <v>Oct</v>
      </c>
      <c r="N2871" s="1">
        <f>YEAR(Table1[[#This Row],[Order Date]])</f>
        <v>2024</v>
      </c>
    </row>
    <row r="2872" spans="1:14" x14ac:dyDescent="0.35">
      <c r="A2872" s="1" t="s">
        <v>3663</v>
      </c>
      <c r="B2872" s="1" t="s">
        <v>1131</v>
      </c>
      <c r="C2872" s="1" t="s">
        <v>73</v>
      </c>
      <c r="D2872" s="1" t="s">
        <v>60</v>
      </c>
      <c r="E2872" s="1" t="s">
        <v>33</v>
      </c>
      <c r="F2872" s="1" t="s">
        <v>60</v>
      </c>
      <c r="G2872" s="1">
        <v>5</v>
      </c>
      <c r="H2872" s="1">
        <v>3999</v>
      </c>
      <c r="I2872" s="1">
        <v>0.2</v>
      </c>
      <c r="J2872" s="1">
        <v>15996</v>
      </c>
      <c r="K2872" s="1">
        <v>4798.37</v>
      </c>
      <c r="L2872" s="1" t="s">
        <v>45</v>
      </c>
      <c r="M2872" s="1" t="str">
        <f>TEXT(Table1[[#This Row],[Order Date]],"mmm")</f>
        <v>Sep</v>
      </c>
      <c r="N2872" s="1">
        <f>YEAR(Table1[[#This Row],[Order Date]])</f>
        <v>2023</v>
      </c>
    </row>
    <row r="2873" spans="1:14" x14ac:dyDescent="0.35">
      <c r="A2873" s="1" t="s">
        <v>3664</v>
      </c>
      <c r="B2873" s="1" t="s">
        <v>1414</v>
      </c>
      <c r="C2873" s="1" t="s">
        <v>191</v>
      </c>
      <c r="D2873" s="1" t="s">
        <v>32</v>
      </c>
      <c r="E2873" s="1" t="s">
        <v>33</v>
      </c>
      <c r="F2873" s="1" t="s">
        <v>32</v>
      </c>
      <c r="G2873" s="1">
        <v>13</v>
      </c>
      <c r="H2873" s="1">
        <v>59055</v>
      </c>
      <c r="I2873" s="1">
        <v>0</v>
      </c>
      <c r="J2873" s="1">
        <v>767715</v>
      </c>
      <c r="K2873" s="1">
        <v>159803.31</v>
      </c>
      <c r="L2873" s="1" t="s">
        <v>70</v>
      </c>
      <c r="M2873" s="1" t="str">
        <f>TEXT(Table1[[#This Row],[Order Date]],"mmm")</f>
        <v>Aug</v>
      </c>
      <c r="N2873" s="1">
        <f>YEAR(Table1[[#This Row],[Order Date]])</f>
        <v>2024</v>
      </c>
    </row>
    <row r="2874" spans="1:14" x14ac:dyDescent="0.35">
      <c r="A2874" s="1" t="s">
        <v>3665</v>
      </c>
      <c r="B2874" s="1" t="s">
        <v>1652</v>
      </c>
      <c r="C2874" s="1" t="s">
        <v>175</v>
      </c>
      <c r="D2874" s="1" t="s">
        <v>114</v>
      </c>
      <c r="E2874" s="1" t="s">
        <v>16</v>
      </c>
      <c r="F2874" s="1" t="s">
        <v>114</v>
      </c>
      <c r="G2874" s="1">
        <v>1</v>
      </c>
      <c r="H2874" s="1">
        <v>49097</v>
      </c>
      <c r="I2874" s="1">
        <v>0.05</v>
      </c>
      <c r="J2874" s="1">
        <v>46642.15</v>
      </c>
      <c r="K2874" s="1">
        <v>7128.52</v>
      </c>
      <c r="L2874" s="1" t="s">
        <v>17</v>
      </c>
      <c r="M2874" s="1" t="str">
        <f>TEXT(Table1[[#This Row],[Order Date]],"mmm")</f>
        <v>Sep</v>
      </c>
      <c r="N2874" s="1">
        <f>YEAR(Table1[[#This Row],[Order Date]])</f>
        <v>2024</v>
      </c>
    </row>
    <row r="2875" spans="1:14" x14ac:dyDescent="0.35">
      <c r="A2875" s="1" t="s">
        <v>3666</v>
      </c>
      <c r="B2875" s="1" t="s">
        <v>2004</v>
      </c>
      <c r="C2875" s="1" t="s">
        <v>55</v>
      </c>
      <c r="D2875" s="1" t="s">
        <v>179</v>
      </c>
      <c r="E2875" s="1" t="s">
        <v>28</v>
      </c>
      <c r="F2875" s="1" t="s">
        <v>179</v>
      </c>
      <c r="G2875" s="1">
        <v>9</v>
      </c>
      <c r="H2875" s="1">
        <v>25892</v>
      </c>
      <c r="I2875" s="1">
        <v>0</v>
      </c>
      <c r="J2875" s="1">
        <v>233028</v>
      </c>
      <c r="K2875" s="1">
        <v>35886.81</v>
      </c>
      <c r="L2875" s="1" t="s">
        <v>23</v>
      </c>
      <c r="M2875" s="1" t="str">
        <f>TEXT(Table1[[#This Row],[Order Date]],"mmm")</f>
        <v>May</v>
      </c>
      <c r="N2875" s="1">
        <f>YEAR(Table1[[#This Row],[Order Date]])</f>
        <v>2023</v>
      </c>
    </row>
    <row r="2876" spans="1:14" x14ac:dyDescent="0.35">
      <c r="A2876" s="1" t="s">
        <v>3667</v>
      </c>
      <c r="B2876" s="1" t="s">
        <v>122</v>
      </c>
      <c r="C2876" s="1" t="s">
        <v>128</v>
      </c>
      <c r="D2876" s="1" t="s">
        <v>60</v>
      </c>
      <c r="E2876" s="1" t="s">
        <v>33</v>
      </c>
      <c r="F2876" s="1" t="s">
        <v>60</v>
      </c>
      <c r="G2876" s="1">
        <v>8</v>
      </c>
      <c r="H2876" s="1">
        <v>2127</v>
      </c>
      <c r="I2876" s="1">
        <v>0</v>
      </c>
      <c r="J2876" s="1">
        <v>17016</v>
      </c>
      <c r="K2876" s="1">
        <v>1644.8</v>
      </c>
      <c r="L2876" s="1" t="s">
        <v>23</v>
      </c>
      <c r="M2876" s="1" t="str">
        <f>TEXT(Table1[[#This Row],[Order Date]],"mmm")</f>
        <v>Jul</v>
      </c>
      <c r="N2876" s="1">
        <f>YEAR(Table1[[#This Row],[Order Date]])</f>
        <v>2024</v>
      </c>
    </row>
    <row r="2877" spans="1:14" x14ac:dyDescent="0.35">
      <c r="A2877" s="1" t="s">
        <v>3668</v>
      </c>
      <c r="B2877" s="1" t="s">
        <v>965</v>
      </c>
      <c r="C2877" s="1" t="s">
        <v>73</v>
      </c>
      <c r="D2877" s="1" t="s">
        <v>151</v>
      </c>
      <c r="E2877" s="1" t="s">
        <v>22</v>
      </c>
      <c r="F2877" s="1" t="s">
        <v>151</v>
      </c>
      <c r="G2877" s="1">
        <v>8</v>
      </c>
      <c r="H2877" s="1">
        <v>30141</v>
      </c>
      <c r="I2877" s="1">
        <v>0.15</v>
      </c>
      <c r="J2877" s="1">
        <v>204958.8</v>
      </c>
      <c r="K2877" s="1">
        <v>17183.330000000002</v>
      </c>
      <c r="L2877" s="1" t="s">
        <v>45</v>
      </c>
      <c r="M2877" s="1" t="str">
        <f>TEXT(Table1[[#This Row],[Order Date]],"mmm")</f>
        <v>Jan</v>
      </c>
      <c r="N2877" s="1">
        <f>YEAR(Table1[[#This Row],[Order Date]])</f>
        <v>2024</v>
      </c>
    </row>
    <row r="2878" spans="1:14" x14ac:dyDescent="0.35">
      <c r="A2878" s="1" t="s">
        <v>3669</v>
      </c>
      <c r="B2878" s="1" t="s">
        <v>1741</v>
      </c>
      <c r="C2878" s="1" t="s">
        <v>507</v>
      </c>
      <c r="D2878" s="1" t="s">
        <v>179</v>
      </c>
      <c r="E2878" s="1" t="s">
        <v>28</v>
      </c>
      <c r="F2878" s="1" t="s">
        <v>179</v>
      </c>
      <c r="G2878" s="1">
        <v>11</v>
      </c>
      <c r="H2878" s="1">
        <v>35682</v>
      </c>
      <c r="I2878" s="1">
        <v>0.15</v>
      </c>
      <c r="J2878" s="1">
        <v>333626.7</v>
      </c>
      <c r="K2878" s="1">
        <v>86758.720000000001</v>
      </c>
      <c r="L2878" s="1" t="s">
        <v>23</v>
      </c>
      <c r="M2878" s="1" t="str">
        <f>TEXT(Table1[[#This Row],[Order Date]],"mmm")</f>
        <v>Apr</v>
      </c>
      <c r="N2878" s="1">
        <f>YEAR(Table1[[#This Row],[Order Date]])</f>
        <v>2024</v>
      </c>
    </row>
    <row r="2879" spans="1:14" x14ac:dyDescent="0.35">
      <c r="A2879" s="1" t="s">
        <v>3670</v>
      </c>
      <c r="B2879" s="1" t="s">
        <v>921</v>
      </c>
      <c r="C2879" s="1" t="s">
        <v>117</v>
      </c>
      <c r="D2879" s="1" t="s">
        <v>27</v>
      </c>
      <c r="E2879" s="1" t="s">
        <v>28</v>
      </c>
      <c r="F2879" s="1" t="s">
        <v>27</v>
      </c>
      <c r="G2879" s="1">
        <v>13</v>
      </c>
      <c r="H2879" s="1">
        <v>38522</v>
      </c>
      <c r="I2879" s="1">
        <v>0.1</v>
      </c>
      <c r="J2879" s="1">
        <v>450707.4</v>
      </c>
      <c r="K2879" s="1">
        <v>104092.31</v>
      </c>
      <c r="L2879" s="1" t="s">
        <v>17</v>
      </c>
      <c r="M2879" s="1" t="str">
        <f>TEXT(Table1[[#This Row],[Order Date]],"mmm")</f>
        <v>Jul</v>
      </c>
      <c r="N2879" s="1">
        <f>YEAR(Table1[[#This Row],[Order Date]])</f>
        <v>2023</v>
      </c>
    </row>
    <row r="2880" spans="1:14" x14ac:dyDescent="0.35">
      <c r="A2880" s="1" t="s">
        <v>3671</v>
      </c>
      <c r="B2880" s="1" t="s">
        <v>1645</v>
      </c>
      <c r="C2880" s="1" t="s">
        <v>208</v>
      </c>
      <c r="D2880" s="1" t="s">
        <v>32</v>
      </c>
      <c r="E2880" s="1" t="s">
        <v>33</v>
      </c>
      <c r="F2880" s="1" t="s">
        <v>32</v>
      </c>
      <c r="G2880" s="1">
        <v>11</v>
      </c>
      <c r="H2880" s="1">
        <v>27288</v>
      </c>
      <c r="I2880" s="1">
        <v>0.15</v>
      </c>
      <c r="J2880" s="1">
        <v>255142.8</v>
      </c>
      <c r="K2880" s="1">
        <v>33700.720000000001</v>
      </c>
      <c r="L2880" s="1" t="s">
        <v>23</v>
      </c>
      <c r="M2880" s="1" t="str">
        <f>TEXT(Table1[[#This Row],[Order Date]],"mmm")</f>
        <v>Nov</v>
      </c>
      <c r="N2880" s="1">
        <f>YEAR(Table1[[#This Row],[Order Date]])</f>
        <v>2023</v>
      </c>
    </row>
    <row r="2881" spans="1:14" x14ac:dyDescent="0.35">
      <c r="A2881" s="1" t="s">
        <v>3672</v>
      </c>
      <c r="B2881" s="1" t="s">
        <v>2601</v>
      </c>
      <c r="C2881" s="1" t="s">
        <v>117</v>
      </c>
      <c r="D2881" s="1" t="s">
        <v>151</v>
      </c>
      <c r="E2881" s="1" t="s">
        <v>22</v>
      </c>
      <c r="F2881" s="1" t="s">
        <v>151</v>
      </c>
      <c r="G2881" s="1">
        <v>3</v>
      </c>
      <c r="H2881" s="1">
        <v>33522</v>
      </c>
      <c r="I2881" s="1">
        <v>0.2</v>
      </c>
      <c r="J2881" s="1">
        <v>80452.800000000003</v>
      </c>
      <c r="K2881" s="1">
        <v>8340.8799999999992</v>
      </c>
      <c r="L2881" s="1" t="s">
        <v>17</v>
      </c>
      <c r="M2881" s="1" t="str">
        <f>TEXT(Table1[[#This Row],[Order Date]],"mmm")</f>
        <v>Aug</v>
      </c>
      <c r="N2881" s="1">
        <f>YEAR(Table1[[#This Row],[Order Date]])</f>
        <v>2023</v>
      </c>
    </row>
    <row r="2882" spans="1:14" x14ac:dyDescent="0.35">
      <c r="A2882" s="1" t="s">
        <v>3673</v>
      </c>
      <c r="B2882" s="1" t="s">
        <v>2796</v>
      </c>
      <c r="C2882" s="1" t="s">
        <v>255</v>
      </c>
      <c r="D2882" s="1" t="s">
        <v>48</v>
      </c>
      <c r="E2882" s="1" t="s">
        <v>16</v>
      </c>
      <c r="F2882" s="1" t="s">
        <v>48</v>
      </c>
      <c r="G2882" s="1">
        <v>1</v>
      </c>
      <c r="H2882" s="1">
        <v>48132</v>
      </c>
      <c r="I2882" s="1">
        <v>0.05</v>
      </c>
      <c r="J2882" s="1">
        <v>45725.4</v>
      </c>
      <c r="K2882" s="1">
        <v>6791.58</v>
      </c>
      <c r="L2882" s="1" t="s">
        <v>70</v>
      </c>
      <c r="M2882" s="1" t="str">
        <f>TEXT(Table1[[#This Row],[Order Date]],"mmm")</f>
        <v>May</v>
      </c>
      <c r="N2882" s="1">
        <f>YEAR(Table1[[#This Row],[Order Date]])</f>
        <v>2024</v>
      </c>
    </row>
    <row r="2883" spans="1:14" x14ac:dyDescent="0.35">
      <c r="A2883" s="1" t="s">
        <v>3674</v>
      </c>
      <c r="B2883" s="1" t="s">
        <v>698</v>
      </c>
      <c r="C2883" s="1" t="s">
        <v>155</v>
      </c>
      <c r="D2883" s="1" t="s">
        <v>52</v>
      </c>
      <c r="E2883" s="1" t="s">
        <v>28</v>
      </c>
      <c r="F2883" s="1" t="s">
        <v>52</v>
      </c>
      <c r="G2883" s="1">
        <v>13</v>
      </c>
      <c r="H2883" s="1">
        <v>34910</v>
      </c>
      <c r="I2883" s="1">
        <v>0.2</v>
      </c>
      <c r="J2883" s="1">
        <v>363064</v>
      </c>
      <c r="K2883" s="1">
        <v>32449.38</v>
      </c>
      <c r="L2883" s="1" t="s">
        <v>70</v>
      </c>
      <c r="M2883" s="1" t="str">
        <f>TEXT(Table1[[#This Row],[Order Date]],"mmm")</f>
        <v>Mar</v>
      </c>
      <c r="N2883" s="1">
        <f>YEAR(Table1[[#This Row],[Order Date]])</f>
        <v>2023</v>
      </c>
    </row>
    <row r="2884" spans="1:14" x14ac:dyDescent="0.35">
      <c r="A2884" s="1" t="s">
        <v>3675</v>
      </c>
      <c r="B2884" s="1" t="s">
        <v>2915</v>
      </c>
      <c r="C2884" s="1" t="s">
        <v>14</v>
      </c>
      <c r="D2884" s="1" t="s">
        <v>85</v>
      </c>
      <c r="E2884" s="1" t="s">
        <v>28</v>
      </c>
      <c r="F2884" s="1" t="s">
        <v>85</v>
      </c>
      <c r="G2884" s="1">
        <v>15</v>
      </c>
      <c r="H2884" s="1">
        <v>8043</v>
      </c>
      <c r="I2884" s="1">
        <v>0.2</v>
      </c>
      <c r="J2884" s="1">
        <v>96516</v>
      </c>
      <c r="K2884" s="1">
        <v>27383.33</v>
      </c>
      <c r="L2884" s="1" t="s">
        <v>45</v>
      </c>
      <c r="M2884" s="1" t="str">
        <f>TEXT(Table1[[#This Row],[Order Date]],"mmm")</f>
        <v>Mar</v>
      </c>
      <c r="N2884" s="1">
        <f>YEAR(Table1[[#This Row],[Order Date]])</f>
        <v>2024</v>
      </c>
    </row>
    <row r="2885" spans="1:14" x14ac:dyDescent="0.35">
      <c r="A2885" s="1" t="s">
        <v>3676</v>
      </c>
      <c r="B2885" s="1" t="s">
        <v>859</v>
      </c>
      <c r="C2885" s="1" t="s">
        <v>31</v>
      </c>
      <c r="D2885" s="1" t="s">
        <v>108</v>
      </c>
      <c r="E2885" s="1" t="s">
        <v>22</v>
      </c>
      <c r="F2885" s="1" t="s">
        <v>108</v>
      </c>
      <c r="G2885" s="1">
        <v>6</v>
      </c>
      <c r="H2885" s="1">
        <v>28456</v>
      </c>
      <c r="I2885" s="1">
        <v>0.05</v>
      </c>
      <c r="J2885" s="1">
        <v>162199.20000000001</v>
      </c>
      <c r="K2885" s="1">
        <v>46515.87</v>
      </c>
      <c r="L2885" s="1" t="s">
        <v>45</v>
      </c>
      <c r="M2885" s="1" t="str">
        <f>TEXT(Table1[[#This Row],[Order Date]],"mmm")</f>
        <v>Mar</v>
      </c>
      <c r="N2885" s="1">
        <f>YEAR(Table1[[#This Row],[Order Date]])</f>
        <v>2023</v>
      </c>
    </row>
    <row r="2886" spans="1:14" x14ac:dyDescent="0.35">
      <c r="A2886" s="1" t="s">
        <v>3677</v>
      </c>
      <c r="B2886" s="1" t="s">
        <v>455</v>
      </c>
      <c r="C2886" s="1" t="s">
        <v>188</v>
      </c>
      <c r="D2886" s="1" t="s">
        <v>108</v>
      </c>
      <c r="E2886" s="1" t="s">
        <v>22</v>
      </c>
      <c r="F2886" s="1" t="s">
        <v>108</v>
      </c>
      <c r="G2886" s="1">
        <v>11</v>
      </c>
      <c r="H2886" s="1">
        <v>32988</v>
      </c>
      <c r="I2886" s="1">
        <v>0.15</v>
      </c>
      <c r="J2886" s="1">
        <v>308437.8</v>
      </c>
      <c r="K2886" s="1">
        <v>76845.19</v>
      </c>
      <c r="L2886" s="1" t="s">
        <v>45</v>
      </c>
      <c r="M2886" s="1" t="str">
        <f>TEXT(Table1[[#This Row],[Order Date]],"mmm")</f>
        <v>Mar</v>
      </c>
      <c r="N2886" s="1">
        <f>YEAR(Table1[[#This Row],[Order Date]])</f>
        <v>2024</v>
      </c>
    </row>
    <row r="2887" spans="1:14" x14ac:dyDescent="0.35">
      <c r="A2887" s="1" t="s">
        <v>3678</v>
      </c>
      <c r="B2887" s="1" t="s">
        <v>1121</v>
      </c>
      <c r="C2887" s="1" t="s">
        <v>136</v>
      </c>
      <c r="D2887" s="1" t="s">
        <v>41</v>
      </c>
      <c r="E2887" s="1" t="s">
        <v>16</v>
      </c>
      <c r="F2887" s="1" t="s">
        <v>41</v>
      </c>
      <c r="G2887" s="1">
        <v>2</v>
      </c>
      <c r="H2887" s="1">
        <v>10281</v>
      </c>
      <c r="I2887" s="1">
        <v>0</v>
      </c>
      <c r="J2887" s="1">
        <v>20562</v>
      </c>
      <c r="K2887" s="1">
        <v>3656.53</v>
      </c>
      <c r="L2887" s="1" t="s">
        <v>23</v>
      </c>
      <c r="M2887" s="1" t="str">
        <f>TEXT(Table1[[#This Row],[Order Date]],"mmm")</f>
        <v>Nov</v>
      </c>
      <c r="N2887" s="1">
        <f>YEAR(Table1[[#This Row],[Order Date]])</f>
        <v>2024</v>
      </c>
    </row>
    <row r="2888" spans="1:14" x14ac:dyDescent="0.35">
      <c r="A2888" s="1" t="s">
        <v>3679</v>
      </c>
      <c r="B2888" s="1" t="s">
        <v>1071</v>
      </c>
      <c r="C2888" s="1" t="s">
        <v>162</v>
      </c>
      <c r="D2888" s="1" t="s">
        <v>151</v>
      </c>
      <c r="E2888" s="1" t="s">
        <v>22</v>
      </c>
      <c r="F2888" s="1" t="s">
        <v>151</v>
      </c>
      <c r="G2888" s="1">
        <v>4</v>
      </c>
      <c r="H2888" s="1">
        <v>39390</v>
      </c>
      <c r="I2888" s="1">
        <v>0.1</v>
      </c>
      <c r="J2888" s="1">
        <v>141804</v>
      </c>
      <c r="K2888" s="1">
        <v>26345.72</v>
      </c>
      <c r="L2888" s="1" t="s">
        <v>70</v>
      </c>
      <c r="M2888" s="1" t="str">
        <f>TEXT(Table1[[#This Row],[Order Date]],"mmm")</f>
        <v>Jul</v>
      </c>
      <c r="N2888" s="1">
        <f>YEAR(Table1[[#This Row],[Order Date]])</f>
        <v>2024</v>
      </c>
    </row>
    <row r="2889" spans="1:14" x14ac:dyDescent="0.35">
      <c r="A2889" s="1" t="s">
        <v>3680</v>
      </c>
      <c r="B2889" s="1" t="s">
        <v>648</v>
      </c>
      <c r="C2889" s="1" t="s">
        <v>335</v>
      </c>
      <c r="D2889" s="1" t="s">
        <v>27</v>
      </c>
      <c r="E2889" s="1" t="s">
        <v>28</v>
      </c>
      <c r="F2889" s="1" t="s">
        <v>27</v>
      </c>
      <c r="G2889" s="1">
        <v>11</v>
      </c>
      <c r="H2889" s="1">
        <v>45822</v>
      </c>
      <c r="I2889" s="1">
        <v>0</v>
      </c>
      <c r="J2889" s="1">
        <v>504042</v>
      </c>
      <c r="K2889" s="1">
        <v>67330.11</v>
      </c>
      <c r="L2889" s="1" t="s">
        <v>45</v>
      </c>
      <c r="M2889" s="1" t="str">
        <f>TEXT(Table1[[#This Row],[Order Date]],"mmm")</f>
        <v>Jan</v>
      </c>
      <c r="N2889" s="1">
        <f>YEAR(Table1[[#This Row],[Order Date]])</f>
        <v>2024</v>
      </c>
    </row>
    <row r="2890" spans="1:14" x14ac:dyDescent="0.35">
      <c r="A2890" s="1" t="s">
        <v>3681</v>
      </c>
      <c r="B2890" s="1" t="s">
        <v>571</v>
      </c>
      <c r="C2890" s="1" t="s">
        <v>26</v>
      </c>
      <c r="D2890" s="1" t="s">
        <v>95</v>
      </c>
      <c r="E2890" s="1" t="s">
        <v>33</v>
      </c>
      <c r="F2890" s="1" t="s">
        <v>95</v>
      </c>
      <c r="G2890" s="1">
        <v>6</v>
      </c>
      <c r="H2890" s="1">
        <v>54373</v>
      </c>
      <c r="I2890" s="1">
        <v>0.1</v>
      </c>
      <c r="J2890" s="1">
        <v>293614.2</v>
      </c>
      <c r="K2890" s="1">
        <v>48111.65</v>
      </c>
      <c r="L2890" s="1" t="s">
        <v>23</v>
      </c>
      <c r="M2890" s="1" t="str">
        <f>TEXT(Table1[[#This Row],[Order Date]],"mmm")</f>
        <v>Dec</v>
      </c>
      <c r="N2890" s="1">
        <f>YEAR(Table1[[#This Row],[Order Date]])</f>
        <v>2023</v>
      </c>
    </row>
    <row r="2891" spans="1:14" x14ac:dyDescent="0.35">
      <c r="A2891" s="1" t="s">
        <v>3682</v>
      </c>
      <c r="B2891" s="1" t="s">
        <v>3395</v>
      </c>
      <c r="C2891" s="1" t="s">
        <v>63</v>
      </c>
      <c r="D2891" s="1" t="s">
        <v>44</v>
      </c>
      <c r="E2891" s="1" t="s">
        <v>28</v>
      </c>
      <c r="F2891" s="1" t="s">
        <v>44</v>
      </c>
      <c r="G2891" s="1">
        <v>2</v>
      </c>
      <c r="H2891" s="1">
        <v>39411</v>
      </c>
      <c r="I2891" s="1">
        <v>0.2</v>
      </c>
      <c r="J2891" s="1">
        <v>63057.599999999999</v>
      </c>
      <c r="K2891" s="1">
        <v>11194.5</v>
      </c>
      <c r="L2891" s="1" t="s">
        <v>45</v>
      </c>
      <c r="M2891" s="1" t="str">
        <f>TEXT(Table1[[#This Row],[Order Date]],"mmm")</f>
        <v>Feb</v>
      </c>
      <c r="N2891" s="1">
        <f>YEAR(Table1[[#This Row],[Order Date]])</f>
        <v>2023</v>
      </c>
    </row>
    <row r="2892" spans="1:14" x14ac:dyDescent="0.35">
      <c r="A2892" s="1" t="s">
        <v>3683</v>
      </c>
      <c r="B2892" s="1" t="s">
        <v>1301</v>
      </c>
      <c r="C2892" s="1" t="s">
        <v>200</v>
      </c>
      <c r="D2892" s="1" t="s">
        <v>44</v>
      </c>
      <c r="E2892" s="1" t="s">
        <v>28</v>
      </c>
      <c r="F2892" s="1" t="s">
        <v>44</v>
      </c>
      <c r="G2892" s="1">
        <v>2</v>
      </c>
      <c r="H2892" s="1">
        <v>44445</v>
      </c>
      <c r="I2892" s="1">
        <v>0.05</v>
      </c>
      <c r="J2892" s="1">
        <v>84445.5</v>
      </c>
      <c r="K2892" s="1">
        <v>17610.28</v>
      </c>
      <c r="L2892" s="1" t="s">
        <v>23</v>
      </c>
      <c r="M2892" s="1" t="str">
        <f>TEXT(Table1[[#This Row],[Order Date]],"mmm")</f>
        <v>Jul</v>
      </c>
      <c r="N2892" s="1">
        <f>YEAR(Table1[[#This Row],[Order Date]])</f>
        <v>2024</v>
      </c>
    </row>
    <row r="2893" spans="1:14" x14ac:dyDescent="0.35">
      <c r="A2893" s="1" t="s">
        <v>3684</v>
      </c>
      <c r="B2893" s="1" t="s">
        <v>1652</v>
      </c>
      <c r="C2893" s="1" t="s">
        <v>55</v>
      </c>
      <c r="D2893" s="1" t="s">
        <v>48</v>
      </c>
      <c r="E2893" s="1" t="s">
        <v>16</v>
      </c>
      <c r="F2893" s="1" t="s">
        <v>48</v>
      </c>
      <c r="G2893" s="1">
        <v>4</v>
      </c>
      <c r="H2893" s="1">
        <v>9556</v>
      </c>
      <c r="I2893" s="1">
        <v>0.2</v>
      </c>
      <c r="J2893" s="1">
        <v>30579.200000000001</v>
      </c>
      <c r="K2893" s="1">
        <v>5396.38</v>
      </c>
      <c r="L2893" s="1" t="s">
        <v>17</v>
      </c>
      <c r="M2893" s="1" t="str">
        <f>TEXT(Table1[[#This Row],[Order Date]],"mmm")</f>
        <v>Sep</v>
      </c>
      <c r="N2893" s="1">
        <f>YEAR(Table1[[#This Row],[Order Date]])</f>
        <v>2024</v>
      </c>
    </row>
    <row r="2894" spans="1:14" x14ac:dyDescent="0.35">
      <c r="A2894" s="1" t="s">
        <v>3685</v>
      </c>
      <c r="B2894" s="1" t="s">
        <v>1443</v>
      </c>
      <c r="C2894" s="1" t="s">
        <v>208</v>
      </c>
      <c r="D2894" s="1" t="s">
        <v>323</v>
      </c>
      <c r="E2894" s="1" t="s">
        <v>33</v>
      </c>
      <c r="F2894" s="1" t="s">
        <v>323</v>
      </c>
      <c r="G2894" s="1">
        <v>9</v>
      </c>
      <c r="H2894" s="1">
        <v>7883</v>
      </c>
      <c r="I2894" s="1">
        <v>0.05</v>
      </c>
      <c r="J2894" s="1">
        <v>67399.649999999994</v>
      </c>
      <c r="K2894" s="1">
        <v>6692.18</v>
      </c>
      <c r="L2894" s="1" t="s">
        <v>70</v>
      </c>
      <c r="M2894" s="1" t="str">
        <f>TEXT(Table1[[#This Row],[Order Date]],"mmm")</f>
        <v>Aug</v>
      </c>
      <c r="N2894" s="1">
        <f>YEAR(Table1[[#This Row],[Order Date]])</f>
        <v>2023</v>
      </c>
    </row>
    <row r="2895" spans="1:14" x14ac:dyDescent="0.35">
      <c r="A2895" s="1" t="s">
        <v>3686</v>
      </c>
      <c r="B2895" s="1" t="s">
        <v>1716</v>
      </c>
      <c r="C2895" s="1" t="s">
        <v>255</v>
      </c>
      <c r="D2895" s="1" t="s">
        <v>64</v>
      </c>
      <c r="E2895" s="1" t="s">
        <v>33</v>
      </c>
      <c r="F2895" s="1" t="s">
        <v>64</v>
      </c>
      <c r="G2895" s="1">
        <v>11</v>
      </c>
      <c r="H2895" s="1">
        <v>41828</v>
      </c>
      <c r="I2895" s="1">
        <v>0.1</v>
      </c>
      <c r="J2895" s="1">
        <v>414097.2</v>
      </c>
      <c r="K2895" s="1">
        <v>67399.75</v>
      </c>
      <c r="L2895" s="1" t="s">
        <v>23</v>
      </c>
      <c r="M2895" s="1" t="str">
        <f>TEXT(Table1[[#This Row],[Order Date]],"mmm")</f>
        <v>Jul</v>
      </c>
      <c r="N2895" s="1">
        <f>YEAR(Table1[[#This Row],[Order Date]])</f>
        <v>2024</v>
      </c>
    </row>
    <row r="2896" spans="1:14" x14ac:dyDescent="0.35">
      <c r="A2896" s="1" t="s">
        <v>3687</v>
      </c>
      <c r="B2896" s="1" t="s">
        <v>2328</v>
      </c>
      <c r="C2896" s="1" t="s">
        <v>98</v>
      </c>
      <c r="D2896" s="1" t="s">
        <v>64</v>
      </c>
      <c r="E2896" s="1" t="s">
        <v>33</v>
      </c>
      <c r="F2896" s="1" t="s">
        <v>64</v>
      </c>
      <c r="G2896" s="1">
        <v>5</v>
      </c>
      <c r="H2896" s="1">
        <v>10399</v>
      </c>
      <c r="I2896" s="1">
        <v>0.05</v>
      </c>
      <c r="J2896" s="1">
        <v>49395.25</v>
      </c>
      <c r="K2896" s="1">
        <v>7547.43</v>
      </c>
      <c r="L2896" s="1" t="s">
        <v>70</v>
      </c>
      <c r="M2896" s="1" t="str">
        <f>TEXT(Table1[[#This Row],[Order Date]],"mmm")</f>
        <v>Dec</v>
      </c>
      <c r="N2896" s="1">
        <f>YEAR(Table1[[#This Row],[Order Date]])</f>
        <v>2023</v>
      </c>
    </row>
    <row r="2897" spans="1:14" x14ac:dyDescent="0.35">
      <c r="A2897" s="1" t="s">
        <v>3688</v>
      </c>
      <c r="B2897" s="1" t="s">
        <v>889</v>
      </c>
      <c r="C2897" s="1" t="s">
        <v>158</v>
      </c>
      <c r="D2897" s="1" t="s">
        <v>224</v>
      </c>
      <c r="E2897" s="1" t="s">
        <v>33</v>
      </c>
      <c r="F2897" s="1" t="s">
        <v>224</v>
      </c>
      <c r="G2897" s="1">
        <v>5</v>
      </c>
      <c r="H2897" s="1">
        <v>21235</v>
      </c>
      <c r="I2897" s="1">
        <v>0.1</v>
      </c>
      <c r="J2897" s="1">
        <v>95557.5</v>
      </c>
      <c r="K2897" s="1">
        <v>27971.8</v>
      </c>
      <c r="L2897" s="1" t="s">
        <v>23</v>
      </c>
      <c r="M2897" s="1" t="str">
        <f>TEXT(Table1[[#This Row],[Order Date]],"mmm")</f>
        <v>Jul</v>
      </c>
      <c r="N2897" s="1">
        <f>YEAR(Table1[[#This Row],[Order Date]])</f>
        <v>2023</v>
      </c>
    </row>
    <row r="2898" spans="1:14" x14ac:dyDescent="0.35">
      <c r="A2898" s="1" t="s">
        <v>3689</v>
      </c>
      <c r="B2898" s="1" t="s">
        <v>491</v>
      </c>
      <c r="C2898" s="1" t="s">
        <v>104</v>
      </c>
      <c r="D2898" s="1" t="s">
        <v>133</v>
      </c>
      <c r="E2898" s="1" t="s">
        <v>22</v>
      </c>
      <c r="F2898" s="1" t="s">
        <v>133</v>
      </c>
      <c r="G2898" s="1">
        <v>13</v>
      </c>
      <c r="H2898" s="1">
        <v>24262</v>
      </c>
      <c r="I2898" s="1">
        <v>0.15</v>
      </c>
      <c r="J2898" s="1">
        <v>268095.09999999998</v>
      </c>
      <c r="K2898" s="1">
        <v>45289.38</v>
      </c>
      <c r="L2898" s="1" t="s">
        <v>70</v>
      </c>
      <c r="M2898" s="1" t="str">
        <f>TEXT(Table1[[#This Row],[Order Date]],"mmm")</f>
        <v>Aug</v>
      </c>
      <c r="N2898" s="1">
        <f>YEAR(Table1[[#This Row],[Order Date]])</f>
        <v>2024</v>
      </c>
    </row>
    <row r="2899" spans="1:14" x14ac:dyDescent="0.35">
      <c r="A2899" s="1" t="s">
        <v>3690</v>
      </c>
      <c r="B2899" s="1" t="s">
        <v>419</v>
      </c>
      <c r="C2899" s="1" t="s">
        <v>640</v>
      </c>
      <c r="D2899" s="1" t="s">
        <v>167</v>
      </c>
      <c r="E2899" s="1" t="s">
        <v>16</v>
      </c>
      <c r="F2899" s="1" t="s">
        <v>167</v>
      </c>
      <c r="G2899" s="1">
        <v>5</v>
      </c>
      <c r="H2899" s="1">
        <v>11810</v>
      </c>
      <c r="I2899" s="1">
        <v>0.1</v>
      </c>
      <c r="J2899" s="1">
        <v>53145</v>
      </c>
      <c r="K2899" s="1">
        <v>8481.5499999999993</v>
      </c>
      <c r="L2899" s="1" t="s">
        <v>17</v>
      </c>
      <c r="M2899" s="1" t="str">
        <f>TEXT(Table1[[#This Row],[Order Date]],"mmm")</f>
        <v>Feb</v>
      </c>
      <c r="N2899" s="1">
        <f>YEAR(Table1[[#This Row],[Order Date]])</f>
        <v>2024</v>
      </c>
    </row>
    <row r="2900" spans="1:14" x14ac:dyDescent="0.35">
      <c r="A2900" s="1" t="s">
        <v>3691</v>
      </c>
      <c r="B2900" s="1" t="s">
        <v>2099</v>
      </c>
      <c r="C2900" s="1" t="s">
        <v>55</v>
      </c>
      <c r="D2900" s="1" t="s">
        <v>52</v>
      </c>
      <c r="E2900" s="1" t="s">
        <v>28</v>
      </c>
      <c r="F2900" s="1" t="s">
        <v>52</v>
      </c>
      <c r="G2900" s="1">
        <v>8</v>
      </c>
      <c r="H2900" s="1">
        <v>52830</v>
      </c>
      <c r="I2900" s="1">
        <v>0.2</v>
      </c>
      <c r="J2900" s="1">
        <v>338112</v>
      </c>
      <c r="K2900" s="1">
        <v>99337.41</v>
      </c>
      <c r="L2900" s="1" t="s">
        <v>23</v>
      </c>
      <c r="M2900" s="1" t="str">
        <f>TEXT(Table1[[#This Row],[Order Date]],"mmm")</f>
        <v>Jan</v>
      </c>
      <c r="N2900" s="1">
        <f>YEAR(Table1[[#This Row],[Order Date]])</f>
        <v>2024</v>
      </c>
    </row>
    <row r="2901" spans="1:14" x14ac:dyDescent="0.35">
      <c r="A2901" s="1" t="s">
        <v>3692</v>
      </c>
      <c r="B2901" s="1" t="s">
        <v>1545</v>
      </c>
      <c r="C2901" s="1" t="s">
        <v>26</v>
      </c>
      <c r="D2901" s="1" t="s">
        <v>78</v>
      </c>
      <c r="E2901" s="1" t="s">
        <v>28</v>
      </c>
      <c r="F2901" s="1" t="s">
        <v>78</v>
      </c>
      <c r="G2901" s="1">
        <v>11</v>
      </c>
      <c r="H2901" s="1">
        <v>43047</v>
      </c>
      <c r="I2901" s="1">
        <v>0.15</v>
      </c>
      <c r="J2901" s="1">
        <v>402489.45</v>
      </c>
      <c r="K2901" s="1">
        <v>90363.96</v>
      </c>
      <c r="L2901" s="1" t="s">
        <v>17</v>
      </c>
      <c r="M2901" s="1" t="str">
        <f>TEXT(Table1[[#This Row],[Order Date]],"mmm")</f>
        <v>May</v>
      </c>
      <c r="N2901" s="1">
        <f>YEAR(Table1[[#This Row],[Order Date]])</f>
        <v>2023</v>
      </c>
    </row>
    <row r="2902" spans="1:14" x14ac:dyDescent="0.35">
      <c r="A2902" s="1" t="s">
        <v>3693</v>
      </c>
      <c r="B2902" s="1" t="s">
        <v>692</v>
      </c>
      <c r="C2902" s="1" t="s">
        <v>40</v>
      </c>
      <c r="D2902" s="1" t="s">
        <v>91</v>
      </c>
      <c r="E2902" s="1" t="s">
        <v>16</v>
      </c>
      <c r="F2902" s="1" t="s">
        <v>91</v>
      </c>
      <c r="G2902" s="1">
        <v>8</v>
      </c>
      <c r="H2902" s="1">
        <v>15482</v>
      </c>
      <c r="I2902" s="1">
        <v>0.2</v>
      </c>
      <c r="J2902" s="1">
        <v>99084.800000000003</v>
      </c>
      <c r="K2902" s="1">
        <v>10604.5</v>
      </c>
      <c r="L2902" s="1" t="s">
        <v>17</v>
      </c>
      <c r="M2902" s="1" t="str">
        <f>TEXT(Table1[[#This Row],[Order Date]],"mmm")</f>
        <v>Nov</v>
      </c>
      <c r="N2902" s="1">
        <f>YEAR(Table1[[#This Row],[Order Date]])</f>
        <v>2023</v>
      </c>
    </row>
    <row r="2903" spans="1:14" x14ac:dyDescent="0.35">
      <c r="A2903" s="1" t="s">
        <v>3694</v>
      </c>
      <c r="B2903" s="1" t="s">
        <v>3000</v>
      </c>
      <c r="C2903" s="1" t="s">
        <v>188</v>
      </c>
      <c r="D2903" s="1" t="s">
        <v>179</v>
      </c>
      <c r="E2903" s="1" t="s">
        <v>28</v>
      </c>
      <c r="F2903" s="1" t="s">
        <v>179</v>
      </c>
      <c r="G2903" s="1">
        <v>5</v>
      </c>
      <c r="H2903" s="1">
        <v>8361</v>
      </c>
      <c r="I2903" s="1">
        <v>0</v>
      </c>
      <c r="J2903" s="1">
        <v>41805</v>
      </c>
      <c r="K2903" s="1">
        <v>10897.76</v>
      </c>
      <c r="L2903" s="1" t="s">
        <v>45</v>
      </c>
      <c r="M2903" s="1" t="str">
        <f>TEXT(Table1[[#This Row],[Order Date]],"mmm")</f>
        <v>Mar</v>
      </c>
      <c r="N2903" s="1">
        <f>YEAR(Table1[[#This Row],[Order Date]])</f>
        <v>2024</v>
      </c>
    </row>
    <row r="2904" spans="1:14" x14ac:dyDescent="0.35">
      <c r="A2904" s="1" t="s">
        <v>3695</v>
      </c>
      <c r="B2904" s="1" t="s">
        <v>442</v>
      </c>
      <c r="C2904" s="1" t="s">
        <v>51</v>
      </c>
      <c r="D2904" s="1" t="s">
        <v>114</v>
      </c>
      <c r="E2904" s="1" t="s">
        <v>16</v>
      </c>
      <c r="F2904" s="1" t="s">
        <v>114</v>
      </c>
      <c r="G2904" s="1">
        <v>4</v>
      </c>
      <c r="H2904" s="1">
        <v>42046</v>
      </c>
      <c r="I2904" s="1">
        <v>0.2</v>
      </c>
      <c r="J2904" s="1">
        <v>134547.20000000001</v>
      </c>
      <c r="K2904" s="1">
        <v>14799</v>
      </c>
      <c r="L2904" s="1" t="s">
        <v>17</v>
      </c>
      <c r="M2904" s="1" t="str">
        <f>TEXT(Table1[[#This Row],[Order Date]],"mmm")</f>
        <v>Jul</v>
      </c>
      <c r="N2904" s="1">
        <f>YEAR(Table1[[#This Row],[Order Date]])</f>
        <v>2024</v>
      </c>
    </row>
    <row r="2905" spans="1:14" x14ac:dyDescent="0.35">
      <c r="A2905" s="1" t="s">
        <v>3696</v>
      </c>
      <c r="B2905" s="1" t="s">
        <v>2328</v>
      </c>
      <c r="C2905" s="1" t="s">
        <v>20</v>
      </c>
      <c r="D2905" s="1" t="s">
        <v>224</v>
      </c>
      <c r="E2905" s="1" t="s">
        <v>33</v>
      </c>
      <c r="F2905" s="1" t="s">
        <v>224</v>
      </c>
      <c r="G2905" s="1">
        <v>5</v>
      </c>
      <c r="H2905" s="1">
        <v>54445</v>
      </c>
      <c r="I2905" s="1">
        <v>0.05</v>
      </c>
      <c r="J2905" s="1">
        <v>258613.75</v>
      </c>
      <c r="K2905" s="1">
        <v>47282.21</v>
      </c>
      <c r="L2905" s="1" t="s">
        <v>23</v>
      </c>
      <c r="M2905" s="1" t="str">
        <f>TEXT(Table1[[#This Row],[Order Date]],"mmm")</f>
        <v>Dec</v>
      </c>
      <c r="N2905" s="1">
        <f>YEAR(Table1[[#This Row],[Order Date]])</f>
        <v>2023</v>
      </c>
    </row>
    <row r="2906" spans="1:14" x14ac:dyDescent="0.35">
      <c r="A2906" s="1" t="s">
        <v>3697</v>
      </c>
      <c r="B2906" s="1" t="s">
        <v>763</v>
      </c>
      <c r="C2906" s="1" t="s">
        <v>101</v>
      </c>
      <c r="D2906" s="1" t="s">
        <v>323</v>
      </c>
      <c r="E2906" s="1" t="s">
        <v>33</v>
      </c>
      <c r="F2906" s="1" t="s">
        <v>323</v>
      </c>
      <c r="G2906" s="1">
        <v>7</v>
      </c>
      <c r="H2906" s="1">
        <v>59171</v>
      </c>
      <c r="I2906" s="1">
        <v>0.15</v>
      </c>
      <c r="J2906" s="1">
        <v>352067.45</v>
      </c>
      <c r="K2906" s="1">
        <v>86904.17</v>
      </c>
      <c r="L2906" s="1" t="s">
        <v>23</v>
      </c>
      <c r="M2906" s="1" t="str">
        <f>TEXT(Table1[[#This Row],[Order Date]],"mmm")</f>
        <v>Oct</v>
      </c>
      <c r="N2906" s="1">
        <f>YEAR(Table1[[#This Row],[Order Date]])</f>
        <v>2024</v>
      </c>
    </row>
    <row r="2907" spans="1:14" x14ac:dyDescent="0.35">
      <c r="A2907" s="1" t="s">
        <v>3698</v>
      </c>
      <c r="B2907" s="1" t="s">
        <v>312</v>
      </c>
      <c r="C2907" s="1" t="s">
        <v>14</v>
      </c>
      <c r="D2907" s="1" t="s">
        <v>293</v>
      </c>
      <c r="E2907" s="1" t="s">
        <v>33</v>
      </c>
      <c r="F2907" s="1" t="s">
        <v>293</v>
      </c>
      <c r="G2907" s="1">
        <v>11</v>
      </c>
      <c r="H2907" s="1">
        <v>40050</v>
      </c>
      <c r="I2907" s="1">
        <v>0.1</v>
      </c>
      <c r="J2907" s="1">
        <v>396495</v>
      </c>
      <c r="K2907" s="1">
        <v>111575.97</v>
      </c>
      <c r="L2907" s="1" t="s">
        <v>17</v>
      </c>
      <c r="M2907" s="1" t="str">
        <f>TEXT(Table1[[#This Row],[Order Date]],"mmm")</f>
        <v>May</v>
      </c>
      <c r="N2907" s="1">
        <f>YEAR(Table1[[#This Row],[Order Date]])</f>
        <v>2024</v>
      </c>
    </row>
    <row r="2908" spans="1:14" x14ac:dyDescent="0.35">
      <c r="A2908" s="1" t="s">
        <v>3699</v>
      </c>
      <c r="B2908" s="1" t="s">
        <v>272</v>
      </c>
      <c r="C2908" s="1" t="s">
        <v>67</v>
      </c>
      <c r="D2908" s="1" t="s">
        <v>95</v>
      </c>
      <c r="E2908" s="1" t="s">
        <v>33</v>
      </c>
      <c r="F2908" s="1" t="s">
        <v>95</v>
      </c>
      <c r="G2908" s="1">
        <v>10</v>
      </c>
      <c r="H2908" s="1">
        <v>24327</v>
      </c>
      <c r="I2908" s="1">
        <v>0.1</v>
      </c>
      <c r="J2908" s="1">
        <v>218943</v>
      </c>
      <c r="K2908" s="1">
        <v>29771.32</v>
      </c>
      <c r="L2908" s="1" t="s">
        <v>45</v>
      </c>
      <c r="M2908" s="1" t="str">
        <f>TEXT(Table1[[#This Row],[Order Date]],"mmm")</f>
        <v>Jun</v>
      </c>
      <c r="N2908" s="1">
        <f>YEAR(Table1[[#This Row],[Order Date]])</f>
        <v>2023</v>
      </c>
    </row>
    <row r="2909" spans="1:14" x14ac:dyDescent="0.35">
      <c r="A2909" s="1" t="s">
        <v>3700</v>
      </c>
      <c r="B2909" s="1" t="s">
        <v>127</v>
      </c>
      <c r="C2909" s="1" t="s">
        <v>117</v>
      </c>
      <c r="D2909" s="1" t="s">
        <v>108</v>
      </c>
      <c r="E2909" s="1" t="s">
        <v>22</v>
      </c>
      <c r="F2909" s="1" t="s">
        <v>108</v>
      </c>
      <c r="G2909" s="1">
        <v>13</v>
      </c>
      <c r="H2909" s="1">
        <v>40848</v>
      </c>
      <c r="I2909" s="1">
        <v>0.2</v>
      </c>
      <c r="J2909" s="1">
        <v>424819.20000000001</v>
      </c>
      <c r="K2909" s="1">
        <v>87588.79</v>
      </c>
      <c r="L2909" s="1" t="s">
        <v>45</v>
      </c>
      <c r="M2909" s="1" t="str">
        <f>TEXT(Table1[[#This Row],[Order Date]],"mmm")</f>
        <v>Nov</v>
      </c>
      <c r="N2909" s="1">
        <f>YEAR(Table1[[#This Row],[Order Date]])</f>
        <v>2024</v>
      </c>
    </row>
    <row r="2910" spans="1:14" x14ac:dyDescent="0.35">
      <c r="A2910" s="1" t="s">
        <v>3701</v>
      </c>
      <c r="B2910" s="1" t="s">
        <v>1907</v>
      </c>
      <c r="C2910" s="1" t="s">
        <v>14</v>
      </c>
      <c r="D2910" s="1" t="s">
        <v>78</v>
      </c>
      <c r="E2910" s="1" t="s">
        <v>28</v>
      </c>
      <c r="F2910" s="1" t="s">
        <v>78</v>
      </c>
      <c r="G2910" s="1">
        <v>7</v>
      </c>
      <c r="H2910" s="1">
        <v>32616</v>
      </c>
      <c r="I2910" s="1">
        <v>0</v>
      </c>
      <c r="J2910" s="1">
        <v>228312</v>
      </c>
      <c r="K2910" s="1">
        <v>57239.65</v>
      </c>
      <c r="L2910" s="1" t="s">
        <v>23</v>
      </c>
      <c r="M2910" s="1" t="str">
        <f>TEXT(Table1[[#This Row],[Order Date]],"mmm")</f>
        <v>Jan</v>
      </c>
      <c r="N2910" s="1">
        <f>YEAR(Table1[[#This Row],[Order Date]])</f>
        <v>2024</v>
      </c>
    </row>
    <row r="2911" spans="1:14" x14ac:dyDescent="0.35">
      <c r="A2911" s="1" t="s">
        <v>3702</v>
      </c>
      <c r="B2911" s="1" t="s">
        <v>47</v>
      </c>
      <c r="C2911" s="1" t="s">
        <v>20</v>
      </c>
      <c r="D2911" s="1" t="s">
        <v>64</v>
      </c>
      <c r="E2911" s="1" t="s">
        <v>33</v>
      </c>
      <c r="F2911" s="1" t="s">
        <v>64</v>
      </c>
      <c r="G2911" s="1">
        <v>7</v>
      </c>
      <c r="H2911" s="1">
        <v>46065</v>
      </c>
      <c r="I2911" s="1">
        <v>0.15</v>
      </c>
      <c r="J2911" s="1">
        <v>274086.75</v>
      </c>
      <c r="K2911" s="1">
        <v>52235.87</v>
      </c>
      <c r="L2911" s="1" t="s">
        <v>23</v>
      </c>
      <c r="M2911" s="1" t="str">
        <f>TEXT(Table1[[#This Row],[Order Date]],"mmm")</f>
        <v>May</v>
      </c>
      <c r="N2911" s="1">
        <f>YEAR(Table1[[#This Row],[Order Date]])</f>
        <v>2023</v>
      </c>
    </row>
    <row r="2912" spans="1:14" x14ac:dyDescent="0.35">
      <c r="A2912" s="1" t="s">
        <v>3703</v>
      </c>
      <c r="B2912" s="1" t="s">
        <v>343</v>
      </c>
      <c r="C2912" s="1" t="s">
        <v>349</v>
      </c>
      <c r="D2912" s="1" t="s">
        <v>133</v>
      </c>
      <c r="E2912" s="1" t="s">
        <v>22</v>
      </c>
      <c r="F2912" s="1" t="s">
        <v>133</v>
      </c>
      <c r="G2912" s="1">
        <v>1</v>
      </c>
      <c r="H2912" s="1">
        <v>8465</v>
      </c>
      <c r="I2912" s="1">
        <v>0.1</v>
      </c>
      <c r="J2912" s="1">
        <v>7618.5</v>
      </c>
      <c r="K2912" s="1">
        <v>1135.1300000000001</v>
      </c>
      <c r="L2912" s="1" t="s">
        <v>45</v>
      </c>
      <c r="M2912" s="1" t="str">
        <f>TEXT(Table1[[#This Row],[Order Date]],"mmm")</f>
        <v>Feb</v>
      </c>
      <c r="N2912" s="1">
        <f>YEAR(Table1[[#This Row],[Order Date]])</f>
        <v>2024</v>
      </c>
    </row>
    <row r="2913" spans="1:14" x14ac:dyDescent="0.35">
      <c r="A2913" s="1" t="s">
        <v>3704</v>
      </c>
      <c r="B2913" s="1" t="s">
        <v>528</v>
      </c>
      <c r="C2913" s="1" t="s">
        <v>120</v>
      </c>
      <c r="D2913" s="1" t="s">
        <v>167</v>
      </c>
      <c r="E2913" s="1" t="s">
        <v>16</v>
      </c>
      <c r="F2913" s="1" t="s">
        <v>167</v>
      </c>
      <c r="G2913" s="1">
        <v>2</v>
      </c>
      <c r="H2913" s="1">
        <v>24389</v>
      </c>
      <c r="I2913" s="1">
        <v>0.1</v>
      </c>
      <c r="J2913" s="1">
        <v>43900.2</v>
      </c>
      <c r="K2913" s="1">
        <v>11706.81</v>
      </c>
      <c r="L2913" s="1" t="s">
        <v>70</v>
      </c>
      <c r="M2913" s="1" t="str">
        <f>TEXT(Table1[[#This Row],[Order Date]],"mmm")</f>
        <v>Feb</v>
      </c>
      <c r="N2913" s="1">
        <f>YEAR(Table1[[#This Row],[Order Date]])</f>
        <v>2024</v>
      </c>
    </row>
    <row r="2914" spans="1:14" x14ac:dyDescent="0.35">
      <c r="A2914" s="1" t="s">
        <v>3705</v>
      </c>
      <c r="B2914" s="1" t="s">
        <v>207</v>
      </c>
      <c r="C2914" s="1" t="s">
        <v>31</v>
      </c>
      <c r="D2914" s="1" t="s">
        <v>27</v>
      </c>
      <c r="E2914" s="1" t="s">
        <v>28</v>
      </c>
      <c r="F2914" s="1" t="s">
        <v>27</v>
      </c>
      <c r="G2914" s="1">
        <v>9</v>
      </c>
      <c r="H2914" s="1">
        <v>20425</v>
      </c>
      <c r="I2914" s="1">
        <v>0.05</v>
      </c>
      <c r="J2914" s="1">
        <v>174633.75</v>
      </c>
      <c r="K2914" s="1">
        <v>49099.360000000001</v>
      </c>
      <c r="L2914" s="1" t="s">
        <v>45</v>
      </c>
      <c r="M2914" s="1" t="str">
        <f>TEXT(Table1[[#This Row],[Order Date]],"mmm")</f>
        <v>Jun</v>
      </c>
      <c r="N2914" s="1">
        <f>YEAR(Table1[[#This Row],[Order Date]])</f>
        <v>2024</v>
      </c>
    </row>
    <row r="2915" spans="1:14" x14ac:dyDescent="0.35">
      <c r="A2915" s="1" t="s">
        <v>3706</v>
      </c>
      <c r="B2915" s="1" t="s">
        <v>3353</v>
      </c>
      <c r="C2915" s="1" t="s">
        <v>40</v>
      </c>
      <c r="D2915" s="1" t="s">
        <v>74</v>
      </c>
      <c r="E2915" s="1" t="s">
        <v>22</v>
      </c>
      <c r="F2915" s="1" t="s">
        <v>74</v>
      </c>
      <c r="G2915" s="1">
        <v>8</v>
      </c>
      <c r="H2915" s="1">
        <v>41353</v>
      </c>
      <c r="I2915" s="1">
        <v>0.15</v>
      </c>
      <c r="J2915" s="1">
        <v>281200.40000000002</v>
      </c>
      <c r="K2915" s="1">
        <v>73870.17</v>
      </c>
      <c r="L2915" s="1" t="s">
        <v>70</v>
      </c>
      <c r="M2915" s="1" t="str">
        <f>TEXT(Table1[[#This Row],[Order Date]],"mmm")</f>
        <v>Sep</v>
      </c>
      <c r="N2915" s="1">
        <f>YEAR(Table1[[#This Row],[Order Date]])</f>
        <v>2023</v>
      </c>
    </row>
    <row r="2916" spans="1:14" x14ac:dyDescent="0.35">
      <c r="A2916" s="1" t="s">
        <v>3707</v>
      </c>
      <c r="B2916" s="1" t="s">
        <v>1025</v>
      </c>
      <c r="C2916" s="1" t="s">
        <v>55</v>
      </c>
      <c r="D2916" s="1" t="s">
        <v>60</v>
      </c>
      <c r="E2916" s="1" t="s">
        <v>33</v>
      </c>
      <c r="F2916" s="1" t="s">
        <v>60</v>
      </c>
      <c r="G2916" s="1">
        <v>1</v>
      </c>
      <c r="H2916" s="1">
        <v>11478</v>
      </c>
      <c r="I2916" s="1">
        <v>0.2</v>
      </c>
      <c r="J2916" s="1">
        <v>9182.4</v>
      </c>
      <c r="K2916" s="1">
        <v>859.08</v>
      </c>
      <c r="L2916" s="1" t="s">
        <v>70</v>
      </c>
      <c r="M2916" s="1" t="str">
        <f>TEXT(Table1[[#This Row],[Order Date]],"mmm")</f>
        <v>Mar</v>
      </c>
      <c r="N2916" s="1">
        <f>YEAR(Table1[[#This Row],[Order Date]])</f>
        <v>2023</v>
      </c>
    </row>
    <row r="2917" spans="1:14" x14ac:dyDescent="0.35">
      <c r="A2917" s="1" t="s">
        <v>3708</v>
      </c>
      <c r="B2917" s="1" t="s">
        <v>248</v>
      </c>
      <c r="C2917" s="1" t="s">
        <v>255</v>
      </c>
      <c r="D2917" s="1" t="s">
        <v>21</v>
      </c>
      <c r="E2917" s="1" t="s">
        <v>22</v>
      </c>
      <c r="F2917" s="1" t="s">
        <v>21</v>
      </c>
      <c r="G2917" s="1">
        <v>14</v>
      </c>
      <c r="H2917" s="1">
        <v>46190</v>
      </c>
      <c r="I2917" s="1">
        <v>0.05</v>
      </c>
      <c r="J2917" s="1">
        <v>614327</v>
      </c>
      <c r="K2917" s="1">
        <v>111295.82</v>
      </c>
      <c r="L2917" s="1" t="s">
        <v>23</v>
      </c>
      <c r="M2917" s="1" t="str">
        <f>TEXT(Table1[[#This Row],[Order Date]],"mmm")</f>
        <v>Oct</v>
      </c>
      <c r="N2917" s="1">
        <f>YEAR(Table1[[#This Row],[Order Date]])</f>
        <v>2024</v>
      </c>
    </row>
    <row r="2918" spans="1:14" x14ac:dyDescent="0.35">
      <c r="A2918" s="1" t="s">
        <v>3709</v>
      </c>
      <c r="B2918" s="1" t="s">
        <v>571</v>
      </c>
      <c r="C2918" s="1" t="s">
        <v>260</v>
      </c>
      <c r="D2918" s="1" t="s">
        <v>85</v>
      </c>
      <c r="E2918" s="1" t="s">
        <v>28</v>
      </c>
      <c r="F2918" s="1" t="s">
        <v>85</v>
      </c>
      <c r="G2918" s="1">
        <v>15</v>
      </c>
      <c r="H2918" s="1">
        <v>56294</v>
      </c>
      <c r="I2918" s="1">
        <v>0.1</v>
      </c>
      <c r="J2918" s="1">
        <v>759969</v>
      </c>
      <c r="K2918" s="1">
        <v>130004.18</v>
      </c>
      <c r="L2918" s="1" t="s">
        <v>45</v>
      </c>
      <c r="M2918" s="1" t="str">
        <f>TEXT(Table1[[#This Row],[Order Date]],"mmm")</f>
        <v>Dec</v>
      </c>
      <c r="N2918" s="1">
        <f>YEAR(Table1[[#This Row],[Order Date]])</f>
        <v>2023</v>
      </c>
    </row>
    <row r="2919" spans="1:14" x14ac:dyDescent="0.35">
      <c r="A2919" s="1" t="s">
        <v>3710</v>
      </c>
      <c r="B2919" s="1" t="s">
        <v>1184</v>
      </c>
      <c r="C2919" s="1" t="s">
        <v>117</v>
      </c>
      <c r="D2919" s="1" t="s">
        <v>15</v>
      </c>
      <c r="E2919" s="1" t="s">
        <v>16</v>
      </c>
      <c r="F2919" s="1" t="s">
        <v>15</v>
      </c>
      <c r="G2919" s="1">
        <v>2</v>
      </c>
      <c r="H2919" s="1">
        <v>20564</v>
      </c>
      <c r="I2919" s="1">
        <v>0</v>
      </c>
      <c r="J2919" s="1">
        <v>41128</v>
      </c>
      <c r="K2919" s="1">
        <v>7537.28</v>
      </c>
      <c r="L2919" s="1" t="s">
        <v>70</v>
      </c>
      <c r="M2919" s="1" t="str">
        <f>TEXT(Table1[[#This Row],[Order Date]],"mmm")</f>
        <v>Oct</v>
      </c>
      <c r="N2919" s="1">
        <f>YEAR(Table1[[#This Row],[Order Date]])</f>
        <v>2023</v>
      </c>
    </row>
    <row r="2920" spans="1:14" x14ac:dyDescent="0.35">
      <c r="A2920" s="1" t="s">
        <v>3711</v>
      </c>
      <c r="B2920" s="1" t="s">
        <v>1054</v>
      </c>
      <c r="C2920" s="1" t="s">
        <v>507</v>
      </c>
      <c r="D2920" s="1" t="s">
        <v>41</v>
      </c>
      <c r="E2920" s="1" t="s">
        <v>16</v>
      </c>
      <c r="F2920" s="1" t="s">
        <v>41</v>
      </c>
      <c r="G2920" s="1">
        <v>7</v>
      </c>
      <c r="H2920" s="1">
        <v>19931</v>
      </c>
      <c r="I2920" s="1">
        <v>0.05</v>
      </c>
      <c r="J2920" s="1">
        <v>132541.15</v>
      </c>
      <c r="K2920" s="1">
        <v>27785.71</v>
      </c>
      <c r="L2920" s="1" t="s">
        <v>23</v>
      </c>
      <c r="M2920" s="1" t="str">
        <f>TEXT(Table1[[#This Row],[Order Date]],"mmm")</f>
        <v>Nov</v>
      </c>
      <c r="N2920" s="1">
        <f>YEAR(Table1[[#This Row],[Order Date]])</f>
        <v>2023</v>
      </c>
    </row>
    <row r="2921" spans="1:14" x14ac:dyDescent="0.35">
      <c r="A2921" s="1" t="s">
        <v>3712</v>
      </c>
      <c r="B2921" s="1" t="s">
        <v>549</v>
      </c>
      <c r="C2921" s="1" t="s">
        <v>255</v>
      </c>
      <c r="D2921" s="1" t="s">
        <v>108</v>
      </c>
      <c r="E2921" s="1" t="s">
        <v>22</v>
      </c>
      <c r="F2921" s="1" t="s">
        <v>108</v>
      </c>
      <c r="G2921" s="1">
        <v>9</v>
      </c>
      <c r="H2921" s="1">
        <v>36817</v>
      </c>
      <c r="I2921" s="1">
        <v>0.2</v>
      </c>
      <c r="J2921" s="1">
        <v>265082.40000000002</v>
      </c>
      <c r="K2921" s="1">
        <v>66005.87</v>
      </c>
      <c r="L2921" s="1" t="s">
        <v>70</v>
      </c>
      <c r="M2921" s="1" t="str">
        <f>TEXT(Table1[[#This Row],[Order Date]],"mmm")</f>
        <v>Jan</v>
      </c>
      <c r="N2921" s="1">
        <f>YEAR(Table1[[#This Row],[Order Date]])</f>
        <v>2024</v>
      </c>
    </row>
    <row r="2922" spans="1:14" x14ac:dyDescent="0.35">
      <c r="A2922" s="1" t="s">
        <v>3713</v>
      </c>
      <c r="B2922" s="1" t="s">
        <v>292</v>
      </c>
      <c r="C2922" s="1" t="s">
        <v>40</v>
      </c>
      <c r="D2922" s="1" t="s">
        <v>133</v>
      </c>
      <c r="E2922" s="1" t="s">
        <v>22</v>
      </c>
      <c r="F2922" s="1" t="s">
        <v>133</v>
      </c>
      <c r="G2922" s="1">
        <v>5</v>
      </c>
      <c r="H2922" s="1">
        <v>16425</v>
      </c>
      <c r="I2922" s="1">
        <v>0.2</v>
      </c>
      <c r="J2922" s="1">
        <v>65700</v>
      </c>
      <c r="K2922" s="1">
        <v>7729.61</v>
      </c>
      <c r="L2922" s="1" t="s">
        <v>45</v>
      </c>
      <c r="M2922" s="1" t="str">
        <f>TEXT(Table1[[#This Row],[Order Date]],"mmm")</f>
        <v>Aug</v>
      </c>
      <c r="N2922" s="1">
        <f>YEAR(Table1[[#This Row],[Order Date]])</f>
        <v>2024</v>
      </c>
    </row>
    <row r="2923" spans="1:14" x14ac:dyDescent="0.35">
      <c r="A2923" s="1" t="s">
        <v>3714</v>
      </c>
      <c r="B2923" s="1" t="s">
        <v>353</v>
      </c>
      <c r="C2923" s="1" t="s">
        <v>507</v>
      </c>
      <c r="D2923" s="1" t="s">
        <v>21</v>
      </c>
      <c r="E2923" s="1" t="s">
        <v>22</v>
      </c>
      <c r="F2923" s="1" t="s">
        <v>21</v>
      </c>
      <c r="G2923" s="1">
        <v>15</v>
      </c>
      <c r="H2923" s="1">
        <v>39454</v>
      </c>
      <c r="I2923" s="1">
        <v>0</v>
      </c>
      <c r="J2923" s="1">
        <v>591810</v>
      </c>
      <c r="K2923" s="1">
        <v>124000.81</v>
      </c>
      <c r="L2923" s="1" t="s">
        <v>70</v>
      </c>
      <c r="M2923" s="1" t="str">
        <f>TEXT(Table1[[#This Row],[Order Date]],"mmm")</f>
        <v>Apr</v>
      </c>
      <c r="N2923" s="1">
        <f>YEAR(Table1[[#This Row],[Order Date]])</f>
        <v>2024</v>
      </c>
    </row>
    <row r="2924" spans="1:14" x14ac:dyDescent="0.35">
      <c r="A2924" s="1" t="s">
        <v>3715</v>
      </c>
      <c r="B2924" s="1" t="s">
        <v>39</v>
      </c>
      <c r="C2924" s="1" t="s">
        <v>55</v>
      </c>
      <c r="D2924" s="1" t="s">
        <v>48</v>
      </c>
      <c r="E2924" s="1" t="s">
        <v>16</v>
      </c>
      <c r="F2924" s="1" t="s">
        <v>48</v>
      </c>
      <c r="G2924" s="1">
        <v>7</v>
      </c>
      <c r="H2924" s="1">
        <v>34586</v>
      </c>
      <c r="I2924" s="1">
        <v>0.1</v>
      </c>
      <c r="J2924" s="1">
        <v>217891.8</v>
      </c>
      <c r="K2924" s="1">
        <v>49917.84</v>
      </c>
      <c r="L2924" s="1" t="s">
        <v>17</v>
      </c>
      <c r="M2924" s="1" t="str">
        <f>TEXT(Table1[[#This Row],[Order Date]],"mmm")</f>
        <v>Nov</v>
      </c>
      <c r="N2924" s="1">
        <f>YEAR(Table1[[#This Row],[Order Date]])</f>
        <v>2023</v>
      </c>
    </row>
    <row r="2925" spans="1:14" x14ac:dyDescent="0.35">
      <c r="A2925" s="1" t="s">
        <v>3716</v>
      </c>
      <c r="B2925" s="1" t="s">
        <v>954</v>
      </c>
      <c r="C2925" s="1" t="s">
        <v>40</v>
      </c>
      <c r="D2925" s="1" t="s">
        <v>60</v>
      </c>
      <c r="E2925" s="1" t="s">
        <v>33</v>
      </c>
      <c r="F2925" s="1" t="s">
        <v>60</v>
      </c>
      <c r="G2925" s="1">
        <v>13</v>
      </c>
      <c r="H2925" s="1">
        <v>30620</v>
      </c>
      <c r="I2925" s="1">
        <v>0</v>
      </c>
      <c r="J2925" s="1">
        <v>398060</v>
      </c>
      <c r="K2925" s="1">
        <v>34810.15</v>
      </c>
      <c r="L2925" s="1" t="s">
        <v>23</v>
      </c>
      <c r="M2925" s="1" t="str">
        <f>TEXT(Table1[[#This Row],[Order Date]],"mmm")</f>
        <v>Jul</v>
      </c>
      <c r="N2925" s="1">
        <f>YEAR(Table1[[#This Row],[Order Date]])</f>
        <v>2024</v>
      </c>
    </row>
    <row r="2926" spans="1:14" x14ac:dyDescent="0.35">
      <c r="A2926" s="1" t="s">
        <v>3717</v>
      </c>
      <c r="B2926" s="1" t="s">
        <v>1652</v>
      </c>
      <c r="C2926" s="1" t="s">
        <v>155</v>
      </c>
      <c r="D2926" s="1" t="s">
        <v>114</v>
      </c>
      <c r="E2926" s="1" t="s">
        <v>16</v>
      </c>
      <c r="F2926" s="1" t="s">
        <v>114</v>
      </c>
      <c r="G2926" s="1">
        <v>15</v>
      </c>
      <c r="H2926" s="1">
        <v>5643</v>
      </c>
      <c r="I2926" s="1">
        <v>0</v>
      </c>
      <c r="J2926" s="1">
        <v>84645</v>
      </c>
      <c r="K2926" s="1">
        <v>23120.5</v>
      </c>
      <c r="L2926" s="1" t="s">
        <v>70</v>
      </c>
      <c r="M2926" s="1" t="str">
        <f>TEXT(Table1[[#This Row],[Order Date]],"mmm")</f>
        <v>Sep</v>
      </c>
      <c r="N2926" s="1">
        <f>YEAR(Table1[[#This Row],[Order Date]])</f>
        <v>2024</v>
      </c>
    </row>
    <row r="2927" spans="1:14" x14ac:dyDescent="0.35">
      <c r="A2927" s="1" t="s">
        <v>3718</v>
      </c>
      <c r="B2927" s="1" t="s">
        <v>1085</v>
      </c>
      <c r="C2927" s="1" t="s">
        <v>67</v>
      </c>
      <c r="D2927" s="1" t="s">
        <v>293</v>
      </c>
      <c r="E2927" s="1" t="s">
        <v>33</v>
      </c>
      <c r="F2927" s="1" t="s">
        <v>293</v>
      </c>
      <c r="G2927" s="1">
        <v>10</v>
      </c>
      <c r="H2927" s="1">
        <v>33400</v>
      </c>
      <c r="I2927" s="1">
        <v>0.05</v>
      </c>
      <c r="J2927" s="1">
        <v>317300</v>
      </c>
      <c r="K2927" s="1">
        <v>43207.47</v>
      </c>
      <c r="L2927" s="1" t="s">
        <v>45</v>
      </c>
      <c r="M2927" s="1" t="str">
        <f>TEXT(Table1[[#This Row],[Order Date]],"mmm")</f>
        <v>Aug</v>
      </c>
      <c r="N2927" s="1">
        <f>YEAR(Table1[[#This Row],[Order Date]])</f>
        <v>2023</v>
      </c>
    </row>
    <row r="2928" spans="1:14" x14ac:dyDescent="0.35">
      <c r="A2928" s="1" t="s">
        <v>3719</v>
      </c>
      <c r="B2928" s="1" t="s">
        <v>770</v>
      </c>
      <c r="C2928" s="1" t="s">
        <v>31</v>
      </c>
      <c r="D2928" s="1" t="s">
        <v>167</v>
      </c>
      <c r="E2928" s="1" t="s">
        <v>16</v>
      </c>
      <c r="F2928" s="1" t="s">
        <v>167</v>
      </c>
      <c r="G2928" s="1">
        <v>5</v>
      </c>
      <c r="H2928" s="1">
        <v>26812</v>
      </c>
      <c r="I2928" s="1">
        <v>0.05</v>
      </c>
      <c r="J2928" s="1">
        <v>127357</v>
      </c>
      <c r="K2928" s="1">
        <v>20536.46</v>
      </c>
      <c r="L2928" s="1" t="s">
        <v>70</v>
      </c>
      <c r="M2928" s="1" t="str">
        <f>TEXT(Table1[[#This Row],[Order Date]],"mmm")</f>
        <v>Feb</v>
      </c>
      <c r="N2928" s="1">
        <f>YEAR(Table1[[#This Row],[Order Date]])</f>
        <v>2024</v>
      </c>
    </row>
    <row r="2929" spans="1:14" x14ac:dyDescent="0.35">
      <c r="A2929" s="1" t="s">
        <v>3720</v>
      </c>
      <c r="B2929" s="1" t="s">
        <v>351</v>
      </c>
      <c r="C2929" s="1" t="s">
        <v>77</v>
      </c>
      <c r="D2929" s="1" t="s">
        <v>167</v>
      </c>
      <c r="E2929" s="1" t="s">
        <v>16</v>
      </c>
      <c r="F2929" s="1" t="s">
        <v>167</v>
      </c>
      <c r="G2929" s="1">
        <v>2</v>
      </c>
      <c r="H2929" s="1">
        <v>7273</v>
      </c>
      <c r="I2929" s="1">
        <v>0.15</v>
      </c>
      <c r="J2929" s="1">
        <v>12364.1</v>
      </c>
      <c r="K2929" s="1">
        <v>1077.1500000000001</v>
      </c>
      <c r="L2929" s="1" t="s">
        <v>70</v>
      </c>
      <c r="M2929" s="1" t="str">
        <f>TEXT(Table1[[#This Row],[Order Date]],"mmm")</f>
        <v>Apr</v>
      </c>
      <c r="N2929" s="1">
        <f>YEAR(Table1[[#This Row],[Order Date]])</f>
        <v>2023</v>
      </c>
    </row>
    <row r="2930" spans="1:14" x14ac:dyDescent="0.35">
      <c r="A2930" s="1" t="s">
        <v>3721</v>
      </c>
      <c r="B2930" s="1" t="s">
        <v>215</v>
      </c>
      <c r="C2930" s="1" t="s">
        <v>260</v>
      </c>
      <c r="D2930" s="1" t="s">
        <v>91</v>
      </c>
      <c r="E2930" s="1" t="s">
        <v>16</v>
      </c>
      <c r="F2930" s="1" t="s">
        <v>91</v>
      </c>
      <c r="G2930" s="1">
        <v>9</v>
      </c>
      <c r="H2930" s="1">
        <v>44012</v>
      </c>
      <c r="I2930" s="1">
        <v>0.1</v>
      </c>
      <c r="J2930" s="1">
        <v>356497.2</v>
      </c>
      <c r="K2930" s="1">
        <v>51491.24</v>
      </c>
      <c r="L2930" s="1" t="s">
        <v>17</v>
      </c>
      <c r="M2930" s="1" t="str">
        <f>TEXT(Table1[[#This Row],[Order Date]],"mmm")</f>
        <v>Jul</v>
      </c>
      <c r="N2930" s="1">
        <f>YEAR(Table1[[#This Row],[Order Date]])</f>
        <v>2024</v>
      </c>
    </row>
    <row r="2931" spans="1:14" x14ac:dyDescent="0.35">
      <c r="A2931" s="1" t="s">
        <v>3722</v>
      </c>
      <c r="B2931" s="1" t="s">
        <v>1015</v>
      </c>
      <c r="C2931" s="1" t="s">
        <v>125</v>
      </c>
      <c r="D2931" s="1" t="s">
        <v>293</v>
      </c>
      <c r="E2931" s="1" t="s">
        <v>33</v>
      </c>
      <c r="F2931" s="1" t="s">
        <v>293</v>
      </c>
      <c r="G2931" s="1">
        <v>3</v>
      </c>
      <c r="H2931" s="1">
        <v>59052</v>
      </c>
      <c r="I2931" s="1">
        <v>0.2</v>
      </c>
      <c r="J2931" s="1">
        <v>141724.79999999999</v>
      </c>
      <c r="K2931" s="1">
        <v>18696.73</v>
      </c>
      <c r="L2931" s="1" t="s">
        <v>23</v>
      </c>
      <c r="M2931" s="1" t="str">
        <f>TEXT(Table1[[#This Row],[Order Date]],"mmm")</f>
        <v>Aug</v>
      </c>
      <c r="N2931" s="1">
        <f>YEAR(Table1[[#This Row],[Order Date]])</f>
        <v>2023</v>
      </c>
    </row>
    <row r="2932" spans="1:14" x14ac:dyDescent="0.35">
      <c r="A2932" s="1" t="s">
        <v>3723</v>
      </c>
      <c r="B2932" s="1" t="s">
        <v>2197</v>
      </c>
      <c r="C2932" s="1" t="s">
        <v>162</v>
      </c>
      <c r="D2932" s="1" t="s">
        <v>64</v>
      </c>
      <c r="E2932" s="1" t="s">
        <v>33</v>
      </c>
      <c r="F2932" s="1" t="s">
        <v>64</v>
      </c>
      <c r="G2932" s="1">
        <v>4</v>
      </c>
      <c r="H2932" s="1">
        <v>54482</v>
      </c>
      <c r="I2932" s="1">
        <v>0.1</v>
      </c>
      <c r="J2932" s="1">
        <v>196135.2</v>
      </c>
      <c r="K2932" s="1">
        <v>23183.59</v>
      </c>
      <c r="L2932" s="1" t="s">
        <v>17</v>
      </c>
      <c r="M2932" s="1" t="str">
        <f>TEXT(Table1[[#This Row],[Order Date]],"mmm")</f>
        <v>Feb</v>
      </c>
      <c r="N2932" s="1">
        <f>YEAR(Table1[[#This Row],[Order Date]])</f>
        <v>2023</v>
      </c>
    </row>
    <row r="2933" spans="1:14" x14ac:dyDescent="0.35">
      <c r="A2933" s="1" t="s">
        <v>3724</v>
      </c>
      <c r="B2933" s="1" t="s">
        <v>792</v>
      </c>
      <c r="C2933" s="1" t="s">
        <v>67</v>
      </c>
      <c r="D2933" s="1" t="s">
        <v>15</v>
      </c>
      <c r="E2933" s="1" t="s">
        <v>16</v>
      </c>
      <c r="F2933" s="1" t="s">
        <v>15</v>
      </c>
      <c r="G2933" s="1">
        <v>14</v>
      </c>
      <c r="H2933" s="1">
        <v>16762</v>
      </c>
      <c r="I2933" s="1">
        <v>0</v>
      </c>
      <c r="J2933" s="1">
        <v>234668</v>
      </c>
      <c r="K2933" s="1">
        <v>43713.59</v>
      </c>
      <c r="L2933" s="1" t="s">
        <v>23</v>
      </c>
      <c r="M2933" s="1" t="str">
        <f>TEXT(Table1[[#This Row],[Order Date]],"mmm")</f>
        <v>Aug</v>
      </c>
      <c r="N2933" s="1">
        <f>YEAR(Table1[[#This Row],[Order Date]])</f>
        <v>2023</v>
      </c>
    </row>
    <row r="2934" spans="1:14" x14ac:dyDescent="0.35">
      <c r="A2934" s="1" t="s">
        <v>3725</v>
      </c>
      <c r="B2934" s="1" t="s">
        <v>1278</v>
      </c>
      <c r="C2934" s="1" t="s">
        <v>117</v>
      </c>
      <c r="D2934" s="1" t="s">
        <v>37</v>
      </c>
      <c r="E2934" s="1" t="s">
        <v>16</v>
      </c>
      <c r="F2934" s="1" t="s">
        <v>37</v>
      </c>
      <c r="G2934" s="1">
        <v>9</v>
      </c>
      <c r="H2934" s="1">
        <v>6619</v>
      </c>
      <c r="I2934" s="1">
        <v>0.15</v>
      </c>
      <c r="J2934" s="1">
        <v>50635.35</v>
      </c>
      <c r="K2934" s="1">
        <v>4957</v>
      </c>
      <c r="L2934" s="1" t="s">
        <v>70</v>
      </c>
      <c r="M2934" s="1" t="str">
        <f>TEXT(Table1[[#This Row],[Order Date]],"mmm")</f>
        <v>Aug</v>
      </c>
      <c r="N2934" s="1">
        <f>YEAR(Table1[[#This Row],[Order Date]])</f>
        <v>2023</v>
      </c>
    </row>
    <row r="2935" spans="1:14" x14ac:dyDescent="0.35">
      <c r="A2935" s="1" t="s">
        <v>3726</v>
      </c>
      <c r="B2935" s="1" t="s">
        <v>757</v>
      </c>
      <c r="C2935" s="1" t="s">
        <v>111</v>
      </c>
      <c r="D2935" s="1" t="s">
        <v>48</v>
      </c>
      <c r="E2935" s="1" t="s">
        <v>16</v>
      </c>
      <c r="F2935" s="1" t="s">
        <v>48</v>
      </c>
      <c r="G2935" s="1">
        <v>3</v>
      </c>
      <c r="H2935" s="1">
        <v>52605</v>
      </c>
      <c r="I2935" s="1">
        <v>0.1</v>
      </c>
      <c r="J2935" s="1">
        <v>142033.5</v>
      </c>
      <c r="K2935" s="1">
        <v>36855.47</v>
      </c>
      <c r="L2935" s="1" t="s">
        <v>70</v>
      </c>
      <c r="M2935" s="1" t="str">
        <f>TEXT(Table1[[#This Row],[Order Date]],"mmm")</f>
        <v>Dec</v>
      </c>
      <c r="N2935" s="1">
        <f>YEAR(Table1[[#This Row],[Order Date]])</f>
        <v>2023</v>
      </c>
    </row>
    <row r="2936" spans="1:14" x14ac:dyDescent="0.35">
      <c r="A2936" s="1" t="s">
        <v>3727</v>
      </c>
      <c r="B2936" s="1" t="s">
        <v>250</v>
      </c>
      <c r="C2936" s="1" t="s">
        <v>146</v>
      </c>
      <c r="D2936" s="1" t="s">
        <v>108</v>
      </c>
      <c r="E2936" s="1" t="s">
        <v>22</v>
      </c>
      <c r="F2936" s="1" t="s">
        <v>108</v>
      </c>
      <c r="G2936" s="1">
        <v>15</v>
      </c>
      <c r="H2936" s="1">
        <v>35022</v>
      </c>
      <c r="I2936" s="1">
        <v>0.15</v>
      </c>
      <c r="J2936" s="1">
        <v>446530.5</v>
      </c>
      <c r="K2936" s="1">
        <v>98174.93</v>
      </c>
      <c r="L2936" s="1" t="s">
        <v>70</v>
      </c>
      <c r="M2936" s="1" t="str">
        <f>TEXT(Table1[[#This Row],[Order Date]],"mmm")</f>
        <v>Aug</v>
      </c>
      <c r="N2936" s="1">
        <f>YEAR(Table1[[#This Row],[Order Date]])</f>
        <v>2023</v>
      </c>
    </row>
    <row r="2937" spans="1:14" x14ac:dyDescent="0.35">
      <c r="A2937" s="1" t="s">
        <v>3728</v>
      </c>
      <c r="B2937" s="1" t="s">
        <v>1068</v>
      </c>
      <c r="C2937" s="1" t="s">
        <v>73</v>
      </c>
      <c r="D2937" s="1" t="s">
        <v>41</v>
      </c>
      <c r="E2937" s="1" t="s">
        <v>16</v>
      </c>
      <c r="F2937" s="1" t="s">
        <v>41</v>
      </c>
      <c r="G2937" s="1">
        <v>12</v>
      </c>
      <c r="H2937" s="1">
        <v>1364</v>
      </c>
      <c r="I2937" s="1">
        <v>0</v>
      </c>
      <c r="J2937" s="1">
        <v>16368</v>
      </c>
      <c r="K2937" s="1">
        <v>3960.81</v>
      </c>
      <c r="L2937" s="1" t="s">
        <v>23</v>
      </c>
      <c r="M2937" s="1" t="str">
        <f>TEXT(Table1[[#This Row],[Order Date]],"mmm")</f>
        <v>Apr</v>
      </c>
      <c r="N2937" s="1">
        <f>YEAR(Table1[[#This Row],[Order Date]])</f>
        <v>2023</v>
      </c>
    </row>
    <row r="2938" spans="1:14" x14ac:dyDescent="0.35">
      <c r="A2938" s="1" t="s">
        <v>3729</v>
      </c>
      <c r="B2938" s="1" t="s">
        <v>846</v>
      </c>
      <c r="C2938" s="1" t="s">
        <v>640</v>
      </c>
      <c r="D2938" s="1" t="s">
        <v>44</v>
      </c>
      <c r="E2938" s="1" t="s">
        <v>28</v>
      </c>
      <c r="F2938" s="1" t="s">
        <v>44</v>
      </c>
      <c r="G2938" s="1">
        <v>2</v>
      </c>
      <c r="H2938" s="1">
        <v>2654</v>
      </c>
      <c r="I2938" s="1">
        <v>0</v>
      </c>
      <c r="J2938" s="1">
        <v>5308</v>
      </c>
      <c r="K2938" s="1">
        <v>541.41999999999996</v>
      </c>
      <c r="L2938" s="1" t="s">
        <v>45</v>
      </c>
      <c r="M2938" s="1" t="str">
        <f>TEXT(Table1[[#This Row],[Order Date]],"mmm")</f>
        <v>Aug</v>
      </c>
      <c r="N2938" s="1">
        <f>YEAR(Table1[[#This Row],[Order Date]])</f>
        <v>2024</v>
      </c>
    </row>
    <row r="2939" spans="1:14" x14ac:dyDescent="0.35">
      <c r="A2939" s="1" t="s">
        <v>3730</v>
      </c>
      <c r="B2939" s="1" t="s">
        <v>2161</v>
      </c>
      <c r="C2939" s="1" t="s">
        <v>117</v>
      </c>
      <c r="D2939" s="1" t="s">
        <v>52</v>
      </c>
      <c r="E2939" s="1" t="s">
        <v>28</v>
      </c>
      <c r="F2939" s="1" t="s">
        <v>52</v>
      </c>
      <c r="G2939" s="1">
        <v>10</v>
      </c>
      <c r="H2939" s="1">
        <v>52269</v>
      </c>
      <c r="I2939" s="1">
        <v>0.2</v>
      </c>
      <c r="J2939" s="1">
        <v>418152</v>
      </c>
      <c r="K2939" s="1">
        <v>117311</v>
      </c>
      <c r="L2939" s="1" t="s">
        <v>23</v>
      </c>
      <c r="M2939" s="1" t="str">
        <f>TEXT(Table1[[#This Row],[Order Date]],"mmm")</f>
        <v>Sep</v>
      </c>
      <c r="N2939" s="1">
        <f>YEAR(Table1[[#This Row],[Order Date]])</f>
        <v>2023</v>
      </c>
    </row>
    <row r="2940" spans="1:14" x14ac:dyDescent="0.35">
      <c r="A2940" s="1" t="s">
        <v>3731</v>
      </c>
      <c r="B2940" s="1" t="s">
        <v>853</v>
      </c>
      <c r="C2940" s="1" t="s">
        <v>98</v>
      </c>
      <c r="D2940" s="1" t="s">
        <v>91</v>
      </c>
      <c r="E2940" s="1" t="s">
        <v>16</v>
      </c>
      <c r="F2940" s="1" t="s">
        <v>91</v>
      </c>
      <c r="G2940" s="1">
        <v>9</v>
      </c>
      <c r="H2940" s="1">
        <v>14880</v>
      </c>
      <c r="I2940" s="1">
        <v>0.05</v>
      </c>
      <c r="J2940" s="1">
        <v>127224</v>
      </c>
      <c r="K2940" s="1">
        <v>20349.28</v>
      </c>
      <c r="L2940" s="1" t="s">
        <v>17</v>
      </c>
      <c r="M2940" s="1" t="str">
        <f>TEXT(Table1[[#This Row],[Order Date]],"mmm")</f>
        <v>Jun</v>
      </c>
      <c r="N2940" s="1">
        <f>YEAR(Table1[[#This Row],[Order Date]])</f>
        <v>2024</v>
      </c>
    </row>
    <row r="2941" spans="1:14" x14ac:dyDescent="0.35">
      <c r="A2941" s="1" t="s">
        <v>3732</v>
      </c>
      <c r="B2941" s="1" t="s">
        <v>608</v>
      </c>
      <c r="C2941" s="1" t="s">
        <v>155</v>
      </c>
      <c r="D2941" s="1" t="s">
        <v>91</v>
      </c>
      <c r="E2941" s="1" t="s">
        <v>16</v>
      </c>
      <c r="F2941" s="1" t="s">
        <v>91</v>
      </c>
      <c r="G2941" s="1">
        <v>10</v>
      </c>
      <c r="H2941" s="1">
        <v>13451</v>
      </c>
      <c r="I2941" s="1">
        <v>0.15</v>
      </c>
      <c r="J2941" s="1">
        <v>114333.5</v>
      </c>
      <c r="K2941" s="1">
        <v>28784.01</v>
      </c>
      <c r="L2941" s="1" t="s">
        <v>23</v>
      </c>
      <c r="M2941" s="1" t="str">
        <f>TEXT(Table1[[#This Row],[Order Date]],"mmm")</f>
        <v>May</v>
      </c>
      <c r="N2941" s="1">
        <f>YEAR(Table1[[#This Row],[Order Date]])</f>
        <v>2024</v>
      </c>
    </row>
    <row r="2942" spans="1:14" x14ac:dyDescent="0.35">
      <c r="A2942" s="1" t="s">
        <v>3733</v>
      </c>
      <c r="B2942" s="1" t="s">
        <v>3073</v>
      </c>
      <c r="C2942" s="1" t="s">
        <v>188</v>
      </c>
      <c r="D2942" s="1" t="s">
        <v>141</v>
      </c>
      <c r="E2942" s="1" t="s">
        <v>22</v>
      </c>
      <c r="F2942" s="1" t="s">
        <v>141</v>
      </c>
      <c r="G2942" s="1">
        <v>6</v>
      </c>
      <c r="H2942" s="1">
        <v>32233</v>
      </c>
      <c r="I2942" s="1">
        <v>0.2</v>
      </c>
      <c r="J2942" s="1">
        <v>154718.39999999999</v>
      </c>
      <c r="K2942" s="1">
        <v>29132.53</v>
      </c>
      <c r="L2942" s="1" t="s">
        <v>23</v>
      </c>
      <c r="M2942" s="1" t="str">
        <f>TEXT(Table1[[#This Row],[Order Date]],"mmm")</f>
        <v>Aug</v>
      </c>
      <c r="N2942" s="1">
        <f>YEAR(Table1[[#This Row],[Order Date]])</f>
        <v>2024</v>
      </c>
    </row>
    <row r="2943" spans="1:14" x14ac:dyDescent="0.35">
      <c r="A2943" s="1" t="s">
        <v>3734</v>
      </c>
      <c r="B2943" s="1" t="s">
        <v>603</v>
      </c>
      <c r="C2943" s="1" t="s">
        <v>507</v>
      </c>
      <c r="D2943" s="1" t="s">
        <v>21</v>
      </c>
      <c r="E2943" s="1" t="s">
        <v>22</v>
      </c>
      <c r="F2943" s="1" t="s">
        <v>21</v>
      </c>
      <c r="G2943" s="1">
        <v>9</v>
      </c>
      <c r="H2943" s="1">
        <v>37106</v>
      </c>
      <c r="I2943" s="1">
        <v>0.2</v>
      </c>
      <c r="J2943" s="1">
        <v>267163.2</v>
      </c>
      <c r="K2943" s="1">
        <v>41347.61</v>
      </c>
      <c r="L2943" s="1" t="s">
        <v>17</v>
      </c>
      <c r="M2943" s="1" t="str">
        <f>TEXT(Table1[[#This Row],[Order Date]],"mmm")</f>
        <v>Dec</v>
      </c>
      <c r="N2943" s="1">
        <f>YEAR(Table1[[#This Row],[Order Date]])</f>
        <v>2023</v>
      </c>
    </row>
    <row r="2944" spans="1:14" x14ac:dyDescent="0.35">
      <c r="A2944" s="1" t="s">
        <v>3735</v>
      </c>
      <c r="B2944" s="1" t="s">
        <v>177</v>
      </c>
      <c r="C2944" s="1" t="s">
        <v>81</v>
      </c>
      <c r="D2944" s="1" t="s">
        <v>224</v>
      </c>
      <c r="E2944" s="1" t="s">
        <v>33</v>
      </c>
      <c r="F2944" s="1" t="s">
        <v>224</v>
      </c>
      <c r="G2944" s="1">
        <v>12</v>
      </c>
      <c r="H2944" s="1">
        <v>53149</v>
      </c>
      <c r="I2944" s="1">
        <v>0.15</v>
      </c>
      <c r="J2944" s="1">
        <v>542119.80000000005</v>
      </c>
      <c r="K2944" s="1">
        <v>108709.26</v>
      </c>
      <c r="L2944" s="1" t="s">
        <v>70</v>
      </c>
      <c r="M2944" s="1" t="str">
        <f>TEXT(Table1[[#This Row],[Order Date]],"mmm")</f>
        <v>Jun</v>
      </c>
      <c r="N2944" s="1">
        <f>YEAR(Table1[[#This Row],[Order Date]])</f>
        <v>2023</v>
      </c>
    </row>
    <row r="2945" spans="1:14" x14ac:dyDescent="0.35">
      <c r="A2945" s="1" t="s">
        <v>3736</v>
      </c>
      <c r="B2945" s="1" t="s">
        <v>1774</v>
      </c>
      <c r="C2945" s="1" t="s">
        <v>63</v>
      </c>
      <c r="D2945" s="1" t="s">
        <v>37</v>
      </c>
      <c r="E2945" s="1" t="s">
        <v>16</v>
      </c>
      <c r="F2945" s="1" t="s">
        <v>37</v>
      </c>
      <c r="G2945" s="1">
        <v>2</v>
      </c>
      <c r="H2945" s="1">
        <v>47594</v>
      </c>
      <c r="I2945" s="1">
        <v>0.1</v>
      </c>
      <c r="J2945" s="1">
        <v>85669.2</v>
      </c>
      <c r="K2945" s="1">
        <v>25307.919999999998</v>
      </c>
      <c r="L2945" s="1" t="s">
        <v>45</v>
      </c>
      <c r="M2945" s="1" t="str">
        <f>TEXT(Table1[[#This Row],[Order Date]],"mmm")</f>
        <v>Jun</v>
      </c>
      <c r="N2945" s="1">
        <f>YEAR(Table1[[#This Row],[Order Date]])</f>
        <v>2023</v>
      </c>
    </row>
    <row r="2946" spans="1:14" x14ac:dyDescent="0.35">
      <c r="A2946" s="1" t="s">
        <v>3737</v>
      </c>
      <c r="B2946" s="1" t="s">
        <v>1595</v>
      </c>
      <c r="C2946" s="1" t="s">
        <v>77</v>
      </c>
      <c r="D2946" s="1" t="s">
        <v>48</v>
      </c>
      <c r="E2946" s="1" t="s">
        <v>16</v>
      </c>
      <c r="F2946" s="1" t="s">
        <v>48</v>
      </c>
      <c r="G2946" s="1">
        <v>7</v>
      </c>
      <c r="H2946" s="1">
        <v>41282</v>
      </c>
      <c r="I2946" s="1">
        <v>0.2</v>
      </c>
      <c r="J2946" s="1">
        <v>231179.2</v>
      </c>
      <c r="K2946" s="1">
        <v>43154.95</v>
      </c>
      <c r="L2946" s="1" t="s">
        <v>17</v>
      </c>
      <c r="M2946" s="1" t="str">
        <f>TEXT(Table1[[#This Row],[Order Date]],"mmm")</f>
        <v>Jul</v>
      </c>
      <c r="N2946" s="1">
        <f>YEAR(Table1[[#This Row],[Order Date]])</f>
        <v>2024</v>
      </c>
    </row>
    <row r="2947" spans="1:14" x14ac:dyDescent="0.35">
      <c r="A2947" s="1" t="s">
        <v>3738</v>
      </c>
      <c r="B2947" s="1" t="s">
        <v>681</v>
      </c>
      <c r="C2947" s="1" t="s">
        <v>170</v>
      </c>
      <c r="D2947" s="1" t="s">
        <v>224</v>
      </c>
      <c r="E2947" s="1" t="s">
        <v>33</v>
      </c>
      <c r="F2947" s="1" t="s">
        <v>224</v>
      </c>
      <c r="G2947" s="1">
        <v>15</v>
      </c>
      <c r="H2947" s="1">
        <v>30864</v>
      </c>
      <c r="I2947" s="1">
        <v>0.15</v>
      </c>
      <c r="J2947" s="1">
        <v>393516</v>
      </c>
      <c r="K2947" s="1">
        <v>72057.27</v>
      </c>
      <c r="L2947" s="1" t="s">
        <v>70</v>
      </c>
      <c r="M2947" s="1" t="str">
        <f>TEXT(Table1[[#This Row],[Order Date]],"mmm")</f>
        <v>Apr</v>
      </c>
      <c r="N2947" s="1">
        <f>YEAR(Table1[[#This Row],[Order Date]])</f>
        <v>2024</v>
      </c>
    </row>
    <row r="2948" spans="1:14" x14ac:dyDescent="0.35">
      <c r="A2948" s="1" t="s">
        <v>3739</v>
      </c>
      <c r="B2948" s="1" t="s">
        <v>308</v>
      </c>
      <c r="C2948" s="1" t="s">
        <v>178</v>
      </c>
      <c r="D2948" s="1" t="s">
        <v>179</v>
      </c>
      <c r="E2948" s="1" t="s">
        <v>28</v>
      </c>
      <c r="F2948" s="1" t="s">
        <v>179</v>
      </c>
      <c r="G2948" s="1">
        <v>2</v>
      </c>
      <c r="H2948" s="1">
        <v>4807</v>
      </c>
      <c r="I2948" s="1">
        <v>0</v>
      </c>
      <c r="J2948" s="1">
        <v>9614</v>
      </c>
      <c r="K2948" s="1">
        <v>1372.69</v>
      </c>
      <c r="L2948" s="1" t="s">
        <v>17</v>
      </c>
      <c r="M2948" s="1" t="str">
        <f>TEXT(Table1[[#This Row],[Order Date]],"mmm")</f>
        <v>Jul</v>
      </c>
      <c r="N2948" s="1">
        <f>YEAR(Table1[[#This Row],[Order Date]])</f>
        <v>2024</v>
      </c>
    </row>
    <row r="2949" spans="1:14" x14ac:dyDescent="0.35">
      <c r="A2949" s="1" t="s">
        <v>3740</v>
      </c>
      <c r="B2949" s="1" t="s">
        <v>1907</v>
      </c>
      <c r="C2949" s="1" t="s">
        <v>128</v>
      </c>
      <c r="D2949" s="1" t="s">
        <v>137</v>
      </c>
      <c r="E2949" s="1" t="s">
        <v>22</v>
      </c>
      <c r="F2949" s="1" t="s">
        <v>137</v>
      </c>
      <c r="G2949" s="1">
        <v>15</v>
      </c>
      <c r="H2949" s="1">
        <v>15704</v>
      </c>
      <c r="I2949" s="1">
        <v>0.2</v>
      </c>
      <c r="J2949" s="1">
        <v>188448</v>
      </c>
      <c r="K2949" s="1">
        <v>16812.509999999998</v>
      </c>
      <c r="L2949" s="1" t="s">
        <v>17</v>
      </c>
      <c r="M2949" s="1" t="str">
        <f>TEXT(Table1[[#This Row],[Order Date]],"mmm")</f>
        <v>Jan</v>
      </c>
      <c r="N2949" s="1">
        <f>YEAR(Table1[[#This Row],[Order Date]])</f>
        <v>2024</v>
      </c>
    </row>
    <row r="2950" spans="1:14" x14ac:dyDescent="0.35">
      <c r="A2950" s="1" t="s">
        <v>3741</v>
      </c>
      <c r="B2950" s="1" t="s">
        <v>532</v>
      </c>
      <c r="C2950" s="1" t="s">
        <v>170</v>
      </c>
      <c r="D2950" s="1" t="s">
        <v>224</v>
      </c>
      <c r="E2950" s="1" t="s">
        <v>33</v>
      </c>
      <c r="F2950" s="1" t="s">
        <v>224</v>
      </c>
      <c r="G2950" s="1">
        <v>13</v>
      </c>
      <c r="H2950" s="1">
        <v>18431</v>
      </c>
      <c r="I2950" s="1">
        <v>0.2</v>
      </c>
      <c r="J2950" s="1">
        <v>191682.4</v>
      </c>
      <c r="K2950" s="1">
        <v>34558.699999999997</v>
      </c>
      <c r="L2950" s="1" t="s">
        <v>23</v>
      </c>
      <c r="M2950" s="1" t="str">
        <f>TEXT(Table1[[#This Row],[Order Date]],"mmm")</f>
        <v>Jun</v>
      </c>
      <c r="N2950" s="1">
        <f>YEAR(Table1[[#This Row],[Order Date]])</f>
        <v>2024</v>
      </c>
    </row>
    <row r="2951" spans="1:14" x14ac:dyDescent="0.35">
      <c r="A2951" s="1" t="s">
        <v>3742</v>
      </c>
      <c r="B2951" s="1" t="s">
        <v>930</v>
      </c>
      <c r="C2951" s="1" t="s">
        <v>140</v>
      </c>
      <c r="D2951" s="1" t="s">
        <v>41</v>
      </c>
      <c r="E2951" s="1" t="s">
        <v>16</v>
      </c>
      <c r="F2951" s="1" t="s">
        <v>41</v>
      </c>
      <c r="G2951" s="1">
        <v>6</v>
      </c>
      <c r="H2951" s="1">
        <v>9975</v>
      </c>
      <c r="I2951" s="1">
        <v>0.15</v>
      </c>
      <c r="J2951" s="1">
        <v>50872.5</v>
      </c>
      <c r="K2951" s="1">
        <v>12265.62</v>
      </c>
      <c r="L2951" s="1" t="s">
        <v>23</v>
      </c>
      <c r="M2951" s="1" t="str">
        <f>TEXT(Table1[[#This Row],[Order Date]],"mmm")</f>
        <v>Apr</v>
      </c>
      <c r="N2951" s="1">
        <f>YEAR(Table1[[#This Row],[Order Date]])</f>
        <v>2024</v>
      </c>
    </row>
    <row r="2952" spans="1:14" x14ac:dyDescent="0.35">
      <c r="A2952" s="1" t="s">
        <v>3743</v>
      </c>
      <c r="B2952" s="1" t="s">
        <v>329</v>
      </c>
      <c r="C2952" s="1" t="s">
        <v>128</v>
      </c>
      <c r="D2952" s="1" t="s">
        <v>56</v>
      </c>
      <c r="E2952" s="1" t="s">
        <v>22</v>
      </c>
      <c r="F2952" s="1" t="s">
        <v>56</v>
      </c>
      <c r="G2952" s="1">
        <v>10</v>
      </c>
      <c r="H2952" s="1">
        <v>16689</v>
      </c>
      <c r="I2952" s="1">
        <v>0.15</v>
      </c>
      <c r="J2952" s="1">
        <v>141856.5</v>
      </c>
      <c r="K2952" s="1">
        <v>42443.56</v>
      </c>
      <c r="L2952" s="1" t="s">
        <v>45</v>
      </c>
      <c r="M2952" s="1" t="str">
        <f>TEXT(Table1[[#This Row],[Order Date]],"mmm")</f>
        <v>Aug</v>
      </c>
      <c r="N2952" s="1">
        <f>YEAR(Table1[[#This Row],[Order Date]])</f>
        <v>2024</v>
      </c>
    </row>
    <row r="2953" spans="1:14" x14ac:dyDescent="0.35">
      <c r="A2953" s="1" t="s">
        <v>3744</v>
      </c>
      <c r="B2953" s="1" t="s">
        <v>327</v>
      </c>
      <c r="C2953" s="1" t="s">
        <v>507</v>
      </c>
      <c r="D2953" s="1" t="s">
        <v>32</v>
      </c>
      <c r="E2953" s="1" t="s">
        <v>33</v>
      </c>
      <c r="F2953" s="1" t="s">
        <v>32</v>
      </c>
      <c r="G2953" s="1">
        <v>9</v>
      </c>
      <c r="H2953" s="1">
        <v>6589</v>
      </c>
      <c r="I2953" s="1">
        <v>0</v>
      </c>
      <c r="J2953" s="1">
        <v>59301</v>
      </c>
      <c r="K2953" s="1">
        <v>14326.85</v>
      </c>
      <c r="L2953" s="1" t="s">
        <v>70</v>
      </c>
      <c r="M2953" s="1" t="str">
        <f>TEXT(Table1[[#This Row],[Order Date]],"mmm")</f>
        <v>Nov</v>
      </c>
      <c r="N2953" s="1">
        <f>YEAR(Table1[[#This Row],[Order Date]])</f>
        <v>2024</v>
      </c>
    </row>
    <row r="2954" spans="1:14" x14ac:dyDescent="0.35">
      <c r="A2954" s="1" t="s">
        <v>3745</v>
      </c>
      <c r="B2954" s="1" t="s">
        <v>1301</v>
      </c>
      <c r="C2954" s="1" t="s">
        <v>111</v>
      </c>
      <c r="D2954" s="1" t="s">
        <v>85</v>
      </c>
      <c r="E2954" s="1" t="s">
        <v>28</v>
      </c>
      <c r="F2954" s="1" t="s">
        <v>85</v>
      </c>
      <c r="G2954" s="1">
        <v>12</v>
      </c>
      <c r="H2954" s="1">
        <v>42247</v>
      </c>
      <c r="I2954" s="1">
        <v>0.2</v>
      </c>
      <c r="J2954" s="1">
        <v>405571.2</v>
      </c>
      <c r="K2954" s="1">
        <v>47991.07</v>
      </c>
      <c r="L2954" s="1" t="s">
        <v>70</v>
      </c>
      <c r="M2954" s="1" t="str">
        <f>TEXT(Table1[[#This Row],[Order Date]],"mmm")</f>
        <v>Jul</v>
      </c>
      <c r="N2954" s="1">
        <f>YEAR(Table1[[#This Row],[Order Date]])</f>
        <v>2024</v>
      </c>
    </row>
    <row r="2955" spans="1:14" x14ac:dyDescent="0.35">
      <c r="A2955" s="1" t="s">
        <v>3746</v>
      </c>
      <c r="B2955" s="1" t="s">
        <v>429</v>
      </c>
      <c r="C2955" s="1" t="s">
        <v>170</v>
      </c>
      <c r="D2955" s="1" t="s">
        <v>21</v>
      </c>
      <c r="E2955" s="1" t="s">
        <v>22</v>
      </c>
      <c r="F2955" s="1" t="s">
        <v>21</v>
      </c>
      <c r="G2955" s="1">
        <v>7</v>
      </c>
      <c r="H2955" s="1">
        <v>2337</v>
      </c>
      <c r="I2955" s="1">
        <v>0.1</v>
      </c>
      <c r="J2955" s="1">
        <v>14723.1</v>
      </c>
      <c r="K2955" s="1">
        <v>4395.82</v>
      </c>
      <c r="L2955" s="1" t="s">
        <v>17</v>
      </c>
      <c r="M2955" s="1" t="str">
        <f>TEXT(Table1[[#This Row],[Order Date]],"mmm")</f>
        <v>Apr</v>
      </c>
      <c r="N2955" s="1">
        <f>YEAR(Table1[[#This Row],[Order Date]])</f>
        <v>2024</v>
      </c>
    </row>
    <row r="2956" spans="1:14" x14ac:dyDescent="0.35">
      <c r="A2956" s="1" t="s">
        <v>3747</v>
      </c>
      <c r="B2956" s="1" t="s">
        <v>392</v>
      </c>
      <c r="C2956" s="1" t="s">
        <v>162</v>
      </c>
      <c r="D2956" s="1" t="s">
        <v>27</v>
      </c>
      <c r="E2956" s="1" t="s">
        <v>28</v>
      </c>
      <c r="F2956" s="1" t="s">
        <v>27</v>
      </c>
      <c r="G2956" s="1">
        <v>4</v>
      </c>
      <c r="H2956" s="1">
        <v>28935</v>
      </c>
      <c r="I2956" s="1">
        <v>0.15</v>
      </c>
      <c r="J2956" s="1">
        <v>98379</v>
      </c>
      <c r="K2956" s="1">
        <v>19160.009999999998</v>
      </c>
      <c r="L2956" s="1" t="s">
        <v>23</v>
      </c>
      <c r="M2956" s="1" t="str">
        <f>TEXT(Table1[[#This Row],[Order Date]],"mmm")</f>
        <v>May</v>
      </c>
      <c r="N2956" s="1">
        <f>YEAR(Table1[[#This Row],[Order Date]])</f>
        <v>2024</v>
      </c>
    </row>
    <row r="2957" spans="1:14" x14ac:dyDescent="0.35">
      <c r="A2957" s="1" t="s">
        <v>3748</v>
      </c>
      <c r="B2957" s="1" t="s">
        <v>1823</v>
      </c>
      <c r="C2957" s="1" t="s">
        <v>140</v>
      </c>
      <c r="D2957" s="1" t="s">
        <v>21</v>
      </c>
      <c r="E2957" s="1" t="s">
        <v>22</v>
      </c>
      <c r="F2957" s="1" t="s">
        <v>21</v>
      </c>
      <c r="G2957" s="1">
        <v>14</v>
      </c>
      <c r="H2957" s="1">
        <v>30395</v>
      </c>
      <c r="I2957" s="1">
        <v>0.2</v>
      </c>
      <c r="J2957" s="1">
        <v>340424</v>
      </c>
      <c r="K2957" s="1">
        <v>58707.97</v>
      </c>
      <c r="L2957" s="1" t="s">
        <v>23</v>
      </c>
      <c r="M2957" s="1" t="str">
        <f>TEXT(Table1[[#This Row],[Order Date]],"mmm")</f>
        <v>Feb</v>
      </c>
      <c r="N2957" s="1">
        <f>YEAR(Table1[[#This Row],[Order Date]])</f>
        <v>2023</v>
      </c>
    </row>
    <row r="2958" spans="1:14" x14ac:dyDescent="0.35">
      <c r="A2958" s="1" t="s">
        <v>3749</v>
      </c>
      <c r="B2958" s="1" t="s">
        <v>2421</v>
      </c>
      <c r="C2958" s="1" t="s">
        <v>370</v>
      </c>
      <c r="D2958" s="1" t="s">
        <v>179</v>
      </c>
      <c r="E2958" s="1" t="s">
        <v>28</v>
      </c>
      <c r="F2958" s="1" t="s">
        <v>179</v>
      </c>
      <c r="G2958" s="1">
        <v>6</v>
      </c>
      <c r="H2958" s="1">
        <v>19891</v>
      </c>
      <c r="I2958" s="1">
        <v>0.1</v>
      </c>
      <c r="J2958" s="1">
        <v>107411.4</v>
      </c>
      <c r="K2958" s="1">
        <v>24611.85</v>
      </c>
      <c r="L2958" s="1" t="s">
        <v>23</v>
      </c>
      <c r="M2958" s="1" t="str">
        <f>TEXT(Table1[[#This Row],[Order Date]],"mmm")</f>
        <v>Jun</v>
      </c>
      <c r="N2958" s="1">
        <f>YEAR(Table1[[#This Row],[Order Date]])</f>
        <v>2024</v>
      </c>
    </row>
    <row r="2959" spans="1:14" x14ac:dyDescent="0.35">
      <c r="A2959" s="1" t="s">
        <v>3750</v>
      </c>
      <c r="B2959" s="1" t="s">
        <v>2247</v>
      </c>
      <c r="C2959" s="1" t="s">
        <v>51</v>
      </c>
      <c r="D2959" s="1" t="s">
        <v>41</v>
      </c>
      <c r="E2959" s="1" t="s">
        <v>16</v>
      </c>
      <c r="F2959" s="1" t="s">
        <v>41</v>
      </c>
      <c r="G2959" s="1">
        <v>10</v>
      </c>
      <c r="H2959" s="1">
        <v>7483</v>
      </c>
      <c r="I2959" s="1">
        <v>0</v>
      </c>
      <c r="J2959" s="1">
        <v>74830</v>
      </c>
      <c r="K2959" s="1">
        <v>9500.27</v>
      </c>
      <c r="L2959" s="1" t="s">
        <v>70</v>
      </c>
      <c r="M2959" s="1" t="str">
        <f>TEXT(Table1[[#This Row],[Order Date]],"mmm")</f>
        <v>Apr</v>
      </c>
      <c r="N2959" s="1">
        <f>YEAR(Table1[[#This Row],[Order Date]])</f>
        <v>2024</v>
      </c>
    </row>
    <row r="2960" spans="1:14" x14ac:dyDescent="0.35">
      <c r="A2960" s="1" t="s">
        <v>3751</v>
      </c>
      <c r="B2960" s="1" t="s">
        <v>573</v>
      </c>
      <c r="C2960" s="1" t="s">
        <v>178</v>
      </c>
      <c r="D2960" s="1" t="s">
        <v>44</v>
      </c>
      <c r="E2960" s="1" t="s">
        <v>28</v>
      </c>
      <c r="F2960" s="1" t="s">
        <v>44</v>
      </c>
      <c r="G2960" s="1">
        <v>4</v>
      </c>
      <c r="H2960" s="1">
        <v>12913</v>
      </c>
      <c r="I2960" s="1">
        <v>0.2</v>
      </c>
      <c r="J2960" s="1">
        <v>41321.599999999999</v>
      </c>
      <c r="K2960" s="1">
        <v>9803.73</v>
      </c>
      <c r="L2960" s="1" t="s">
        <v>17</v>
      </c>
      <c r="M2960" s="1" t="str">
        <f>TEXT(Table1[[#This Row],[Order Date]],"mmm")</f>
        <v>Sep</v>
      </c>
      <c r="N2960" s="1">
        <f>YEAR(Table1[[#This Row],[Order Date]])</f>
        <v>2024</v>
      </c>
    </row>
    <row r="2961" spans="1:14" x14ac:dyDescent="0.35">
      <c r="A2961" s="1" t="s">
        <v>3752</v>
      </c>
      <c r="B2961" s="1" t="s">
        <v>1379</v>
      </c>
      <c r="C2961" s="1" t="s">
        <v>640</v>
      </c>
      <c r="D2961" s="1" t="s">
        <v>44</v>
      </c>
      <c r="E2961" s="1" t="s">
        <v>28</v>
      </c>
      <c r="F2961" s="1" t="s">
        <v>44</v>
      </c>
      <c r="G2961" s="1">
        <v>2</v>
      </c>
      <c r="H2961" s="1">
        <v>40197</v>
      </c>
      <c r="I2961" s="1">
        <v>0.1</v>
      </c>
      <c r="J2961" s="1">
        <v>72354.600000000006</v>
      </c>
      <c r="K2961" s="1">
        <v>20324.830000000002</v>
      </c>
      <c r="L2961" s="1" t="s">
        <v>23</v>
      </c>
      <c r="M2961" s="1" t="str">
        <f>TEXT(Table1[[#This Row],[Order Date]],"mmm")</f>
        <v>Mar</v>
      </c>
      <c r="N2961" s="1">
        <f>YEAR(Table1[[#This Row],[Order Date]])</f>
        <v>2023</v>
      </c>
    </row>
    <row r="2962" spans="1:14" x14ac:dyDescent="0.35">
      <c r="A2962" s="1" t="s">
        <v>3753</v>
      </c>
      <c r="B2962" s="1" t="s">
        <v>835</v>
      </c>
      <c r="C2962" s="1" t="s">
        <v>20</v>
      </c>
      <c r="D2962" s="1" t="s">
        <v>60</v>
      </c>
      <c r="E2962" s="1" t="s">
        <v>33</v>
      </c>
      <c r="F2962" s="1" t="s">
        <v>60</v>
      </c>
      <c r="G2962" s="1">
        <v>12</v>
      </c>
      <c r="H2962" s="1">
        <v>24176</v>
      </c>
      <c r="I2962" s="1">
        <v>0.15</v>
      </c>
      <c r="J2962" s="1">
        <v>246595.20000000001</v>
      </c>
      <c r="K2962" s="1">
        <v>27646</v>
      </c>
      <c r="L2962" s="1" t="s">
        <v>45</v>
      </c>
      <c r="M2962" s="1" t="str">
        <f>TEXT(Table1[[#This Row],[Order Date]],"mmm")</f>
        <v>Nov</v>
      </c>
      <c r="N2962" s="1">
        <f>YEAR(Table1[[#This Row],[Order Date]])</f>
        <v>2024</v>
      </c>
    </row>
    <row r="2963" spans="1:14" x14ac:dyDescent="0.35">
      <c r="A2963" s="1" t="s">
        <v>3754</v>
      </c>
      <c r="B2963" s="1" t="s">
        <v>80</v>
      </c>
      <c r="C2963" s="1" t="s">
        <v>40</v>
      </c>
      <c r="D2963" s="1" t="s">
        <v>27</v>
      </c>
      <c r="E2963" s="1" t="s">
        <v>28</v>
      </c>
      <c r="F2963" s="1" t="s">
        <v>27</v>
      </c>
      <c r="G2963" s="1">
        <v>5</v>
      </c>
      <c r="H2963" s="1">
        <v>54231</v>
      </c>
      <c r="I2963" s="1">
        <v>0.15</v>
      </c>
      <c r="J2963" s="1">
        <v>230481.75</v>
      </c>
      <c r="K2963" s="1">
        <v>65157.74</v>
      </c>
      <c r="L2963" s="1" t="s">
        <v>70</v>
      </c>
      <c r="M2963" s="1" t="str">
        <f>TEXT(Table1[[#This Row],[Order Date]],"mmm")</f>
        <v>Jan</v>
      </c>
      <c r="N2963" s="1">
        <f>YEAR(Table1[[#This Row],[Order Date]])</f>
        <v>2023</v>
      </c>
    </row>
    <row r="2964" spans="1:14" x14ac:dyDescent="0.35">
      <c r="A2964" s="1" t="s">
        <v>3755</v>
      </c>
      <c r="B2964" s="1" t="s">
        <v>735</v>
      </c>
      <c r="C2964" s="1" t="s">
        <v>67</v>
      </c>
      <c r="D2964" s="1" t="s">
        <v>27</v>
      </c>
      <c r="E2964" s="1" t="s">
        <v>28</v>
      </c>
      <c r="F2964" s="1" t="s">
        <v>27</v>
      </c>
      <c r="G2964" s="1">
        <v>15</v>
      </c>
      <c r="H2964" s="1">
        <v>43795</v>
      </c>
      <c r="I2964" s="1">
        <v>0.2</v>
      </c>
      <c r="J2964" s="1">
        <v>525540</v>
      </c>
      <c r="K2964" s="1">
        <v>61409.52</v>
      </c>
      <c r="L2964" s="1" t="s">
        <v>45</v>
      </c>
      <c r="M2964" s="1" t="str">
        <f>TEXT(Table1[[#This Row],[Order Date]],"mmm")</f>
        <v>Aug</v>
      </c>
      <c r="N2964" s="1">
        <f>YEAR(Table1[[#This Row],[Order Date]])</f>
        <v>2024</v>
      </c>
    </row>
    <row r="2965" spans="1:14" x14ac:dyDescent="0.35">
      <c r="A2965" s="1" t="s">
        <v>3756</v>
      </c>
      <c r="B2965" s="1" t="s">
        <v>2032</v>
      </c>
      <c r="C2965" s="1" t="s">
        <v>362</v>
      </c>
      <c r="D2965" s="1" t="s">
        <v>78</v>
      </c>
      <c r="E2965" s="1" t="s">
        <v>28</v>
      </c>
      <c r="F2965" s="1" t="s">
        <v>78</v>
      </c>
      <c r="G2965" s="1">
        <v>13</v>
      </c>
      <c r="H2965" s="1">
        <v>50322</v>
      </c>
      <c r="I2965" s="1">
        <v>0</v>
      </c>
      <c r="J2965" s="1">
        <v>654186</v>
      </c>
      <c r="K2965" s="1">
        <v>114619.64</v>
      </c>
      <c r="L2965" s="1" t="s">
        <v>70</v>
      </c>
      <c r="M2965" s="1" t="str">
        <f>TEXT(Table1[[#This Row],[Order Date]],"mmm")</f>
        <v>Nov</v>
      </c>
      <c r="N2965" s="1">
        <f>YEAR(Table1[[#This Row],[Order Date]])</f>
        <v>2024</v>
      </c>
    </row>
    <row r="2966" spans="1:14" x14ac:dyDescent="0.35">
      <c r="A2966" s="1" t="s">
        <v>3757</v>
      </c>
      <c r="B2966" s="1" t="s">
        <v>643</v>
      </c>
      <c r="C2966" s="1" t="s">
        <v>208</v>
      </c>
      <c r="D2966" s="1" t="s">
        <v>179</v>
      </c>
      <c r="E2966" s="1" t="s">
        <v>28</v>
      </c>
      <c r="F2966" s="1" t="s">
        <v>179</v>
      </c>
      <c r="G2966" s="1">
        <v>4</v>
      </c>
      <c r="H2966" s="1">
        <v>36664</v>
      </c>
      <c r="I2966" s="1">
        <v>0.1</v>
      </c>
      <c r="J2966" s="1">
        <v>131990.39999999999</v>
      </c>
      <c r="K2966" s="1">
        <v>37704.03</v>
      </c>
      <c r="L2966" s="1" t="s">
        <v>17</v>
      </c>
      <c r="M2966" s="1" t="str">
        <f>TEXT(Table1[[#This Row],[Order Date]],"mmm")</f>
        <v>Aug</v>
      </c>
      <c r="N2966" s="1">
        <f>YEAR(Table1[[#This Row],[Order Date]])</f>
        <v>2024</v>
      </c>
    </row>
    <row r="2967" spans="1:14" x14ac:dyDescent="0.35">
      <c r="A2967" s="1" t="s">
        <v>3758</v>
      </c>
      <c r="B2967" s="1" t="s">
        <v>744</v>
      </c>
      <c r="C2967" s="1" t="s">
        <v>77</v>
      </c>
      <c r="D2967" s="1" t="s">
        <v>114</v>
      </c>
      <c r="E2967" s="1" t="s">
        <v>16</v>
      </c>
      <c r="F2967" s="1" t="s">
        <v>114</v>
      </c>
      <c r="G2967" s="1">
        <v>14</v>
      </c>
      <c r="H2967" s="1">
        <v>57632</v>
      </c>
      <c r="I2967" s="1">
        <v>0</v>
      </c>
      <c r="J2967" s="1">
        <v>806848</v>
      </c>
      <c r="K2967" s="1">
        <v>219627.22</v>
      </c>
      <c r="L2967" s="1" t="s">
        <v>23</v>
      </c>
      <c r="M2967" s="1" t="str">
        <f>TEXT(Table1[[#This Row],[Order Date]],"mmm")</f>
        <v>May</v>
      </c>
      <c r="N2967" s="1">
        <f>YEAR(Table1[[#This Row],[Order Date]])</f>
        <v>2023</v>
      </c>
    </row>
    <row r="2968" spans="1:14" x14ac:dyDescent="0.35">
      <c r="A2968" s="1" t="s">
        <v>3759</v>
      </c>
      <c r="B2968" s="1" t="s">
        <v>396</v>
      </c>
      <c r="C2968" s="1" t="s">
        <v>178</v>
      </c>
      <c r="D2968" s="1" t="s">
        <v>78</v>
      </c>
      <c r="E2968" s="1" t="s">
        <v>28</v>
      </c>
      <c r="F2968" s="1" t="s">
        <v>78</v>
      </c>
      <c r="G2968" s="1">
        <v>2</v>
      </c>
      <c r="H2968" s="1">
        <v>51106</v>
      </c>
      <c r="I2968" s="1">
        <v>0.2</v>
      </c>
      <c r="J2968" s="1">
        <v>81769.600000000006</v>
      </c>
      <c r="K2968" s="1">
        <v>8041.94</v>
      </c>
      <c r="L2968" s="1" t="s">
        <v>23</v>
      </c>
      <c r="M2968" s="1" t="str">
        <f>TEXT(Table1[[#This Row],[Order Date]],"mmm")</f>
        <v>Jul</v>
      </c>
      <c r="N2968" s="1">
        <f>YEAR(Table1[[#This Row],[Order Date]])</f>
        <v>2023</v>
      </c>
    </row>
    <row r="2969" spans="1:14" x14ac:dyDescent="0.35">
      <c r="A2969" s="1" t="s">
        <v>3760</v>
      </c>
      <c r="B2969" s="1" t="s">
        <v>1438</v>
      </c>
      <c r="C2969" s="1" t="s">
        <v>203</v>
      </c>
      <c r="D2969" s="1" t="s">
        <v>95</v>
      </c>
      <c r="E2969" s="1" t="s">
        <v>33</v>
      </c>
      <c r="F2969" s="1" t="s">
        <v>95</v>
      </c>
      <c r="G2969" s="1">
        <v>7</v>
      </c>
      <c r="H2969" s="1">
        <v>35660</v>
      </c>
      <c r="I2969" s="1">
        <v>0.05</v>
      </c>
      <c r="J2969" s="1">
        <v>237139</v>
      </c>
      <c r="K2969" s="1">
        <v>21873.58</v>
      </c>
      <c r="L2969" s="1" t="s">
        <v>45</v>
      </c>
      <c r="M2969" s="1" t="str">
        <f>TEXT(Table1[[#This Row],[Order Date]],"mmm")</f>
        <v>Nov</v>
      </c>
      <c r="N2969" s="1">
        <f>YEAR(Table1[[#This Row],[Order Date]])</f>
        <v>2024</v>
      </c>
    </row>
    <row r="2970" spans="1:14" x14ac:dyDescent="0.35">
      <c r="A2970" s="1" t="s">
        <v>3761</v>
      </c>
      <c r="B2970" s="1" t="s">
        <v>1043</v>
      </c>
      <c r="C2970" s="1" t="s">
        <v>14</v>
      </c>
      <c r="D2970" s="1" t="s">
        <v>95</v>
      </c>
      <c r="E2970" s="1" t="s">
        <v>33</v>
      </c>
      <c r="F2970" s="1" t="s">
        <v>95</v>
      </c>
      <c r="G2970" s="1">
        <v>4</v>
      </c>
      <c r="H2970" s="1">
        <v>49969</v>
      </c>
      <c r="I2970" s="1">
        <v>0.15</v>
      </c>
      <c r="J2970" s="1">
        <v>169894.6</v>
      </c>
      <c r="K2970" s="1">
        <v>16946.91</v>
      </c>
      <c r="L2970" s="1" t="s">
        <v>45</v>
      </c>
      <c r="M2970" s="1" t="str">
        <f>TEXT(Table1[[#This Row],[Order Date]],"mmm")</f>
        <v>Aug</v>
      </c>
      <c r="N2970" s="1">
        <f>YEAR(Table1[[#This Row],[Order Date]])</f>
        <v>2024</v>
      </c>
    </row>
    <row r="2971" spans="1:14" x14ac:dyDescent="0.35">
      <c r="A2971" s="1" t="s">
        <v>3762</v>
      </c>
      <c r="B2971" s="1" t="s">
        <v>3572</v>
      </c>
      <c r="C2971" s="1" t="s">
        <v>101</v>
      </c>
      <c r="D2971" s="1" t="s">
        <v>141</v>
      </c>
      <c r="E2971" s="1" t="s">
        <v>22</v>
      </c>
      <c r="F2971" s="1" t="s">
        <v>141</v>
      </c>
      <c r="G2971" s="1">
        <v>4</v>
      </c>
      <c r="H2971" s="1">
        <v>57236</v>
      </c>
      <c r="I2971" s="1">
        <v>0.1</v>
      </c>
      <c r="J2971" s="1">
        <v>206049.6</v>
      </c>
      <c r="K2971" s="1">
        <v>44519.65</v>
      </c>
      <c r="L2971" s="1" t="s">
        <v>70</v>
      </c>
      <c r="M2971" s="1" t="str">
        <f>TEXT(Table1[[#This Row],[Order Date]],"mmm")</f>
        <v>Mar</v>
      </c>
      <c r="N2971" s="1">
        <f>YEAR(Table1[[#This Row],[Order Date]])</f>
        <v>2024</v>
      </c>
    </row>
    <row r="2972" spans="1:14" x14ac:dyDescent="0.35">
      <c r="A2972" s="1" t="s">
        <v>3763</v>
      </c>
      <c r="B2972" s="1" t="s">
        <v>815</v>
      </c>
      <c r="C2972" s="1" t="s">
        <v>335</v>
      </c>
      <c r="D2972" s="1" t="s">
        <v>108</v>
      </c>
      <c r="E2972" s="1" t="s">
        <v>22</v>
      </c>
      <c r="F2972" s="1" t="s">
        <v>108</v>
      </c>
      <c r="G2972" s="1">
        <v>11</v>
      </c>
      <c r="H2972" s="1">
        <v>11924</v>
      </c>
      <c r="I2972" s="1">
        <v>0</v>
      </c>
      <c r="J2972" s="1">
        <v>131164</v>
      </c>
      <c r="K2972" s="1">
        <v>23680.62</v>
      </c>
      <c r="L2972" s="1" t="s">
        <v>23</v>
      </c>
      <c r="M2972" s="1" t="str">
        <f>TEXT(Table1[[#This Row],[Order Date]],"mmm")</f>
        <v>Mar</v>
      </c>
      <c r="N2972" s="1">
        <f>YEAR(Table1[[#This Row],[Order Date]])</f>
        <v>2023</v>
      </c>
    </row>
    <row r="2973" spans="1:14" x14ac:dyDescent="0.35">
      <c r="A2973" s="1" t="s">
        <v>3764</v>
      </c>
      <c r="B2973" s="1" t="s">
        <v>195</v>
      </c>
      <c r="C2973" s="1" t="s">
        <v>14</v>
      </c>
      <c r="D2973" s="1" t="s">
        <v>91</v>
      </c>
      <c r="E2973" s="1" t="s">
        <v>16</v>
      </c>
      <c r="F2973" s="1" t="s">
        <v>91</v>
      </c>
      <c r="G2973" s="1">
        <v>8</v>
      </c>
      <c r="H2973" s="1">
        <v>45697</v>
      </c>
      <c r="I2973" s="1">
        <v>0.05</v>
      </c>
      <c r="J2973" s="1">
        <v>347297.2</v>
      </c>
      <c r="K2973" s="1">
        <v>45191.9</v>
      </c>
      <c r="L2973" s="1" t="s">
        <v>45</v>
      </c>
      <c r="M2973" s="1" t="str">
        <f>TEXT(Table1[[#This Row],[Order Date]],"mmm")</f>
        <v>Mar</v>
      </c>
      <c r="N2973" s="1">
        <f>YEAR(Table1[[#This Row],[Order Date]])</f>
        <v>2024</v>
      </c>
    </row>
    <row r="2974" spans="1:14" x14ac:dyDescent="0.35">
      <c r="A2974" s="1" t="s">
        <v>3765</v>
      </c>
      <c r="B2974" s="1" t="s">
        <v>357</v>
      </c>
      <c r="C2974" s="1" t="s">
        <v>26</v>
      </c>
      <c r="D2974" s="1" t="s">
        <v>78</v>
      </c>
      <c r="E2974" s="1" t="s">
        <v>28</v>
      </c>
      <c r="F2974" s="1" t="s">
        <v>78</v>
      </c>
      <c r="G2974" s="1">
        <v>4</v>
      </c>
      <c r="H2974" s="1">
        <v>2016</v>
      </c>
      <c r="I2974" s="1">
        <v>0.15</v>
      </c>
      <c r="J2974" s="1">
        <v>6854.4</v>
      </c>
      <c r="K2974" s="1">
        <v>1665.48</v>
      </c>
      <c r="L2974" s="1" t="s">
        <v>17</v>
      </c>
      <c r="M2974" s="1" t="str">
        <f>TEXT(Table1[[#This Row],[Order Date]],"mmm")</f>
        <v>Apr</v>
      </c>
      <c r="N2974" s="1">
        <f>YEAR(Table1[[#This Row],[Order Date]])</f>
        <v>2023</v>
      </c>
    </row>
    <row r="2975" spans="1:14" x14ac:dyDescent="0.35">
      <c r="A2975" s="1" t="s">
        <v>3766</v>
      </c>
      <c r="B2975" s="1" t="s">
        <v>421</v>
      </c>
      <c r="C2975" s="1" t="s">
        <v>227</v>
      </c>
      <c r="D2975" s="1" t="s">
        <v>141</v>
      </c>
      <c r="E2975" s="1" t="s">
        <v>22</v>
      </c>
      <c r="F2975" s="1" t="s">
        <v>141</v>
      </c>
      <c r="G2975" s="1">
        <v>6</v>
      </c>
      <c r="H2975" s="1">
        <v>3495</v>
      </c>
      <c r="I2975" s="1">
        <v>0.2</v>
      </c>
      <c r="J2975" s="1">
        <v>16776</v>
      </c>
      <c r="K2975" s="1">
        <v>2194.15</v>
      </c>
      <c r="L2975" s="1" t="s">
        <v>23</v>
      </c>
      <c r="M2975" s="1" t="str">
        <f>TEXT(Table1[[#This Row],[Order Date]],"mmm")</f>
        <v>Nov</v>
      </c>
      <c r="N2975" s="1">
        <f>YEAR(Table1[[#This Row],[Order Date]])</f>
        <v>2023</v>
      </c>
    </row>
    <row r="2976" spans="1:14" x14ac:dyDescent="0.35">
      <c r="A2976" s="1" t="s">
        <v>3767</v>
      </c>
      <c r="B2976" s="1" t="s">
        <v>351</v>
      </c>
      <c r="C2976" s="1" t="s">
        <v>120</v>
      </c>
      <c r="D2976" s="1" t="s">
        <v>37</v>
      </c>
      <c r="E2976" s="1" t="s">
        <v>16</v>
      </c>
      <c r="F2976" s="1" t="s">
        <v>37</v>
      </c>
      <c r="G2976" s="1">
        <v>3</v>
      </c>
      <c r="H2976" s="1">
        <v>32214</v>
      </c>
      <c r="I2976" s="1">
        <v>0.1</v>
      </c>
      <c r="J2976" s="1">
        <v>86977.8</v>
      </c>
      <c r="K2976" s="1">
        <v>11740.14</v>
      </c>
      <c r="L2976" s="1" t="s">
        <v>17</v>
      </c>
      <c r="M2976" s="1" t="str">
        <f>TEXT(Table1[[#This Row],[Order Date]],"mmm")</f>
        <v>Apr</v>
      </c>
      <c r="N2976" s="1">
        <f>YEAR(Table1[[#This Row],[Order Date]])</f>
        <v>2023</v>
      </c>
    </row>
    <row r="2977" spans="1:14" x14ac:dyDescent="0.35">
      <c r="A2977" s="1" t="s">
        <v>3768</v>
      </c>
      <c r="B2977" s="1" t="s">
        <v>1431</v>
      </c>
      <c r="C2977" s="1" t="s">
        <v>59</v>
      </c>
      <c r="D2977" s="1" t="s">
        <v>323</v>
      </c>
      <c r="E2977" s="1" t="s">
        <v>33</v>
      </c>
      <c r="F2977" s="1" t="s">
        <v>323</v>
      </c>
      <c r="G2977" s="1">
        <v>5</v>
      </c>
      <c r="H2977" s="1">
        <v>59094</v>
      </c>
      <c r="I2977" s="1">
        <v>0.15</v>
      </c>
      <c r="J2977" s="1">
        <v>251149.5</v>
      </c>
      <c r="K2977" s="1">
        <v>40388.82</v>
      </c>
      <c r="L2977" s="1" t="s">
        <v>45</v>
      </c>
      <c r="M2977" s="1" t="str">
        <f>TEXT(Table1[[#This Row],[Order Date]],"mmm")</f>
        <v>Feb</v>
      </c>
      <c r="N2977" s="1">
        <f>YEAR(Table1[[#This Row],[Order Date]])</f>
        <v>2023</v>
      </c>
    </row>
    <row r="2978" spans="1:14" x14ac:dyDescent="0.35">
      <c r="A2978" s="1" t="s">
        <v>3769</v>
      </c>
      <c r="B2978" s="1" t="s">
        <v>766</v>
      </c>
      <c r="C2978" s="1" t="s">
        <v>200</v>
      </c>
      <c r="D2978" s="1" t="s">
        <v>44</v>
      </c>
      <c r="E2978" s="1" t="s">
        <v>28</v>
      </c>
      <c r="F2978" s="1" t="s">
        <v>44</v>
      </c>
      <c r="G2978" s="1">
        <v>5</v>
      </c>
      <c r="H2978" s="1">
        <v>56640</v>
      </c>
      <c r="I2978" s="1">
        <v>0</v>
      </c>
      <c r="J2978" s="1">
        <v>283200</v>
      </c>
      <c r="K2978" s="1">
        <v>43962</v>
      </c>
      <c r="L2978" s="1" t="s">
        <v>70</v>
      </c>
      <c r="M2978" s="1" t="str">
        <f>TEXT(Table1[[#This Row],[Order Date]],"mmm")</f>
        <v>Feb</v>
      </c>
      <c r="N2978" s="1">
        <f>YEAR(Table1[[#This Row],[Order Date]])</f>
        <v>2023</v>
      </c>
    </row>
    <row r="2979" spans="1:14" x14ac:dyDescent="0.35">
      <c r="A2979" s="1" t="s">
        <v>3770</v>
      </c>
      <c r="B2979" s="1" t="s">
        <v>1907</v>
      </c>
      <c r="C2979" s="1" t="s">
        <v>55</v>
      </c>
      <c r="D2979" s="1" t="s">
        <v>179</v>
      </c>
      <c r="E2979" s="1" t="s">
        <v>28</v>
      </c>
      <c r="F2979" s="1" t="s">
        <v>179</v>
      </c>
      <c r="G2979" s="1">
        <v>14</v>
      </c>
      <c r="H2979" s="1">
        <v>19431</v>
      </c>
      <c r="I2979" s="1">
        <v>0</v>
      </c>
      <c r="J2979" s="1">
        <v>272034</v>
      </c>
      <c r="K2979" s="1">
        <v>67730.89</v>
      </c>
      <c r="L2979" s="1" t="s">
        <v>23</v>
      </c>
      <c r="M2979" s="1" t="str">
        <f>TEXT(Table1[[#This Row],[Order Date]],"mmm")</f>
        <v>Jan</v>
      </c>
      <c r="N2979" s="1">
        <f>YEAR(Table1[[#This Row],[Order Date]])</f>
        <v>2024</v>
      </c>
    </row>
    <row r="2980" spans="1:14" x14ac:dyDescent="0.35">
      <c r="A2980" s="1" t="s">
        <v>3771</v>
      </c>
      <c r="B2980" s="1" t="s">
        <v>1658</v>
      </c>
      <c r="C2980" s="1" t="s">
        <v>349</v>
      </c>
      <c r="D2980" s="1" t="s">
        <v>293</v>
      </c>
      <c r="E2980" s="1" t="s">
        <v>33</v>
      </c>
      <c r="F2980" s="1" t="s">
        <v>293</v>
      </c>
      <c r="G2980" s="1">
        <v>4</v>
      </c>
      <c r="H2980" s="1">
        <v>13203</v>
      </c>
      <c r="I2980" s="1">
        <v>0.05</v>
      </c>
      <c r="J2980" s="1">
        <v>50171.4</v>
      </c>
      <c r="K2980" s="1">
        <v>6986.53</v>
      </c>
      <c r="L2980" s="1" t="s">
        <v>70</v>
      </c>
      <c r="M2980" s="1" t="str">
        <f>TEXT(Table1[[#This Row],[Order Date]],"mmm")</f>
        <v>Sep</v>
      </c>
      <c r="N2980" s="1">
        <f>YEAR(Table1[[#This Row],[Order Date]])</f>
        <v>2024</v>
      </c>
    </row>
    <row r="2981" spans="1:14" x14ac:dyDescent="0.35">
      <c r="A2981" s="1" t="s">
        <v>3772</v>
      </c>
      <c r="B2981" s="1" t="s">
        <v>290</v>
      </c>
      <c r="C2981" s="1" t="s">
        <v>51</v>
      </c>
      <c r="D2981" s="1" t="s">
        <v>108</v>
      </c>
      <c r="E2981" s="1" t="s">
        <v>22</v>
      </c>
      <c r="F2981" s="1" t="s">
        <v>108</v>
      </c>
      <c r="G2981" s="1">
        <v>2</v>
      </c>
      <c r="H2981" s="1">
        <v>7414</v>
      </c>
      <c r="I2981" s="1">
        <v>0.05</v>
      </c>
      <c r="J2981" s="1">
        <v>14086.6</v>
      </c>
      <c r="K2981" s="1">
        <v>1810.18</v>
      </c>
      <c r="L2981" s="1" t="s">
        <v>17</v>
      </c>
      <c r="M2981" s="1" t="str">
        <f>TEXT(Table1[[#This Row],[Order Date]],"mmm")</f>
        <v>Oct</v>
      </c>
      <c r="N2981" s="1">
        <f>YEAR(Table1[[#This Row],[Order Date]])</f>
        <v>2023</v>
      </c>
    </row>
    <row r="2982" spans="1:14" x14ac:dyDescent="0.35">
      <c r="A2982" s="1" t="s">
        <v>3773</v>
      </c>
      <c r="B2982" s="1" t="s">
        <v>1025</v>
      </c>
      <c r="C2982" s="1" t="s">
        <v>188</v>
      </c>
      <c r="D2982" s="1" t="s">
        <v>37</v>
      </c>
      <c r="E2982" s="1" t="s">
        <v>16</v>
      </c>
      <c r="F2982" s="1" t="s">
        <v>37</v>
      </c>
      <c r="G2982" s="1">
        <v>2</v>
      </c>
      <c r="H2982" s="1">
        <v>51827</v>
      </c>
      <c r="I2982" s="1">
        <v>0.05</v>
      </c>
      <c r="J2982" s="1">
        <v>98471.3</v>
      </c>
      <c r="K2982" s="1">
        <v>26551.58</v>
      </c>
      <c r="L2982" s="1" t="s">
        <v>23</v>
      </c>
      <c r="M2982" s="1" t="str">
        <f>TEXT(Table1[[#This Row],[Order Date]],"mmm")</f>
        <v>Mar</v>
      </c>
      <c r="N2982" s="1">
        <f>YEAR(Table1[[#This Row],[Order Date]])</f>
        <v>2023</v>
      </c>
    </row>
    <row r="2983" spans="1:14" x14ac:dyDescent="0.35">
      <c r="A2983" s="1" t="s">
        <v>3774</v>
      </c>
      <c r="B2983" s="1" t="s">
        <v>524</v>
      </c>
      <c r="C2983" s="1" t="s">
        <v>128</v>
      </c>
      <c r="D2983" s="1" t="s">
        <v>32</v>
      </c>
      <c r="E2983" s="1" t="s">
        <v>33</v>
      </c>
      <c r="F2983" s="1" t="s">
        <v>32</v>
      </c>
      <c r="G2983" s="1">
        <v>7</v>
      </c>
      <c r="H2983" s="1">
        <v>9211</v>
      </c>
      <c r="I2983" s="1">
        <v>0.2</v>
      </c>
      <c r="J2983" s="1">
        <v>51581.599999999999</v>
      </c>
      <c r="K2983" s="1">
        <v>9769.9</v>
      </c>
      <c r="L2983" s="1" t="s">
        <v>17</v>
      </c>
      <c r="M2983" s="1" t="str">
        <f>TEXT(Table1[[#This Row],[Order Date]],"mmm")</f>
        <v>Nov</v>
      </c>
      <c r="N2983" s="1">
        <f>YEAR(Table1[[#This Row],[Order Date]])</f>
        <v>2024</v>
      </c>
    </row>
    <row r="2984" spans="1:14" x14ac:dyDescent="0.35">
      <c r="A2984" s="1" t="s">
        <v>3775</v>
      </c>
      <c r="B2984" s="1" t="s">
        <v>934</v>
      </c>
      <c r="C2984" s="1" t="s">
        <v>128</v>
      </c>
      <c r="D2984" s="1" t="s">
        <v>179</v>
      </c>
      <c r="E2984" s="1" t="s">
        <v>28</v>
      </c>
      <c r="F2984" s="1" t="s">
        <v>179</v>
      </c>
      <c r="G2984" s="1">
        <v>2</v>
      </c>
      <c r="H2984" s="1">
        <v>15151</v>
      </c>
      <c r="I2984" s="1">
        <v>0.2</v>
      </c>
      <c r="J2984" s="1">
        <v>24241.599999999999</v>
      </c>
      <c r="K2984" s="1">
        <v>3982.35</v>
      </c>
      <c r="L2984" s="1" t="s">
        <v>23</v>
      </c>
      <c r="M2984" s="1" t="str">
        <f>TEXT(Table1[[#This Row],[Order Date]],"mmm")</f>
        <v>Jun</v>
      </c>
      <c r="N2984" s="1">
        <f>YEAR(Table1[[#This Row],[Order Date]])</f>
        <v>2023</v>
      </c>
    </row>
    <row r="2985" spans="1:14" x14ac:dyDescent="0.35">
      <c r="A2985" s="1" t="s">
        <v>3776</v>
      </c>
      <c r="B2985" s="1" t="s">
        <v>1301</v>
      </c>
      <c r="C2985" s="1" t="s">
        <v>63</v>
      </c>
      <c r="D2985" s="1" t="s">
        <v>78</v>
      </c>
      <c r="E2985" s="1" t="s">
        <v>28</v>
      </c>
      <c r="F2985" s="1" t="s">
        <v>78</v>
      </c>
      <c r="G2985" s="1">
        <v>3</v>
      </c>
      <c r="H2985" s="1">
        <v>20069</v>
      </c>
      <c r="I2985" s="1">
        <v>0.15</v>
      </c>
      <c r="J2985" s="1">
        <v>51175.95</v>
      </c>
      <c r="K2985" s="1">
        <v>13219.66</v>
      </c>
      <c r="L2985" s="1" t="s">
        <v>23</v>
      </c>
      <c r="M2985" s="1" t="str">
        <f>TEXT(Table1[[#This Row],[Order Date]],"mmm")</f>
        <v>Jul</v>
      </c>
      <c r="N2985" s="1">
        <f>YEAR(Table1[[#This Row],[Order Date]])</f>
        <v>2024</v>
      </c>
    </row>
    <row r="2986" spans="1:14" x14ac:dyDescent="0.35">
      <c r="A2986" s="1" t="s">
        <v>3777</v>
      </c>
      <c r="B2986" s="1" t="s">
        <v>1013</v>
      </c>
      <c r="C2986" s="1" t="s">
        <v>640</v>
      </c>
      <c r="D2986" s="1" t="s">
        <v>41</v>
      </c>
      <c r="E2986" s="1" t="s">
        <v>16</v>
      </c>
      <c r="F2986" s="1" t="s">
        <v>41</v>
      </c>
      <c r="G2986" s="1">
        <v>9</v>
      </c>
      <c r="H2986" s="1">
        <v>13482</v>
      </c>
      <c r="I2986" s="1">
        <v>0</v>
      </c>
      <c r="J2986" s="1">
        <v>121338</v>
      </c>
      <c r="K2986" s="1">
        <v>31355.21</v>
      </c>
      <c r="L2986" s="1" t="s">
        <v>70</v>
      </c>
      <c r="M2986" s="1" t="str">
        <f>TEXT(Table1[[#This Row],[Order Date]],"mmm")</f>
        <v>Sep</v>
      </c>
      <c r="N2986" s="1">
        <f>YEAR(Table1[[#This Row],[Order Date]])</f>
        <v>2023</v>
      </c>
    </row>
    <row r="2987" spans="1:14" x14ac:dyDescent="0.35">
      <c r="A2987" s="1" t="s">
        <v>3778</v>
      </c>
      <c r="B2987" s="1" t="s">
        <v>580</v>
      </c>
      <c r="C2987" s="1" t="s">
        <v>170</v>
      </c>
      <c r="D2987" s="1" t="s">
        <v>151</v>
      </c>
      <c r="E2987" s="1" t="s">
        <v>22</v>
      </c>
      <c r="F2987" s="1" t="s">
        <v>151</v>
      </c>
      <c r="G2987" s="1">
        <v>15</v>
      </c>
      <c r="H2987" s="1">
        <v>50452</v>
      </c>
      <c r="I2987" s="1">
        <v>0.2</v>
      </c>
      <c r="J2987" s="1">
        <v>605424</v>
      </c>
      <c r="K2987" s="1">
        <v>179345.18</v>
      </c>
      <c r="L2987" s="1" t="s">
        <v>70</v>
      </c>
      <c r="M2987" s="1" t="str">
        <f>TEXT(Table1[[#This Row],[Order Date]],"mmm")</f>
        <v>Nov</v>
      </c>
      <c r="N2987" s="1">
        <f>YEAR(Table1[[#This Row],[Order Date]])</f>
        <v>2024</v>
      </c>
    </row>
    <row r="2988" spans="1:14" x14ac:dyDescent="0.35">
      <c r="A2988" s="1" t="s">
        <v>3779</v>
      </c>
      <c r="B2988" s="1" t="s">
        <v>341</v>
      </c>
      <c r="C2988" s="1" t="s">
        <v>120</v>
      </c>
      <c r="D2988" s="1" t="s">
        <v>37</v>
      </c>
      <c r="E2988" s="1" t="s">
        <v>16</v>
      </c>
      <c r="F2988" s="1" t="s">
        <v>37</v>
      </c>
      <c r="G2988" s="1">
        <v>10</v>
      </c>
      <c r="H2988" s="1">
        <v>14873</v>
      </c>
      <c r="I2988" s="1">
        <v>0</v>
      </c>
      <c r="J2988" s="1">
        <v>148730</v>
      </c>
      <c r="K2988" s="1">
        <v>32709.08</v>
      </c>
      <c r="L2988" s="1" t="s">
        <v>23</v>
      </c>
      <c r="M2988" s="1" t="str">
        <f>TEXT(Table1[[#This Row],[Order Date]],"mmm")</f>
        <v>May</v>
      </c>
      <c r="N2988" s="1">
        <f>YEAR(Table1[[#This Row],[Order Date]])</f>
        <v>2023</v>
      </c>
    </row>
    <row r="2989" spans="1:14" x14ac:dyDescent="0.35">
      <c r="A2989" s="1" t="s">
        <v>3780</v>
      </c>
      <c r="B2989" s="1" t="s">
        <v>1029</v>
      </c>
      <c r="C2989" s="1" t="s">
        <v>640</v>
      </c>
      <c r="D2989" s="1" t="s">
        <v>133</v>
      </c>
      <c r="E2989" s="1" t="s">
        <v>22</v>
      </c>
      <c r="F2989" s="1" t="s">
        <v>133</v>
      </c>
      <c r="G2989" s="1">
        <v>9</v>
      </c>
      <c r="H2989" s="1">
        <v>13313</v>
      </c>
      <c r="I2989" s="1">
        <v>0.1</v>
      </c>
      <c r="J2989" s="1">
        <v>107835.3</v>
      </c>
      <c r="K2989" s="1">
        <v>13354.67</v>
      </c>
      <c r="L2989" s="1" t="s">
        <v>45</v>
      </c>
      <c r="M2989" s="1" t="str">
        <f>TEXT(Table1[[#This Row],[Order Date]],"mmm")</f>
        <v>Nov</v>
      </c>
      <c r="N2989" s="1">
        <f>YEAR(Table1[[#This Row],[Order Date]])</f>
        <v>2024</v>
      </c>
    </row>
    <row r="2990" spans="1:14" x14ac:dyDescent="0.35">
      <c r="A2990" s="1" t="s">
        <v>3781</v>
      </c>
      <c r="B2990" s="1" t="s">
        <v>292</v>
      </c>
      <c r="C2990" s="1" t="s">
        <v>200</v>
      </c>
      <c r="D2990" s="1" t="s">
        <v>56</v>
      </c>
      <c r="E2990" s="1" t="s">
        <v>22</v>
      </c>
      <c r="F2990" s="1" t="s">
        <v>56</v>
      </c>
      <c r="G2990" s="1">
        <v>4</v>
      </c>
      <c r="H2990" s="1">
        <v>51091</v>
      </c>
      <c r="I2990" s="1">
        <v>0.2</v>
      </c>
      <c r="J2990" s="1">
        <v>163491.20000000001</v>
      </c>
      <c r="K2990" s="1">
        <v>25179.15</v>
      </c>
      <c r="L2990" s="1" t="s">
        <v>17</v>
      </c>
      <c r="M2990" s="1" t="str">
        <f>TEXT(Table1[[#This Row],[Order Date]],"mmm")</f>
        <v>Aug</v>
      </c>
      <c r="N2990" s="1">
        <f>YEAR(Table1[[#This Row],[Order Date]])</f>
        <v>2024</v>
      </c>
    </row>
    <row r="2991" spans="1:14" x14ac:dyDescent="0.35">
      <c r="A2991" s="1" t="s">
        <v>3782</v>
      </c>
      <c r="B2991" s="1" t="s">
        <v>1017</v>
      </c>
      <c r="C2991" s="1" t="s">
        <v>111</v>
      </c>
      <c r="D2991" s="1" t="s">
        <v>224</v>
      </c>
      <c r="E2991" s="1" t="s">
        <v>33</v>
      </c>
      <c r="F2991" s="1" t="s">
        <v>224</v>
      </c>
      <c r="G2991" s="1">
        <v>8</v>
      </c>
      <c r="H2991" s="1">
        <v>52342</v>
      </c>
      <c r="I2991" s="1">
        <v>0.15</v>
      </c>
      <c r="J2991" s="1">
        <v>355925.6</v>
      </c>
      <c r="K2991" s="1">
        <v>43122.49</v>
      </c>
      <c r="L2991" s="1" t="s">
        <v>70</v>
      </c>
      <c r="M2991" s="1" t="str">
        <f>TEXT(Table1[[#This Row],[Order Date]],"mmm")</f>
        <v>Feb</v>
      </c>
      <c r="N2991" s="1">
        <f>YEAR(Table1[[#This Row],[Order Date]])</f>
        <v>2023</v>
      </c>
    </row>
    <row r="2992" spans="1:14" x14ac:dyDescent="0.35">
      <c r="A2992" s="1" t="s">
        <v>3783</v>
      </c>
      <c r="B2992" s="1" t="s">
        <v>185</v>
      </c>
      <c r="C2992" s="1" t="s">
        <v>208</v>
      </c>
      <c r="D2992" s="1" t="s">
        <v>27</v>
      </c>
      <c r="E2992" s="1" t="s">
        <v>28</v>
      </c>
      <c r="F2992" s="1" t="s">
        <v>27</v>
      </c>
      <c r="G2992" s="1">
        <v>12</v>
      </c>
      <c r="H2992" s="1">
        <v>43891</v>
      </c>
      <c r="I2992" s="1">
        <v>0.15</v>
      </c>
      <c r="J2992" s="1">
        <v>447688.2</v>
      </c>
      <c r="K2992" s="1">
        <v>70580.87</v>
      </c>
      <c r="L2992" s="1" t="s">
        <v>17</v>
      </c>
      <c r="M2992" s="1" t="str">
        <f>TEXT(Table1[[#This Row],[Order Date]],"mmm")</f>
        <v>Jun</v>
      </c>
      <c r="N2992" s="1">
        <f>YEAR(Table1[[#This Row],[Order Date]])</f>
        <v>2023</v>
      </c>
    </row>
    <row r="2993" spans="1:14" x14ac:dyDescent="0.35">
      <c r="A2993" s="1" t="s">
        <v>3784</v>
      </c>
      <c r="B2993" s="1" t="s">
        <v>1278</v>
      </c>
      <c r="C2993" s="1" t="s">
        <v>104</v>
      </c>
      <c r="D2993" s="1" t="s">
        <v>167</v>
      </c>
      <c r="E2993" s="1" t="s">
        <v>16</v>
      </c>
      <c r="F2993" s="1" t="s">
        <v>167</v>
      </c>
      <c r="G2993" s="1">
        <v>12</v>
      </c>
      <c r="H2993" s="1">
        <v>40034</v>
      </c>
      <c r="I2993" s="1">
        <v>0.2</v>
      </c>
      <c r="J2993" s="1">
        <v>384326.40000000002</v>
      </c>
      <c r="K2993" s="1">
        <v>82041.820000000007</v>
      </c>
      <c r="L2993" s="1" t="s">
        <v>23</v>
      </c>
      <c r="M2993" s="1" t="str">
        <f>TEXT(Table1[[#This Row],[Order Date]],"mmm")</f>
        <v>Aug</v>
      </c>
      <c r="N2993" s="1">
        <f>YEAR(Table1[[#This Row],[Order Date]])</f>
        <v>2023</v>
      </c>
    </row>
    <row r="2994" spans="1:14" x14ac:dyDescent="0.35">
      <c r="A2994" s="1" t="s">
        <v>3785</v>
      </c>
      <c r="B2994" s="1" t="s">
        <v>634</v>
      </c>
      <c r="C2994" s="1" t="s">
        <v>203</v>
      </c>
      <c r="D2994" s="1" t="s">
        <v>151</v>
      </c>
      <c r="E2994" s="1" t="s">
        <v>22</v>
      </c>
      <c r="F2994" s="1" t="s">
        <v>151</v>
      </c>
      <c r="G2994" s="1">
        <v>4</v>
      </c>
      <c r="H2994" s="1">
        <v>13451</v>
      </c>
      <c r="I2994" s="1">
        <v>0.2</v>
      </c>
      <c r="J2994" s="1">
        <v>43043.199999999997</v>
      </c>
      <c r="K2994" s="1">
        <v>11909.86</v>
      </c>
      <c r="L2994" s="1" t="s">
        <v>23</v>
      </c>
      <c r="M2994" s="1" t="str">
        <f>TEXT(Table1[[#This Row],[Order Date]],"mmm")</f>
        <v>Nov</v>
      </c>
      <c r="N2994" s="1">
        <f>YEAR(Table1[[#This Row],[Order Date]])</f>
        <v>2024</v>
      </c>
    </row>
    <row r="2995" spans="1:14" x14ac:dyDescent="0.35">
      <c r="A2995" s="1" t="s">
        <v>3786</v>
      </c>
      <c r="B2995" s="1" t="s">
        <v>110</v>
      </c>
      <c r="C2995" s="1" t="s">
        <v>88</v>
      </c>
      <c r="D2995" s="1" t="s">
        <v>293</v>
      </c>
      <c r="E2995" s="1" t="s">
        <v>33</v>
      </c>
      <c r="F2995" s="1" t="s">
        <v>293</v>
      </c>
      <c r="G2995" s="1">
        <v>10</v>
      </c>
      <c r="H2995" s="1">
        <v>10673</v>
      </c>
      <c r="I2995" s="1">
        <v>0.15</v>
      </c>
      <c r="J2995" s="1">
        <v>90720.5</v>
      </c>
      <c r="K2995" s="1">
        <v>7563.56</v>
      </c>
      <c r="L2995" s="1" t="s">
        <v>70</v>
      </c>
      <c r="M2995" s="1" t="str">
        <f>TEXT(Table1[[#This Row],[Order Date]],"mmm")</f>
        <v>Jan</v>
      </c>
      <c r="N2995" s="1">
        <f>YEAR(Table1[[#This Row],[Order Date]])</f>
        <v>2023</v>
      </c>
    </row>
    <row r="2996" spans="1:14" x14ac:dyDescent="0.35">
      <c r="A2996" s="1" t="s">
        <v>3787</v>
      </c>
      <c r="B2996" s="1" t="s">
        <v>716</v>
      </c>
      <c r="C2996" s="1" t="s">
        <v>175</v>
      </c>
      <c r="D2996" s="1" t="s">
        <v>60</v>
      </c>
      <c r="E2996" s="1" t="s">
        <v>33</v>
      </c>
      <c r="F2996" s="1" t="s">
        <v>60</v>
      </c>
      <c r="G2996" s="1">
        <v>7</v>
      </c>
      <c r="H2996" s="1">
        <v>31421</v>
      </c>
      <c r="I2996" s="1">
        <v>0.1</v>
      </c>
      <c r="J2996" s="1">
        <v>197952.3</v>
      </c>
      <c r="K2996" s="1">
        <v>51562.26</v>
      </c>
      <c r="L2996" s="1" t="s">
        <v>45</v>
      </c>
      <c r="M2996" s="1" t="str">
        <f>TEXT(Table1[[#This Row],[Order Date]],"mmm")</f>
        <v>Apr</v>
      </c>
      <c r="N2996" s="1">
        <f>YEAR(Table1[[#This Row],[Order Date]])</f>
        <v>2023</v>
      </c>
    </row>
    <row r="2997" spans="1:14" x14ac:dyDescent="0.35">
      <c r="A2997" s="1" t="s">
        <v>3788</v>
      </c>
      <c r="B2997" s="1" t="s">
        <v>804</v>
      </c>
      <c r="C2997" s="1" t="s">
        <v>158</v>
      </c>
      <c r="D2997" s="1" t="s">
        <v>179</v>
      </c>
      <c r="E2997" s="1" t="s">
        <v>28</v>
      </c>
      <c r="F2997" s="1" t="s">
        <v>179</v>
      </c>
      <c r="G2997" s="1">
        <v>3</v>
      </c>
      <c r="H2997" s="1">
        <v>9151</v>
      </c>
      <c r="I2997" s="1">
        <v>0.2</v>
      </c>
      <c r="J2997" s="1">
        <v>21962.400000000001</v>
      </c>
      <c r="K2997" s="1">
        <v>1885.56</v>
      </c>
      <c r="L2997" s="1" t="s">
        <v>45</v>
      </c>
      <c r="M2997" s="1" t="str">
        <f>TEXT(Table1[[#This Row],[Order Date]],"mmm")</f>
        <v>Apr</v>
      </c>
      <c r="N2997" s="1">
        <f>YEAR(Table1[[#This Row],[Order Date]])</f>
        <v>2023</v>
      </c>
    </row>
    <row r="2998" spans="1:14" x14ac:dyDescent="0.35">
      <c r="A2998" s="1" t="s">
        <v>3789</v>
      </c>
      <c r="B2998" s="1" t="s">
        <v>2247</v>
      </c>
      <c r="C2998" s="1" t="s">
        <v>40</v>
      </c>
      <c r="D2998" s="1" t="s">
        <v>179</v>
      </c>
      <c r="E2998" s="1" t="s">
        <v>28</v>
      </c>
      <c r="F2998" s="1" t="s">
        <v>179</v>
      </c>
      <c r="G2998" s="1">
        <v>6</v>
      </c>
      <c r="H2998" s="1">
        <v>20890</v>
      </c>
      <c r="I2998" s="1">
        <v>0.2</v>
      </c>
      <c r="J2998" s="1">
        <v>100272</v>
      </c>
      <c r="K2998" s="1">
        <v>14579.2</v>
      </c>
      <c r="L2998" s="1" t="s">
        <v>70</v>
      </c>
      <c r="M2998" s="1" t="str">
        <f>TEXT(Table1[[#This Row],[Order Date]],"mmm")</f>
        <v>Apr</v>
      </c>
      <c r="N2998" s="1">
        <f>YEAR(Table1[[#This Row],[Order Date]])</f>
        <v>2024</v>
      </c>
    </row>
    <row r="2999" spans="1:14" x14ac:dyDescent="0.35">
      <c r="A2999" s="1" t="s">
        <v>3790</v>
      </c>
      <c r="B2999" s="1" t="s">
        <v>1523</v>
      </c>
      <c r="C2999" s="1" t="s">
        <v>162</v>
      </c>
      <c r="D2999" s="1" t="s">
        <v>167</v>
      </c>
      <c r="E2999" s="1" t="s">
        <v>16</v>
      </c>
      <c r="F2999" s="1" t="s">
        <v>167</v>
      </c>
      <c r="G2999" s="1">
        <v>7</v>
      </c>
      <c r="H2999" s="1">
        <v>8202</v>
      </c>
      <c r="I2999" s="1">
        <v>0</v>
      </c>
      <c r="J2999" s="1">
        <v>57414</v>
      </c>
      <c r="K2999" s="1">
        <v>12154.71</v>
      </c>
      <c r="L2999" s="1" t="s">
        <v>70</v>
      </c>
      <c r="M2999" s="1" t="str">
        <f>TEXT(Table1[[#This Row],[Order Date]],"mmm")</f>
        <v>Jun</v>
      </c>
      <c r="N2999" s="1">
        <f>YEAR(Table1[[#This Row],[Order Date]])</f>
        <v>2023</v>
      </c>
    </row>
    <row r="3000" spans="1:14" x14ac:dyDescent="0.35">
      <c r="A3000" s="1" t="s">
        <v>3791</v>
      </c>
      <c r="B3000" s="1" t="s">
        <v>615</v>
      </c>
      <c r="C3000" s="1" t="s">
        <v>140</v>
      </c>
      <c r="D3000" s="1" t="s">
        <v>48</v>
      </c>
      <c r="E3000" s="1" t="s">
        <v>16</v>
      </c>
      <c r="F3000" s="1" t="s">
        <v>48</v>
      </c>
      <c r="G3000" s="1">
        <v>10</v>
      </c>
      <c r="H3000" s="1">
        <v>23855</v>
      </c>
      <c r="I3000" s="1">
        <v>0.1</v>
      </c>
      <c r="J3000" s="1">
        <v>214695</v>
      </c>
      <c r="K3000" s="1">
        <v>45007.83</v>
      </c>
      <c r="L3000" s="1" t="s">
        <v>23</v>
      </c>
      <c r="M3000" s="1" t="str">
        <f>TEXT(Table1[[#This Row],[Order Date]],"mmm")</f>
        <v>Jun</v>
      </c>
      <c r="N3000" s="1">
        <f>YEAR(Table1[[#This Row],[Order Date]])</f>
        <v>2024</v>
      </c>
    </row>
    <row r="3001" spans="1:14" x14ac:dyDescent="0.35">
      <c r="A3001" s="1" t="s">
        <v>3792</v>
      </c>
      <c r="B3001" s="1" t="s">
        <v>150</v>
      </c>
      <c r="C3001" s="1" t="s">
        <v>349</v>
      </c>
      <c r="D3001" s="1" t="s">
        <v>224</v>
      </c>
      <c r="E3001" s="1" t="s">
        <v>33</v>
      </c>
      <c r="F3001" s="1" t="s">
        <v>224</v>
      </c>
      <c r="G3001" s="1">
        <v>13</v>
      </c>
      <c r="H3001" s="1">
        <v>42466</v>
      </c>
      <c r="I3001" s="1">
        <v>0.15</v>
      </c>
      <c r="J3001" s="1">
        <v>469249.3</v>
      </c>
      <c r="K3001" s="1">
        <v>125867.8</v>
      </c>
      <c r="L3001" s="1" t="s">
        <v>23</v>
      </c>
      <c r="M3001" s="1" t="str">
        <f>TEXT(Table1[[#This Row],[Order Date]],"mmm")</f>
        <v>Aug</v>
      </c>
      <c r="N3001" s="1">
        <f>YEAR(Table1[[#This Row],[Order Date]])</f>
        <v>2023</v>
      </c>
    </row>
    <row r="3002" spans="1:14" x14ac:dyDescent="0.35">
      <c r="A3002" s="1" t="s">
        <v>3793</v>
      </c>
      <c r="B3002" s="1" t="s">
        <v>314</v>
      </c>
      <c r="C3002" s="1" t="s">
        <v>640</v>
      </c>
      <c r="D3002" s="1" t="s">
        <v>293</v>
      </c>
      <c r="E3002" s="1" t="s">
        <v>33</v>
      </c>
      <c r="F3002" s="1" t="s">
        <v>293</v>
      </c>
      <c r="G3002" s="1">
        <v>5</v>
      </c>
      <c r="H3002" s="1">
        <v>51307</v>
      </c>
      <c r="I3002" s="1">
        <v>0</v>
      </c>
      <c r="J3002" s="1">
        <v>256535</v>
      </c>
      <c r="K3002" s="1">
        <v>54519.96</v>
      </c>
      <c r="L3002" s="1" t="s">
        <v>17</v>
      </c>
      <c r="M3002" s="1" t="str">
        <f>TEXT(Table1[[#This Row],[Order Date]],"mmm")</f>
        <v>Nov</v>
      </c>
      <c r="N3002" s="1">
        <f>YEAR(Table1[[#This Row],[Order Date]])</f>
        <v>2024</v>
      </c>
    </row>
    <row r="3003" spans="1:14" x14ac:dyDescent="0.35">
      <c r="A3003" s="1" t="s">
        <v>3794</v>
      </c>
      <c r="B3003" s="1" t="s">
        <v>1235</v>
      </c>
      <c r="C3003" s="1" t="s">
        <v>349</v>
      </c>
      <c r="D3003" s="1" t="s">
        <v>64</v>
      </c>
      <c r="E3003" s="1" t="s">
        <v>33</v>
      </c>
      <c r="F3003" s="1" t="s">
        <v>64</v>
      </c>
      <c r="G3003" s="1">
        <v>13</v>
      </c>
      <c r="H3003" s="1">
        <v>39525</v>
      </c>
      <c r="I3003" s="1">
        <v>0.05</v>
      </c>
      <c r="J3003" s="1">
        <v>488133.75</v>
      </c>
      <c r="K3003" s="1">
        <v>62955.94</v>
      </c>
      <c r="L3003" s="1" t="s">
        <v>23</v>
      </c>
      <c r="M3003" s="1" t="str">
        <f>TEXT(Table1[[#This Row],[Order Date]],"mmm")</f>
        <v>Oct</v>
      </c>
      <c r="N3003" s="1">
        <f>YEAR(Table1[[#This Row],[Order Date]])</f>
        <v>2024</v>
      </c>
    </row>
    <row r="3004" spans="1:14" x14ac:dyDescent="0.35">
      <c r="A3004" s="1" t="s">
        <v>3795</v>
      </c>
      <c r="B3004" s="1" t="s">
        <v>2004</v>
      </c>
      <c r="C3004" s="1" t="s">
        <v>208</v>
      </c>
      <c r="D3004" s="1" t="s">
        <v>179</v>
      </c>
      <c r="E3004" s="1" t="s">
        <v>28</v>
      </c>
      <c r="F3004" s="1" t="s">
        <v>179</v>
      </c>
      <c r="G3004" s="1">
        <v>2</v>
      </c>
      <c r="H3004" s="1">
        <v>14446</v>
      </c>
      <c r="I3004" s="1">
        <v>0.05</v>
      </c>
      <c r="J3004" s="1">
        <v>27447.4</v>
      </c>
      <c r="K3004" s="1">
        <v>2364.8000000000002</v>
      </c>
      <c r="L3004" s="1" t="s">
        <v>45</v>
      </c>
      <c r="M3004" s="1" t="str">
        <f>TEXT(Table1[[#This Row],[Order Date]],"mmm")</f>
        <v>May</v>
      </c>
      <c r="N3004" s="1">
        <f>YEAR(Table1[[#This Row],[Order Date]])</f>
        <v>2023</v>
      </c>
    </row>
    <row r="3005" spans="1:14" x14ac:dyDescent="0.35">
      <c r="A3005" s="1" t="s">
        <v>3796</v>
      </c>
      <c r="B3005" s="1" t="s">
        <v>837</v>
      </c>
      <c r="C3005" s="1" t="s">
        <v>128</v>
      </c>
      <c r="D3005" s="1" t="s">
        <v>95</v>
      </c>
      <c r="E3005" s="1" t="s">
        <v>33</v>
      </c>
      <c r="F3005" s="1" t="s">
        <v>95</v>
      </c>
      <c r="G3005" s="1">
        <v>6</v>
      </c>
      <c r="H3005" s="1">
        <v>37711</v>
      </c>
      <c r="I3005" s="1">
        <v>0</v>
      </c>
      <c r="J3005" s="1">
        <v>226266</v>
      </c>
      <c r="K3005" s="1">
        <v>46447.25</v>
      </c>
      <c r="L3005" s="1" t="s">
        <v>23</v>
      </c>
      <c r="M3005" s="1" t="str">
        <f>TEXT(Table1[[#This Row],[Order Date]],"mmm")</f>
        <v>Feb</v>
      </c>
      <c r="N3005" s="1">
        <f>YEAR(Table1[[#This Row],[Order Date]])</f>
        <v>2024</v>
      </c>
    </row>
    <row r="3006" spans="1:14" x14ac:dyDescent="0.35">
      <c r="A3006" s="1" t="s">
        <v>3797</v>
      </c>
      <c r="B3006" s="1" t="s">
        <v>681</v>
      </c>
      <c r="C3006" s="1" t="s">
        <v>175</v>
      </c>
      <c r="D3006" s="1" t="s">
        <v>44</v>
      </c>
      <c r="E3006" s="1" t="s">
        <v>28</v>
      </c>
      <c r="F3006" s="1" t="s">
        <v>44</v>
      </c>
      <c r="G3006" s="1">
        <v>9</v>
      </c>
      <c r="H3006" s="1">
        <v>3324</v>
      </c>
      <c r="I3006" s="1">
        <v>0.1</v>
      </c>
      <c r="J3006" s="1">
        <v>26924.400000000001</v>
      </c>
      <c r="K3006" s="1">
        <v>7620.1</v>
      </c>
      <c r="L3006" s="1" t="s">
        <v>23</v>
      </c>
      <c r="M3006" s="1" t="str">
        <f>TEXT(Table1[[#This Row],[Order Date]],"mmm")</f>
        <v>Apr</v>
      </c>
      <c r="N3006" s="1">
        <f>YEAR(Table1[[#This Row],[Order Date]])</f>
        <v>2024</v>
      </c>
    </row>
    <row r="3007" spans="1:14" x14ac:dyDescent="0.35">
      <c r="A3007" s="1" t="s">
        <v>3798</v>
      </c>
      <c r="B3007" s="1" t="s">
        <v>1517</v>
      </c>
      <c r="C3007" s="1" t="s">
        <v>101</v>
      </c>
      <c r="D3007" s="1" t="s">
        <v>95</v>
      </c>
      <c r="E3007" s="1" t="s">
        <v>33</v>
      </c>
      <c r="F3007" s="1" t="s">
        <v>95</v>
      </c>
      <c r="G3007" s="1">
        <v>13</v>
      </c>
      <c r="H3007" s="1">
        <v>32379</v>
      </c>
      <c r="I3007" s="1">
        <v>0.1</v>
      </c>
      <c r="J3007" s="1">
        <v>378834.3</v>
      </c>
      <c r="K3007" s="1">
        <v>110398.6</v>
      </c>
      <c r="L3007" s="1" t="s">
        <v>23</v>
      </c>
      <c r="M3007" s="1" t="str">
        <f>TEXT(Table1[[#This Row],[Order Date]],"mmm")</f>
        <v>Mar</v>
      </c>
      <c r="N3007" s="1">
        <f>YEAR(Table1[[#This Row],[Order Date]])</f>
        <v>2023</v>
      </c>
    </row>
    <row r="3008" spans="1:14" x14ac:dyDescent="0.35">
      <c r="A3008" s="1" t="s">
        <v>3799</v>
      </c>
      <c r="B3008" s="1" t="s">
        <v>355</v>
      </c>
      <c r="C3008" s="1" t="s">
        <v>332</v>
      </c>
      <c r="D3008" s="1" t="s">
        <v>151</v>
      </c>
      <c r="E3008" s="1" t="s">
        <v>22</v>
      </c>
      <c r="F3008" s="1" t="s">
        <v>151</v>
      </c>
      <c r="G3008" s="1">
        <v>9</v>
      </c>
      <c r="H3008" s="1">
        <v>58956</v>
      </c>
      <c r="I3008" s="1">
        <v>0.05</v>
      </c>
      <c r="J3008" s="1">
        <v>504073.8</v>
      </c>
      <c r="K3008" s="1">
        <v>106926.96</v>
      </c>
      <c r="L3008" s="1" t="s">
        <v>23</v>
      </c>
      <c r="M3008" s="1" t="str">
        <f>TEXT(Table1[[#This Row],[Order Date]],"mmm")</f>
        <v>Dec</v>
      </c>
      <c r="N3008" s="1">
        <f>YEAR(Table1[[#This Row],[Order Date]])</f>
        <v>2023</v>
      </c>
    </row>
    <row r="3009" spans="1:14" x14ac:dyDescent="0.35">
      <c r="A3009" s="1" t="s">
        <v>3800</v>
      </c>
      <c r="B3009" s="1" t="s">
        <v>817</v>
      </c>
      <c r="C3009" s="1" t="s">
        <v>111</v>
      </c>
      <c r="D3009" s="1" t="s">
        <v>60</v>
      </c>
      <c r="E3009" s="1" t="s">
        <v>33</v>
      </c>
      <c r="F3009" s="1" t="s">
        <v>60</v>
      </c>
      <c r="G3009" s="1">
        <v>15</v>
      </c>
      <c r="H3009" s="1">
        <v>41335</v>
      </c>
      <c r="I3009" s="1">
        <v>0.2</v>
      </c>
      <c r="J3009" s="1">
        <v>496020</v>
      </c>
      <c r="K3009" s="1">
        <v>44177.08</v>
      </c>
      <c r="L3009" s="1" t="s">
        <v>17</v>
      </c>
      <c r="M3009" s="1" t="str">
        <f>TEXT(Table1[[#This Row],[Order Date]],"mmm")</f>
        <v>Jul</v>
      </c>
      <c r="N3009" s="1">
        <f>YEAR(Table1[[#This Row],[Order Date]])</f>
        <v>2024</v>
      </c>
    </row>
    <row r="3010" spans="1:14" x14ac:dyDescent="0.35">
      <c r="A3010" s="1" t="s">
        <v>3801</v>
      </c>
      <c r="B3010" s="1" t="s">
        <v>379</v>
      </c>
      <c r="C3010" s="1" t="s">
        <v>67</v>
      </c>
      <c r="D3010" s="1" t="s">
        <v>179</v>
      </c>
      <c r="E3010" s="1" t="s">
        <v>28</v>
      </c>
      <c r="F3010" s="1" t="s">
        <v>179</v>
      </c>
      <c r="G3010" s="1">
        <v>10</v>
      </c>
      <c r="H3010" s="1">
        <v>45955</v>
      </c>
      <c r="I3010" s="1">
        <v>0.2</v>
      </c>
      <c r="J3010" s="1">
        <v>367640</v>
      </c>
      <c r="K3010" s="1">
        <v>79849.119999999995</v>
      </c>
      <c r="L3010" s="1" t="s">
        <v>45</v>
      </c>
      <c r="M3010" s="1" t="str">
        <f>TEXT(Table1[[#This Row],[Order Date]],"mmm")</f>
        <v>Feb</v>
      </c>
      <c r="N3010" s="1">
        <f>YEAR(Table1[[#This Row],[Order Date]])</f>
        <v>2023</v>
      </c>
    </row>
    <row r="3011" spans="1:14" x14ac:dyDescent="0.35">
      <c r="A3011" s="1" t="s">
        <v>3802</v>
      </c>
      <c r="B3011" s="1" t="s">
        <v>551</v>
      </c>
      <c r="C3011" s="1" t="s">
        <v>227</v>
      </c>
      <c r="D3011" s="1" t="s">
        <v>133</v>
      </c>
      <c r="E3011" s="1" t="s">
        <v>22</v>
      </c>
      <c r="F3011" s="1" t="s">
        <v>133</v>
      </c>
      <c r="G3011" s="1">
        <v>6</v>
      </c>
      <c r="H3011" s="1">
        <v>15245</v>
      </c>
      <c r="I3011" s="1">
        <v>0</v>
      </c>
      <c r="J3011" s="1">
        <v>91470</v>
      </c>
      <c r="K3011" s="1">
        <v>20122.66</v>
      </c>
      <c r="L3011" s="1" t="s">
        <v>17</v>
      </c>
      <c r="M3011" s="1" t="str">
        <f>TEXT(Table1[[#This Row],[Order Date]],"mmm")</f>
        <v>Apr</v>
      </c>
      <c r="N3011" s="1">
        <f>YEAR(Table1[[#This Row],[Order Date]])</f>
        <v>2024</v>
      </c>
    </row>
    <row r="3012" spans="1:14" x14ac:dyDescent="0.35">
      <c r="A3012" s="1" t="s">
        <v>3803</v>
      </c>
      <c r="B3012" s="1" t="s">
        <v>551</v>
      </c>
      <c r="C3012" s="1" t="s">
        <v>77</v>
      </c>
      <c r="D3012" s="1" t="s">
        <v>151</v>
      </c>
      <c r="E3012" s="1" t="s">
        <v>22</v>
      </c>
      <c r="F3012" s="1" t="s">
        <v>151</v>
      </c>
      <c r="G3012" s="1">
        <v>11</v>
      </c>
      <c r="H3012" s="1">
        <v>59890</v>
      </c>
      <c r="I3012" s="1">
        <v>0.05</v>
      </c>
      <c r="J3012" s="1">
        <v>625850.5</v>
      </c>
      <c r="K3012" s="1">
        <v>88985.11</v>
      </c>
      <c r="L3012" s="1" t="s">
        <v>23</v>
      </c>
      <c r="M3012" s="1" t="str">
        <f>TEXT(Table1[[#This Row],[Order Date]],"mmm")</f>
        <v>Apr</v>
      </c>
      <c r="N3012" s="1">
        <f>YEAR(Table1[[#This Row],[Order Date]])</f>
        <v>2024</v>
      </c>
    </row>
    <row r="3013" spans="1:14" x14ac:dyDescent="0.35">
      <c r="A3013" s="1" t="s">
        <v>3804</v>
      </c>
      <c r="B3013" s="1" t="s">
        <v>381</v>
      </c>
      <c r="C3013" s="1" t="s">
        <v>98</v>
      </c>
      <c r="D3013" s="1" t="s">
        <v>44</v>
      </c>
      <c r="E3013" s="1" t="s">
        <v>28</v>
      </c>
      <c r="F3013" s="1" t="s">
        <v>44</v>
      </c>
      <c r="G3013" s="1">
        <v>3</v>
      </c>
      <c r="H3013" s="1">
        <v>44514</v>
      </c>
      <c r="I3013" s="1">
        <v>0.2</v>
      </c>
      <c r="J3013" s="1">
        <v>106833.60000000001</v>
      </c>
      <c r="K3013" s="1">
        <v>13277.62</v>
      </c>
      <c r="L3013" s="1" t="s">
        <v>70</v>
      </c>
      <c r="M3013" s="1" t="str">
        <f>TEXT(Table1[[#This Row],[Order Date]],"mmm")</f>
        <v>Dec</v>
      </c>
      <c r="N3013" s="1">
        <f>YEAR(Table1[[#This Row],[Order Date]])</f>
        <v>2023</v>
      </c>
    </row>
    <row r="3014" spans="1:14" x14ac:dyDescent="0.35">
      <c r="A3014" s="1" t="s">
        <v>3805</v>
      </c>
      <c r="B3014" s="1" t="s">
        <v>475</v>
      </c>
      <c r="C3014" s="1" t="s">
        <v>335</v>
      </c>
      <c r="D3014" s="1" t="s">
        <v>167</v>
      </c>
      <c r="E3014" s="1" t="s">
        <v>16</v>
      </c>
      <c r="F3014" s="1" t="s">
        <v>167</v>
      </c>
      <c r="G3014" s="1">
        <v>4</v>
      </c>
      <c r="H3014" s="1">
        <v>38296</v>
      </c>
      <c r="I3014" s="1">
        <v>0.1</v>
      </c>
      <c r="J3014" s="1">
        <v>137865.60000000001</v>
      </c>
      <c r="K3014" s="1">
        <v>31098.66</v>
      </c>
      <c r="L3014" s="1" t="s">
        <v>17</v>
      </c>
      <c r="M3014" s="1" t="str">
        <f>TEXT(Table1[[#This Row],[Order Date]],"mmm")</f>
        <v>Jun</v>
      </c>
      <c r="N3014" s="1">
        <f>YEAR(Table1[[#This Row],[Order Date]])</f>
        <v>2023</v>
      </c>
    </row>
    <row r="3015" spans="1:14" x14ac:dyDescent="0.35">
      <c r="A3015" s="1" t="s">
        <v>3806</v>
      </c>
      <c r="B3015" s="1" t="s">
        <v>1718</v>
      </c>
      <c r="C3015" s="1" t="s">
        <v>128</v>
      </c>
      <c r="D3015" s="1" t="s">
        <v>167</v>
      </c>
      <c r="E3015" s="1" t="s">
        <v>16</v>
      </c>
      <c r="F3015" s="1" t="s">
        <v>167</v>
      </c>
      <c r="G3015" s="1">
        <v>2</v>
      </c>
      <c r="H3015" s="1">
        <v>12368</v>
      </c>
      <c r="I3015" s="1">
        <v>0.1</v>
      </c>
      <c r="J3015" s="1">
        <v>22262.400000000001</v>
      </c>
      <c r="K3015" s="1">
        <v>3208.9</v>
      </c>
      <c r="L3015" s="1" t="s">
        <v>45</v>
      </c>
      <c r="M3015" s="1" t="str">
        <f>TEXT(Table1[[#This Row],[Order Date]],"mmm")</f>
        <v>Nov</v>
      </c>
      <c r="N3015" s="1">
        <f>YEAR(Table1[[#This Row],[Order Date]])</f>
        <v>2024</v>
      </c>
    </row>
    <row r="3016" spans="1:14" x14ac:dyDescent="0.35">
      <c r="A3016" s="1" t="s">
        <v>3807</v>
      </c>
      <c r="B3016" s="1" t="s">
        <v>2746</v>
      </c>
      <c r="C3016" s="1" t="s">
        <v>14</v>
      </c>
      <c r="D3016" s="1" t="s">
        <v>44</v>
      </c>
      <c r="E3016" s="1" t="s">
        <v>28</v>
      </c>
      <c r="F3016" s="1" t="s">
        <v>44</v>
      </c>
      <c r="G3016" s="1">
        <v>9</v>
      </c>
      <c r="H3016" s="1">
        <v>2475</v>
      </c>
      <c r="I3016" s="1">
        <v>0.2</v>
      </c>
      <c r="J3016" s="1">
        <v>17820</v>
      </c>
      <c r="K3016" s="1">
        <v>4076.37</v>
      </c>
      <c r="L3016" s="1" t="s">
        <v>23</v>
      </c>
      <c r="M3016" s="1" t="str">
        <f>TEXT(Table1[[#This Row],[Order Date]],"mmm")</f>
        <v>Jan</v>
      </c>
      <c r="N3016" s="1">
        <f>YEAR(Table1[[#This Row],[Order Date]])</f>
        <v>2023</v>
      </c>
    </row>
    <row r="3017" spans="1:14" x14ac:dyDescent="0.35">
      <c r="A3017" s="1" t="s">
        <v>3808</v>
      </c>
      <c r="B3017" s="1" t="s">
        <v>1781</v>
      </c>
      <c r="C3017" s="1" t="s">
        <v>227</v>
      </c>
      <c r="D3017" s="1" t="s">
        <v>74</v>
      </c>
      <c r="E3017" s="1" t="s">
        <v>22</v>
      </c>
      <c r="F3017" s="1" t="s">
        <v>74</v>
      </c>
      <c r="G3017" s="1">
        <v>8</v>
      </c>
      <c r="H3017" s="1">
        <v>57235</v>
      </c>
      <c r="I3017" s="1">
        <v>0.05</v>
      </c>
      <c r="J3017" s="1">
        <v>434986</v>
      </c>
      <c r="K3017" s="1">
        <v>123854.04</v>
      </c>
      <c r="L3017" s="1" t="s">
        <v>45</v>
      </c>
      <c r="M3017" s="1" t="str">
        <f>TEXT(Table1[[#This Row],[Order Date]],"mmm")</f>
        <v>Sep</v>
      </c>
      <c r="N3017" s="1">
        <f>YEAR(Table1[[#This Row],[Order Date]])</f>
        <v>2024</v>
      </c>
    </row>
    <row r="3018" spans="1:14" x14ac:dyDescent="0.35">
      <c r="A3018" s="1" t="s">
        <v>3809</v>
      </c>
      <c r="B3018" s="1" t="s">
        <v>337</v>
      </c>
      <c r="C3018" s="1" t="s">
        <v>208</v>
      </c>
      <c r="D3018" s="1" t="s">
        <v>85</v>
      </c>
      <c r="E3018" s="1" t="s">
        <v>28</v>
      </c>
      <c r="F3018" s="1" t="s">
        <v>85</v>
      </c>
      <c r="G3018" s="1">
        <v>13</v>
      </c>
      <c r="H3018" s="1">
        <v>26253</v>
      </c>
      <c r="I3018" s="1">
        <v>0.05</v>
      </c>
      <c r="J3018" s="1">
        <v>324224.55</v>
      </c>
      <c r="K3018" s="1">
        <v>82485.070000000007</v>
      </c>
      <c r="L3018" s="1" t="s">
        <v>23</v>
      </c>
      <c r="M3018" s="1" t="str">
        <f>TEXT(Table1[[#This Row],[Order Date]],"mmm")</f>
        <v>May</v>
      </c>
      <c r="N3018" s="1">
        <f>YEAR(Table1[[#This Row],[Order Date]])</f>
        <v>2024</v>
      </c>
    </row>
    <row r="3019" spans="1:14" x14ac:dyDescent="0.35">
      <c r="A3019" s="1" t="s">
        <v>3810</v>
      </c>
      <c r="B3019" s="1" t="s">
        <v>269</v>
      </c>
      <c r="C3019" s="1" t="s">
        <v>335</v>
      </c>
      <c r="D3019" s="1" t="s">
        <v>78</v>
      </c>
      <c r="E3019" s="1" t="s">
        <v>28</v>
      </c>
      <c r="F3019" s="1" t="s">
        <v>78</v>
      </c>
      <c r="G3019" s="1">
        <v>11</v>
      </c>
      <c r="H3019" s="1">
        <v>1960</v>
      </c>
      <c r="I3019" s="1">
        <v>0.2</v>
      </c>
      <c r="J3019" s="1">
        <v>17248</v>
      </c>
      <c r="K3019" s="1">
        <v>2332.9499999999998</v>
      </c>
      <c r="L3019" s="1" t="s">
        <v>45</v>
      </c>
      <c r="M3019" s="1" t="str">
        <f>TEXT(Table1[[#This Row],[Order Date]],"mmm")</f>
        <v>Dec</v>
      </c>
      <c r="N3019" s="1">
        <f>YEAR(Table1[[#This Row],[Order Date]])</f>
        <v>2023</v>
      </c>
    </row>
    <row r="3020" spans="1:14" x14ac:dyDescent="0.35">
      <c r="A3020" s="1" t="s">
        <v>3811</v>
      </c>
      <c r="B3020" s="1" t="s">
        <v>50</v>
      </c>
      <c r="C3020" s="1" t="s">
        <v>640</v>
      </c>
      <c r="D3020" s="1" t="s">
        <v>74</v>
      </c>
      <c r="E3020" s="1" t="s">
        <v>22</v>
      </c>
      <c r="F3020" s="1" t="s">
        <v>74</v>
      </c>
      <c r="G3020" s="1">
        <v>4</v>
      </c>
      <c r="H3020" s="1">
        <v>28862</v>
      </c>
      <c r="I3020" s="1">
        <v>0.15</v>
      </c>
      <c r="J3020" s="1">
        <v>98130.8</v>
      </c>
      <c r="K3020" s="1">
        <v>17541.22</v>
      </c>
      <c r="L3020" s="1" t="s">
        <v>45</v>
      </c>
      <c r="M3020" s="1" t="str">
        <f>TEXT(Table1[[#This Row],[Order Date]],"mmm")</f>
        <v>May</v>
      </c>
      <c r="N3020" s="1">
        <f>YEAR(Table1[[#This Row],[Order Date]])</f>
        <v>2023</v>
      </c>
    </row>
    <row r="3021" spans="1:14" x14ac:dyDescent="0.35">
      <c r="A3021" s="1" t="s">
        <v>3812</v>
      </c>
      <c r="B3021" s="1" t="s">
        <v>770</v>
      </c>
      <c r="C3021" s="1" t="s">
        <v>162</v>
      </c>
      <c r="D3021" s="1" t="s">
        <v>48</v>
      </c>
      <c r="E3021" s="1" t="s">
        <v>16</v>
      </c>
      <c r="F3021" s="1" t="s">
        <v>48</v>
      </c>
      <c r="G3021" s="1">
        <v>2</v>
      </c>
      <c r="H3021" s="1">
        <v>57988</v>
      </c>
      <c r="I3021" s="1">
        <v>0</v>
      </c>
      <c r="J3021" s="1">
        <v>115976</v>
      </c>
      <c r="K3021" s="1">
        <v>31871.62</v>
      </c>
      <c r="L3021" s="1" t="s">
        <v>23</v>
      </c>
      <c r="M3021" s="1" t="str">
        <f>TEXT(Table1[[#This Row],[Order Date]],"mmm")</f>
        <v>Feb</v>
      </c>
      <c r="N3021" s="1">
        <f>YEAR(Table1[[#This Row],[Order Date]])</f>
        <v>2024</v>
      </c>
    </row>
    <row r="3022" spans="1:14" x14ac:dyDescent="0.35">
      <c r="A3022" s="1" t="s">
        <v>3813</v>
      </c>
      <c r="B3022" s="1" t="s">
        <v>944</v>
      </c>
      <c r="C3022" s="1" t="s">
        <v>640</v>
      </c>
      <c r="D3022" s="1" t="s">
        <v>167</v>
      </c>
      <c r="E3022" s="1" t="s">
        <v>16</v>
      </c>
      <c r="F3022" s="1" t="s">
        <v>167</v>
      </c>
      <c r="G3022" s="1">
        <v>5</v>
      </c>
      <c r="H3022" s="1">
        <v>59410</v>
      </c>
      <c r="I3022" s="1">
        <v>0.2</v>
      </c>
      <c r="J3022" s="1">
        <v>237640</v>
      </c>
      <c r="K3022" s="1">
        <v>41731.279999999999</v>
      </c>
      <c r="L3022" s="1" t="s">
        <v>70</v>
      </c>
      <c r="M3022" s="1" t="str">
        <f>TEXT(Table1[[#This Row],[Order Date]],"mmm")</f>
        <v>Aug</v>
      </c>
      <c r="N3022" s="1">
        <f>YEAR(Table1[[#This Row],[Order Date]])</f>
        <v>2024</v>
      </c>
    </row>
    <row r="3023" spans="1:14" x14ac:dyDescent="0.35">
      <c r="A3023" s="1" t="s">
        <v>3814</v>
      </c>
      <c r="B3023" s="1" t="s">
        <v>331</v>
      </c>
      <c r="C3023" s="1" t="s">
        <v>77</v>
      </c>
      <c r="D3023" s="1" t="s">
        <v>323</v>
      </c>
      <c r="E3023" s="1" t="s">
        <v>33</v>
      </c>
      <c r="F3023" s="1" t="s">
        <v>323</v>
      </c>
      <c r="G3023" s="1">
        <v>14</v>
      </c>
      <c r="H3023" s="1">
        <v>59244</v>
      </c>
      <c r="I3023" s="1">
        <v>0.1</v>
      </c>
      <c r="J3023" s="1">
        <v>746474.4</v>
      </c>
      <c r="K3023" s="1">
        <v>156383.04000000001</v>
      </c>
      <c r="L3023" s="1" t="s">
        <v>17</v>
      </c>
      <c r="M3023" s="1" t="str">
        <f>TEXT(Table1[[#This Row],[Order Date]],"mmm")</f>
        <v>Oct</v>
      </c>
      <c r="N3023" s="1">
        <f>YEAR(Table1[[#This Row],[Order Date]])</f>
        <v>2024</v>
      </c>
    </row>
    <row r="3024" spans="1:14" x14ac:dyDescent="0.35">
      <c r="A3024" s="1" t="s">
        <v>3815</v>
      </c>
      <c r="B3024" s="1" t="s">
        <v>244</v>
      </c>
      <c r="C3024" s="1" t="s">
        <v>146</v>
      </c>
      <c r="D3024" s="1" t="s">
        <v>179</v>
      </c>
      <c r="E3024" s="1" t="s">
        <v>28</v>
      </c>
      <c r="F3024" s="1" t="s">
        <v>179</v>
      </c>
      <c r="G3024" s="1">
        <v>3</v>
      </c>
      <c r="H3024" s="1">
        <v>29706</v>
      </c>
      <c r="I3024" s="1">
        <v>0.1</v>
      </c>
      <c r="J3024" s="1">
        <v>80206.2</v>
      </c>
      <c r="K3024" s="1">
        <v>18574.88</v>
      </c>
      <c r="L3024" s="1" t="s">
        <v>45</v>
      </c>
      <c r="M3024" s="1" t="str">
        <f>TEXT(Table1[[#This Row],[Order Date]],"mmm")</f>
        <v>Dec</v>
      </c>
      <c r="N3024" s="1">
        <f>YEAR(Table1[[#This Row],[Order Date]])</f>
        <v>2023</v>
      </c>
    </row>
    <row r="3025" spans="1:14" x14ac:dyDescent="0.35">
      <c r="A3025" s="1" t="s">
        <v>3816</v>
      </c>
      <c r="B3025" s="1" t="s">
        <v>2169</v>
      </c>
      <c r="C3025" s="1" t="s">
        <v>14</v>
      </c>
      <c r="D3025" s="1" t="s">
        <v>60</v>
      </c>
      <c r="E3025" s="1" t="s">
        <v>33</v>
      </c>
      <c r="F3025" s="1" t="s">
        <v>60</v>
      </c>
      <c r="G3025" s="1">
        <v>9</v>
      </c>
      <c r="H3025" s="1">
        <v>13404</v>
      </c>
      <c r="I3025" s="1">
        <v>0</v>
      </c>
      <c r="J3025" s="1">
        <v>120636</v>
      </c>
      <c r="K3025" s="1">
        <v>19532.11</v>
      </c>
      <c r="L3025" s="1" t="s">
        <v>17</v>
      </c>
      <c r="M3025" s="1" t="str">
        <f>TEXT(Table1[[#This Row],[Order Date]],"mmm")</f>
        <v>Jul</v>
      </c>
      <c r="N3025" s="1">
        <f>YEAR(Table1[[#This Row],[Order Date]])</f>
        <v>2024</v>
      </c>
    </row>
    <row r="3026" spans="1:14" x14ac:dyDescent="0.35">
      <c r="A3026" s="1" t="s">
        <v>3817</v>
      </c>
      <c r="B3026" s="1" t="s">
        <v>554</v>
      </c>
      <c r="C3026" s="1" t="s">
        <v>111</v>
      </c>
      <c r="D3026" s="1" t="s">
        <v>151</v>
      </c>
      <c r="E3026" s="1" t="s">
        <v>22</v>
      </c>
      <c r="F3026" s="1" t="s">
        <v>151</v>
      </c>
      <c r="G3026" s="1">
        <v>5</v>
      </c>
      <c r="H3026" s="1">
        <v>27107</v>
      </c>
      <c r="I3026" s="1">
        <v>0.1</v>
      </c>
      <c r="J3026" s="1">
        <v>121981.5</v>
      </c>
      <c r="K3026" s="1">
        <v>35265.83</v>
      </c>
      <c r="L3026" s="1" t="s">
        <v>45</v>
      </c>
      <c r="M3026" s="1" t="str">
        <f>TEXT(Table1[[#This Row],[Order Date]],"mmm")</f>
        <v>Nov</v>
      </c>
      <c r="N3026" s="1">
        <f>YEAR(Table1[[#This Row],[Order Date]])</f>
        <v>2023</v>
      </c>
    </row>
    <row r="3027" spans="1:14" x14ac:dyDescent="0.35">
      <c r="A3027" s="1" t="s">
        <v>3818</v>
      </c>
      <c r="B3027" s="1" t="s">
        <v>1443</v>
      </c>
      <c r="C3027" s="1" t="s">
        <v>158</v>
      </c>
      <c r="D3027" s="1" t="s">
        <v>32</v>
      </c>
      <c r="E3027" s="1" t="s">
        <v>33</v>
      </c>
      <c r="F3027" s="1" t="s">
        <v>32</v>
      </c>
      <c r="G3027" s="1">
        <v>3</v>
      </c>
      <c r="H3027" s="1">
        <v>40033</v>
      </c>
      <c r="I3027" s="1">
        <v>0.2</v>
      </c>
      <c r="J3027" s="1">
        <v>96079.2</v>
      </c>
      <c r="K3027" s="1">
        <v>28009.85</v>
      </c>
      <c r="L3027" s="1" t="s">
        <v>45</v>
      </c>
      <c r="M3027" s="1" t="str">
        <f>TEXT(Table1[[#This Row],[Order Date]],"mmm")</f>
        <v>Aug</v>
      </c>
      <c r="N3027" s="1">
        <f>YEAR(Table1[[#This Row],[Order Date]])</f>
        <v>2023</v>
      </c>
    </row>
    <row r="3028" spans="1:14" x14ac:dyDescent="0.35">
      <c r="A3028" s="1" t="s">
        <v>3819</v>
      </c>
      <c r="B3028" s="1" t="s">
        <v>25</v>
      </c>
      <c r="C3028" s="1" t="s">
        <v>155</v>
      </c>
      <c r="D3028" s="1" t="s">
        <v>52</v>
      </c>
      <c r="E3028" s="1" t="s">
        <v>28</v>
      </c>
      <c r="F3028" s="1" t="s">
        <v>52</v>
      </c>
      <c r="G3028" s="1">
        <v>11</v>
      </c>
      <c r="H3028" s="1">
        <v>49104</v>
      </c>
      <c r="I3028" s="1">
        <v>0.1</v>
      </c>
      <c r="J3028" s="1">
        <v>486129.6</v>
      </c>
      <c r="K3028" s="1">
        <v>123852.31</v>
      </c>
      <c r="L3028" s="1" t="s">
        <v>23</v>
      </c>
      <c r="M3028" s="1" t="str">
        <f>TEXT(Table1[[#This Row],[Order Date]],"mmm")</f>
        <v>Apr</v>
      </c>
      <c r="N3028" s="1">
        <f>YEAR(Table1[[#This Row],[Order Date]])</f>
        <v>2023</v>
      </c>
    </row>
    <row r="3029" spans="1:14" x14ac:dyDescent="0.35">
      <c r="A3029" s="1" t="s">
        <v>3820</v>
      </c>
      <c r="B3029" s="1" t="s">
        <v>792</v>
      </c>
      <c r="C3029" s="1" t="s">
        <v>117</v>
      </c>
      <c r="D3029" s="1" t="s">
        <v>167</v>
      </c>
      <c r="E3029" s="1" t="s">
        <v>16</v>
      </c>
      <c r="F3029" s="1" t="s">
        <v>167</v>
      </c>
      <c r="G3029" s="1">
        <v>3</v>
      </c>
      <c r="H3029" s="1">
        <v>51706</v>
      </c>
      <c r="I3029" s="1">
        <v>0.05</v>
      </c>
      <c r="J3029" s="1">
        <v>147362.1</v>
      </c>
      <c r="K3029" s="1">
        <v>39821.83</v>
      </c>
      <c r="L3029" s="1" t="s">
        <v>17</v>
      </c>
      <c r="M3029" s="1" t="str">
        <f>TEXT(Table1[[#This Row],[Order Date]],"mmm")</f>
        <v>Aug</v>
      </c>
      <c r="N3029" s="1">
        <f>YEAR(Table1[[#This Row],[Order Date]])</f>
        <v>2023</v>
      </c>
    </row>
    <row r="3030" spans="1:14" x14ac:dyDescent="0.35">
      <c r="A3030" s="1" t="s">
        <v>3821</v>
      </c>
      <c r="B3030" s="1" t="s">
        <v>1023</v>
      </c>
      <c r="C3030" s="1" t="s">
        <v>255</v>
      </c>
      <c r="D3030" s="1" t="s">
        <v>323</v>
      </c>
      <c r="E3030" s="1" t="s">
        <v>33</v>
      </c>
      <c r="F3030" s="1" t="s">
        <v>323</v>
      </c>
      <c r="G3030" s="1">
        <v>3</v>
      </c>
      <c r="H3030" s="1">
        <v>16927</v>
      </c>
      <c r="I3030" s="1">
        <v>0.15</v>
      </c>
      <c r="J3030" s="1">
        <v>43163.85</v>
      </c>
      <c r="K3030" s="1">
        <v>10442.84</v>
      </c>
      <c r="L3030" s="1" t="s">
        <v>23</v>
      </c>
      <c r="M3030" s="1" t="str">
        <f>TEXT(Table1[[#This Row],[Order Date]],"mmm")</f>
        <v>May</v>
      </c>
      <c r="N3030" s="1">
        <f>YEAR(Table1[[#This Row],[Order Date]])</f>
        <v>2023</v>
      </c>
    </row>
    <row r="3031" spans="1:14" x14ac:dyDescent="0.35">
      <c r="A3031" s="1" t="s">
        <v>3822</v>
      </c>
      <c r="B3031" s="1" t="s">
        <v>2345</v>
      </c>
      <c r="C3031" s="1" t="s">
        <v>81</v>
      </c>
      <c r="D3031" s="1" t="s">
        <v>78</v>
      </c>
      <c r="E3031" s="1" t="s">
        <v>28</v>
      </c>
      <c r="F3031" s="1" t="s">
        <v>78</v>
      </c>
      <c r="G3031" s="1">
        <v>7</v>
      </c>
      <c r="H3031" s="1">
        <v>37670</v>
      </c>
      <c r="I3031" s="1">
        <v>0.1</v>
      </c>
      <c r="J3031" s="1">
        <v>237321</v>
      </c>
      <c r="K3031" s="1">
        <v>51345.16</v>
      </c>
      <c r="L3031" s="1" t="s">
        <v>45</v>
      </c>
      <c r="M3031" s="1" t="str">
        <f>TEXT(Table1[[#This Row],[Order Date]],"mmm")</f>
        <v>Oct</v>
      </c>
      <c r="N3031" s="1">
        <f>YEAR(Table1[[#This Row],[Order Date]])</f>
        <v>2023</v>
      </c>
    </row>
    <row r="3032" spans="1:14" x14ac:dyDescent="0.35">
      <c r="A3032" s="1" t="s">
        <v>3823</v>
      </c>
      <c r="B3032" s="1" t="s">
        <v>909</v>
      </c>
      <c r="C3032" s="1" t="s">
        <v>260</v>
      </c>
      <c r="D3032" s="1" t="s">
        <v>44</v>
      </c>
      <c r="E3032" s="1" t="s">
        <v>28</v>
      </c>
      <c r="F3032" s="1" t="s">
        <v>44</v>
      </c>
      <c r="G3032" s="1">
        <v>3</v>
      </c>
      <c r="H3032" s="1">
        <v>16842</v>
      </c>
      <c r="I3032" s="1">
        <v>0.15</v>
      </c>
      <c r="J3032" s="1">
        <v>42947.1</v>
      </c>
      <c r="K3032" s="1">
        <v>8204.31</v>
      </c>
      <c r="L3032" s="1" t="s">
        <v>23</v>
      </c>
      <c r="M3032" s="1" t="str">
        <f>TEXT(Table1[[#This Row],[Order Date]],"mmm")</f>
        <v>Sep</v>
      </c>
      <c r="N3032" s="1">
        <f>YEAR(Table1[[#This Row],[Order Date]])</f>
        <v>2024</v>
      </c>
    </row>
    <row r="3033" spans="1:14" x14ac:dyDescent="0.35">
      <c r="A3033" s="1" t="s">
        <v>3824</v>
      </c>
      <c r="B3033" s="1" t="s">
        <v>603</v>
      </c>
      <c r="C3033" s="1" t="s">
        <v>31</v>
      </c>
      <c r="D3033" s="1" t="s">
        <v>85</v>
      </c>
      <c r="E3033" s="1" t="s">
        <v>28</v>
      </c>
      <c r="F3033" s="1" t="s">
        <v>85</v>
      </c>
      <c r="G3033" s="1">
        <v>9</v>
      </c>
      <c r="H3033" s="1">
        <v>21069</v>
      </c>
      <c r="I3033" s="1">
        <v>0.2</v>
      </c>
      <c r="J3033" s="1">
        <v>151696.79999999999</v>
      </c>
      <c r="K3033" s="1">
        <v>44545.17</v>
      </c>
      <c r="L3033" s="1" t="s">
        <v>17</v>
      </c>
      <c r="M3033" s="1" t="str">
        <f>TEXT(Table1[[#This Row],[Order Date]],"mmm")</f>
        <v>Dec</v>
      </c>
      <c r="N3033" s="1">
        <f>YEAR(Table1[[#This Row],[Order Date]])</f>
        <v>2023</v>
      </c>
    </row>
    <row r="3034" spans="1:14" x14ac:dyDescent="0.35">
      <c r="A3034" s="1" t="s">
        <v>3825</v>
      </c>
      <c r="B3034" s="1" t="s">
        <v>1944</v>
      </c>
      <c r="C3034" s="1" t="s">
        <v>26</v>
      </c>
      <c r="D3034" s="1" t="s">
        <v>224</v>
      </c>
      <c r="E3034" s="1" t="s">
        <v>33</v>
      </c>
      <c r="F3034" s="1" t="s">
        <v>224</v>
      </c>
      <c r="G3034" s="1">
        <v>9</v>
      </c>
      <c r="H3034" s="1">
        <v>10896</v>
      </c>
      <c r="I3034" s="1">
        <v>0.1</v>
      </c>
      <c r="J3034" s="1">
        <v>88257.600000000006</v>
      </c>
      <c r="K3034" s="1">
        <v>21491.54</v>
      </c>
      <c r="L3034" s="1" t="s">
        <v>70</v>
      </c>
      <c r="M3034" s="1" t="str">
        <f>TEXT(Table1[[#This Row],[Order Date]],"mmm")</f>
        <v>Sep</v>
      </c>
      <c r="N3034" s="1">
        <f>YEAR(Table1[[#This Row],[Order Date]])</f>
        <v>2023</v>
      </c>
    </row>
    <row r="3035" spans="1:14" x14ac:dyDescent="0.35">
      <c r="A3035" s="1" t="s">
        <v>3826</v>
      </c>
      <c r="B3035" s="1" t="s">
        <v>524</v>
      </c>
      <c r="C3035" s="1" t="s">
        <v>20</v>
      </c>
      <c r="D3035" s="1" t="s">
        <v>37</v>
      </c>
      <c r="E3035" s="1" t="s">
        <v>16</v>
      </c>
      <c r="F3035" s="1" t="s">
        <v>37</v>
      </c>
      <c r="G3035" s="1">
        <v>5</v>
      </c>
      <c r="H3035" s="1">
        <v>11802</v>
      </c>
      <c r="I3035" s="1">
        <v>0.1</v>
      </c>
      <c r="J3035" s="1">
        <v>53109</v>
      </c>
      <c r="K3035" s="1">
        <v>8510.41</v>
      </c>
      <c r="L3035" s="1" t="s">
        <v>70</v>
      </c>
      <c r="M3035" s="1" t="str">
        <f>TEXT(Table1[[#This Row],[Order Date]],"mmm")</f>
        <v>Nov</v>
      </c>
      <c r="N3035" s="1">
        <f>YEAR(Table1[[#This Row],[Order Date]])</f>
        <v>2024</v>
      </c>
    </row>
    <row r="3036" spans="1:14" x14ac:dyDescent="0.35">
      <c r="A3036" s="1" t="s">
        <v>3827</v>
      </c>
      <c r="B3036" s="1" t="s">
        <v>946</v>
      </c>
      <c r="C3036" s="1" t="s">
        <v>31</v>
      </c>
      <c r="D3036" s="1" t="s">
        <v>41</v>
      </c>
      <c r="E3036" s="1" t="s">
        <v>16</v>
      </c>
      <c r="F3036" s="1" t="s">
        <v>41</v>
      </c>
      <c r="G3036" s="1">
        <v>8</v>
      </c>
      <c r="H3036" s="1">
        <v>30645</v>
      </c>
      <c r="I3036" s="1">
        <v>0.2</v>
      </c>
      <c r="J3036" s="1">
        <v>196128</v>
      </c>
      <c r="K3036" s="1">
        <v>20776.23</v>
      </c>
      <c r="L3036" s="1" t="s">
        <v>23</v>
      </c>
      <c r="M3036" s="1" t="str">
        <f>TEXT(Table1[[#This Row],[Order Date]],"mmm")</f>
        <v>Jun</v>
      </c>
      <c r="N3036" s="1">
        <f>YEAR(Table1[[#This Row],[Order Date]])</f>
        <v>2024</v>
      </c>
    </row>
    <row r="3037" spans="1:14" x14ac:dyDescent="0.35">
      <c r="A3037" s="1" t="s">
        <v>3828</v>
      </c>
      <c r="B3037" s="1" t="s">
        <v>124</v>
      </c>
      <c r="C3037" s="1" t="s">
        <v>136</v>
      </c>
      <c r="D3037" s="1" t="s">
        <v>151</v>
      </c>
      <c r="E3037" s="1" t="s">
        <v>22</v>
      </c>
      <c r="F3037" s="1" t="s">
        <v>151</v>
      </c>
      <c r="G3037" s="1">
        <v>15</v>
      </c>
      <c r="H3037" s="1">
        <v>49310</v>
      </c>
      <c r="I3037" s="1">
        <v>0.15</v>
      </c>
      <c r="J3037" s="1">
        <v>628702.5</v>
      </c>
      <c r="K3037" s="1">
        <v>71685.97</v>
      </c>
      <c r="L3037" s="1" t="s">
        <v>45</v>
      </c>
      <c r="M3037" s="1" t="str">
        <f>TEXT(Table1[[#This Row],[Order Date]],"mmm")</f>
        <v>Apr</v>
      </c>
      <c r="N3037" s="1">
        <f>YEAR(Table1[[#This Row],[Order Date]])</f>
        <v>2024</v>
      </c>
    </row>
    <row r="3038" spans="1:14" x14ac:dyDescent="0.35">
      <c r="A3038" s="1" t="s">
        <v>3829</v>
      </c>
      <c r="B3038" s="1" t="s">
        <v>246</v>
      </c>
      <c r="C3038" s="1" t="s">
        <v>255</v>
      </c>
      <c r="D3038" s="1" t="s">
        <v>78</v>
      </c>
      <c r="E3038" s="1" t="s">
        <v>28</v>
      </c>
      <c r="F3038" s="1" t="s">
        <v>78</v>
      </c>
      <c r="G3038" s="1">
        <v>5</v>
      </c>
      <c r="H3038" s="1">
        <v>22454</v>
      </c>
      <c r="I3038" s="1">
        <v>0.05</v>
      </c>
      <c r="J3038" s="1">
        <v>106656.5</v>
      </c>
      <c r="K3038" s="1">
        <v>20476.34</v>
      </c>
      <c r="L3038" s="1" t="s">
        <v>23</v>
      </c>
      <c r="M3038" s="1" t="str">
        <f>TEXT(Table1[[#This Row],[Order Date]],"mmm")</f>
        <v>Feb</v>
      </c>
      <c r="N3038" s="1">
        <f>YEAR(Table1[[#This Row],[Order Date]])</f>
        <v>2023</v>
      </c>
    </row>
    <row r="3039" spans="1:14" x14ac:dyDescent="0.35">
      <c r="A3039" s="1" t="s">
        <v>3830</v>
      </c>
      <c r="B3039" s="1" t="s">
        <v>638</v>
      </c>
      <c r="C3039" s="1" t="s">
        <v>370</v>
      </c>
      <c r="D3039" s="1" t="s">
        <v>21</v>
      </c>
      <c r="E3039" s="1" t="s">
        <v>22</v>
      </c>
      <c r="F3039" s="1" t="s">
        <v>21</v>
      </c>
      <c r="G3039" s="1">
        <v>4</v>
      </c>
      <c r="H3039" s="1">
        <v>45668</v>
      </c>
      <c r="I3039" s="1">
        <v>0.15</v>
      </c>
      <c r="J3039" s="1">
        <v>155271.20000000001</v>
      </c>
      <c r="K3039" s="1">
        <v>35339.86</v>
      </c>
      <c r="L3039" s="1" t="s">
        <v>17</v>
      </c>
      <c r="M3039" s="1" t="str">
        <f>TEXT(Table1[[#This Row],[Order Date]],"mmm")</f>
        <v>May</v>
      </c>
      <c r="N3039" s="1">
        <f>YEAR(Table1[[#This Row],[Order Date]])</f>
        <v>2023</v>
      </c>
    </row>
    <row r="3040" spans="1:14" x14ac:dyDescent="0.35">
      <c r="A3040" s="1" t="s">
        <v>3831</v>
      </c>
      <c r="B3040" s="1" t="s">
        <v>1383</v>
      </c>
      <c r="C3040" s="1" t="s">
        <v>98</v>
      </c>
      <c r="D3040" s="1" t="s">
        <v>224</v>
      </c>
      <c r="E3040" s="1" t="s">
        <v>33</v>
      </c>
      <c r="F3040" s="1" t="s">
        <v>224</v>
      </c>
      <c r="G3040" s="1">
        <v>2</v>
      </c>
      <c r="H3040" s="1">
        <v>21739</v>
      </c>
      <c r="I3040" s="1">
        <v>0</v>
      </c>
      <c r="J3040" s="1">
        <v>43478</v>
      </c>
      <c r="K3040" s="1">
        <v>8222.19</v>
      </c>
      <c r="L3040" s="1" t="s">
        <v>17</v>
      </c>
      <c r="M3040" s="1" t="str">
        <f>TEXT(Table1[[#This Row],[Order Date]],"mmm")</f>
        <v>Apr</v>
      </c>
      <c r="N3040" s="1">
        <f>YEAR(Table1[[#This Row],[Order Date]])</f>
        <v>2024</v>
      </c>
    </row>
    <row r="3041" spans="1:14" x14ac:dyDescent="0.35">
      <c r="A3041" s="1" t="s">
        <v>3832</v>
      </c>
      <c r="B3041" s="1" t="s">
        <v>3479</v>
      </c>
      <c r="C3041" s="1" t="s">
        <v>208</v>
      </c>
      <c r="D3041" s="1" t="s">
        <v>74</v>
      </c>
      <c r="E3041" s="1" t="s">
        <v>22</v>
      </c>
      <c r="F3041" s="1" t="s">
        <v>74</v>
      </c>
      <c r="G3041" s="1">
        <v>7</v>
      </c>
      <c r="H3041" s="1">
        <v>40053</v>
      </c>
      <c r="I3041" s="1">
        <v>0.15</v>
      </c>
      <c r="J3041" s="1">
        <v>238315.35</v>
      </c>
      <c r="K3041" s="1">
        <v>32863.65</v>
      </c>
      <c r="L3041" s="1" t="s">
        <v>23</v>
      </c>
      <c r="M3041" s="1" t="str">
        <f>TEXT(Table1[[#This Row],[Order Date]],"mmm")</f>
        <v>Oct</v>
      </c>
      <c r="N3041" s="1">
        <f>YEAR(Table1[[#This Row],[Order Date]])</f>
        <v>2024</v>
      </c>
    </row>
    <row r="3042" spans="1:14" x14ac:dyDescent="0.35">
      <c r="A3042" s="1" t="s">
        <v>3833</v>
      </c>
      <c r="B3042" s="1" t="s">
        <v>1288</v>
      </c>
      <c r="C3042" s="1" t="s">
        <v>84</v>
      </c>
      <c r="D3042" s="1" t="s">
        <v>179</v>
      </c>
      <c r="E3042" s="1" t="s">
        <v>28</v>
      </c>
      <c r="F3042" s="1" t="s">
        <v>179</v>
      </c>
      <c r="G3042" s="1">
        <v>8</v>
      </c>
      <c r="H3042" s="1">
        <v>50869</v>
      </c>
      <c r="I3042" s="1">
        <v>0.05</v>
      </c>
      <c r="J3042" s="1">
        <v>386604.4</v>
      </c>
      <c r="K3042" s="1">
        <v>43701.34</v>
      </c>
      <c r="L3042" s="1" t="s">
        <v>23</v>
      </c>
      <c r="M3042" s="1" t="str">
        <f>TEXT(Table1[[#This Row],[Order Date]],"mmm")</f>
        <v>Feb</v>
      </c>
      <c r="N3042" s="1">
        <f>YEAR(Table1[[#This Row],[Order Date]])</f>
        <v>2024</v>
      </c>
    </row>
    <row r="3043" spans="1:14" x14ac:dyDescent="0.35">
      <c r="A3043" s="1" t="s">
        <v>3834</v>
      </c>
      <c r="B3043" s="1" t="s">
        <v>132</v>
      </c>
      <c r="C3043" s="1" t="s">
        <v>191</v>
      </c>
      <c r="D3043" s="1" t="s">
        <v>64</v>
      </c>
      <c r="E3043" s="1" t="s">
        <v>33</v>
      </c>
      <c r="F3043" s="1" t="s">
        <v>64</v>
      </c>
      <c r="G3043" s="1">
        <v>9</v>
      </c>
      <c r="H3043" s="1">
        <v>19332</v>
      </c>
      <c r="I3043" s="1">
        <v>0.05</v>
      </c>
      <c r="J3043" s="1">
        <v>165288.6</v>
      </c>
      <c r="K3043" s="1">
        <v>20850.03</v>
      </c>
      <c r="L3043" s="1" t="s">
        <v>45</v>
      </c>
      <c r="M3043" s="1" t="str">
        <f>TEXT(Table1[[#This Row],[Order Date]],"mmm")</f>
        <v>Feb</v>
      </c>
      <c r="N3043" s="1">
        <f>YEAR(Table1[[#This Row],[Order Date]])</f>
        <v>2023</v>
      </c>
    </row>
    <row r="3044" spans="1:14" x14ac:dyDescent="0.35">
      <c r="A3044" s="1" t="s">
        <v>3835</v>
      </c>
      <c r="B3044" s="1" t="s">
        <v>351</v>
      </c>
      <c r="C3044" s="1" t="s">
        <v>107</v>
      </c>
      <c r="D3044" s="1" t="s">
        <v>78</v>
      </c>
      <c r="E3044" s="1" t="s">
        <v>28</v>
      </c>
      <c r="F3044" s="1" t="s">
        <v>78</v>
      </c>
      <c r="G3044" s="1">
        <v>9</v>
      </c>
      <c r="H3044" s="1">
        <v>18355</v>
      </c>
      <c r="I3044" s="1">
        <v>0</v>
      </c>
      <c r="J3044" s="1">
        <v>165195</v>
      </c>
      <c r="K3044" s="1">
        <v>37095.39</v>
      </c>
      <c r="L3044" s="1" t="s">
        <v>70</v>
      </c>
      <c r="M3044" s="1" t="str">
        <f>TEXT(Table1[[#This Row],[Order Date]],"mmm")</f>
        <v>Apr</v>
      </c>
      <c r="N3044" s="1">
        <f>YEAR(Table1[[#This Row],[Order Date]])</f>
        <v>2023</v>
      </c>
    </row>
    <row r="3045" spans="1:14" x14ac:dyDescent="0.35">
      <c r="A3045" s="1" t="s">
        <v>3836</v>
      </c>
      <c r="B3045" s="1" t="s">
        <v>2194</v>
      </c>
      <c r="C3045" s="1" t="s">
        <v>155</v>
      </c>
      <c r="D3045" s="1" t="s">
        <v>56</v>
      </c>
      <c r="E3045" s="1" t="s">
        <v>22</v>
      </c>
      <c r="F3045" s="1" t="s">
        <v>56</v>
      </c>
      <c r="G3045" s="1">
        <v>14</v>
      </c>
      <c r="H3045" s="1">
        <v>10772</v>
      </c>
      <c r="I3045" s="1">
        <v>0.05</v>
      </c>
      <c r="J3045" s="1">
        <v>143267.6</v>
      </c>
      <c r="K3045" s="1">
        <v>14748.13</v>
      </c>
      <c r="L3045" s="1" t="s">
        <v>45</v>
      </c>
      <c r="M3045" s="1" t="str">
        <f>TEXT(Table1[[#This Row],[Order Date]],"mmm")</f>
        <v>Oct</v>
      </c>
      <c r="N3045" s="1">
        <f>YEAR(Table1[[#This Row],[Order Date]])</f>
        <v>2024</v>
      </c>
    </row>
    <row r="3046" spans="1:14" x14ac:dyDescent="0.35">
      <c r="A3046" s="1" t="s">
        <v>3837</v>
      </c>
      <c r="B3046" s="1" t="s">
        <v>1278</v>
      </c>
      <c r="C3046" s="1" t="s">
        <v>200</v>
      </c>
      <c r="D3046" s="1" t="s">
        <v>64</v>
      </c>
      <c r="E3046" s="1" t="s">
        <v>33</v>
      </c>
      <c r="F3046" s="1" t="s">
        <v>64</v>
      </c>
      <c r="G3046" s="1">
        <v>6</v>
      </c>
      <c r="H3046" s="1">
        <v>51428</v>
      </c>
      <c r="I3046" s="1">
        <v>0</v>
      </c>
      <c r="J3046" s="1">
        <v>308568</v>
      </c>
      <c r="K3046" s="1">
        <v>35805.480000000003</v>
      </c>
      <c r="L3046" s="1" t="s">
        <v>17</v>
      </c>
      <c r="M3046" s="1" t="str">
        <f>TEXT(Table1[[#This Row],[Order Date]],"mmm")</f>
        <v>Aug</v>
      </c>
      <c r="N3046" s="1">
        <f>YEAR(Table1[[#This Row],[Order Date]])</f>
        <v>2023</v>
      </c>
    </row>
    <row r="3047" spans="1:14" x14ac:dyDescent="0.35">
      <c r="A3047" s="1" t="s">
        <v>3838</v>
      </c>
      <c r="B3047" s="1" t="s">
        <v>707</v>
      </c>
      <c r="C3047" s="1" t="s">
        <v>88</v>
      </c>
      <c r="D3047" s="1" t="s">
        <v>114</v>
      </c>
      <c r="E3047" s="1" t="s">
        <v>16</v>
      </c>
      <c r="F3047" s="1" t="s">
        <v>114</v>
      </c>
      <c r="G3047" s="1">
        <v>9</v>
      </c>
      <c r="H3047" s="1">
        <v>39956</v>
      </c>
      <c r="I3047" s="1">
        <v>0.15</v>
      </c>
      <c r="J3047" s="1">
        <v>305663.40000000002</v>
      </c>
      <c r="K3047" s="1">
        <v>27006.92</v>
      </c>
      <c r="L3047" s="1" t="s">
        <v>23</v>
      </c>
      <c r="M3047" s="1" t="str">
        <f>TEXT(Table1[[#This Row],[Order Date]],"mmm")</f>
        <v>Oct</v>
      </c>
      <c r="N3047" s="1">
        <f>YEAR(Table1[[#This Row],[Order Date]])</f>
        <v>2024</v>
      </c>
    </row>
    <row r="3048" spans="1:14" x14ac:dyDescent="0.35">
      <c r="A3048" s="1" t="s">
        <v>3839</v>
      </c>
      <c r="B3048" s="1" t="s">
        <v>429</v>
      </c>
      <c r="C3048" s="1" t="s">
        <v>140</v>
      </c>
      <c r="D3048" s="1" t="s">
        <v>52</v>
      </c>
      <c r="E3048" s="1" t="s">
        <v>28</v>
      </c>
      <c r="F3048" s="1" t="s">
        <v>52</v>
      </c>
      <c r="G3048" s="1">
        <v>1</v>
      </c>
      <c r="H3048" s="1">
        <v>38605</v>
      </c>
      <c r="I3048" s="1">
        <v>0.15</v>
      </c>
      <c r="J3048" s="1">
        <v>32814.25</v>
      </c>
      <c r="K3048" s="1">
        <v>5614.62</v>
      </c>
      <c r="L3048" s="1" t="s">
        <v>23</v>
      </c>
      <c r="M3048" s="1" t="str">
        <f>TEXT(Table1[[#This Row],[Order Date]],"mmm")</f>
        <v>Apr</v>
      </c>
      <c r="N3048" s="1">
        <f>YEAR(Table1[[#This Row],[Order Date]])</f>
        <v>2024</v>
      </c>
    </row>
    <row r="3049" spans="1:14" x14ac:dyDescent="0.35">
      <c r="A3049" s="1" t="s">
        <v>3840</v>
      </c>
      <c r="B3049" s="1" t="s">
        <v>3841</v>
      </c>
      <c r="C3049" s="1" t="s">
        <v>63</v>
      </c>
      <c r="D3049" s="1" t="s">
        <v>44</v>
      </c>
      <c r="E3049" s="1" t="s">
        <v>28</v>
      </c>
      <c r="F3049" s="1" t="s">
        <v>44</v>
      </c>
      <c r="G3049" s="1">
        <v>10</v>
      </c>
      <c r="H3049" s="1">
        <v>14300</v>
      </c>
      <c r="I3049" s="1">
        <v>0.1</v>
      </c>
      <c r="J3049" s="1">
        <v>128700</v>
      </c>
      <c r="K3049" s="1">
        <v>33077.129999999997</v>
      </c>
      <c r="L3049" s="1" t="s">
        <v>23</v>
      </c>
      <c r="M3049" s="1" t="str">
        <f>TEXT(Table1[[#This Row],[Order Date]],"mmm")</f>
        <v>Apr</v>
      </c>
      <c r="N3049" s="1">
        <f>YEAR(Table1[[#This Row],[Order Date]])</f>
        <v>2023</v>
      </c>
    </row>
    <row r="3050" spans="1:14" x14ac:dyDescent="0.35">
      <c r="A3050" s="1" t="s">
        <v>3842</v>
      </c>
      <c r="B3050" s="1" t="s">
        <v>240</v>
      </c>
      <c r="C3050" s="1" t="s">
        <v>14</v>
      </c>
      <c r="D3050" s="1" t="s">
        <v>85</v>
      </c>
      <c r="E3050" s="1" t="s">
        <v>28</v>
      </c>
      <c r="F3050" s="1" t="s">
        <v>85</v>
      </c>
      <c r="G3050" s="1">
        <v>10</v>
      </c>
      <c r="H3050" s="1">
        <v>23054</v>
      </c>
      <c r="I3050" s="1">
        <v>0.05</v>
      </c>
      <c r="J3050" s="1">
        <v>219013</v>
      </c>
      <c r="K3050" s="1">
        <v>30495.9</v>
      </c>
      <c r="L3050" s="1" t="s">
        <v>23</v>
      </c>
      <c r="M3050" s="1" t="str">
        <f>TEXT(Table1[[#This Row],[Order Date]],"mmm")</f>
        <v>Sep</v>
      </c>
      <c r="N3050" s="1">
        <f>YEAR(Table1[[#This Row],[Order Date]])</f>
        <v>2024</v>
      </c>
    </row>
    <row r="3051" spans="1:14" x14ac:dyDescent="0.35">
      <c r="A3051" s="1" t="s">
        <v>3843</v>
      </c>
      <c r="B3051" s="1" t="s">
        <v>348</v>
      </c>
      <c r="C3051" s="1" t="s">
        <v>20</v>
      </c>
      <c r="D3051" s="1" t="s">
        <v>78</v>
      </c>
      <c r="E3051" s="1" t="s">
        <v>28</v>
      </c>
      <c r="F3051" s="1" t="s">
        <v>78</v>
      </c>
      <c r="G3051" s="1">
        <v>6</v>
      </c>
      <c r="H3051" s="1">
        <v>22019</v>
      </c>
      <c r="I3051" s="1">
        <v>0.1</v>
      </c>
      <c r="J3051" s="1">
        <v>118902.6</v>
      </c>
      <c r="K3051" s="1">
        <v>23999.439999999999</v>
      </c>
      <c r="L3051" s="1" t="s">
        <v>17</v>
      </c>
      <c r="M3051" s="1" t="str">
        <f>TEXT(Table1[[#This Row],[Order Date]],"mmm")</f>
        <v>May</v>
      </c>
      <c r="N3051" s="1">
        <f>YEAR(Table1[[#This Row],[Order Date]])</f>
        <v>2024</v>
      </c>
    </row>
    <row r="3052" spans="1:14" x14ac:dyDescent="0.35">
      <c r="A3052" s="1" t="s">
        <v>3844</v>
      </c>
      <c r="B3052" s="1" t="s">
        <v>1186</v>
      </c>
      <c r="C3052" s="1" t="s">
        <v>36</v>
      </c>
      <c r="D3052" s="1" t="s">
        <v>78</v>
      </c>
      <c r="E3052" s="1" t="s">
        <v>28</v>
      </c>
      <c r="F3052" s="1" t="s">
        <v>78</v>
      </c>
      <c r="G3052" s="1">
        <v>5</v>
      </c>
      <c r="H3052" s="1">
        <v>18462</v>
      </c>
      <c r="I3052" s="1">
        <v>0.05</v>
      </c>
      <c r="J3052" s="1">
        <v>87694.5</v>
      </c>
      <c r="K3052" s="1">
        <v>12957.61</v>
      </c>
      <c r="L3052" s="1" t="s">
        <v>45</v>
      </c>
      <c r="M3052" s="1" t="str">
        <f>TEXT(Table1[[#This Row],[Order Date]],"mmm")</f>
        <v>Mar</v>
      </c>
      <c r="N3052" s="1">
        <f>YEAR(Table1[[#This Row],[Order Date]])</f>
        <v>2023</v>
      </c>
    </row>
    <row r="3053" spans="1:14" x14ac:dyDescent="0.35">
      <c r="A3053" s="1" t="s">
        <v>3845</v>
      </c>
      <c r="B3053" s="1" t="s">
        <v>624</v>
      </c>
      <c r="C3053" s="1" t="s">
        <v>77</v>
      </c>
      <c r="D3053" s="1" t="s">
        <v>95</v>
      </c>
      <c r="E3053" s="1" t="s">
        <v>33</v>
      </c>
      <c r="F3053" s="1" t="s">
        <v>95</v>
      </c>
      <c r="G3053" s="1">
        <v>12</v>
      </c>
      <c r="H3053" s="1">
        <v>3330</v>
      </c>
      <c r="I3053" s="1">
        <v>0.15</v>
      </c>
      <c r="J3053" s="1">
        <v>33966</v>
      </c>
      <c r="K3053" s="1">
        <v>8673.17</v>
      </c>
      <c r="L3053" s="1" t="s">
        <v>17</v>
      </c>
      <c r="M3053" s="1" t="str">
        <f>TEXT(Table1[[#This Row],[Order Date]],"mmm")</f>
        <v>May</v>
      </c>
      <c r="N3053" s="1">
        <f>YEAR(Table1[[#This Row],[Order Date]])</f>
        <v>2023</v>
      </c>
    </row>
    <row r="3054" spans="1:14" x14ac:dyDescent="0.35">
      <c r="A3054" s="1" t="s">
        <v>3846</v>
      </c>
      <c r="B3054" s="1" t="s">
        <v>308</v>
      </c>
      <c r="C3054" s="1" t="s">
        <v>20</v>
      </c>
      <c r="D3054" s="1" t="s">
        <v>60</v>
      </c>
      <c r="E3054" s="1" t="s">
        <v>33</v>
      </c>
      <c r="F3054" s="1" t="s">
        <v>60</v>
      </c>
      <c r="G3054" s="1">
        <v>13</v>
      </c>
      <c r="H3054" s="1">
        <v>43784</v>
      </c>
      <c r="I3054" s="1">
        <v>0</v>
      </c>
      <c r="J3054" s="1">
        <v>569192</v>
      </c>
      <c r="K3054" s="1">
        <v>143692.04</v>
      </c>
      <c r="L3054" s="1" t="s">
        <v>23</v>
      </c>
      <c r="M3054" s="1" t="str">
        <f>TEXT(Table1[[#This Row],[Order Date]],"mmm")</f>
        <v>Jul</v>
      </c>
      <c r="N3054" s="1">
        <f>YEAR(Table1[[#This Row],[Order Date]])</f>
        <v>2024</v>
      </c>
    </row>
    <row r="3055" spans="1:14" x14ac:dyDescent="0.35">
      <c r="A3055" s="1" t="s">
        <v>3847</v>
      </c>
      <c r="B3055" s="1" t="s">
        <v>1324</v>
      </c>
      <c r="C3055" s="1" t="s">
        <v>208</v>
      </c>
      <c r="D3055" s="1" t="s">
        <v>41</v>
      </c>
      <c r="E3055" s="1" t="s">
        <v>16</v>
      </c>
      <c r="F3055" s="1" t="s">
        <v>41</v>
      </c>
      <c r="G3055" s="1">
        <v>1</v>
      </c>
      <c r="H3055" s="1">
        <v>16864</v>
      </c>
      <c r="I3055" s="1">
        <v>0.05</v>
      </c>
      <c r="J3055" s="1">
        <v>16020.8</v>
      </c>
      <c r="K3055" s="1">
        <v>2930.87</v>
      </c>
      <c r="L3055" s="1" t="s">
        <v>45</v>
      </c>
      <c r="M3055" s="1" t="str">
        <f>TEXT(Table1[[#This Row],[Order Date]],"mmm")</f>
        <v>Aug</v>
      </c>
      <c r="N3055" s="1">
        <f>YEAR(Table1[[#This Row],[Order Date]])</f>
        <v>2024</v>
      </c>
    </row>
    <row r="3056" spans="1:14" x14ac:dyDescent="0.35">
      <c r="A3056" s="1" t="s">
        <v>3848</v>
      </c>
      <c r="B3056" s="1" t="s">
        <v>817</v>
      </c>
      <c r="C3056" s="1" t="s">
        <v>260</v>
      </c>
      <c r="D3056" s="1" t="s">
        <v>21</v>
      </c>
      <c r="E3056" s="1" t="s">
        <v>22</v>
      </c>
      <c r="F3056" s="1" t="s">
        <v>21</v>
      </c>
      <c r="G3056" s="1">
        <v>8</v>
      </c>
      <c r="H3056" s="1">
        <v>56789</v>
      </c>
      <c r="I3056" s="1">
        <v>0.1</v>
      </c>
      <c r="J3056" s="1">
        <v>408880.8</v>
      </c>
      <c r="K3056" s="1">
        <v>38665.51</v>
      </c>
      <c r="L3056" s="1" t="s">
        <v>17</v>
      </c>
      <c r="M3056" s="1" t="str">
        <f>TEXT(Table1[[#This Row],[Order Date]],"mmm")</f>
        <v>Jul</v>
      </c>
      <c r="N3056" s="1">
        <f>YEAR(Table1[[#This Row],[Order Date]])</f>
        <v>2024</v>
      </c>
    </row>
    <row r="3057" spans="1:14" x14ac:dyDescent="0.35">
      <c r="A3057" s="1" t="s">
        <v>3849</v>
      </c>
      <c r="B3057" s="1" t="s">
        <v>217</v>
      </c>
      <c r="C3057" s="1" t="s">
        <v>158</v>
      </c>
      <c r="D3057" s="1" t="s">
        <v>60</v>
      </c>
      <c r="E3057" s="1" t="s">
        <v>33</v>
      </c>
      <c r="F3057" s="1" t="s">
        <v>60</v>
      </c>
      <c r="G3057" s="1">
        <v>3</v>
      </c>
      <c r="H3057" s="1">
        <v>40601</v>
      </c>
      <c r="I3057" s="1">
        <v>0.1</v>
      </c>
      <c r="J3057" s="1">
        <v>109622.7</v>
      </c>
      <c r="K3057" s="1">
        <v>28955.29</v>
      </c>
      <c r="L3057" s="1" t="s">
        <v>17</v>
      </c>
      <c r="M3057" s="1" t="str">
        <f>TEXT(Table1[[#This Row],[Order Date]],"mmm")</f>
        <v>Sep</v>
      </c>
      <c r="N3057" s="1">
        <f>YEAR(Table1[[#This Row],[Order Date]])</f>
        <v>2023</v>
      </c>
    </row>
    <row r="3058" spans="1:14" x14ac:dyDescent="0.35">
      <c r="A3058" s="1" t="s">
        <v>3850</v>
      </c>
      <c r="B3058" s="1" t="s">
        <v>377</v>
      </c>
      <c r="C3058" s="1" t="s">
        <v>84</v>
      </c>
      <c r="D3058" s="1" t="s">
        <v>27</v>
      </c>
      <c r="E3058" s="1" t="s">
        <v>28</v>
      </c>
      <c r="F3058" s="1" t="s">
        <v>27</v>
      </c>
      <c r="G3058" s="1">
        <v>8</v>
      </c>
      <c r="H3058" s="1">
        <v>27646</v>
      </c>
      <c r="I3058" s="1">
        <v>0.1</v>
      </c>
      <c r="J3058" s="1">
        <v>199051.2</v>
      </c>
      <c r="K3058" s="1">
        <v>41091.21</v>
      </c>
      <c r="L3058" s="1" t="s">
        <v>45</v>
      </c>
      <c r="M3058" s="1" t="str">
        <f>TEXT(Table1[[#This Row],[Order Date]],"mmm")</f>
        <v>Jul</v>
      </c>
      <c r="N3058" s="1">
        <f>YEAR(Table1[[#This Row],[Order Date]])</f>
        <v>2024</v>
      </c>
    </row>
    <row r="3059" spans="1:14" x14ac:dyDescent="0.35">
      <c r="A3059" s="1" t="s">
        <v>3851</v>
      </c>
      <c r="B3059" s="1" t="s">
        <v>1718</v>
      </c>
      <c r="C3059" s="1" t="s">
        <v>200</v>
      </c>
      <c r="D3059" s="1" t="s">
        <v>15</v>
      </c>
      <c r="E3059" s="1" t="s">
        <v>16</v>
      </c>
      <c r="F3059" s="1" t="s">
        <v>15</v>
      </c>
      <c r="G3059" s="1">
        <v>14</v>
      </c>
      <c r="H3059" s="1">
        <v>35390</v>
      </c>
      <c r="I3059" s="1">
        <v>0</v>
      </c>
      <c r="J3059" s="1">
        <v>495460</v>
      </c>
      <c r="K3059" s="1">
        <v>82712.070000000007</v>
      </c>
      <c r="L3059" s="1" t="s">
        <v>17</v>
      </c>
      <c r="M3059" s="1" t="str">
        <f>TEXT(Table1[[#This Row],[Order Date]],"mmm")</f>
        <v>Nov</v>
      </c>
      <c r="N3059" s="1">
        <f>YEAR(Table1[[#This Row],[Order Date]])</f>
        <v>2024</v>
      </c>
    </row>
    <row r="3060" spans="1:14" x14ac:dyDescent="0.35">
      <c r="A3060" s="1" t="s">
        <v>3852</v>
      </c>
      <c r="B3060" s="1" t="s">
        <v>1502</v>
      </c>
      <c r="C3060" s="1" t="s">
        <v>507</v>
      </c>
      <c r="D3060" s="1" t="s">
        <v>32</v>
      </c>
      <c r="E3060" s="1" t="s">
        <v>33</v>
      </c>
      <c r="F3060" s="1" t="s">
        <v>32</v>
      </c>
      <c r="G3060" s="1">
        <v>8</v>
      </c>
      <c r="H3060" s="1">
        <v>4583</v>
      </c>
      <c r="I3060" s="1">
        <v>0.1</v>
      </c>
      <c r="J3060" s="1">
        <v>32997.599999999999</v>
      </c>
      <c r="K3060" s="1">
        <v>3350.45</v>
      </c>
      <c r="L3060" s="1" t="s">
        <v>45</v>
      </c>
      <c r="M3060" s="1" t="str">
        <f>TEXT(Table1[[#This Row],[Order Date]],"mmm")</f>
        <v>Jul</v>
      </c>
      <c r="N3060" s="1">
        <f>YEAR(Table1[[#This Row],[Order Date]])</f>
        <v>2023</v>
      </c>
    </row>
    <row r="3061" spans="1:14" x14ac:dyDescent="0.35">
      <c r="A3061" s="1" t="s">
        <v>3853</v>
      </c>
      <c r="B3061" s="1" t="s">
        <v>889</v>
      </c>
      <c r="C3061" s="1" t="s">
        <v>208</v>
      </c>
      <c r="D3061" s="1" t="s">
        <v>167</v>
      </c>
      <c r="E3061" s="1" t="s">
        <v>16</v>
      </c>
      <c r="F3061" s="1" t="s">
        <v>167</v>
      </c>
      <c r="G3061" s="1">
        <v>9</v>
      </c>
      <c r="H3061" s="1">
        <v>13781</v>
      </c>
      <c r="I3061" s="1">
        <v>0</v>
      </c>
      <c r="J3061" s="1">
        <v>124029</v>
      </c>
      <c r="K3061" s="1">
        <v>36295.019999999997</v>
      </c>
      <c r="L3061" s="1" t="s">
        <v>70</v>
      </c>
      <c r="M3061" s="1" t="str">
        <f>TEXT(Table1[[#This Row],[Order Date]],"mmm")</f>
        <v>Jul</v>
      </c>
      <c r="N3061" s="1">
        <f>YEAR(Table1[[#This Row],[Order Date]])</f>
        <v>2023</v>
      </c>
    </row>
    <row r="3062" spans="1:14" x14ac:dyDescent="0.35">
      <c r="A3062" s="1" t="s">
        <v>3854</v>
      </c>
      <c r="B3062" s="1" t="s">
        <v>262</v>
      </c>
      <c r="C3062" s="1" t="s">
        <v>14</v>
      </c>
      <c r="D3062" s="1" t="s">
        <v>27</v>
      </c>
      <c r="E3062" s="1" t="s">
        <v>28</v>
      </c>
      <c r="F3062" s="1" t="s">
        <v>27</v>
      </c>
      <c r="G3062" s="1">
        <v>11</v>
      </c>
      <c r="H3062" s="1">
        <v>19928</v>
      </c>
      <c r="I3062" s="1">
        <v>0.15</v>
      </c>
      <c r="J3062" s="1">
        <v>186326.8</v>
      </c>
      <c r="K3062" s="1">
        <v>35907.910000000003</v>
      </c>
      <c r="L3062" s="1" t="s">
        <v>23</v>
      </c>
      <c r="M3062" s="1" t="str">
        <f>TEXT(Table1[[#This Row],[Order Date]],"mmm")</f>
        <v>Jul</v>
      </c>
      <c r="N3062" s="1">
        <f>YEAR(Table1[[#This Row],[Order Date]])</f>
        <v>2023</v>
      </c>
    </row>
    <row r="3063" spans="1:14" x14ac:dyDescent="0.35">
      <c r="A3063" s="1" t="s">
        <v>3855</v>
      </c>
      <c r="B3063" s="1" t="s">
        <v>54</v>
      </c>
      <c r="C3063" s="1" t="s">
        <v>98</v>
      </c>
      <c r="D3063" s="1" t="s">
        <v>15</v>
      </c>
      <c r="E3063" s="1" t="s">
        <v>16</v>
      </c>
      <c r="F3063" s="1" t="s">
        <v>15</v>
      </c>
      <c r="G3063" s="1">
        <v>11</v>
      </c>
      <c r="H3063" s="1">
        <v>19600</v>
      </c>
      <c r="I3063" s="1">
        <v>0.1</v>
      </c>
      <c r="J3063" s="1">
        <v>194040</v>
      </c>
      <c r="K3063" s="1">
        <v>17012.22</v>
      </c>
      <c r="L3063" s="1" t="s">
        <v>45</v>
      </c>
      <c r="M3063" s="1" t="str">
        <f>TEXT(Table1[[#This Row],[Order Date]],"mmm")</f>
        <v>Mar</v>
      </c>
      <c r="N3063" s="1">
        <f>YEAR(Table1[[#This Row],[Order Date]])</f>
        <v>2023</v>
      </c>
    </row>
    <row r="3064" spans="1:14" x14ac:dyDescent="0.35">
      <c r="A3064" s="1" t="s">
        <v>3856</v>
      </c>
      <c r="B3064" s="1" t="s">
        <v>1038</v>
      </c>
      <c r="C3064" s="1" t="s">
        <v>255</v>
      </c>
      <c r="D3064" s="1" t="s">
        <v>137</v>
      </c>
      <c r="E3064" s="1" t="s">
        <v>22</v>
      </c>
      <c r="F3064" s="1" t="s">
        <v>137</v>
      </c>
      <c r="G3064" s="1">
        <v>7</v>
      </c>
      <c r="H3064" s="1">
        <v>10780</v>
      </c>
      <c r="I3064" s="1">
        <v>0.2</v>
      </c>
      <c r="J3064" s="1">
        <v>60368</v>
      </c>
      <c r="K3064" s="1">
        <v>5828.95</v>
      </c>
      <c r="L3064" s="1" t="s">
        <v>45</v>
      </c>
      <c r="M3064" s="1" t="str">
        <f>TEXT(Table1[[#This Row],[Order Date]],"mmm")</f>
        <v>Feb</v>
      </c>
      <c r="N3064" s="1">
        <f>YEAR(Table1[[#This Row],[Order Date]])</f>
        <v>2024</v>
      </c>
    </row>
    <row r="3065" spans="1:14" x14ac:dyDescent="0.35">
      <c r="A3065" s="1" t="s">
        <v>3857</v>
      </c>
      <c r="B3065" s="1" t="s">
        <v>3841</v>
      </c>
      <c r="C3065" s="1" t="s">
        <v>73</v>
      </c>
      <c r="D3065" s="1" t="s">
        <v>323</v>
      </c>
      <c r="E3065" s="1" t="s">
        <v>33</v>
      </c>
      <c r="F3065" s="1" t="s">
        <v>323</v>
      </c>
      <c r="G3065" s="1">
        <v>15</v>
      </c>
      <c r="H3065" s="1">
        <v>55882</v>
      </c>
      <c r="I3065" s="1">
        <v>0.15</v>
      </c>
      <c r="J3065" s="1">
        <v>712495.5</v>
      </c>
      <c r="K3065" s="1">
        <v>61750.01</v>
      </c>
      <c r="L3065" s="1" t="s">
        <v>23</v>
      </c>
      <c r="M3065" s="1" t="str">
        <f>TEXT(Table1[[#This Row],[Order Date]],"mmm")</f>
        <v>Apr</v>
      </c>
      <c r="N3065" s="1">
        <f>YEAR(Table1[[#This Row],[Order Date]])</f>
        <v>2023</v>
      </c>
    </row>
    <row r="3066" spans="1:14" x14ac:dyDescent="0.35">
      <c r="A3066" s="1" t="s">
        <v>3858</v>
      </c>
      <c r="B3066" s="1" t="s">
        <v>417</v>
      </c>
      <c r="C3066" s="1" t="s">
        <v>335</v>
      </c>
      <c r="D3066" s="1" t="s">
        <v>44</v>
      </c>
      <c r="E3066" s="1" t="s">
        <v>28</v>
      </c>
      <c r="F3066" s="1" t="s">
        <v>44</v>
      </c>
      <c r="G3066" s="1">
        <v>3</v>
      </c>
      <c r="H3066" s="1">
        <v>27483</v>
      </c>
      <c r="I3066" s="1">
        <v>0.1</v>
      </c>
      <c r="J3066" s="1">
        <v>74204.100000000006</v>
      </c>
      <c r="K3066" s="1">
        <v>21178.58</v>
      </c>
      <c r="L3066" s="1" t="s">
        <v>17</v>
      </c>
      <c r="M3066" s="1" t="str">
        <f>TEXT(Table1[[#This Row],[Order Date]],"mmm")</f>
        <v>Jul</v>
      </c>
      <c r="N3066" s="1">
        <f>YEAR(Table1[[#This Row],[Order Date]])</f>
        <v>2024</v>
      </c>
    </row>
    <row r="3067" spans="1:14" x14ac:dyDescent="0.35">
      <c r="A3067" s="1" t="s">
        <v>3859</v>
      </c>
      <c r="B3067" s="1" t="s">
        <v>630</v>
      </c>
      <c r="C3067" s="1" t="s">
        <v>335</v>
      </c>
      <c r="D3067" s="1" t="s">
        <v>27</v>
      </c>
      <c r="E3067" s="1" t="s">
        <v>28</v>
      </c>
      <c r="F3067" s="1" t="s">
        <v>27</v>
      </c>
      <c r="G3067" s="1">
        <v>1</v>
      </c>
      <c r="H3067" s="1">
        <v>35759</v>
      </c>
      <c r="I3067" s="1">
        <v>0.05</v>
      </c>
      <c r="J3067" s="1">
        <v>33971.050000000003</v>
      </c>
      <c r="K3067" s="1">
        <v>6054.72</v>
      </c>
      <c r="L3067" s="1" t="s">
        <v>17</v>
      </c>
      <c r="M3067" s="1" t="str">
        <f>TEXT(Table1[[#This Row],[Order Date]],"mmm")</f>
        <v>Aug</v>
      </c>
      <c r="N3067" s="1">
        <f>YEAR(Table1[[#This Row],[Order Date]])</f>
        <v>2023</v>
      </c>
    </row>
    <row r="3068" spans="1:14" x14ac:dyDescent="0.35">
      <c r="A3068" s="1" t="s">
        <v>3860</v>
      </c>
      <c r="B3068" s="1" t="s">
        <v>83</v>
      </c>
      <c r="C3068" s="1" t="s">
        <v>81</v>
      </c>
      <c r="D3068" s="1" t="s">
        <v>52</v>
      </c>
      <c r="E3068" s="1" t="s">
        <v>28</v>
      </c>
      <c r="F3068" s="1" t="s">
        <v>52</v>
      </c>
      <c r="G3068" s="1">
        <v>12</v>
      </c>
      <c r="H3068" s="1">
        <v>13109</v>
      </c>
      <c r="I3068" s="1">
        <v>0.1</v>
      </c>
      <c r="J3068" s="1">
        <v>141577.20000000001</v>
      </c>
      <c r="K3068" s="1">
        <v>22737.49</v>
      </c>
      <c r="L3068" s="1" t="s">
        <v>45</v>
      </c>
      <c r="M3068" s="1" t="str">
        <f>TEXT(Table1[[#This Row],[Order Date]],"mmm")</f>
        <v>Mar</v>
      </c>
      <c r="N3068" s="1">
        <f>YEAR(Table1[[#This Row],[Order Date]])</f>
        <v>2024</v>
      </c>
    </row>
    <row r="3069" spans="1:14" x14ac:dyDescent="0.35">
      <c r="A3069" s="1" t="s">
        <v>3861</v>
      </c>
      <c r="B3069" s="1" t="s">
        <v>589</v>
      </c>
      <c r="C3069" s="1" t="s">
        <v>20</v>
      </c>
      <c r="D3069" s="1" t="s">
        <v>91</v>
      </c>
      <c r="E3069" s="1" t="s">
        <v>16</v>
      </c>
      <c r="F3069" s="1" t="s">
        <v>91</v>
      </c>
      <c r="G3069" s="1">
        <v>1</v>
      </c>
      <c r="H3069" s="1">
        <v>25595</v>
      </c>
      <c r="I3069" s="1">
        <v>0.05</v>
      </c>
      <c r="J3069" s="1">
        <v>24315.25</v>
      </c>
      <c r="K3069" s="1">
        <v>1958.78</v>
      </c>
      <c r="L3069" s="1" t="s">
        <v>23</v>
      </c>
      <c r="M3069" s="1" t="str">
        <f>TEXT(Table1[[#This Row],[Order Date]],"mmm")</f>
        <v>Sep</v>
      </c>
      <c r="N3069" s="1">
        <f>YEAR(Table1[[#This Row],[Order Date]])</f>
        <v>2023</v>
      </c>
    </row>
    <row r="3070" spans="1:14" x14ac:dyDescent="0.35">
      <c r="A3070" s="1" t="s">
        <v>3862</v>
      </c>
      <c r="B3070" s="1" t="s">
        <v>528</v>
      </c>
      <c r="C3070" s="1" t="s">
        <v>31</v>
      </c>
      <c r="D3070" s="1" t="s">
        <v>60</v>
      </c>
      <c r="E3070" s="1" t="s">
        <v>33</v>
      </c>
      <c r="F3070" s="1" t="s">
        <v>60</v>
      </c>
      <c r="G3070" s="1">
        <v>8</v>
      </c>
      <c r="H3070" s="1">
        <v>32077</v>
      </c>
      <c r="I3070" s="1">
        <v>0.05</v>
      </c>
      <c r="J3070" s="1">
        <v>243785.2</v>
      </c>
      <c r="K3070" s="1">
        <v>40911.53</v>
      </c>
      <c r="L3070" s="1" t="s">
        <v>17</v>
      </c>
      <c r="M3070" s="1" t="str">
        <f>TEXT(Table1[[#This Row],[Order Date]],"mmm")</f>
        <v>Feb</v>
      </c>
      <c r="N3070" s="1">
        <f>YEAR(Table1[[#This Row],[Order Date]])</f>
        <v>2024</v>
      </c>
    </row>
    <row r="3071" spans="1:14" x14ac:dyDescent="0.35">
      <c r="A3071" s="1" t="s">
        <v>3863</v>
      </c>
      <c r="B3071" s="1" t="s">
        <v>545</v>
      </c>
      <c r="C3071" s="1" t="s">
        <v>94</v>
      </c>
      <c r="D3071" s="1" t="s">
        <v>64</v>
      </c>
      <c r="E3071" s="1" t="s">
        <v>33</v>
      </c>
      <c r="F3071" s="1" t="s">
        <v>64</v>
      </c>
      <c r="G3071" s="1">
        <v>10</v>
      </c>
      <c r="H3071" s="1">
        <v>7757</v>
      </c>
      <c r="I3071" s="1">
        <v>0.05</v>
      </c>
      <c r="J3071" s="1">
        <v>73691.5</v>
      </c>
      <c r="K3071" s="1">
        <v>10112.31</v>
      </c>
      <c r="L3071" s="1" t="s">
        <v>23</v>
      </c>
      <c r="M3071" s="1" t="str">
        <f>TEXT(Table1[[#This Row],[Order Date]],"mmm")</f>
        <v>Jan</v>
      </c>
      <c r="N3071" s="1">
        <f>YEAR(Table1[[#This Row],[Order Date]])</f>
        <v>2024</v>
      </c>
    </row>
    <row r="3072" spans="1:14" x14ac:dyDescent="0.35">
      <c r="A3072" s="1" t="s">
        <v>3864</v>
      </c>
      <c r="B3072" s="1" t="s">
        <v>250</v>
      </c>
      <c r="C3072" s="1" t="s">
        <v>208</v>
      </c>
      <c r="D3072" s="1" t="s">
        <v>114</v>
      </c>
      <c r="E3072" s="1" t="s">
        <v>16</v>
      </c>
      <c r="F3072" s="1" t="s">
        <v>114</v>
      </c>
      <c r="G3072" s="1">
        <v>7</v>
      </c>
      <c r="H3072" s="1">
        <v>40774</v>
      </c>
      <c r="I3072" s="1">
        <v>0.2</v>
      </c>
      <c r="J3072" s="1">
        <v>228334.4</v>
      </c>
      <c r="K3072" s="1">
        <v>36840.06</v>
      </c>
      <c r="L3072" s="1" t="s">
        <v>70</v>
      </c>
      <c r="M3072" s="1" t="str">
        <f>TEXT(Table1[[#This Row],[Order Date]],"mmm")</f>
        <v>Aug</v>
      </c>
      <c r="N3072" s="1">
        <f>YEAR(Table1[[#This Row],[Order Date]])</f>
        <v>2023</v>
      </c>
    </row>
    <row r="3073" spans="1:14" x14ac:dyDescent="0.35">
      <c r="A3073" s="1" t="s">
        <v>3865</v>
      </c>
      <c r="B3073" s="1" t="s">
        <v>62</v>
      </c>
      <c r="C3073" s="1" t="s">
        <v>188</v>
      </c>
      <c r="D3073" s="1" t="s">
        <v>141</v>
      </c>
      <c r="E3073" s="1" t="s">
        <v>22</v>
      </c>
      <c r="F3073" s="1" t="s">
        <v>141</v>
      </c>
      <c r="G3073" s="1">
        <v>1</v>
      </c>
      <c r="H3073" s="1">
        <v>47195</v>
      </c>
      <c r="I3073" s="1">
        <v>0.05</v>
      </c>
      <c r="J3073" s="1">
        <v>44835.25</v>
      </c>
      <c r="K3073" s="1">
        <v>6885.98</v>
      </c>
      <c r="L3073" s="1" t="s">
        <v>17</v>
      </c>
      <c r="M3073" s="1" t="str">
        <f>TEXT(Table1[[#This Row],[Order Date]],"mmm")</f>
        <v>Dec</v>
      </c>
      <c r="N3073" s="1">
        <f>YEAR(Table1[[#This Row],[Order Date]])</f>
        <v>2023</v>
      </c>
    </row>
    <row r="3074" spans="1:14" x14ac:dyDescent="0.35">
      <c r="A3074" s="1" t="s">
        <v>3866</v>
      </c>
      <c r="B3074" s="1" t="s">
        <v>489</v>
      </c>
      <c r="C3074" s="1" t="s">
        <v>26</v>
      </c>
      <c r="D3074" s="1" t="s">
        <v>293</v>
      </c>
      <c r="E3074" s="1" t="s">
        <v>33</v>
      </c>
      <c r="F3074" s="1" t="s">
        <v>293</v>
      </c>
      <c r="G3074" s="1">
        <v>2</v>
      </c>
      <c r="H3074" s="1">
        <v>6731</v>
      </c>
      <c r="I3074" s="1">
        <v>0</v>
      </c>
      <c r="J3074" s="1">
        <v>13462</v>
      </c>
      <c r="K3074" s="1">
        <v>1887.55</v>
      </c>
      <c r="L3074" s="1" t="s">
        <v>23</v>
      </c>
      <c r="M3074" s="1" t="str">
        <f>TEXT(Table1[[#This Row],[Order Date]],"mmm")</f>
        <v>Aug</v>
      </c>
      <c r="N3074" s="1">
        <f>YEAR(Table1[[#This Row],[Order Date]])</f>
        <v>2023</v>
      </c>
    </row>
    <row r="3075" spans="1:14" x14ac:dyDescent="0.35">
      <c r="A3075" s="1" t="s">
        <v>3867</v>
      </c>
      <c r="B3075" s="1" t="s">
        <v>1774</v>
      </c>
      <c r="C3075" s="1" t="s">
        <v>255</v>
      </c>
      <c r="D3075" s="1" t="s">
        <v>64</v>
      </c>
      <c r="E3075" s="1" t="s">
        <v>33</v>
      </c>
      <c r="F3075" s="1" t="s">
        <v>64</v>
      </c>
      <c r="G3075" s="1">
        <v>4</v>
      </c>
      <c r="H3075" s="1">
        <v>31997</v>
      </c>
      <c r="I3075" s="1">
        <v>0.2</v>
      </c>
      <c r="J3075" s="1">
        <v>102390.39999999999</v>
      </c>
      <c r="K3075" s="1">
        <v>21348.93</v>
      </c>
      <c r="L3075" s="1" t="s">
        <v>45</v>
      </c>
      <c r="M3075" s="1" t="str">
        <f>TEXT(Table1[[#This Row],[Order Date]],"mmm")</f>
        <v>Jun</v>
      </c>
      <c r="N3075" s="1">
        <f>YEAR(Table1[[#This Row],[Order Date]])</f>
        <v>2023</v>
      </c>
    </row>
    <row r="3076" spans="1:14" x14ac:dyDescent="0.35">
      <c r="A3076" s="1" t="s">
        <v>3868</v>
      </c>
      <c r="B3076" s="1" t="s">
        <v>197</v>
      </c>
      <c r="C3076" s="1" t="s">
        <v>260</v>
      </c>
      <c r="D3076" s="1" t="s">
        <v>293</v>
      </c>
      <c r="E3076" s="1" t="s">
        <v>33</v>
      </c>
      <c r="F3076" s="1" t="s">
        <v>293</v>
      </c>
      <c r="G3076" s="1">
        <v>9</v>
      </c>
      <c r="H3076" s="1">
        <v>42084</v>
      </c>
      <c r="I3076" s="1">
        <v>0.1</v>
      </c>
      <c r="J3076" s="1">
        <v>340880.4</v>
      </c>
      <c r="K3076" s="1">
        <v>69664.570000000007</v>
      </c>
      <c r="L3076" s="1" t="s">
        <v>23</v>
      </c>
      <c r="M3076" s="1" t="str">
        <f>TEXT(Table1[[#This Row],[Order Date]],"mmm")</f>
        <v>Feb</v>
      </c>
      <c r="N3076" s="1">
        <f>YEAR(Table1[[#This Row],[Order Date]])</f>
        <v>2024</v>
      </c>
    </row>
    <row r="3077" spans="1:14" x14ac:dyDescent="0.35">
      <c r="A3077" s="1" t="s">
        <v>3869</v>
      </c>
      <c r="B3077" s="1" t="s">
        <v>2167</v>
      </c>
      <c r="C3077" s="1" t="s">
        <v>31</v>
      </c>
      <c r="D3077" s="1" t="s">
        <v>64</v>
      </c>
      <c r="E3077" s="1" t="s">
        <v>33</v>
      </c>
      <c r="F3077" s="1" t="s">
        <v>64</v>
      </c>
      <c r="G3077" s="1">
        <v>2</v>
      </c>
      <c r="H3077" s="1">
        <v>34068</v>
      </c>
      <c r="I3077" s="1">
        <v>0.1</v>
      </c>
      <c r="J3077" s="1">
        <v>61322.400000000001</v>
      </c>
      <c r="K3077" s="1">
        <v>9968.1299999999992</v>
      </c>
      <c r="L3077" s="1" t="s">
        <v>70</v>
      </c>
      <c r="M3077" s="1" t="str">
        <f>TEXT(Table1[[#This Row],[Order Date]],"mmm")</f>
        <v>Aug</v>
      </c>
      <c r="N3077" s="1">
        <f>YEAR(Table1[[#This Row],[Order Date]])</f>
        <v>2024</v>
      </c>
    </row>
    <row r="3078" spans="1:14" x14ac:dyDescent="0.35">
      <c r="A3078" s="1" t="s">
        <v>3870</v>
      </c>
      <c r="B3078" s="1" t="s">
        <v>780</v>
      </c>
      <c r="C3078" s="1" t="s">
        <v>155</v>
      </c>
      <c r="D3078" s="1" t="s">
        <v>224</v>
      </c>
      <c r="E3078" s="1" t="s">
        <v>33</v>
      </c>
      <c r="F3078" s="1" t="s">
        <v>224</v>
      </c>
      <c r="G3078" s="1">
        <v>14</v>
      </c>
      <c r="H3078" s="1">
        <v>37159</v>
      </c>
      <c r="I3078" s="1">
        <v>0.15</v>
      </c>
      <c r="J3078" s="1">
        <v>442192.1</v>
      </c>
      <c r="K3078" s="1">
        <v>98686.93</v>
      </c>
      <c r="L3078" s="1" t="s">
        <v>17</v>
      </c>
      <c r="M3078" s="1" t="str">
        <f>TEXT(Table1[[#This Row],[Order Date]],"mmm")</f>
        <v>Oct</v>
      </c>
      <c r="N3078" s="1">
        <f>YEAR(Table1[[#This Row],[Order Date]])</f>
        <v>2023</v>
      </c>
    </row>
    <row r="3079" spans="1:14" x14ac:dyDescent="0.35">
      <c r="A3079" s="1" t="s">
        <v>3871</v>
      </c>
      <c r="B3079" s="1" t="s">
        <v>1573</v>
      </c>
      <c r="C3079" s="1" t="s">
        <v>136</v>
      </c>
      <c r="D3079" s="1" t="s">
        <v>141</v>
      </c>
      <c r="E3079" s="1" t="s">
        <v>22</v>
      </c>
      <c r="F3079" s="1" t="s">
        <v>141</v>
      </c>
      <c r="G3079" s="1">
        <v>2</v>
      </c>
      <c r="H3079" s="1">
        <v>48758</v>
      </c>
      <c r="I3079" s="1">
        <v>0.05</v>
      </c>
      <c r="J3079" s="1">
        <v>92640.2</v>
      </c>
      <c r="K3079" s="1">
        <v>21403.43</v>
      </c>
      <c r="L3079" s="1" t="s">
        <v>17</v>
      </c>
      <c r="M3079" s="1" t="str">
        <f>TEXT(Table1[[#This Row],[Order Date]],"mmm")</f>
        <v>Aug</v>
      </c>
      <c r="N3079" s="1">
        <f>YEAR(Table1[[#This Row],[Order Date]])</f>
        <v>2024</v>
      </c>
    </row>
    <row r="3080" spans="1:14" x14ac:dyDescent="0.35">
      <c r="A3080" s="1" t="s">
        <v>3872</v>
      </c>
      <c r="B3080" s="1" t="s">
        <v>1184</v>
      </c>
      <c r="C3080" s="1" t="s">
        <v>107</v>
      </c>
      <c r="D3080" s="1" t="s">
        <v>21</v>
      </c>
      <c r="E3080" s="1" t="s">
        <v>22</v>
      </c>
      <c r="F3080" s="1" t="s">
        <v>21</v>
      </c>
      <c r="G3080" s="1">
        <v>4</v>
      </c>
      <c r="H3080" s="1">
        <v>51912</v>
      </c>
      <c r="I3080" s="1">
        <v>0.15</v>
      </c>
      <c r="J3080" s="1">
        <v>176500.8</v>
      </c>
      <c r="K3080" s="1">
        <v>26625.95</v>
      </c>
      <c r="L3080" s="1" t="s">
        <v>45</v>
      </c>
      <c r="M3080" s="1" t="str">
        <f>TEXT(Table1[[#This Row],[Order Date]],"mmm")</f>
        <v>Oct</v>
      </c>
      <c r="N3080" s="1">
        <f>YEAR(Table1[[#This Row],[Order Date]])</f>
        <v>2023</v>
      </c>
    </row>
    <row r="3081" spans="1:14" x14ac:dyDescent="0.35">
      <c r="A3081" s="1" t="s">
        <v>3873</v>
      </c>
      <c r="B3081" s="1" t="s">
        <v>556</v>
      </c>
      <c r="C3081" s="1" t="s">
        <v>98</v>
      </c>
      <c r="D3081" s="1" t="s">
        <v>60</v>
      </c>
      <c r="E3081" s="1" t="s">
        <v>33</v>
      </c>
      <c r="F3081" s="1" t="s">
        <v>60</v>
      </c>
      <c r="G3081" s="1">
        <v>9</v>
      </c>
      <c r="H3081" s="1">
        <v>46822</v>
      </c>
      <c r="I3081" s="1">
        <v>0</v>
      </c>
      <c r="J3081" s="1">
        <v>421398</v>
      </c>
      <c r="K3081" s="1">
        <v>98272.14</v>
      </c>
      <c r="L3081" s="1" t="s">
        <v>70</v>
      </c>
      <c r="M3081" s="1" t="str">
        <f>TEXT(Table1[[#This Row],[Order Date]],"mmm")</f>
        <v>Nov</v>
      </c>
      <c r="N3081" s="1">
        <f>YEAR(Table1[[#This Row],[Order Date]])</f>
        <v>2024</v>
      </c>
    </row>
    <row r="3082" spans="1:14" x14ac:dyDescent="0.35">
      <c r="A3082" s="1" t="s">
        <v>3874</v>
      </c>
      <c r="B3082" s="1" t="s">
        <v>501</v>
      </c>
      <c r="C3082" s="1" t="s">
        <v>191</v>
      </c>
      <c r="D3082" s="1" t="s">
        <v>15</v>
      </c>
      <c r="E3082" s="1" t="s">
        <v>16</v>
      </c>
      <c r="F3082" s="1" t="s">
        <v>15</v>
      </c>
      <c r="G3082" s="1">
        <v>11</v>
      </c>
      <c r="H3082" s="1">
        <v>44912</v>
      </c>
      <c r="I3082" s="1">
        <v>0.15</v>
      </c>
      <c r="J3082" s="1">
        <v>419927.2</v>
      </c>
      <c r="K3082" s="1">
        <v>69370.23</v>
      </c>
      <c r="L3082" s="1" t="s">
        <v>70</v>
      </c>
      <c r="M3082" s="1" t="str">
        <f>TEXT(Table1[[#This Row],[Order Date]],"mmm")</f>
        <v>Nov</v>
      </c>
      <c r="N3082" s="1">
        <f>YEAR(Table1[[#This Row],[Order Date]])</f>
        <v>2024</v>
      </c>
    </row>
    <row r="3083" spans="1:14" x14ac:dyDescent="0.35">
      <c r="A3083" s="1" t="s">
        <v>3875</v>
      </c>
      <c r="B3083" s="1" t="s">
        <v>493</v>
      </c>
      <c r="C3083" s="1" t="s">
        <v>88</v>
      </c>
      <c r="D3083" s="1" t="s">
        <v>141</v>
      </c>
      <c r="E3083" s="1" t="s">
        <v>22</v>
      </c>
      <c r="F3083" s="1" t="s">
        <v>141</v>
      </c>
      <c r="G3083" s="1">
        <v>7</v>
      </c>
      <c r="H3083" s="1">
        <v>53798</v>
      </c>
      <c r="I3083" s="1">
        <v>0.05</v>
      </c>
      <c r="J3083" s="1">
        <v>357756.7</v>
      </c>
      <c r="K3083" s="1">
        <v>106712.51</v>
      </c>
      <c r="L3083" s="1" t="s">
        <v>70</v>
      </c>
      <c r="M3083" s="1" t="str">
        <f>TEXT(Table1[[#This Row],[Order Date]],"mmm")</f>
        <v>Nov</v>
      </c>
      <c r="N3083" s="1">
        <f>YEAR(Table1[[#This Row],[Order Date]])</f>
        <v>2024</v>
      </c>
    </row>
    <row r="3084" spans="1:14" x14ac:dyDescent="0.35">
      <c r="A3084" s="1" t="s">
        <v>3876</v>
      </c>
      <c r="B3084" s="1" t="s">
        <v>2070</v>
      </c>
      <c r="C3084" s="1" t="s">
        <v>155</v>
      </c>
      <c r="D3084" s="1" t="s">
        <v>21</v>
      </c>
      <c r="E3084" s="1" t="s">
        <v>22</v>
      </c>
      <c r="F3084" s="1" t="s">
        <v>21</v>
      </c>
      <c r="G3084" s="1">
        <v>8</v>
      </c>
      <c r="H3084" s="1">
        <v>53730</v>
      </c>
      <c r="I3084" s="1">
        <v>0.1</v>
      </c>
      <c r="J3084" s="1">
        <v>386856</v>
      </c>
      <c r="K3084" s="1">
        <v>58273.36</v>
      </c>
      <c r="L3084" s="1" t="s">
        <v>70</v>
      </c>
      <c r="M3084" s="1" t="str">
        <f>TEXT(Table1[[#This Row],[Order Date]],"mmm")</f>
        <v>Apr</v>
      </c>
      <c r="N3084" s="1">
        <f>YEAR(Table1[[#This Row],[Order Date]])</f>
        <v>2024</v>
      </c>
    </row>
    <row r="3085" spans="1:14" x14ac:dyDescent="0.35">
      <c r="A3085" s="1" t="s">
        <v>3877</v>
      </c>
      <c r="B3085" s="1" t="s">
        <v>901</v>
      </c>
      <c r="C3085" s="1" t="s">
        <v>59</v>
      </c>
      <c r="D3085" s="1" t="s">
        <v>167</v>
      </c>
      <c r="E3085" s="1" t="s">
        <v>16</v>
      </c>
      <c r="F3085" s="1" t="s">
        <v>167</v>
      </c>
      <c r="G3085" s="1">
        <v>9</v>
      </c>
      <c r="H3085" s="1">
        <v>45483</v>
      </c>
      <c r="I3085" s="1">
        <v>0.1</v>
      </c>
      <c r="J3085" s="1">
        <v>368412.3</v>
      </c>
      <c r="K3085" s="1">
        <v>100561.37</v>
      </c>
      <c r="L3085" s="1" t="s">
        <v>45</v>
      </c>
      <c r="M3085" s="1" t="str">
        <f>TEXT(Table1[[#This Row],[Order Date]],"mmm")</f>
        <v>May</v>
      </c>
      <c r="N3085" s="1">
        <f>YEAR(Table1[[#This Row],[Order Date]])</f>
        <v>2023</v>
      </c>
    </row>
    <row r="3086" spans="1:14" x14ac:dyDescent="0.35">
      <c r="A3086" s="1" t="s">
        <v>3878</v>
      </c>
      <c r="B3086" s="1" t="s">
        <v>1604</v>
      </c>
      <c r="C3086" s="1" t="s">
        <v>31</v>
      </c>
      <c r="D3086" s="1" t="s">
        <v>179</v>
      </c>
      <c r="E3086" s="1" t="s">
        <v>28</v>
      </c>
      <c r="F3086" s="1" t="s">
        <v>179</v>
      </c>
      <c r="G3086" s="1">
        <v>11</v>
      </c>
      <c r="H3086" s="1">
        <v>20962</v>
      </c>
      <c r="I3086" s="1">
        <v>0.1</v>
      </c>
      <c r="J3086" s="1">
        <v>207523.8</v>
      </c>
      <c r="K3086" s="1">
        <v>21126.03</v>
      </c>
      <c r="L3086" s="1" t="s">
        <v>70</v>
      </c>
      <c r="M3086" s="1" t="str">
        <f>TEXT(Table1[[#This Row],[Order Date]],"mmm")</f>
        <v>May</v>
      </c>
      <c r="N3086" s="1">
        <f>YEAR(Table1[[#This Row],[Order Date]])</f>
        <v>2024</v>
      </c>
    </row>
    <row r="3087" spans="1:14" x14ac:dyDescent="0.35">
      <c r="A3087" s="1" t="s">
        <v>3879</v>
      </c>
      <c r="B3087" s="1" t="s">
        <v>66</v>
      </c>
      <c r="C3087" s="1" t="s">
        <v>84</v>
      </c>
      <c r="D3087" s="1" t="s">
        <v>224</v>
      </c>
      <c r="E3087" s="1" t="s">
        <v>33</v>
      </c>
      <c r="F3087" s="1" t="s">
        <v>224</v>
      </c>
      <c r="G3087" s="1">
        <v>15</v>
      </c>
      <c r="H3087" s="1">
        <v>26286</v>
      </c>
      <c r="I3087" s="1">
        <v>0.2</v>
      </c>
      <c r="J3087" s="1">
        <v>315432</v>
      </c>
      <c r="K3087" s="1">
        <v>66369.899999999994</v>
      </c>
      <c r="L3087" s="1" t="s">
        <v>23</v>
      </c>
      <c r="M3087" s="1" t="str">
        <f>TEXT(Table1[[#This Row],[Order Date]],"mmm")</f>
        <v>Sep</v>
      </c>
      <c r="N3087" s="1">
        <f>YEAR(Table1[[#This Row],[Order Date]])</f>
        <v>2024</v>
      </c>
    </row>
    <row r="3088" spans="1:14" x14ac:dyDescent="0.35">
      <c r="A3088" s="1" t="s">
        <v>3880</v>
      </c>
      <c r="B3088" s="1" t="s">
        <v>2815</v>
      </c>
      <c r="C3088" s="1" t="s">
        <v>191</v>
      </c>
      <c r="D3088" s="1" t="s">
        <v>95</v>
      </c>
      <c r="E3088" s="1" t="s">
        <v>33</v>
      </c>
      <c r="F3088" s="1" t="s">
        <v>95</v>
      </c>
      <c r="G3088" s="1">
        <v>8</v>
      </c>
      <c r="H3088" s="1">
        <v>58901</v>
      </c>
      <c r="I3088" s="1">
        <v>0.2</v>
      </c>
      <c r="J3088" s="1">
        <v>376966.40000000002</v>
      </c>
      <c r="K3088" s="1">
        <v>93470.67</v>
      </c>
      <c r="L3088" s="1" t="s">
        <v>70</v>
      </c>
      <c r="M3088" s="1" t="str">
        <f>TEXT(Table1[[#This Row],[Order Date]],"mmm")</f>
        <v>Mar</v>
      </c>
      <c r="N3088" s="1">
        <f>YEAR(Table1[[#This Row],[Order Date]])</f>
        <v>2024</v>
      </c>
    </row>
    <row r="3089" spans="1:14" x14ac:dyDescent="0.35">
      <c r="A3089" s="1" t="s">
        <v>3881</v>
      </c>
      <c r="B3089" s="1" t="s">
        <v>547</v>
      </c>
      <c r="C3089" s="1" t="s">
        <v>332</v>
      </c>
      <c r="D3089" s="1" t="s">
        <v>133</v>
      </c>
      <c r="E3089" s="1" t="s">
        <v>22</v>
      </c>
      <c r="F3089" s="1" t="s">
        <v>133</v>
      </c>
      <c r="G3089" s="1">
        <v>7</v>
      </c>
      <c r="H3089" s="1">
        <v>43295</v>
      </c>
      <c r="I3089" s="1">
        <v>0.2</v>
      </c>
      <c r="J3089" s="1">
        <v>242452</v>
      </c>
      <c r="K3089" s="1">
        <v>22837.81</v>
      </c>
      <c r="L3089" s="1" t="s">
        <v>45</v>
      </c>
      <c r="M3089" s="1" t="str">
        <f>TEXT(Table1[[#This Row],[Order Date]],"mmm")</f>
        <v>Nov</v>
      </c>
      <c r="N3089" s="1">
        <f>YEAR(Table1[[#This Row],[Order Date]])</f>
        <v>2023</v>
      </c>
    </row>
    <row r="3090" spans="1:14" x14ac:dyDescent="0.35">
      <c r="A3090" s="1" t="s">
        <v>3882</v>
      </c>
      <c r="B3090" s="1" t="s">
        <v>596</v>
      </c>
      <c r="C3090" s="1" t="s">
        <v>120</v>
      </c>
      <c r="D3090" s="1" t="s">
        <v>56</v>
      </c>
      <c r="E3090" s="1" t="s">
        <v>22</v>
      </c>
      <c r="F3090" s="1" t="s">
        <v>56</v>
      </c>
      <c r="G3090" s="1">
        <v>1</v>
      </c>
      <c r="H3090" s="1">
        <v>27741</v>
      </c>
      <c r="I3090" s="1">
        <v>0.1</v>
      </c>
      <c r="J3090" s="1">
        <v>24966.9</v>
      </c>
      <c r="K3090" s="1">
        <v>4720.45</v>
      </c>
      <c r="L3090" s="1" t="s">
        <v>45</v>
      </c>
      <c r="M3090" s="1" t="str">
        <f>TEXT(Table1[[#This Row],[Order Date]],"mmm")</f>
        <v>Nov</v>
      </c>
      <c r="N3090" s="1">
        <f>YEAR(Table1[[#This Row],[Order Date]])</f>
        <v>2023</v>
      </c>
    </row>
    <row r="3091" spans="1:14" x14ac:dyDescent="0.35">
      <c r="A3091" s="1" t="s">
        <v>3883</v>
      </c>
      <c r="B3091" s="1" t="s">
        <v>1492</v>
      </c>
      <c r="C3091" s="1" t="s">
        <v>128</v>
      </c>
      <c r="D3091" s="1" t="s">
        <v>293</v>
      </c>
      <c r="E3091" s="1" t="s">
        <v>33</v>
      </c>
      <c r="F3091" s="1" t="s">
        <v>293</v>
      </c>
      <c r="G3091" s="1">
        <v>13</v>
      </c>
      <c r="H3091" s="1">
        <v>56315</v>
      </c>
      <c r="I3091" s="1">
        <v>0</v>
      </c>
      <c r="J3091" s="1">
        <v>732095</v>
      </c>
      <c r="K3091" s="1">
        <v>87969.86</v>
      </c>
      <c r="L3091" s="1" t="s">
        <v>70</v>
      </c>
      <c r="M3091" s="1" t="str">
        <f>TEXT(Table1[[#This Row],[Order Date]],"mmm")</f>
        <v>Mar</v>
      </c>
      <c r="N3091" s="1">
        <f>YEAR(Table1[[#This Row],[Order Date]])</f>
        <v>2024</v>
      </c>
    </row>
    <row r="3092" spans="1:14" x14ac:dyDescent="0.35">
      <c r="A3092" s="1" t="s">
        <v>3884</v>
      </c>
      <c r="B3092" s="1" t="s">
        <v>2592</v>
      </c>
      <c r="C3092" s="1" t="s">
        <v>107</v>
      </c>
      <c r="D3092" s="1" t="s">
        <v>56</v>
      </c>
      <c r="E3092" s="1" t="s">
        <v>22</v>
      </c>
      <c r="F3092" s="1" t="s">
        <v>56</v>
      </c>
      <c r="G3092" s="1">
        <v>9</v>
      </c>
      <c r="H3092" s="1">
        <v>32890</v>
      </c>
      <c r="I3092" s="1">
        <v>0.1</v>
      </c>
      <c r="J3092" s="1">
        <v>266409</v>
      </c>
      <c r="K3092" s="1">
        <v>56035.64</v>
      </c>
      <c r="L3092" s="1" t="s">
        <v>70</v>
      </c>
      <c r="M3092" s="1" t="str">
        <f>TEXT(Table1[[#This Row],[Order Date]],"mmm")</f>
        <v>May</v>
      </c>
      <c r="N3092" s="1">
        <f>YEAR(Table1[[#This Row],[Order Date]])</f>
        <v>2023</v>
      </c>
    </row>
    <row r="3093" spans="1:14" x14ac:dyDescent="0.35">
      <c r="A3093" s="1" t="s">
        <v>3885</v>
      </c>
      <c r="B3093" s="1" t="s">
        <v>3622</v>
      </c>
      <c r="C3093" s="1" t="s">
        <v>107</v>
      </c>
      <c r="D3093" s="1" t="s">
        <v>37</v>
      </c>
      <c r="E3093" s="1" t="s">
        <v>16</v>
      </c>
      <c r="F3093" s="1" t="s">
        <v>37</v>
      </c>
      <c r="G3093" s="1">
        <v>13</v>
      </c>
      <c r="H3093" s="1">
        <v>58947</v>
      </c>
      <c r="I3093" s="1">
        <v>0</v>
      </c>
      <c r="J3093" s="1">
        <v>766311</v>
      </c>
      <c r="K3093" s="1">
        <v>102197.93</v>
      </c>
      <c r="L3093" s="1" t="s">
        <v>45</v>
      </c>
      <c r="M3093" s="1" t="str">
        <f>TEXT(Table1[[#This Row],[Order Date]],"mmm")</f>
        <v>Oct</v>
      </c>
      <c r="N3093" s="1">
        <f>YEAR(Table1[[#This Row],[Order Date]])</f>
        <v>2023</v>
      </c>
    </row>
    <row r="3094" spans="1:14" x14ac:dyDescent="0.35">
      <c r="A3094" s="1" t="s">
        <v>3886</v>
      </c>
      <c r="B3094" s="1" t="s">
        <v>563</v>
      </c>
      <c r="C3094" s="1" t="s">
        <v>260</v>
      </c>
      <c r="D3094" s="1" t="s">
        <v>56</v>
      </c>
      <c r="E3094" s="1" t="s">
        <v>22</v>
      </c>
      <c r="F3094" s="1" t="s">
        <v>56</v>
      </c>
      <c r="G3094" s="1">
        <v>12</v>
      </c>
      <c r="H3094" s="1">
        <v>58663</v>
      </c>
      <c r="I3094" s="1">
        <v>0</v>
      </c>
      <c r="J3094" s="1">
        <v>703956</v>
      </c>
      <c r="K3094" s="1">
        <v>206652.89</v>
      </c>
      <c r="L3094" s="1" t="s">
        <v>45</v>
      </c>
      <c r="M3094" s="1" t="str">
        <f>TEXT(Table1[[#This Row],[Order Date]],"mmm")</f>
        <v>Jan</v>
      </c>
      <c r="N3094" s="1">
        <f>YEAR(Table1[[#This Row],[Order Date]])</f>
        <v>2023</v>
      </c>
    </row>
    <row r="3095" spans="1:14" x14ac:dyDescent="0.35">
      <c r="A3095" s="1" t="s">
        <v>3887</v>
      </c>
      <c r="B3095" s="1" t="s">
        <v>1926</v>
      </c>
      <c r="C3095" s="1" t="s">
        <v>208</v>
      </c>
      <c r="D3095" s="1" t="s">
        <v>41</v>
      </c>
      <c r="E3095" s="1" t="s">
        <v>16</v>
      </c>
      <c r="F3095" s="1" t="s">
        <v>41</v>
      </c>
      <c r="G3095" s="1">
        <v>1</v>
      </c>
      <c r="H3095" s="1">
        <v>13444</v>
      </c>
      <c r="I3095" s="1">
        <v>0</v>
      </c>
      <c r="J3095" s="1">
        <v>13444</v>
      </c>
      <c r="K3095" s="1">
        <v>1423.72</v>
      </c>
      <c r="L3095" s="1" t="s">
        <v>45</v>
      </c>
      <c r="M3095" s="1" t="str">
        <f>TEXT(Table1[[#This Row],[Order Date]],"mmm")</f>
        <v>Oct</v>
      </c>
      <c r="N3095" s="1">
        <f>YEAR(Table1[[#This Row],[Order Date]])</f>
        <v>2023</v>
      </c>
    </row>
    <row r="3096" spans="1:14" x14ac:dyDescent="0.35">
      <c r="A3096" s="1" t="s">
        <v>3888</v>
      </c>
      <c r="B3096" s="1" t="s">
        <v>2355</v>
      </c>
      <c r="C3096" s="1" t="s">
        <v>158</v>
      </c>
      <c r="D3096" s="1" t="s">
        <v>224</v>
      </c>
      <c r="E3096" s="1" t="s">
        <v>33</v>
      </c>
      <c r="F3096" s="1" t="s">
        <v>224</v>
      </c>
      <c r="G3096" s="1">
        <v>5</v>
      </c>
      <c r="H3096" s="1">
        <v>17658</v>
      </c>
      <c r="I3096" s="1">
        <v>0.15</v>
      </c>
      <c r="J3096" s="1">
        <v>75046.5</v>
      </c>
      <c r="K3096" s="1">
        <v>8206.84</v>
      </c>
      <c r="L3096" s="1" t="s">
        <v>23</v>
      </c>
      <c r="M3096" s="1" t="str">
        <f>TEXT(Table1[[#This Row],[Order Date]],"mmm")</f>
        <v>Oct</v>
      </c>
      <c r="N3096" s="1">
        <f>YEAR(Table1[[#This Row],[Order Date]])</f>
        <v>2023</v>
      </c>
    </row>
    <row r="3097" spans="1:14" x14ac:dyDescent="0.35">
      <c r="A3097" s="1" t="s">
        <v>3889</v>
      </c>
      <c r="B3097" s="1" t="s">
        <v>1517</v>
      </c>
      <c r="C3097" s="1" t="s">
        <v>101</v>
      </c>
      <c r="D3097" s="1" t="s">
        <v>44</v>
      </c>
      <c r="E3097" s="1" t="s">
        <v>28</v>
      </c>
      <c r="F3097" s="1" t="s">
        <v>44</v>
      </c>
      <c r="G3097" s="1">
        <v>5</v>
      </c>
      <c r="H3097" s="1">
        <v>19289</v>
      </c>
      <c r="I3097" s="1">
        <v>0.1</v>
      </c>
      <c r="J3097" s="1">
        <v>86800.5</v>
      </c>
      <c r="K3097" s="1">
        <v>7344.09</v>
      </c>
      <c r="L3097" s="1" t="s">
        <v>23</v>
      </c>
      <c r="M3097" s="1" t="str">
        <f>TEXT(Table1[[#This Row],[Order Date]],"mmm")</f>
        <v>Mar</v>
      </c>
      <c r="N3097" s="1">
        <f>YEAR(Table1[[#This Row],[Order Date]])</f>
        <v>2023</v>
      </c>
    </row>
    <row r="3098" spans="1:14" x14ac:dyDescent="0.35">
      <c r="A3098" s="1" t="s">
        <v>3890</v>
      </c>
      <c r="B3098" s="1" t="s">
        <v>3891</v>
      </c>
      <c r="C3098" s="1" t="s">
        <v>31</v>
      </c>
      <c r="D3098" s="1" t="s">
        <v>85</v>
      </c>
      <c r="E3098" s="1" t="s">
        <v>28</v>
      </c>
      <c r="F3098" s="1" t="s">
        <v>85</v>
      </c>
      <c r="G3098" s="1">
        <v>7</v>
      </c>
      <c r="H3098" s="1">
        <v>59502</v>
      </c>
      <c r="I3098" s="1">
        <v>0.2</v>
      </c>
      <c r="J3098" s="1">
        <v>333211.2</v>
      </c>
      <c r="K3098" s="1">
        <v>94861.92</v>
      </c>
      <c r="L3098" s="1" t="s">
        <v>45</v>
      </c>
      <c r="M3098" s="1" t="str">
        <f>TEXT(Table1[[#This Row],[Order Date]],"mmm")</f>
        <v>Jan</v>
      </c>
      <c r="N3098" s="1">
        <f>YEAR(Table1[[#This Row],[Order Date]])</f>
        <v>2023</v>
      </c>
    </row>
    <row r="3099" spans="1:14" x14ac:dyDescent="0.35">
      <c r="A3099" s="1" t="s">
        <v>3892</v>
      </c>
      <c r="B3099" s="1" t="s">
        <v>312</v>
      </c>
      <c r="C3099" s="1" t="s">
        <v>40</v>
      </c>
      <c r="D3099" s="1" t="s">
        <v>44</v>
      </c>
      <c r="E3099" s="1" t="s">
        <v>28</v>
      </c>
      <c r="F3099" s="1" t="s">
        <v>44</v>
      </c>
      <c r="G3099" s="1">
        <v>11</v>
      </c>
      <c r="H3099" s="1">
        <v>9919</v>
      </c>
      <c r="I3099" s="1">
        <v>0.15</v>
      </c>
      <c r="J3099" s="1">
        <v>92742.65</v>
      </c>
      <c r="K3099" s="1">
        <v>9488.01</v>
      </c>
      <c r="L3099" s="1" t="s">
        <v>45</v>
      </c>
      <c r="M3099" s="1" t="str">
        <f>TEXT(Table1[[#This Row],[Order Date]],"mmm")</f>
        <v>May</v>
      </c>
      <c r="N3099" s="1">
        <f>YEAR(Table1[[#This Row],[Order Date]])</f>
        <v>2024</v>
      </c>
    </row>
    <row r="3100" spans="1:14" x14ac:dyDescent="0.35">
      <c r="A3100" s="1" t="s">
        <v>3893</v>
      </c>
      <c r="B3100" s="1" t="s">
        <v>2345</v>
      </c>
      <c r="C3100" s="1" t="s">
        <v>146</v>
      </c>
      <c r="D3100" s="1" t="s">
        <v>179</v>
      </c>
      <c r="E3100" s="1" t="s">
        <v>28</v>
      </c>
      <c r="F3100" s="1" t="s">
        <v>179</v>
      </c>
      <c r="G3100" s="1">
        <v>3</v>
      </c>
      <c r="H3100" s="1">
        <v>46015</v>
      </c>
      <c r="I3100" s="1">
        <v>0</v>
      </c>
      <c r="J3100" s="1">
        <v>138045</v>
      </c>
      <c r="K3100" s="1">
        <v>38922.379999999997</v>
      </c>
      <c r="L3100" s="1" t="s">
        <v>17</v>
      </c>
      <c r="M3100" s="1" t="str">
        <f>TEXT(Table1[[#This Row],[Order Date]],"mmm")</f>
        <v>Oct</v>
      </c>
      <c r="N3100" s="1">
        <f>YEAR(Table1[[#This Row],[Order Date]])</f>
        <v>2023</v>
      </c>
    </row>
    <row r="3101" spans="1:14" x14ac:dyDescent="0.35">
      <c r="A3101" s="1" t="s">
        <v>3894</v>
      </c>
      <c r="B3101" s="1" t="s">
        <v>694</v>
      </c>
      <c r="C3101" s="1" t="s">
        <v>640</v>
      </c>
      <c r="D3101" s="1" t="s">
        <v>21</v>
      </c>
      <c r="E3101" s="1" t="s">
        <v>22</v>
      </c>
      <c r="F3101" s="1" t="s">
        <v>21</v>
      </c>
      <c r="G3101" s="1">
        <v>9</v>
      </c>
      <c r="H3101" s="1">
        <v>52911</v>
      </c>
      <c r="I3101" s="1">
        <v>0.15</v>
      </c>
      <c r="J3101" s="1">
        <v>404769.15</v>
      </c>
      <c r="K3101" s="1">
        <v>49904.95</v>
      </c>
      <c r="L3101" s="1" t="s">
        <v>23</v>
      </c>
      <c r="M3101" s="1" t="str">
        <f>TEXT(Table1[[#This Row],[Order Date]],"mmm")</f>
        <v>Aug</v>
      </c>
      <c r="N3101" s="1">
        <f>YEAR(Table1[[#This Row],[Order Date]])</f>
        <v>2023</v>
      </c>
    </row>
    <row r="3102" spans="1:14" x14ac:dyDescent="0.35">
      <c r="A3102" s="1" t="s">
        <v>3895</v>
      </c>
      <c r="B3102" s="1" t="s">
        <v>848</v>
      </c>
      <c r="C3102" s="1" t="s">
        <v>140</v>
      </c>
      <c r="D3102" s="1" t="s">
        <v>108</v>
      </c>
      <c r="E3102" s="1" t="s">
        <v>22</v>
      </c>
      <c r="F3102" s="1" t="s">
        <v>108</v>
      </c>
      <c r="G3102" s="1">
        <v>15</v>
      </c>
      <c r="H3102" s="1">
        <v>58565</v>
      </c>
      <c r="I3102" s="1">
        <v>0.1</v>
      </c>
      <c r="J3102" s="1">
        <v>790627.5</v>
      </c>
      <c r="K3102" s="1">
        <v>202103.77</v>
      </c>
      <c r="L3102" s="1" t="s">
        <v>70</v>
      </c>
      <c r="M3102" s="1" t="str">
        <f>TEXT(Table1[[#This Row],[Order Date]],"mmm")</f>
        <v>Mar</v>
      </c>
      <c r="N3102" s="1">
        <f>YEAR(Table1[[#This Row],[Order Date]])</f>
        <v>2024</v>
      </c>
    </row>
    <row r="3103" spans="1:14" x14ac:dyDescent="0.35">
      <c r="A3103" s="1" t="s">
        <v>3896</v>
      </c>
      <c r="B3103" s="1" t="s">
        <v>1629</v>
      </c>
      <c r="C3103" s="1" t="s">
        <v>81</v>
      </c>
      <c r="D3103" s="1" t="s">
        <v>85</v>
      </c>
      <c r="E3103" s="1" t="s">
        <v>28</v>
      </c>
      <c r="F3103" s="1" t="s">
        <v>85</v>
      </c>
      <c r="G3103" s="1">
        <v>5</v>
      </c>
      <c r="H3103" s="1">
        <v>20597</v>
      </c>
      <c r="I3103" s="1">
        <v>0</v>
      </c>
      <c r="J3103" s="1">
        <v>102985</v>
      </c>
      <c r="K3103" s="1">
        <v>23359.45</v>
      </c>
      <c r="L3103" s="1" t="s">
        <v>17</v>
      </c>
      <c r="M3103" s="1" t="str">
        <f>TEXT(Table1[[#This Row],[Order Date]],"mmm")</f>
        <v>Jan</v>
      </c>
      <c r="N3103" s="1">
        <f>YEAR(Table1[[#This Row],[Order Date]])</f>
        <v>2023</v>
      </c>
    </row>
    <row r="3104" spans="1:14" x14ac:dyDescent="0.35">
      <c r="A3104" s="1" t="s">
        <v>3897</v>
      </c>
      <c r="B3104" s="1" t="s">
        <v>1166</v>
      </c>
      <c r="C3104" s="1" t="s">
        <v>200</v>
      </c>
      <c r="D3104" s="1" t="s">
        <v>48</v>
      </c>
      <c r="E3104" s="1" t="s">
        <v>16</v>
      </c>
      <c r="F3104" s="1" t="s">
        <v>48</v>
      </c>
      <c r="G3104" s="1">
        <v>13</v>
      </c>
      <c r="H3104" s="1">
        <v>45667</v>
      </c>
      <c r="I3104" s="1">
        <v>0.15</v>
      </c>
      <c r="J3104" s="1">
        <v>504620.35</v>
      </c>
      <c r="K3104" s="1">
        <v>55490.45</v>
      </c>
      <c r="L3104" s="1" t="s">
        <v>45</v>
      </c>
      <c r="M3104" s="1" t="str">
        <f>TEXT(Table1[[#This Row],[Order Date]],"mmm")</f>
        <v>Oct</v>
      </c>
      <c r="N3104" s="1">
        <f>YEAR(Table1[[#This Row],[Order Date]])</f>
        <v>2024</v>
      </c>
    </row>
    <row r="3105" spans="1:14" x14ac:dyDescent="0.35">
      <c r="A3105" s="1" t="s">
        <v>3898</v>
      </c>
      <c r="B3105" s="1" t="s">
        <v>1909</v>
      </c>
      <c r="C3105" s="1" t="s">
        <v>104</v>
      </c>
      <c r="D3105" s="1" t="s">
        <v>179</v>
      </c>
      <c r="E3105" s="1" t="s">
        <v>28</v>
      </c>
      <c r="F3105" s="1" t="s">
        <v>179</v>
      </c>
      <c r="G3105" s="1">
        <v>10</v>
      </c>
      <c r="H3105" s="1">
        <v>12465</v>
      </c>
      <c r="I3105" s="1">
        <v>0</v>
      </c>
      <c r="J3105" s="1">
        <v>124650</v>
      </c>
      <c r="K3105" s="1">
        <v>17297.669999999998</v>
      </c>
      <c r="L3105" s="1" t="s">
        <v>70</v>
      </c>
      <c r="M3105" s="1" t="str">
        <f>TEXT(Table1[[#This Row],[Order Date]],"mmm")</f>
        <v>Jun</v>
      </c>
      <c r="N3105" s="1">
        <f>YEAR(Table1[[#This Row],[Order Date]])</f>
        <v>2024</v>
      </c>
    </row>
    <row r="3106" spans="1:14" x14ac:dyDescent="0.35">
      <c r="A3106" s="1" t="s">
        <v>3899</v>
      </c>
      <c r="B3106" s="1" t="s">
        <v>517</v>
      </c>
      <c r="C3106" s="1" t="s">
        <v>370</v>
      </c>
      <c r="D3106" s="1" t="s">
        <v>64</v>
      </c>
      <c r="E3106" s="1" t="s">
        <v>33</v>
      </c>
      <c r="F3106" s="1" t="s">
        <v>64</v>
      </c>
      <c r="G3106" s="1">
        <v>4</v>
      </c>
      <c r="H3106" s="1">
        <v>34815</v>
      </c>
      <c r="I3106" s="1">
        <v>0.1</v>
      </c>
      <c r="J3106" s="1">
        <v>125334</v>
      </c>
      <c r="K3106" s="1">
        <v>30829.06</v>
      </c>
      <c r="L3106" s="1" t="s">
        <v>70</v>
      </c>
      <c r="M3106" s="1" t="str">
        <f>TEXT(Table1[[#This Row],[Order Date]],"mmm")</f>
        <v>Jun</v>
      </c>
      <c r="N3106" s="1">
        <f>YEAR(Table1[[#This Row],[Order Date]])</f>
        <v>2024</v>
      </c>
    </row>
    <row r="3107" spans="1:14" x14ac:dyDescent="0.35">
      <c r="A3107" s="1" t="s">
        <v>3900</v>
      </c>
      <c r="B3107" s="1" t="s">
        <v>2002</v>
      </c>
      <c r="C3107" s="1" t="s">
        <v>104</v>
      </c>
      <c r="D3107" s="1" t="s">
        <v>37</v>
      </c>
      <c r="E3107" s="1" t="s">
        <v>16</v>
      </c>
      <c r="F3107" s="1" t="s">
        <v>37</v>
      </c>
      <c r="G3107" s="1">
        <v>3</v>
      </c>
      <c r="H3107" s="1">
        <v>4694</v>
      </c>
      <c r="I3107" s="1">
        <v>0.1</v>
      </c>
      <c r="J3107" s="1">
        <v>12673.8</v>
      </c>
      <c r="K3107" s="1">
        <v>3520.31</v>
      </c>
      <c r="L3107" s="1" t="s">
        <v>45</v>
      </c>
      <c r="M3107" s="1" t="str">
        <f>TEXT(Table1[[#This Row],[Order Date]],"mmm")</f>
        <v>Apr</v>
      </c>
      <c r="N3107" s="1">
        <f>YEAR(Table1[[#This Row],[Order Date]])</f>
        <v>2024</v>
      </c>
    </row>
    <row r="3108" spans="1:14" x14ac:dyDescent="0.35">
      <c r="A3108" s="1" t="s">
        <v>3901</v>
      </c>
      <c r="B3108" s="1" t="s">
        <v>2108</v>
      </c>
      <c r="C3108" s="1" t="s">
        <v>349</v>
      </c>
      <c r="D3108" s="1" t="s">
        <v>32</v>
      </c>
      <c r="E3108" s="1" t="s">
        <v>33</v>
      </c>
      <c r="F3108" s="1" t="s">
        <v>32</v>
      </c>
      <c r="G3108" s="1">
        <v>1</v>
      </c>
      <c r="H3108" s="1">
        <v>47171</v>
      </c>
      <c r="I3108" s="1">
        <v>0.2</v>
      </c>
      <c r="J3108" s="1">
        <v>37736.800000000003</v>
      </c>
      <c r="K3108" s="1">
        <v>4146.8</v>
      </c>
      <c r="L3108" s="1" t="s">
        <v>17</v>
      </c>
      <c r="M3108" s="1" t="str">
        <f>TEXT(Table1[[#This Row],[Order Date]],"mmm")</f>
        <v>Jun</v>
      </c>
      <c r="N3108" s="1">
        <f>YEAR(Table1[[#This Row],[Order Date]])</f>
        <v>2023</v>
      </c>
    </row>
    <row r="3109" spans="1:14" x14ac:dyDescent="0.35">
      <c r="A3109" s="1" t="s">
        <v>3902</v>
      </c>
      <c r="B3109" s="1" t="s">
        <v>1915</v>
      </c>
      <c r="C3109" s="1" t="s">
        <v>162</v>
      </c>
      <c r="D3109" s="1" t="s">
        <v>44</v>
      </c>
      <c r="E3109" s="1" t="s">
        <v>28</v>
      </c>
      <c r="F3109" s="1" t="s">
        <v>44</v>
      </c>
      <c r="G3109" s="1">
        <v>9</v>
      </c>
      <c r="H3109" s="1">
        <v>31756</v>
      </c>
      <c r="I3109" s="1">
        <v>0.15</v>
      </c>
      <c r="J3109" s="1">
        <v>242933.4</v>
      </c>
      <c r="K3109" s="1">
        <v>41162.449999999997</v>
      </c>
      <c r="L3109" s="1" t="s">
        <v>70</v>
      </c>
      <c r="M3109" s="1" t="str">
        <f>TEXT(Table1[[#This Row],[Order Date]],"mmm")</f>
        <v>Apr</v>
      </c>
      <c r="N3109" s="1">
        <f>YEAR(Table1[[#This Row],[Order Date]])</f>
        <v>2023</v>
      </c>
    </row>
    <row r="3110" spans="1:14" x14ac:dyDescent="0.35">
      <c r="A3110" s="1" t="s">
        <v>3903</v>
      </c>
      <c r="B3110" s="1" t="s">
        <v>1772</v>
      </c>
      <c r="C3110" s="1" t="s">
        <v>36</v>
      </c>
      <c r="D3110" s="1" t="s">
        <v>85</v>
      </c>
      <c r="E3110" s="1" t="s">
        <v>28</v>
      </c>
      <c r="F3110" s="1" t="s">
        <v>85</v>
      </c>
      <c r="G3110" s="1">
        <v>3</v>
      </c>
      <c r="H3110" s="1">
        <v>59367</v>
      </c>
      <c r="I3110" s="1">
        <v>0.2</v>
      </c>
      <c r="J3110" s="1">
        <v>142480.79999999999</v>
      </c>
      <c r="K3110" s="1">
        <v>24002.1</v>
      </c>
      <c r="L3110" s="1" t="s">
        <v>17</v>
      </c>
      <c r="M3110" s="1" t="str">
        <f>TEXT(Table1[[#This Row],[Order Date]],"mmm")</f>
        <v>Jun</v>
      </c>
      <c r="N3110" s="1">
        <f>YEAR(Table1[[#This Row],[Order Date]])</f>
        <v>2024</v>
      </c>
    </row>
    <row r="3111" spans="1:14" x14ac:dyDescent="0.35">
      <c r="A3111" s="1" t="s">
        <v>3904</v>
      </c>
      <c r="B3111" s="1" t="s">
        <v>1186</v>
      </c>
      <c r="C3111" s="1" t="s">
        <v>98</v>
      </c>
      <c r="D3111" s="1" t="s">
        <v>137</v>
      </c>
      <c r="E3111" s="1" t="s">
        <v>22</v>
      </c>
      <c r="F3111" s="1" t="s">
        <v>137</v>
      </c>
      <c r="G3111" s="1">
        <v>10</v>
      </c>
      <c r="H3111" s="1">
        <v>23692</v>
      </c>
      <c r="I3111" s="1">
        <v>0.15</v>
      </c>
      <c r="J3111" s="1">
        <v>201382</v>
      </c>
      <c r="K3111" s="1">
        <v>59216.99</v>
      </c>
      <c r="L3111" s="1" t="s">
        <v>17</v>
      </c>
      <c r="M3111" s="1" t="str">
        <f>TEXT(Table1[[#This Row],[Order Date]],"mmm")</f>
        <v>Mar</v>
      </c>
      <c r="N3111" s="1">
        <f>YEAR(Table1[[#This Row],[Order Date]])</f>
        <v>2023</v>
      </c>
    </row>
    <row r="3112" spans="1:14" x14ac:dyDescent="0.35">
      <c r="A3112" s="1" t="s">
        <v>3905</v>
      </c>
      <c r="B3112" s="1" t="s">
        <v>742</v>
      </c>
      <c r="C3112" s="1" t="s">
        <v>170</v>
      </c>
      <c r="D3112" s="1" t="s">
        <v>179</v>
      </c>
      <c r="E3112" s="1" t="s">
        <v>28</v>
      </c>
      <c r="F3112" s="1" t="s">
        <v>179</v>
      </c>
      <c r="G3112" s="1">
        <v>12</v>
      </c>
      <c r="H3112" s="1">
        <v>51738</v>
      </c>
      <c r="I3112" s="1">
        <v>0</v>
      </c>
      <c r="J3112" s="1">
        <v>620856</v>
      </c>
      <c r="K3112" s="1">
        <v>155747.94</v>
      </c>
      <c r="L3112" s="1" t="s">
        <v>45</v>
      </c>
      <c r="M3112" s="1" t="str">
        <f>TEXT(Table1[[#This Row],[Order Date]],"mmm")</f>
        <v>Aug</v>
      </c>
      <c r="N3112" s="1">
        <f>YEAR(Table1[[#This Row],[Order Date]])</f>
        <v>2023</v>
      </c>
    </row>
    <row r="3113" spans="1:14" x14ac:dyDescent="0.35">
      <c r="A3113" s="1" t="s">
        <v>3906</v>
      </c>
      <c r="B3113" s="1" t="s">
        <v>1970</v>
      </c>
      <c r="C3113" s="1" t="s">
        <v>136</v>
      </c>
      <c r="D3113" s="1" t="s">
        <v>91</v>
      </c>
      <c r="E3113" s="1" t="s">
        <v>16</v>
      </c>
      <c r="F3113" s="1" t="s">
        <v>91</v>
      </c>
      <c r="G3113" s="1">
        <v>2</v>
      </c>
      <c r="H3113" s="1">
        <v>10332</v>
      </c>
      <c r="I3113" s="1">
        <v>0</v>
      </c>
      <c r="J3113" s="1">
        <v>20664</v>
      </c>
      <c r="K3113" s="1">
        <v>2452.31</v>
      </c>
      <c r="L3113" s="1" t="s">
        <v>23</v>
      </c>
      <c r="M3113" s="1" t="str">
        <f>TEXT(Table1[[#This Row],[Order Date]],"mmm")</f>
        <v>Feb</v>
      </c>
      <c r="N3113" s="1">
        <f>YEAR(Table1[[#This Row],[Order Date]])</f>
        <v>2024</v>
      </c>
    </row>
    <row r="3114" spans="1:14" x14ac:dyDescent="0.35">
      <c r="A3114" s="1" t="s">
        <v>3907</v>
      </c>
      <c r="B3114" s="1" t="s">
        <v>1261</v>
      </c>
      <c r="C3114" s="1" t="s">
        <v>67</v>
      </c>
      <c r="D3114" s="1" t="s">
        <v>133</v>
      </c>
      <c r="E3114" s="1" t="s">
        <v>22</v>
      </c>
      <c r="F3114" s="1" t="s">
        <v>133</v>
      </c>
      <c r="G3114" s="1">
        <v>14</v>
      </c>
      <c r="H3114" s="1">
        <v>24409</v>
      </c>
      <c r="I3114" s="1">
        <v>0</v>
      </c>
      <c r="J3114" s="1">
        <v>341726</v>
      </c>
      <c r="K3114" s="1">
        <v>88462.88</v>
      </c>
      <c r="L3114" s="1" t="s">
        <v>23</v>
      </c>
      <c r="M3114" s="1" t="str">
        <f>TEXT(Table1[[#This Row],[Order Date]],"mmm")</f>
        <v>Jul</v>
      </c>
      <c r="N3114" s="1">
        <f>YEAR(Table1[[#This Row],[Order Date]])</f>
        <v>2023</v>
      </c>
    </row>
    <row r="3115" spans="1:14" x14ac:dyDescent="0.35">
      <c r="A3115" s="1" t="s">
        <v>3908</v>
      </c>
      <c r="B3115" s="1" t="s">
        <v>963</v>
      </c>
      <c r="C3115" s="1" t="s">
        <v>362</v>
      </c>
      <c r="D3115" s="1" t="s">
        <v>95</v>
      </c>
      <c r="E3115" s="1" t="s">
        <v>33</v>
      </c>
      <c r="F3115" s="1" t="s">
        <v>95</v>
      </c>
      <c r="G3115" s="1">
        <v>11</v>
      </c>
      <c r="H3115" s="1">
        <v>2159</v>
      </c>
      <c r="I3115" s="1">
        <v>0.15</v>
      </c>
      <c r="J3115" s="1">
        <v>20186.650000000001</v>
      </c>
      <c r="K3115" s="1">
        <v>3236.18</v>
      </c>
      <c r="L3115" s="1" t="s">
        <v>23</v>
      </c>
      <c r="M3115" s="1" t="str">
        <f>TEXT(Table1[[#This Row],[Order Date]],"mmm")</f>
        <v>Oct</v>
      </c>
      <c r="N3115" s="1">
        <f>YEAR(Table1[[#This Row],[Order Date]])</f>
        <v>2024</v>
      </c>
    </row>
    <row r="3116" spans="1:14" x14ac:dyDescent="0.35">
      <c r="A3116" s="1" t="s">
        <v>3909</v>
      </c>
      <c r="B3116" s="1" t="s">
        <v>538</v>
      </c>
      <c r="C3116" s="1" t="s">
        <v>188</v>
      </c>
      <c r="D3116" s="1" t="s">
        <v>37</v>
      </c>
      <c r="E3116" s="1" t="s">
        <v>16</v>
      </c>
      <c r="F3116" s="1" t="s">
        <v>37</v>
      </c>
      <c r="G3116" s="1">
        <v>3</v>
      </c>
      <c r="H3116" s="1">
        <v>31309</v>
      </c>
      <c r="I3116" s="1">
        <v>0.05</v>
      </c>
      <c r="J3116" s="1">
        <v>89230.65</v>
      </c>
      <c r="K3116" s="1">
        <v>7368.58</v>
      </c>
      <c r="L3116" s="1" t="s">
        <v>45</v>
      </c>
      <c r="M3116" s="1" t="str">
        <f>TEXT(Table1[[#This Row],[Order Date]],"mmm")</f>
        <v>Jan</v>
      </c>
      <c r="N3116" s="1">
        <f>YEAR(Table1[[#This Row],[Order Date]])</f>
        <v>2024</v>
      </c>
    </row>
    <row r="3117" spans="1:14" x14ac:dyDescent="0.35">
      <c r="A3117" s="1" t="s">
        <v>3910</v>
      </c>
      <c r="B3117" s="1" t="s">
        <v>867</v>
      </c>
      <c r="C3117" s="1" t="s">
        <v>128</v>
      </c>
      <c r="D3117" s="1" t="s">
        <v>78</v>
      </c>
      <c r="E3117" s="1" t="s">
        <v>28</v>
      </c>
      <c r="F3117" s="1" t="s">
        <v>78</v>
      </c>
      <c r="G3117" s="1">
        <v>10</v>
      </c>
      <c r="H3117" s="1">
        <v>55263</v>
      </c>
      <c r="I3117" s="1">
        <v>0.05</v>
      </c>
      <c r="J3117" s="1">
        <v>524998.5</v>
      </c>
      <c r="K3117" s="1">
        <v>87173.93</v>
      </c>
      <c r="L3117" s="1" t="s">
        <v>70</v>
      </c>
      <c r="M3117" s="1" t="str">
        <f>TEXT(Table1[[#This Row],[Order Date]],"mmm")</f>
        <v>Aug</v>
      </c>
      <c r="N3117" s="1">
        <f>YEAR(Table1[[#This Row],[Order Date]])</f>
        <v>2024</v>
      </c>
    </row>
    <row r="3118" spans="1:14" x14ac:dyDescent="0.35">
      <c r="A3118" s="1" t="s">
        <v>3911</v>
      </c>
      <c r="B3118" s="1" t="s">
        <v>435</v>
      </c>
      <c r="C3118" s="1" t="s">
        <v>101</v>
      </c>
      <c r="D3118" s="1" t="s">
        <v>91</v>
      </c>
      <c r="E3118" s="1" t="s">
        <v>16</v>
      </c>
      <c r="F3118" s="1" t="s">
        <v>91</v>
      </c>
      <c r="G3118" s="1">
        <v>8</v>
      </c>
      <c r="H3118" s="1">
        <v>39242</v>
      </c>
      <c r="I3118" s="1">
        <v>0.1</v>
      </c>
      <c r="J3118" s="1">
        <v>282542.40000000002</v>
      </c>
      <c r="K3118" s="1">
        <v>80885.56</v>
      </c>
      <c r="L3118" s="1" t="s">
        <v>45</v>
      </c>
      <c r="M3118" s="1" t="str">
        <f>TEXT(Table1[[#This Row],[Order Date]],"mmm")</f>
        <v>Nov</v>
      </c>
      <c r="N3118" s="1">
        <f>YEAR(Table1[[#This Row],[Order Date]])</f>
        <v>2024</v>
      </c>
    </row>
    <row r="3119" spans="1:14" x14ac:dyDescent="0.35">
      <c r="A3119" s="1" t="s">
        <v>3912</v>
      </c>
      <c r="B3119" s="1" t="s">
        <v>1151</v>
      </c>
      <c r="C3119" s="1" t="s">
        <v>203</v>
      </c>
      <c r="D3119" s="1" t="s">
        <v>27</v>
      </c>
      <c r="E3119" s="1" t="s">
        <v>28</v>
      </c>
      <c r="F3119" s="1" t="s">
        <v>27</v>
      </c>
      <c r="G3119" s="1">
        <v>5</v>
      </c>
      <c r="H3119" s="1">
        <v>35674</v>
      </c>
      <c r="I3119" s="1">
        <v>0.15</v>
      </c>
      <c r="J3119" s="1">
        <v>151614.5</v>
      </c>
      <c r="K3119" s="1">
        <v>38971.68</v>
      </c>
      <c r="L3119" s="1" t="s">
        <v>45</v>
      </c>
      <c r="M3119" s="1" t="str">
        <f>TEXT(Table1[[#This Row],[Order Date]],"mmm")</f>
        <v>Jul</v>
      </c>
      <c r="N3119" s="1">
        <f>YEAR(Table1[[#This Row],[Order Date]])</f>
        <v>2023</v>
      </c>
    </row>
    <row r="3120" spans="1:14" x14ac:dyDescent="0.35">
      <c r="A3120" s="1" t="s">
        <v>3913</v>
      </c>
      <c r="B3120" s="1" t="s">
        <v>322</v>
      </c>
      <c r="C3120" s="1" t="s">
        <v>170</v>
      </c>
      <c r="D3120" s="1" t="s">
        <v>64</v>
      </c>
      <c r="E3120" s="1" t="s">
        <v>33</v>
      </c>
      <c r="F3120" s="1" t="s">
        <v>64</v>
      </c>
      <c r="G3120" s="1">
        <v>9</v>
      </c>
      <c r="H3120" s="1">
        <v>10149</v>
      </c>
      <c r="I3120" s="1">
        <v>0.15</v>
      </c>
      <c r="J3120" s="1">
        <v>77639.850000000006</v>
      </c>
      <c r="K3120" s="1">
        <v>10332.370000000001</v>
      </c>
      <c r="L3120" s="1" t="s">
        <v>70</v>
      </c>
      <c r="M3120" s="1" t="str">
        <f>TEXT(Table1[[#This Row],[Order Date]],"mmm")</f>
        <v>Sep</v>
      </c>
      <c r="N3120" s="1">
        <f>YEAR(Table1[[#This Row],[Order Date]])</f>
        <v>2023</v>
      </c>
    </row>
    <row r="3121" spans="1:14" x14ac:dyDescent="0.35">
      <c r="A3121" s="1" t="s">
        <v>3914</v>
      </c>
      <c r="B3121" s="1" t="s">
        <v>742</v>
      </c>
      <c r="C3121" s="1" t="s">
        <v>170</v>
      </c>
      <c r="D3121" s="1" t="s">
        <v>78</v>
      </c>
      <c r="E3121" s="1" t="s">
        <v>28</v>
      </c>
      <c r="F3121" s="1" t="s">
        <v>78</v>
      </c>
      <c r="G3121" s="1">
        <v>6</v>
      </c>
      <c r="H3121" s="1">
        <v>33138</v>
      </c>
      <c r="I3121" s="1">
        <v>0</v>
      </c>
      <c r="J3121" s="1">
        <v>198828</v>
      </c>
      <c r="K3121" s="1">
        <v>22016.71</v>
      </c>
      <c r="L3121" s="1" t="s">
        <v>70</v>
      </c>
      <c r="M3121" s="1" t="str">
        <f>TEXT(Table1[[#This Row],[Order Date]],"mmm")</f>
        <v>Aug</v>
      </c>
      <c r="N3121" s="1">
        <f>YEAR(Table1[[#This Row],[Order Date]])</f>
        <v>2023</v>
      </c>
    </row>
    <row r="3122" spans="1:14" x14ac:dyDescent="0.35">
      <c r="A3122" s="1" t="s">
        <v>3915</v>
      </c>
      <c r="B3122" s="1" t="s">
        <v>265</v>
      </c>
      <c r="C3122" s="1" t="s">
        <v>188</v>
      </c>
      <c r="D3122" s="1" t="s">
        <v>323</v>
      </c>
      <c r="E3122" s="1" t="s">
        <v>33</v>
      </c>
      <c r="F3122" s="1" t="s">
        <v>323</v>
      </c>
      <c r="G3122" s="1">
        <v>1</v>
      </c>
      <c r="H3122" s="1">
        <v>28356</v>
      </c>
      <c r="I3122" s="1">
        <v>0.05</v>
      </c>
      <c r="J3122" s="1">
        <v>26938.2</v>
      </c>
      <c r="K3122" s="1">
        <v>4860.5600000000004</v>
      </c>
      <c r="L3122" s="1" t="s">
        <v>45</v>
      </c>
      <c r="M3122" s="1" t="str">
        <f>TEXT(Table1[[#This Row],[Order Date]],"mmm")</f>
        <v>Aug</v>
      </c>
      <c r="N3122" s="1">
        <f>YEAR(Table1[[#This Row],[Order Date]])</f>
        <v>2023</v>
      </c>
    </row>
    <row r="3123" spans="1:14" x14ac:dyDescent="0.35">
      <c r="A3123" s="1" t="s">
        <v>3916</v>
      </c>
      <c r="B3123" s="1" t="s">
        <v>861</v>
      </c>
      <c r="C3123" s="1" t="s">
        <v>191</v>
      </c>
      <c r="D3123" s="1" t="s">
        <v>44</v>
      </c>
      <c r="E3123" s="1" t="s">
        <v>28</v>
      </c>
      <c r="F3123" s="1" t="s">
        <v>44</v>
      </c>
      <c r="G3123" s="1">
        <v>6</v>
      </c>
      <c r="H3123" s="1">
        <v>7379</v>
      </c>
      <c r="I3123" s="1">
        <v>0.1</v>
      </c>
      <c r="J3123" s="1">
        <v>39846.6</v>
      </c>
      <c r="K3123" s="1">
        <v>3800.46</v>
      </c>
      <c r="L3123" s="1" t="s">
        <v>17</v>
      </c>
      <c r="M3123" s="1" t="str">
        <f>TEXT(Table1[[#This Row],[Order Date]],"mmm")</f>
        <v>Oct</v>
      </c>
      <c r="N3123" s="1">
        <f>YEAR(Table1[[#This Row],[Order Date]])</f>
        <v>2023</v>
      </c>
    </row>
    <row r="3124" spans="1:14" x14ac:dyDescent="0.35">
      <c r="A3124" s="1" t="s">
        <v>3917</v>
      </c>
      <c r="B3124" s="1" t="s">
        <v>3040</v>
      </c>
      <c r="C3124" s="1" t="s">
        <v>200</v>
      </c>
      <c r="D3124" s="1" t="s">
        <v>85</v>
      </c>
      <c r="E3124" s="1" t="s">
        <v>28</v>
      </c>
      <c r="F3124" s="1" t="s">
        <v>85</v>
      </c>
      <c r="G3124" s="1">
        <v>5</v>
      </c>
      <c r="H3124" s="1">
        <v>25051</v>
      </c>
      <c r="I3124" s="1">
        <v>0.15</v>
      </c>
      <c r="J3124" s="1">
        <v>106466.75</v>
      </c>
      <c r="K3124" s="1">
        <v>23293.39</v>
      </c>
      <c r="L3124" s="1" t="s">
        <v>17</v>
      </c>
      <c r="M3124" s="1" t="str">
        <f>TEXT(Table1[[#This Row],[Order Date]],"mmm")</f>
        <v>Jul</v>
      </c>
      <c r="N3124" s="1">
        <f>YEAR(Table1[[#This Row],[Order Date]])</f>
        <v>2023</v>
      </c>
    </row>
    <row r="3125" spans="1:14" x14ac:dyDescent="0.35">
      <c r="A3125" s="1" t="s">
        <v>3918</v>
      </c>
      <c r="B3125" s="1" t="s">
        <v>694</v>
      </c>
      <c r="C3125" s="1" t="s">
        <v>94</v>
      </c>
      <c r="D3125" s="1" t="s">
        <v>52</v>
      </c>
      <c r="E3125" s="1" t="s">
        <v>28</v>
      </c>
      <c r="F3125" s="1" t="s">
        <v>52</v>
      </c>
      <c r="G3125" s="1">
        <v>7</v>
      </c>
      <c r="H3125" s="1">
        <v>26625</v>
      </c>
      <c r="I3125" s="1">
        <v>0.15</v>
      </c>
      <c r="J3125" s="1">
        <v>158418.75</v>
      </c>
      <c r="K3125" s="1">
        <v>29814.94</v>
      </c>
      <c r="L3125" s="1" t="s">
        <v>45</v>
      </c>
      <c r="M3125" s="1" t="str">
        <f>TEXT(Table1[[#This Row],[Order Date]],"mmm")</f>
        <v>Aug</v>
      </c>
      <c r="N3125" s="1">
        <f>YEAR(Table1[[#This Row],[Order Date]])</f>
        <v>2023</v>
      </c>
    </row>
    <row r="3126" spans="1:14" x14ac:dyDescent="0.35">
      <c r="A3126" s="1" t="s">
        <v>3919</v>
      </c>
      <c r="B3126" s="1" t="s">
        <v>856</v>
      </c>
      <c r="C3126" s="1" t="s">
        <v>370</v>
      </c>
      <c r="D3126" s="1" t="s">
        <v>114</v>
      </c>
      <c r="E3126" s="1" t="s">
        <v>16</v>
      </c>
      <c r="F3126" s="1" t="s">
        <v>114</v>
      </c>
      <c r="G3126" s="1">
        <v>8</v>
      </c>
      <c r="H3126" s="1">
        <v>14604</v>
      </c>
      <c r="I3126" s="1">
        <v>0.05</v>
      </c>
      <c r="J3126" s="1">
        <v>110990.39999999999</v>
      </c>
      <c r="K3126" s="1">
        <v>11575.88</v>
      </c>
      <c r="L3126" s="1" t="s">
        <v>23</v>
      </c>
      <c r="M3126" s="1" t="str">
        <f>TEXT(Table1[[#This Row],[Order Date]],"mmm")</f>
        <v>Oct</v>
      </c>
      <c r="N3126" s="1">
        <f>YEAR(Table1[[#This Row],[Order Date]])</f>
        <v>2024</v>
      </c>
    </row>
    <row r="3127" spans="1:14" x14ac:dyDescent="0.35">
      <c r="A3127" s="1" t="s">
        <v>3920</v>
      </c>
      <c r="B3127" s="1" t="s">
        <v>1212</v>
      </c>
      <c r="C3127" s="1" t="s">
        <v>117</v>
      </c>
      <c r="D3127" s="1" t="s">
        <v>37</v>
      </c>
      <c r="E3127" s="1" t="s">
        <v>16</v>
      </c>
      <c r="F3127" s="1" t="s">
        <v>37</v>
      </c>
      <c r="G3127" s="1">
        <v>11</v>
      </c>
      <c r="H3127" s="1">
        <v>32797</v>
      </c>
      <c r="I3127" s="1">
        <v>0.2</v>
      </c>
      <c r="J3127" s="1">
        <v>288613.59999999998</v>
      </c>
      <c r="K3127" s="1">
        <v>79778.39</v>
      </c>
      <c r="L3127" s="1" t="s">
        <v>17</v>
      </c>
      <c r="M3127" s="1" t="str">
        <f>TEXT(Table1[[#This Row],[Order Date]],"mmm")</f>
        <v>Dec</v>
      </c>
      <c r="N3127" s="1">
        <f>YEAR(Table1[[#This Row],[Order Date]])</f>
        <v>2023</v>
      </c>
    </row>
    <row r="3128" spans="1:14" x14ac:dyDescent="0.35">
      <c r="A3128" s="1" t="s">
        <v>3921</v>
      </c>
      <c r="B3128" s="1" t="s">
        <v>296</v>
      </c>
      <c r="C3128" s="1" t="s">
        <v>88</v>
      </c>
      <c r="D3128" s="1" t="s">
        <v>56</v>
      </c>
      <c r="E3128" s="1" t="s">
        <v>22</v>
      </c>
      <c r="F3128" s="1" t="s">
        <v>56</v>
      </c>
      <c r="G3128" s="1">
        <v>7</v>
      </c>
      <c r="H3128" s="1">
        <v>38288</v>
      </c>
      <c r="I3128" s="1">
        <v>0</v>
      </c>
      <c r="J3128" s="1">
        <v>268016</v>
      </c>
      <c r="K3128" s="1">
        <v>48941.91</v>
      </c>
      <c r="L3128" s="1" t="s">
        <v>45</v>
      </c>
      <c r="M3128" s="1" t="str">
        <f>TEXT(Table1[[#This Row],[Order Date]],"mmm")</f>
        <v>Aug</v>
      </c>
      <c r="N3128" s="1">
        <f>YEAR(Table1[[#This Row],[Order Date]])</f>
        <v>2023</v>
      </c>
    </row>
    <row r="3129" spans="1:14" x14ac:dyDescent="0.35">
      <c r="A3129" s="1" t="s">
        <v>3922</v>
      </c>
      <c r="B3129" s="1" t="s">
        <v>509</v>
      </c>
      <c r="C3129" s="1" t="s">
        <v>191</v>
      </c>
      <c r="D3129" s="1" t="s">
        <v>27</v>
      </c>
      <c r="E3129" s="1" t="s">
        <v>28</v>
      </c>
      <c r="F3129" s="1" t="s">
        <v>27</v>
      </c>
      <c r="G3129" s="1">
        <v>15</v>
      </c>
      <c r="H3129" s="1">
        <v>21530</v>
      </c>
      <c r="I3129" s="1">
        <v>0.15</v>
      </c>
      <c r="J3129" s="1">
        <v>274507.5</v>
      </c>
      <c r="K3129" s="1">
        <v>81471.17</v>
      </c>
      <c r="L3129" s="1" t="s">
        <v>70</v>
      </c>
      <c r="M3129" s="1" t="str">
        <f>TEXT(Table1[[#This Row],[Order Date]],"mmm")</f>
        <v>Jan</v>
      </c>
      <c r="N3129" s="1">
        <f>YEAR(Table1[[#This Row],[Order Date]])</f>
        <v>2023</v>
      </c>
    </row>
    <row r="3130" spans="1:14" x14ac:dyDescent="0.35">
      <c r="A3130" s="1" t="s">
        <v>3923</v>
      </c>
      <c r="B3130" s="1" t="s">
        <v>1318</v>
      </c>
      <c r="C3130" s="1" t="s">
        <v>98</v>
      </c>
      <c r="D3130" s="1" t="s">
        <v>52</v>
      </c>
      <c r="E3130" s="1" t="s">
        <v>28</v>
      </c>
      <c r="F3130" s="1" t="s">
        <v>52</v>
      </c>
      <c r="G3130" s="1">
        <v>13</v>
      </c>
      <c r="H3130" s="1">
        <v>3309</v>
      </c>
      <c r="I3130" s="1">
        <v>0.1</v>
      </c>
      <c r="J3130" s="1">
        <v>38715.300000000003</v>
      </c>
      <c r="K3130" s="1">
        <v>8513.4</v>
      </c>
      <c r="L3130" s="1" t="s">
        <v>45</v>
      </c>
      <c r="M3130" s="1" t="str">
        <f>TEXT(Table1[[#This Row],[Order Date]],"mmm")</f>
        <v>Feb</v>
      </c>
      <c r="N3130" s="1">
        <f>YEAR(Table1[[#This Row],[Order Date]])</f>
        <v>2023</v>
      </c>
    </row>
    <row r="3131" spans="1:14" x14ac:dyDescent="0.35">
      <c r="A3131" s="1" t="s">
        <v>3924</v>
      </c>
      <c r="B3131" s="1" t="s">
        <v>1048</v>
      </c>
      <c r="C3131" s="1" t="s">
        <v>332</v>
      </c>
      <c r="D3131" s="1" t="s">
        <v>323</v>
      </c>
      <c r="E3131" s="1" t="s">
        <v>33</v>
      </c>
      <c r="F3131" s="1" t="s">
        <v>323</v>
      </c>
      <c r="G3131" s="1">
        <v>9</v>
      </c>
      <c r="H3131" s="1">
        <v>36254</v>
      </c>
      <c r="I3131" s="1">
        <v>0</v>
      </c>
      <c r="J3131" s="1">
        <v>326286</v>
      </c>
      <c r="K3131" s="1">
        <v>45486.3</v>
      </c>
      <c r="L3131" s="1" t="s">
        <v>23</v>
      </c>
      <c r="M3131" s="1" t="str">
        <f>TEXT(Table1[[#This Row],[Order Date]],"mmm")</f>
        <v>May</v>
      </c>
      <c r="N3131" s="1">
        <f>YEAR(Table1[[#This Row],[Order Date]])</f>
        <v>2024</v>
      </c>
    </row>
    <row r="3132" spans="1:14" x14ac:dyDescent="0.35">
      <c r="A3132" s="1" t="s">
        <v>3925</v>
      </c>
      <c r="B3132" s="1" t="s">
        <v>1658</v>
      </c>
      <c r="C3132" s="1" t="s">
        <v>362</v>
      </c>
      <c r="D3132" s="1" t="s">
        <v>85</v>
      </c>
      <c r="E3132" s="1" t="s">
        <v>28</v>
      </c>
      <c r="F3132" s="1" t="s">
        <v>85</v>
      </c>
      <c r="G3132" s="1">
        <v>4</v>
      </c>
      <c r="H3132" s="1">
        <v>20118</v>
      </c>
      <c r="I3132" s="1">
        <v>0.1</v>
      </c>
      <c r="J3132" s="1">
        <v>72424.800000000003</v>
      </c>
      <c r="K3132" s="1">
        <v>18195.599999999999</v>
      </c>
      <c r="L3132" s="1" t="s">
        <v>17</v>
      </c>
      <c r="M3132" s="1" t="str">
        <f>TEXT(Table1[[#This Row],[Order Date]],"mmm")</f>
        <v>Sep</v>
      </c>
      <c r="N3132" s="1">
        <f>YEAR(Table1[[#This Row],[Order Date]])</f>
        <v>2024</v>
      </c>
    </row>
    <row r="3133" spans="1:14" x14ac:dyDescent="0.35">
      <c r="A3133" s="1" t="s">
        <v>3926</v>
      </c>
      <c r="B3133" s="1" t="s">
        <v>231</v>
      </c>
      <c r="C3133" s="1" t="s">
        <v>170</v>
      </c>
      <c r="D3133" s="1" t="s">
        <v>85</v>
      </c>
      <c r="E3133" s="1" t="s">
        <v>28</v>
      </c>
      <c r="F3133" s="1" t="s">
        <v>85</v>
      </c>
      <c r="G3133" s="1">
        <v>15</v>
      </c>
      <c r="H3133" s="1">
        <v>40283</v>
      </c>
      <c r="I3133" s="1">
        <v>0</v>
      </c>
      <c r="J3133" s="1">
        <v>604245</v>
      </c>
      <c r="K3133" s="1">
        <v>55161.17</v>
      </c>
      <c r="L3133" s="1" t="s">
        <v>23</v>
      </c>
      <c r="M3133" s="1" t="str">
        <f>TEXT(Table1[[#This Row],[Order Date]],"mmm")</f>
        <v>Sep</v>
      </c>
      <c r="N3133" s="1">
        <f>YEAR(Table1[[#This Row],[Order Date]])</f>
        <v>2024</v>
      </c>
    </row>
    <row r="3134" spans="1:14" x14ac:dyDescent="0.35">
      <c r="A3134" s="1" t="s">
        <v>3927</v>
      </c>
      <c r="B3134" s="1" t="s">
        <v>1489</v>
      </c>
      <c r="C3134" s="1" t="s">
        <v>67</v>
      </c>
      <c r="D3134" s="1" t="s">
        <v>91</v>
      </c>
      <c r="E3134" s="1" t="s">
        <v>16</v>
      </c>
      <c r="F3134" s="1" t="s">
        <v>91</v>
      </c>
      <c r="G3134" s="1">
        <v>9</v>
      </c>
      <c r="H3134" s="1">
        <v>5710</v>
      </c>
      <c r="I3134" s="1">
        <v>0.1</v>
      </c>
      <c r="J3134" s="1">
        <v>46251</v>
      </c>
      <c r="K3134" s="1">
        <v>11238.92</v>
      </c>
      <c r="L3134" s="1" t="s">
        <v>17</v>
      </c>
      <c r="M3134" s="1" t="str">
        <f>TEXT(Table1[[#This Row],[Order Date]],"mmm")</f>
        <v>Mar</v>
      </c>
      <c r="N3134" s="1">
        <f>YEAR(Table1[[#This Row],[Order Date]])</f>
        <v>2023</v>
      </c>
    </row>
    <row r="3135" spans="1:14" x14ac:dyDescent="0.35">
      <c r="A3135" s="1" t="s">
        <v>3928</v>
      </c>
      <c r="B3135" s="1" t="s">
        <v>132</v>
      </c>
      <c r="C3135" s="1" t="s">
        <v>63</v>
      </c>
      <c r="D3135" s="1" t="s">
        <v>167</v>
      </c>
      <c r="E3135" s="1" t="s">
        <v>16</v>
      </c>
      <c r="F3135" s="1" t="s">
        <v>167</v>
      </c>
      <c r="G3135" s="1">
        <v>13</v>
      </c>
      <c r="H3135" s="1">
        <v>37632</v>
      </c>
      <c r="I3135" s="1">
        <v>0.15</v>
      </c>
      <c r="J3135" s="1">
        <v>415833.59999999998</v>
      </c>
      <c r="K3135" s="1">
        <v>90896.07</v>
      </c>
      <c r="L3135" s="1" t="s">
        <v>70</v>
      </c>
      <c r="M3135" s="1" t="str">
        <f>TEXT(Table1[[#This Row],[Order Date]],"mmm")</f>
        <v>Feb</v>
      </c>
      <c r="N3135" s="1">
        <f>YEAR(Table1[[#This Row],[Order Date]])</f>
        <v>2023</v>
      </c>
    </row>
    <row r="3136" spans="1:14" x14ac:dyDescent="0.35">
      <c r="A3136" s="1" t="s">
        <v>3929</v>
      </c>
      <c r="B3136" s="1" t="s">
        <v>1212</v>
      </c>
      <c r="C3136" s="1" t="s">
        <v>140</v>
      </c>
      <c r="D3136" s="1" t="s">
        <v>21</v>
      </c>
      <c r="E3136" s="1" t="s">
        <v>22</v>
      </c>
      <c r="F3136" s="1" t="s">
        <v>21</v>
      </c>
      <c r="G3136" s="1">
        <v>10</v>
      </c>
      <c r="H3136" s="1">
        <v>16224</v>
      </c>
      <c r="I3136" s="1">
        <v>0.2</v>
      </c>
      <c r="J3136" s="1">
        <v>129792</v>
      </c>
      <c r="K3136" s="1">
        <v>18002.419999999998</v>
      </c>
      <c r="L3136" s="1" t="s">
        <v>23</v>
      </c>
      <c r="M3136" s="1" t="str">
        <f>TEXT(Table1[[#This Row],[Order Date]],"mmm")</f>
        <v>Dec</v>
      </c>
      <c r="N3136" s="1">
        <f>YEAR(Table1[[#This Row],[Order Date]])</f>
        <v>2023</v>
      </c>
    </row>
    <row r="3137" spans="1:14" x14ac:dyDescent="0.35">
      <c r="A3137" s="1" t="s">
        <v>3930</v>
      </c>
      <c r="B3137" s="1" t="s">
        <v>952</v>
      </c>
      <c r="C3137" s="1" t="s">
        <v>640</v>
      </c>
      <c r="D3137" s="1" t="s">
        <v>133</v>
      </c>
      <c r="E3137" s="1" t="s">
        <v>22</v>
      </c>
      <c r="F3137" s="1" t="s">
        <v>133</v>
      </c>
      <c r="G3137" s="1">
        <v>10</v>
      </c>
      <c r="H3137" s="1">
        <v>4329</v>
      </c>
      <c r="I3137" s="1">
        <v>0.1</v>
      </c>
      <c r="J3137" s="1">
        <v>38961</v>
      </c>
      <c r="K3137" s="1">
        <v>5650.34</v>
      </c>
      <c r="L3137" s="1" t="s">
        <v>45</v>
      </c>
      <c r="M3137" s="1" t="str">
        <f>TEXT(Table1[[#This Row],[Order Date]],"mmm")</f>
        <v>Oct</v>
      </c>
      <c r="N3137" s="1">
        <f>YEAR(Table1[[#This Row],[Order Date]])</f>
        <v>2023</v>
      </c>
    </row>
    <row r="3138" spans="1:14" x14ac:dyDescent="0.35">
      <c r="A3138" s="1" t="s">
        <v>3931</v>
      </c>
      <c r="B3138" s="1" t="s">
        <v>538</v>
      </c>
      <c r="C3138" s="1" t="s">
        <v>117</v>
      </c>
      <c r="D3138" s="1" t="s">
        <v>224</v>
      </c>
      <c r="E3138" s="1" t="s">
        <v>33</v>
      </c>
      <c r="F3138" s="1" t="s">
        <v>224</v>
      </c>
      <c r="G3138" s="1">
        <v>8</v>
      </c>
      <c r="H3138" s="1">
        <v>50571</v>
      </c>
      <c r="I3138" s="1">
        <v>0.15</v>
      </c>
      <c r="J3138" s="1">
        <v>343882.8</v>
      </c>
      <c r="K3138" s="1">
        <v>58005.07</v>
      </c>
      <c r="L3138" s="1" t="s">
        <v>17</v>
      </c>
      <c r="M3138" s="1" t="str">
        <f>TEXT(Table1[[#This Row],[Order Date]],"mmm")</f>
        <v>Jan</v>
      </c>
      <c r="N3138" s="1">
        <f>YEAR(Table1[[#This Row],[Order Date]])</f>
        <v>2024</v>
      </c>
    </row>
    <row r="3139" spans="1:14" x14ac:dyDescent="0.35">
      <c r="A3139" s="1" t="s">
        <v>3932</v>
      </c>
      <c r="B3139" s="1" t="s">
        <v>164</v>
      </c>
      <c r="C3139" s="1" t="s">
        <v>200</v>
      </c>
      <c r="D3139" s="1" t="s">
        <v>114</v>
      </c>
      <c r="E3139" s="1" t="s">
        <v>16</v>
      </c>
      <c r="F3139" s="1" t="s">
        <v>114</v>
      </c>
      <c r="G3139" s="1">
        <v>2</v>
      </c>
      <c r="H3139" s="1">
        <v>3932</v>
      </c>
      <c r="I3139" s="1">
        <v>0.1</v>
      </c>
      <c r="J3139" s="1">
        <v>7077.6</v>
      </c>
      <c r="K3139" s="1">
        <v>1742.81</v>
      </c>
      <c r="L3139" s="1" t="s">
        <v>45</v>
      </c>
      <c r="M3139" s="1" t="str">
        <f>TEXT(Table1[[#This Row],[Order Date]],"mmm")</f>
        <v>May</v>
      </c>
      <c r="N3139" s="1">
        <f>YEAR(Table1[[#This Row],[Order Date]])</f>
        <v>2023</v>
      </c>
    </row>
    <row r="3140" spans="1:14" x14ac:dyDescent="0.35">
      <c r="A3140" s="1" t="s">
        <v>3933</v>
      </c>
      <c r="B3140" s="1" t="s">
        <v>329</v>
      </c>
      <c r="C3140" s="1" t="s">
        <v>67</v>
      </c>
      <c r="D3140" s="1" t="s">
        <v>60</v>
      </c>
      <c r="E3140" s="1" t="s">
        <v>33</v>
      </c>
      <c r="F3140" s="1" t="s">
        <v>60</v>
      </c>
      <c r="G3140" s="1">
        <v>3</v>
      </c>
      <c r="H3140" s="1">
        <v>1442</v>
      </c>
      <c r="I3140" s="1">
        <v>0.2</v>
      </c>
      <c r="J3140" s="1">
        <v>3460.8</v>
      </c>
      <c r="K3140" s="1">
        <v>895.28</v>
      </c>
      <c r="L3140" s="1" t="s">
        <v>70</v>
      </c>
      <c r="M3140" s="1" t="str">
        <f>TEXT(Table1[[#This Row],[Order Date]],"mmm")</f>
        <v>Aug</v>
      </c>
      <c r="N3140" s="1">
        <f>YEAR(Table1[[#This Row],[Order Date]])</f>
        <v>2024</v>
      </c>
    </row>
    <row r="3141" spans="1:14" x14ac:dyDescent="0.35">
      <c r="A3141" s="1" t="s">
        <v>3934</v>
      </c>
      <c r="B3141" s="1" t="s">
        <v>1090</v>
      </c>
      <c r="C3141" s="1" t="s">
        <v>200</v>
      </c>
      <c r="D3141" s="1" t="s">
        <v>224</v>
      </c>
      <c r="E3141" s="1" t="s">
        <v>33</v>
      </c>
      <c r="F3141" s="1" t="s">
        <v>224</v>
      </c>
      <c r="G3141" s="1">
        <v>2</v>
      </c>
      <c r="H3141" s="1">
        <v>29404</v>
      </c>
      <c r="I3141" s="1">
        <v>0.2</v>
      </c>
      <c r="J3141" s="1">
        <v>47046.400000000001</v>
      </c>
      <c r="K3141" s="1">
        <v>13614.45</v>
      </c>
      <c r="L3141" s="1" t="s">
        <v>23</v>
      </c>
      <c r="M3141" s="1" t="str">
        <f>TEXT(Table1[[#This Row],[Order Date]],"mmm")</f>
        <v>Feb</v>
      </c>
      <c r="N3141" s="1">
        <f>YEAR(Table1[[#This Row],[Order Date]])</f>
        <v>2024</v>
      </c>
    </row>
    <row r="3142" spans="1:14" x14ac:dyDescent="0.35">
      <c r="A3142" s="1" t="s">
        <v>3935</v>
      </c>
      <c r="B3142" s="1" t="s">
        <v>1563</v>
      </c>
      <c r="C3142" s="1" t="s">
        <v>158</v>
      </c>
      <c r="D3142" s="1" t="s">
        <v>48</v>
      </c>
      <c r="E3142" s="1" t="s">
        <v>16</v>
      </c>
      <c r="F3142" s="1" t="s">
        <v>48</v>
      </c>
      <c r="G3142" s="1">
        <v>15</v>
      </c>
      <c r="H3142" s="1">
        <v>43450</v>
      </c>
      <c r="I3142" s="1">
        <v>0</v>
      </c>
      <c r="J3142" s="1">
        <v>651750</v>
      </c>
      <c r="K3142" s="1">
        <v>122987.94</v>
      </c>
      <c r="L3142" s="1" t="s">
        <v>17</v>
      </c>
      <c r="M3142" s="1" t="str">
        <f>TEXT(Table1[[#This Row],[Order Date]],"mmm")</f>
        <v>Mar</v>
      </c>
      <c r="N3142" s="1">
        <f>YEAR(Table1[[#This Row],[Order Date]])</f>
        <v>2024</v>
      </c>
    </row>
    <row r="3143" spans="1:14" x14ac:dyDescent="0.35">
      <c r="A3143" s="1" t="s">
        <v>3936</v>
      </c>
      <c r="B3143" s="1" t="s">
        <v>374</v>
      </c>
      <c r="C3143" s="1" t="s">
        <v>175</v>
      </c>
      <c r="D3143" s="1" t="s">
        <v>323</v>
      </c>
      <c r="E3143" s="1" t="s">
        <v>33</v>
      </c>
      <c r="F3143" s="1" t="s">
        <v>323</v>
      </c>
      <c r="G3143" s="1">
        <v>15</v>
      </c>
      <c r="H3143" s="1">
        <v>38493</v>
      </c>
      <c r="I3143" s="1">
        <v>0</v>
      </c>
      <c r="J3143" s="1">
        <v>577395</v>
      </c>
      <c r="K3143" s="1">
        <v>122737.5</v>
      </c>
      <c r="L3143" s="1" t="s">
        <v>23</v>
      </c>
      <c r="M3143" s="1" t="str">
        <f>TEXT(Table1[[#This Row],[Order Date]],"mmm")</f>
        <v>Oct</v>
      </c>
      <c r="N3143" s="1">
        <f>YEAR(Table1[[#This Row],[Order Date]])</f>
        <v>2023</v>
      </c>
    </row>
    <row r="3144" spans="1:14" x14ac:dyDescent="0.35">
      <c r="A3144" s="1" t="s">
        <v>3937</v>
      </c>
      <c r="B3144" s="1" t="s">
        <v>1445</v>
      </c>
      <c r="C3144" s="1" t="s">
        <v>208</v>
      </c>
      <c r="D3144" s="1" t="s">
        <v>37</v>
      </c>
      <c r="E3144" s="1" t="s">
        <v>16</v>
      </c>
      <c r="F3144" s="1" t="s">
        <v>37</v>
      </c>
      <c r="G3144" s="1">
        <v>5</v>
      </c>
      <c r="H3144" s="1">
        <v>1037</v>
      </c>
      <c r="I3144" s="1">
        <v>0</v>
      </c>
      <c r="J3144" s="1">
        <v>5185</v>
      </c>
      <c r="K3144" s="1">
        <v>997.94</v>
      </c>
      <c r="L3144" s="1" t="s">
        <v>23</v>
      </c>
      <c r="M3144" s="1" t="str">
        <f>TEXT(Table1[[#This Row],[Order Date]],"mmm")</f>
        <v>Jun</v>
      </c>
      <c r="N3144" s="1">
        <f>YEAR(Table1[[#This Row],[Order Date]])</f>
        <v>2023</v>
      </c>
    </row>
    <row r="3145" spans="1:14" x14ac:dyDescent="0.35">
      <c r="A3145" s="1" t="s">
        <v>3938</v>
      </c>
      <c r="B3145" s="1" t="s">
        <v>815</v>
      </c>
      <c r="C3145" s="1" t="s">
        <v>188</v>
      </c>
      <c r="D3145" s="1" t="s">
        <v>64</v>
      </c>
      <c r="E3145" s="1" t="s">
        <v>33</v>
      </c>
      <c r="F3145" s="1" t="s">
        <v>64</v>
      </c>
      <c r="G3145" s="1">
        <v>9</v>
      </c>
      <c r="H3145" s="1">
        <v>19260</v>
      </c>
      <c r="I3145" s="1">
        <v>0.15</v>
      </c>
      <c r="J3145" s="1">
        <v>147339</v>
      </c>
      <c r="K3145" s="1">
        <v>43882.36</v>
      </c>
      <c r="L3145" s="1" t="s">
        <v>45</v>
      </c>
      <c r="M3145" s="1" t="str">
        <f>TEXT(Table1[[#This Row],[Order Date]],"mmm")</f>
        <v>Mar</v>
      </c>
      <c r="N3145" s="1">
        <f>YEAR(Table1[[#This Row],[Order Date]])</f>
        <v>2023</v>
      </c>
    </row>
    <row r="3146" spans="1:14" x14ac:dyDescent="0.35">
      <c r="A3146" s="1" t="s">
        <v>3939</v>
      </c>
      <c r="B3146" s="1" t="s">
        <v>1984</v>
      </c>
      <c r="C3146" s="1" t="s">
        <v>81</v>
      </c>
      <c r="D3146" s="1" t="s">
        <v>224</v>
      </c>
      <c r="E3146" s="1" t="s">
        <v>33</v>
      </c>
      <c r="F3146" s="1" t="s">
        <v>224</v>
      </c>
      <c r="G3146" s="1">
        <v>5</v>
      </c>
      <c r="H3146" s="1">
        <v>9373</v>
      </c>
      <c r="I3146" s="1">
        <v>0.2</v>
      </c>
      <c r="J3146" s="1">
        <v>37492</v>
      </c>
      <c r="K3146" s="1">
        <v>6073.22</v>
      </c>
      <c r="L3146" s="1" t="s">
        <v>70</v>
      </c>
      <c r="M3146" s="1" t="str">
        <f>TEXT(Table1[[#This Row],[Order Date]],"mmm")</f>
        <v>May</v>
      </c>
      <c r="N3146" s="1">
        <f>YEAR(Table1[[#This Row],[Order Date]])</f>
        <v>2024</v>
      </c>
    </row>
    <row r="3147" spans="1:14" x14ac:dyDescent="0.35">
      <c r="A3147" s="1" t="s">
        <v>3940</v>
      </c>
      <c r="B3147" s="1" t="s">
        <v>466</v>
      </c>
      <c r="C3147" s="1" t="s">
        <v>107</v>
      </c>
      <c r="D3147" s="1" t="s">
        <v>85</v>
      </c>
      <c r="E3147" s="1" t="s">
        <v>28</v>
      </c>
      <c r="F3147" s="1" t="s">
        <v>85</v>
      </c>
      <c r="G3147" s="1">
        <v>13</v>
      </c>
      <c r="H3147" s="1">
        <v>2757</v>
      </c>
      <c r="I3147" s="1">
        <v>0.2</v>
      </c>
      <c r="J3147" s="1">
        <v>28672.799999999999</v>
      </c>
      <c r="K3147" s="1">
        <v>4821.13</v>
      </c>
      <c r="L3147" s="1" t="s">
        <v>17</v>
      </c>
      <c r="M3147" s="1" t="str">
        <f>TEXT(Table1[[#This Row],[Order Date]],"mmm")</f>
        <v>Feb</v>
      </c>
      <c r="N3147" s="1">
        <f>YEAR(Table1[[#This Row],[Order Date]])</f>
        <v>2024</v>
      </c>
    </row>
    <row r="3148" spans="1:14" x14ac:dyDescent="0.35">
      <c r="A3148" s="1" t="s">
        <v>3941</v>
      </c>
      <c r="B3148" s="1" t="s">
        <v>374</v>
      </c>
      <c r="C3148" s="1" t="s">
        <v>140</v>
      </c>
      <c r="D3148" s="1" t="s">
        <v>48</v>
      </c>
      <c r="E3148" s="1" t="s">
        <v>16</v>
      </c>
      <c r="F3148" s="1" t="s">
        <v>48</v>
      </c>
      <c r="G3148" s="1">
        <v>14</v>
      </c>
      <c r="H3148" s="1">
        <v>52269</v>
      </c>
      <c r="I3148" s="1">
        <v>0.15</v>
      </c>
      <c r="J3148" s="1">
        <v>622001.1</v>
      </c>
      <c r="K3148" s="1">
        <v>179518.05</v>
      </c>
      <c r="L3148" s="1" t="s">
        <v>23</v>
      </c>
      <c r="M3148" s="1" t="str">
        <f>TEXT(Table1[[#This Row],[Order Date]],"mmm")</f>
        <v>Oct</v>
      </c>
      <c r="N3148" s="1">
        <f>YEAR(Table1[[#This Row],[Order Date]])</f>
        <v>2023</v>
      </c>
    </row>
    <row r="3149" spans="1:14" x14ac:dyDescent="0.35">
      <c r="A3149" s="1" t="s">
        <v>3942</v>
      </c>
      <c r="B3149" s="1" t="s">
        <v>164</v>
      </c>
      <c r="C3149" s="1" t="s">
        <v>188</v>
      </c>
      <c r="D3149" s="1" t="s">
        <v>56</v>
      </c>
      <c r="E3149" s="1" t="s">
        <v>22</v>
      </c>
      <c r="F3149" s="1" t="s">
        <v>56</v>
      </c>
      <c r="G3149" s="1">
        <v>6</v>
      </c>
      <c r="H3149" s="1">
        <v>23802</v>
      </c>
      <c r="I3149" s="1">
        <v>0</v>
      </c>
      <c r="J3149" s="1">
        <v>142812</v>
      </c>
      <c r="K3149" s="1">
        <v>25292.97</v>
      </c>
      <c r="L3149" s="1" t="s">
        <v>23</v>
      </c>
      <c r="M3149" s="1" t="str">
        <f>TEXT(Table1[[#This Row],[Order Date]],"mmm")</f>
        <v>May</v>
      </c>
      <c r="N3149" s="1">
        <f>YEAR(Table1[[#This Row],[Order Date]])</f>
        <v>2023</v>
      </c>
    </row>
    <row r="3150" spans="1:14" x14ac:dyDescent="0.35">
      <c r="A3150" s="1" t="s">
        <v>3943</v>
      </c>
      <c r="B3150" s="1" t="s">
        <v>1326</v>
      </c>
      <c r="C3150" s="1" t="s">
        <v>335</v>
      </c>
      <c r="D3150" s="1" t="s">
        <v>74</v>
      </c>
      <c r="E3150" s="1" t="s">
        <v>22</v>
      </c>
      <c r="F3150" s="1" t="s">
        <v>74</v>
      </c>
      <c r="G3150" s="1">
        <v>6</v>
      </c>
      <c r="H3150" s="1">
        <v>25601</v>
      </c>
      <c r="I3150" s="1">
        <v>0.05</v>
      </c>
      <c r="J3150" s="1">
        <v>145925.70000000001</v>
      </c>
      <c r="K3150" s="1">
        <v>26653.88</v>
      </c>
      <c r="L3150" s="1" t="s">
        <v>45</v>
      </c>
      <c r="M3150" s="1" t="str">
        <f>TEXT(Table1[[#This Row],[Order Date]],"mmm")</f>
        <v>Dec</v>
      </c>
      <c r="N3150" s="1">
        <f>YEAR(Table1[[#This Row],[Order Date]])</f>
        <v>2023</v>
      </c>
    </row>
    <row r="3151" spans="1:14" x14ac:dyDescent="0.35">
      <c r="A3151" s="1" t="s">
        <v>3944</v>
      </c>
      <c r="B3151" s="1" t="s">
        <v>221</v>
      </c>
      <c r="C3151" s="1" t="s">
        <v>14</v>
      </c>
      <c r="D3151" s="1" t="s">
        <v>60</v>
      </c>
      <c r="E3151" s="1" t="s">
        <v>33</v>
      </c>
      <c r="F3151" s="1" t="s">
        <v>60</v>
      </c>
      <c r="G3151" s="1">
        <v>5</v>
      </c>
      <c r="H3151" s="1">
        <v>18387</v>
      </c>
      <c r="I3151" s="1">
        <v>0.2</v>
      </c>
      <c r="J3151" s="1">
        <v>73548</v>
      </c>
      <c r="K3151" s="1">
        <v>12671.58</v>
      </c>
      <c r="L3151" s="1" t="s">
        <v>23</v>
      </c>
      <c r="M3151" s="1" t="str">
        <f>TEXT(Table1[[#This Row],[Order Date]],"mmm")</f>
        <v>Dec</v>
      </c>
      <c r="N3151" s="1">
        <f>YEAR(Table1[[#This Row],[Order Date]])</f>
        <v>2023</v>
      </c>
    </row>
    <row r="3152" spans="1:14" x14ac:dyDescent="0.35">
      <c r="A3152" s="1" t="s">
        <v>3945</v>
      </c>
      <c r="B3152" s="1" t="s">
        <v>1688</v>
      </c>
      <c r="C3152" s="1" t="s">
        <v>158</v>
      </c>
      <c r="D3152" s="1" t="s">
        <v>52</v>
      </c>
      <c r="E3152" s="1" t="s">
        <v>28</v>
      </c>
      <c r="F3152" s="1" t="s">
        <v>52</v>
      </c>
      <c r="G3152" s="1">
        <v>4</v>
      </c>
      <c r="H3152" s="1">
        <v>7764</v>
      </c>
      <c r="I3152" s="1">
        <v>0.05</v>
      </c>
      <c r="J3152" s="1">
        <v>29503.200000000001</v>
      </c>
      <c r="K3152" s="1">
        <v>3461.66</v>
      </c>
      <c r="L3152" s="1" t="s">
        <v>45</v>
      </c>
      <c r="M3152" s="1" t="str">
        <f>TEXT(Table1[[#This Row],[Order Date]],"mmm")</f>
        <v>Jul</v>
      </c>
      <c r="N3152" s="1">
        <f>YEAR(Table1[[#This Row],[Order Date]])</f>
        <v>2024</v>
      </c>
    </row>
    <row r="3153" spans="1:14" x14ac:dyDescent="0.35">
      <c r="A3153" s="1" t="s">
        <v>3946</v>
      </c>
      <c r="B3153" s="1" t="s">
        <v>2464</v>
      </c>
      <c r="C3153" s="1" t="s">
        <v>73</v>
      </c>
      <c r="D3153" s="1" t="s">
        <v>151</v>
      </c>
      <c r="E3153" s="1" t="s">
        <v>22</v>
      </c>
      <c r="F3153" s="1" t="s">
        <v>151</v>
      </c>
      <c r="G3153" s="1">
        <v>1</v>
      </c>
      <c r="H3153" s="1">
        <v>58913</v>
      </c>
      <c r="I3153" s="1">
        <v>0</v>
      </c>
      <c r="J3153" s="1">
        <v>58913</v>
      </c>
      <c r="K3153" s="1">
        <v>14806.05</v>
      </c>
      <c r="L3153" s="1" t="s">
        <v>70</v>
      </c>
      <c r="M3153" s="1" t="str">
        <f>TEXT(Table1[[#This Row],[Order Date]],"mmm")</f>
        <v>Apr</v>
      </c>
      <c r="N3153" s="1">
        <f>YEAR(Table1[[#This Row],[Order Date]])</f>
        <v>2023</v>
      </c>
    </row>
    <row r="3154" spans="1:14" x14ac:dyDescent="0.35">
      <c r="A3154" s="1" t="s">
        <v>3947</v>
      </c>
      <c r="B3154" s="1" t="s">
        <v>524</v>
      </c>
      <c r="C3154" s="1" t="s">
        <v>84</v>
      </c>
      <c r="D3154" s="1" t="s">
        <v>44</v>
      </c>
      <c r="E3154" s="1" t="s">
        <v>28</v>
      </c>
      <c r="F3154" s="1" t="s">
        <v>44</v>
      </c>
      <c r="G3154" s="1">
        <v>13</v>
      </c>
      <c r="H3154" s="1">
        <v>9674</v>
      </c>
      <c r="I3154" s="1">
        <v>0.05</v>
      </c>
      <c r="J3154" s="1">
        <v>119473.9</v>
      </c>
      <c r="K3154" s="1">
        <v>31115.53</v>
      </c>
      <c r="L3154" s="1" t="s">
        <v>23</v>
      </c>
      <c r="M3154" s="1" t="str">
        <f>TEXT(Table1[[#This Row],[Order Date]],"mmm")</f>
        <v>Nov</v>
      </c>
      <c r="N3154" s="1">
        <f>YEAR(Table1[[#This Row],[Order Date]])</f>
        <v>2024</v>
      </c>
    </row>
    <row r="3155" spans="1:14" x14ac:dyDescent="0.35">
      <c r="A3155" s="1" t="s">
        <v>3948</v>
      </c>
      <c r="B3155" s="1" t="s">
        <v>1286</v>
      </c>
      <c r="C3155" s="1" t="s">
        <v>36</v>
      </c>
      <c r="D3155" s="1" t="s">
        <v>108</v>
      </c>
      <c r="E3155" s="1" t="s">
        <v>22</v>
      </c>
      <c r="F3155" s="1" t="s">
        <v>108</v>
      </c>
      <c r="G3155" s="1">
        <v>3</v>
      </c>
      <c r="H3155" s="1">
        <v>29968</v>
      </c>
      <c r="I3155" s="1">
        <v>0.1</v>
      </c>
      <c r="J3155" s="1">
        <v>80913.600000000006</v>
      </c>
      <c r="K3155" s="1">
        <v>13822.58</v>
      </c>
      <c r="L3155" s="1" t="s">
        <v>70</v>
      </c>
      <c r="M3155" s="1" t="str">
        <f>TEXT(Table1[[#This Row],[Order Date]],"mmm")</f>
        <v>Mar</v>
      </c>
      <c r="N3155" s="1">
        <f>YEAR(Table1[[#This Row],[Order Date]])</f>
        <v>2023</v>
      </c>
    </row>
    <row r="3156" spans="1:14" x14ac:dyDescent="0.35">
      <c r="A3156" s="1" t="s">
        <v>3949</v>
      </c>
      <c r="B3156" s="1" t="s">
        <v>1716</v>
      </c>
      <c r="C3156" s="1" t="s">
        <v>55</v>
      </c>
      <c r="D3156" s="1" t="s">
        <v>167</v>
      </c>
      <c r="E3156" s="1" t="s">
        <v>16</v>
      </c>
      <c r="F3156" s="1" t="s">
        <v>167</v>
      </c>
      <c r="G3156" s="1">
        <v>14</v>
      </c>
      <c r="H3156" s="1">
        <v>29813</v>
      </c>
      <c r="I3156" s="1">
        <v>0.1</v>
      </c>
      <c r="J3156" s="1">
        <v>375643.8</v>
      </c>
      <c r="K3156" s="1">
        <v>90381.18</v>
      </c>
      <c r="L3156" s="1" t="s">
        <v>45</v>
      </c>
      <c r="M3156" s="1" t="str">
        <f>TEXT(Table1[[#This Row],[Order Date]],"mmm")</f>
        <v>Jul</v>
      </c>
      <c r="N3156" s="1">
        <f>YEAR(Table1[[#This Row],[Order Date]])</f>
        <v>2024</v>
      </c>
    </row>
    <row r="3157" spans="1:14" x14ac:dyDescent="0.35">
      <c r="A3157" s="1" t="s">
        <v>3950</v>
      </c>
      <c r="B3157" s="1" t="s">
        <v>310</v>
      </c>
      <c r="C3157" s="1" t="s">
        <v>20</v>
      </c>
      <c r="D3157" s="1" t="s">
        <v>114</v>
      </c>
      <c r="E3157" s="1" t="s">
        <v>16</v>
      </c>
      <c r="F3157" s="1" t="s">
        <v>114</v>
      </c>
      <c r="G3157" s="1">
        <v>14</v>
      </c>
      <c r="H3157" s="1">
        <v>37796</v>
      </c>
      <c r="I3157" s="1">
        <v>0</v>
      </c>
      <c r="J3157" s="1">
        <v>529144</v>
      </c>
      <c r="K3157" s="1">
        <v>153045.31</v>
      </c>
      <c r="L3157" s="1" t="s">
        <v>23</v>
      </c>
      <c r="M3157" s="1" t="str">
        <f>TEXT(Table1[[#This Row],[Order Date]],"mmm")</f>
        <v>Feb</v>
      </c>
      <c r="N3157" s="1">
        <f>YEAR(Table1[[#This Row],[Order Date]])</f>
        <v>2023</v>
      </c>
    </row>
    <row r="3158" spans="1:14" x14ac:dyDescent="0.35">
      <c r="A3158" s="1" t="s">
        <v>3951</v>
      </c>
      <c r="B3158" s="1" t="s">
        <v>1798</v>
      </c>
      <c r="C3158" s="1" t="s">
        <v>640</v>
      </c>
      <c r="D3158" s="1" t="s">
        <v>151</v>
      </c>
      <c r="E3158" s="1" t="s">
        <v>22</v>
      </c>
      <c r="F3158" s="1" t="s">
        <v>151</v>
      </c>
      <c r="G3158" s="1">
        <v>11</v>
      </c>
      <c r="H3158" s="1">
        <v>50325</v>
      </c>
      <c r="I3158" s="1">
        <v>0.1</v>
      </c>
      <c r="J3158" s="1">
        <v>498217.5</v>
      </c>
      <c r="K3158" s="1">
        <v>144584</v>
      </c>
      <c r="L3158" s="1" t="s">
        <v>45</v>
      </c>
      <c r="M3158" s="1" t="str">
        <f>TEXT(Table1[[#This Row],[Order Date]],"mmm")</f>
        <v>Jan</v>
      </c>
      <c r="N3158" s="1">
        <f>YEAR(Table1[[#This Row],[Order Date]])</f>
        <v>2024</v>
      </c>
    </row>
    <row r="3159" spans="1:14" x14ac:dyDescent="0.35">
      <c r="A3159" s="1" t="s">
        <v>3952</v>
      </c>
      <c r="B3159" s="1" t="s">
        <v>1017</v>
      </c>
      <c r="C3159" s="1" t="s">
        <v>507</v>
      </c>
      <c r="D3159" s="1" t="s">
        <v>27</v>
      </c>
      <c r="E3159" s="1" t="s">
        <v>28</v>
      </c>
      <c r="F3159" s="1" t="s">
        <v>27</v>
      </c>
      <c r="G3159" s="1">
        <v>10</v>
      </c>
      <c r="H3159" s="1">
        <v>29999</v>
      </c>
      <c r="I3159" s="1">
        <v>0.1</v>
      </c>
      <c r="J3159" s="1">
        <v>269991</v>
      </c>
      <c r="K3159" s="1">
        <v>35519.33</v>
      </c>
      <c r="L3159" s="1" t="s">
        <v>45</v>
      </c>
      <c r="M3159" s="1" t="str">
        <f>TEXT(Table1[[#This Row],[Order Date]],"mmm")</f>
        <v>Feb</v>
      </c>
      <c r="N3159" s="1">
        <f>YEAR(Table1[[#This Row],[Order Date]])</f>
        <v>2023</v>
      </c>
    </row>
    <row r="3160" spans="1:14" x14ac:dyDescent="0.35">
      <c r="A3160" s="1" t="s">
        <v>3953</v>
      </c>
      <c r="B3160" s="1" t="s">
        <v>1276</v>
      </c>
      <c r="C3160" s="1" t="s">
        <v>200</v>
      </c>
      <c r="D3160" s="1" t="s">
        <v>133</v>
      </c>
      <c r="E3160" s="1" t="s">
        <v>22</v>
      </c>
      <c r="F3160" s="1" t="s">
        <v>133</v>
      </c>
      <c r="G3160" s="1">
        <v>12</v>
      </c>
      <c r="H3160" s="1">
        <v>25250</v>
      </c>
      <c r="I3160" s="1">
        <v>0.1</v>
      </c>
      <c r="J3160" s="1">
        <v>272700</v>
      </c>
      <c r="K3160" s="1">
        <v>73455.98</v>
      </c>
      <c r="L3160" s="1" t="s">
        <v>70</v>
      </c>
      <c r="M3160" s="1" t="str">
        <f>TEXT(Table1[[#This Row],[Order Date]],"mmm")</f>
        <v>Apr</v>
      </c>
      <c r="N3160" s="1">
        <f>YEAR(Table1[[#This Row],[Order Date]])</f>
        <v>2023</v>
      </c>
    </row>
    <row r="3161" spans="1:14" x14ac:dyDescent="0.35">
      <c r="A3161" s="1" t="s">
        <v>3954</v>
      </c>
      <c r="B3161" s="1" t="s">
        <v>1032</v>
      </c>
      <c r="C3161" s="1" t="s">
        <v>117</v>
      </c>
      <c r="D3161" s="1" t="s">
        <v>41</v>
      </c>
      <c r="E3161" s="1" t="s">
        <v>16</v>
      </c>
      <c r="F3161" s="1" t="s">
        <v>41</v>
      </c>
      <c r="G3161" s="1">
        <v>9</v>
      </c>
      <c r="H3161" s="1">
        <v>44471</v>
      </c>
      <c r="I3161" s="1">
        <v>0</v>
      </c>
      <c r="J3161" s="1">
        <v>400239</v>
      </c>
      <c r="K3161" s="1">
        <v>95353.04</v>
      </c>
      <c r="L3161" s="1" t="s">
        <v>17</v>
      </c>
      <c r="M3161" s="1" t="str">
        <f>TEXT(Table1[[#This Row],[Order Date]],"mmm")</f>
        <v>May</v>
      </c>
      <c r="N3161" s="1">
        <f>YEAR(Table1[[#This Row],[Order Date]])</f>
        <v>2024</v>
      </c>
    </row>
    <row r="3162" spans="1:14" x14ac:dyDescent="0.35">
      <c r="A3162" s="1" t="s">
        <v>3955</v>
      </c>
      <c r="B3162" s="1" t="s">
        <v>1716</v>
      </c>
      <c r="C3162" s="1" t="s">
        <v>77</v>
      </c>
      <c r="D3162" s="1" t="s">
        <v>293</v>
      </c>
      <c r="E3162" s="1" t="s">
        <v>33</v>
      </c>
      <c r="F3162" s="1" t="s">
        <v>293</v>
      </c>
      <c r="G3162" s="1">
        <v>8</v>
      </c>
      <c r="H3162" s="1">
        <v>27636</v>
      </c>
      <c r="I3162" s="1">
        <v>0.05</v>
      </c>
      <c r="J3162" s="1">
        <v>210033.6</v>
      </c>
      <c r="K3162" s="1">
        <v>17655.91</v>
      </c>
      <c r="L3162" s="1" t="s">
        <v>17</v>
      </c>
      <c r="M3162" s="1" t="str">
        <f>TEXT(Table1[[#This Row],[Order Date]],"mmm")</f>
        <v>Jul</v>
      </c>
      <c r="N3162" s="1">
        <f>YEAR(Table1[[#This Row],[Order Date]])</f>
        <v>2024</v>
      </c>
    </row>
    <row r="3163" spans="1:14" x14ac:dyDescent="0.35">
      <c r="A3163" s="1" t="s">
        <v>3956</v>
      </c>
      <c r="B3163" s="1" t="s">
        <v>1109</v>
      </c>
      <c r="C3163" s="1" t="s">
        <v>55</v>
      </c>
      <c r="D3163" s="1" t="s">
        <v>91</v>
      </c>
      <c r="E3163" s="1" t="s">
        <v>16</v>
      </c>
      <c r="F3163" s="1" t="s">
        <v>91</v>
      </c>
      <c r="G3163" s="1">
        <v>6</v>
      </c>
      <c r="H3163" s="1">
        <v>35448</v>
      </c>
      <c r="I3163" s="1">
        <v>0</v>
      </c>
      <c r="J3163" s="1">
        <v>212688</v>
      </c>
      <c r="K3163" s="1">
        <v>45364.99</v>
      </c>
      <c r="L3163" s="1" t="s">
        <v>23</v>
      </c>
      <c r="M3163" s="1" t="str">
        <f>TEXT(Table1[[#This Row],[Order Date]],"mmm")</f>
        <v>Nov</v>
      </c>
      <c r="N3163" s="1">
        <f>YEAR(Table1[[#This Row],[Order Date]])</f>
        <v>2023</v>
      </c>
    </row>
    <row r="3164" spans="1:14" x14ac:dyDescent="0.35">
      <c r="A3164" s="1" t="s">
        <v>3957</v>
      </c>
      <c r="B3164" s="1" t="s">
        <v>1487</v>
      </c>
      <c r="C3164" s="1" t="s">
        <v>155</v>
      </c>
      <c r="D3164" s="1" t="s">
        <v>27</v>
      </c>
      <c r="E3164" s="1" t="s">
        <v>28</v>
      </c>
      <c r="F3164" s="1" t="s">
        <v>27</v>
      </c>
      <c r="G3164" s="1">
        <v>10</v>
      </c>
      <c r="H3164" s="1">
        <v>57981</v>
      </c>
      <c r="I3164" s="1">
        <v>0.1</v>
      </c>
      <c r="J3164" s="1">
        <v>521829</v>
      </c>
      <c r="K3164" s="1">
        <v>52456.56</v>
      </c>
      <c r="L3164" s="1" t="s">
        <v>45</v>
      </c>
      <c r="M3164" s="1" t="str">
        <f>TEXT(Table1[[#This Row],[Order Date]],"mmm")</f>
        <v>Oct</v>
      </c>
      <c r="N3164" s="1">
        <f>YEAR(Table1[[#This Row],[Order Date]])</f>
        <v>2023</v>
      </c>
    </row>
    <row r="3165" spans="1:14" x14ac:dyDescent="0.35">
      <c r="A3165" s="1" t="s">
        <v>3958</v>
      </c>
      <c r="B3165" s="1" t="s">
        <v>549</v>
      </c>
      <c r="C3165" s="1" t="s">
        <v>255</v>
      </c>
      <c r="D3165" s="1" t="s">
        <v>41</v>
      </c>
      <c r="E3165" s="1" t="s">
        <v>16</v>
      </c>
      <c r="F3165" s="1" t="s">
        <v>41</v>
      </c>
      <c r="G3165" s="1">
        <v>11</v>
      </c>
      <c r="H3165" s="1">
        <v>29620</v>
      </c>
      <c r="I3165" s="1">
        <v>0</v>
      </c>
      <c r="J3165" s="1">
        <v>325820</v>
      </c>
      <c r="K3165" s="1">
        <v>45964.61</v>
      </c>
      <c r="L3165" s="1" t="s">
        <v>70</v>
      </c>
      <c r="M3165" s="1" t="str">
        <f>TEXT(Table1[[#This Row],[Order Date]],"mmm")</f>
        <v>Jan</v>
      </c>
      <c r="N3165" s="1">
        <f>YEAR(Table1[[#This Row],[Order Date]])</f>
        <v>2024</v>
      </c>
    </row>
    <row r="3166" spans="1:14" x14ac:dyDescent="0.35">
      <c r="A3166" s="1" t="s">
        <v>3959</v>
      </c>
      <c r="B3166" s="1" t="s">
        <v>1951</v>
      </c>
      <c r="C3166" s="1" t="s">
        <v>88</v>
      </c>
      <c r="D3166" s="1" t="s">
        <v>60</v>
      </c>
      <c r="E3166" s="1" t="s">
        <v>33</v>
      </c>
      <c r="F3166" s="1" t="s">
        <v>60</v>
      </c>
      <c r="G3166" s="1">
        <v>10</v>
      </c>
      <c r="H3166" s="1">
        <v>4505</v>
      </c>
      <c r="I3166" s="1">
        <v>0</v>
      </c>
      <c r="J3166" s="1">
        <v>45050</v>
      </c>
      <c r="K3166" s="1">
        <v>11693.93</v>
      </c>
      <c r="L3166" s="1" t="s">
        <v>45</v>
      </c>
      <c r="M3166" s="1" t="str">
        <f>TEXT(Table1[[#This Row],[Order Date]],"mmm")</f>
        <v>May</v>
      </c>
      <c r="N3166" s="1">
        <f>YEAR(Table1[[#This Row],[Order Date]])</f>
        <v>2024</v>
      </c>
    </row>
    <row r="3167" spans="1:14" x14ac:dyDescent="0.35">
      <c r="A3167" s="1" t="s">
        <v>3960</v>
      </c>
      <c r="B3167" s="1" t="s">
        <v>603</v>
      </c>
      <c r="C3167" s="1" t="s">
        <v>84</v>
      </c>
      <c r="D3167" s="1" t="s">
        <v>74</v>
      </c>
      <c r="E3167" s="1" t="s">
        <v>22</v>
      </c>
      <c r="F3167" s="1" t="s">
        <v>74</v>
      </c>
      <c r="G3167" s="1">
        <v>8</v>
      </c>
      <c r="H3167" s="1">
        <v>1768</v>
      </c>
      <c r="I3167" s="1">
        <v>0</v>
      </c>
      <c r="J3167" s="1">
        <v>14144</v>
      </c>
      <c r="K3167" s="1">
        <v>2858.83</v>
      </c>
      <c r="L3167" s="1" t="s">
        <v>23</v>
      </c>
      <c r="M3167" s="1" t="str">
        <f>TEXT(Table1[[#This Row],[Order Date]],"mmm")</f>
        <v>Dec</v>
      </c>
      <c r="N3167" s="1">
        <f>YEAR(Table1[[#This Row],[Order Date]])</f>
        <v>2023</v>
      </c>
    </row>
    <row r="3168" spans="1:14" x14ac:dyDescent="0.35">
      <c r="A3168" s="1" t="s">
        <v>3961</v>
      </c>
      <c r="B3168" s="1" t="s">
        <v>1324</v>
      </c>
      <c r="C3168" s="1" t="s">
        <v>203</v>
      </c>
      <c r="D3168" s="1" t="s">
        <v>78</v>
      </c>
      <c r="E3168" s="1" t="s">
        <v>28</v>
      </c>
      <c r="F3168" s="1" t="s">
        <v>78</v>
      </c>
      <c r="G3168" s="1">
        <v>14</v>
      </c>
      <c r="H3168" s="1">
        <v>23382</v>
      </c>
      <c r="I3168" s="1">
        <v>0.1</v>
      </c>
      <c r="J3168" s="1">
        <v>294613.2</v>
      </c>
      <c r="K3168" s="1">
        <v>48868.84</v>
      </c>
      <c r="L3168" s="1" t="s">
        <v>17</v>
      </c>
      <c r="M3168" s="1" t="str">
        <f>TEXT(Table1[[#This Row],[Order Date]],"mmm")</f>
        <v>Aug</v>
      </c>
      <c r="N3168" s="1">
        <f>YEAR(Table1[[#This Row],[Order Date]])</f>
        <v>2024</v>
      </c>
    </row>
    <row r="3169" spans="1:14" x14ac:dyDescent="0.35">
      <c r="A3169" s="1" t="s">
        <v>3962</v>
      </c>
      <c r="B3169" s="1" t="s">
        <v>3015</v>
      </c>
      <c r="C3169" s="1" t="s">
        <v>125</v>
      </c>
      <c r="D3169" s="1" t="s">
        <v>151</v>
      </c>
      <c r="E3169" s="1" t="s">
        <v>22</v>
      </c>
      <c r="F3169" s="1" t="s">
        <v>151</v>
      </c>
      <c r="G3169" s="1">
        <v>11</v>
      </c>
      <c r="H3169" s="1">
        <v>376</v>
      </c>
      <c r="I3169" s="1">
        <v>0.2</v>
      </c>
      <c r="J3169" s="1">
        <v>3308.8</v>
      </c>
      <c r="K3169" s="1">
        <v>380.26</v>
      </c>
      <c r="L3169" s="1" t="s">
        <v>70</v>
      </c>
      <c r="M3169" s="1" t="str">
        <f>TEXT(Table1[[#This Row],[Order Date]],"mmm")</f>
        <v>Jan</v>
      </c>
      <c r="N3169" s="1">
        <f>YEAR(Table1[[#This Row],[Order Date]])</f>
        <v>2024</v>
      </c>
    </row>
    <row r="3170" spans="1:14" x14ac:dyDescent="0.35">
      <c r="A3170" s="1" t="s">
        <v>3963</v>
      </c>
      <c r="B3170" s="1" t="s">
        <v>197</v>
      </c>
      <c r="C3170" s="1" t="s">
        <v>260</v>
      </c>
      <c r="D3170" s="1" t="s">
        <v>85</v>
      </c>
      <c r="E3170" s="1" t="s">
        <v>28</v>
      </c>
      <c r="F3170" s="1" t="s">
        <v>85</v>
      </c>
      <c r="G3170" s="1">
        <v>8</v>
      </c>
      <c r="H3170" s="1">
        <v>762</v>
      </c>
      <c r="I3170" s="1">
        <v>0.1</v>
      </c>
      <c r="J3170" s="1">
        <v>5486.4</v>
      </c>
      <c r="K3170" s="1">
        <v>1474.36</v>
      </c>
      <c r="L3170" s="1" t="s">
        <v>23</v>
      </c>
      <c r="M3170" s="1" t="str">
        <f>TEXT(Table1[[#This Row],[Order Date]],"mmm")</f>
        <v>Feb</v>
      </c>
      <c r="N3170" s="1">
        <f>YEAR(Table1[[#This Row],[Order Date]])</f>
        <v>2024</v>
      </c>
    </row>
    <row r="3171" spans="1:14" x14ac:dyDescent="0.35">
      <c r="A3171" s="1" t="s">
        <v>3964</v>
      </c>
      <c r="B3171" s="1" t="s">
        <v>1573</v>
      </c>
      <c r="C3171" s="1" t="s">
        <v>640</v>
      </c>
      <c r="D3171" s="1" t="s">
        <v>48</v>
      </c>
      <c r="E3171" s="1" t="s">
        <v>16</v>
      </c>
      <c r="F3171" s="1" t="s">
        <v>48</v>
      </c>
      <c r="G3171" s="1">
        <v>4</v>
      </c>
      <c r="H3171" s="1">
        <v>16221</v>
      </c>
      <c r="I3171" s="1">
        <v>0.2</v>
      </c>
      <c r="J3171" s="1">
        <v>51907.199999999997</v>
      </c>
      <c r="K3171" s="1">
        <v>14326.67</v>
      </c>
      <c r="L3171" s="1" t="s">
        <v>70</v>
      </c>
      <c r="M3171" s="1" t="str">
        <f>TEXT(Table1[[#This Row],[Order Date]],"mmm")</f>
        <v>Aug</v>
      </c>
      <c r="N3171" s="1">
        <f>YEAR(Table1[[#This Row],[Order Date]])</f>
        <v>2024</v>
      </c>
    </row>
    <row r="3172" spans="1:14" x14ac:dyDescent="0.35">
      <c r="A3172" s="1" t="s">
        <v>3965</v>
      </c>
      <c r="B3172" s="1" t="s">
        <v>1203</v>
      </c>
      <c r="C3172" s="1" t="s">
        <v>200</v>
      </c>
      <c r="D3172" s="1" t="s">
        <v>37</v>
      </c>
      <c r="E3172" s="1" t="s">
        <v>16</v>
      </c>
      <c r="F3172" s="1" t="s">
        <v>37</v>
      </c>
      <c r="G3172" s="1">
        <v>9</v>
      </c>
      <c r="H3172" s="1">
        <v>28716</v>
      </c>
      <c r="I3172" s="1">
        <v>0.05</v>
      </c>
      <c r="J3172" s="1">
        <v>245521.8</v>
      </c>
      <c r="K3172" s="1">
        <v>67780.12</v>
      </c>
      <c r="L3172" s="1" t="s">
        <v>45</v>
      </c>
      <c r="M3172" s="1" t="str">
        <f>TEXT(Table1[[#This Row],[Order Date]],"mmm")</f>
        <v>Apr</v>
      </c>
      <c r="N3172" s="1">
        <f>YEAR(Table1[[#This Row],[Order Date]])</f>
        <v>2024</v>
      </c>
    </row>
    <row r="3173" spans="1:14" x14ac:dyDescent="0.35">
      <c r="A3173" s="1" t="s">
        <v>3966</v>
      </c>
      <c r="B3173" s="1" t="s">
        <v>213</v>
      </c>
      <c r="C3173" s="1" t="s">
        <v>120</v>
      </c>
      <c r="D3173" s="1" t="s">
        <v>85</v>
      </c>
      <c r="E3173" s="1" t="s">
        <v>28</v>
      </c>
      <c r="F3173" s="1" t="s">
        <v>85</v>
      </c>
      <c r="G3173" s="1">
        <v>5</v>
      </c>
      <c r="H3173" s="1">
        <v>7482</v>
      </c>
      <c r="I3173" s="1">
        <v>0.05</v>
      </c>
      <c r="J3173" s="1">
        <v>35539.5</v>
      </c>
      <c r="K3173" s="1">
        <v>4601.72</v>
      </c>
      <c r="L3173" s="1" t="s">
        <v>70</v>
      </c>
      <c r="M3173" s="1" t="str">
        <f>TEXT(Table1[[#This Row],[Order Date]],"mmm")</f>
        <v>Sep</v>
      </c>
      <c r="N3173" s="1">
        <f>YEAR(Table1[[#This Row],[Order Date]])</f>
        <v>2024</v>
      </c>
    </row>
    <row r="3174" spans="1:14" x14ac:dyDescent="0.35">
      <c r="A3174" s="1" t="s">
        <v>3967</v>
      </c>
      <c r="B3174" s="1" t="s">
        <v>807</v>
      </c>
      <c r="C3174" s="1" t="s">
        <v>227</v>
      </c>
      <c r="D3174" s="1" t="s">
        <v>151</v>
      </c>
      <c r="E3174" s="1" t="s">
        <v>22</v>
      </c>
      <c r="F3174" s="1" t="s">
        <v>151</v>
      </c>
      <c r="G3174" s="1">
        <v>9</v>
      </c>
      <c r="H3174" s="1">
        <v>53893</v>
      </c>
      <c r="I3174" s="1">
        <v>0.1</v>
      </c>
      <c r="J3174" s="1">
        <v>436533.3</v>
      </c>
      <c r="K3174" s="1">
        <v>83044.11</v>
      </c>
      <c r="L3174" s="1" t="s">
        <v>17</v>
      </c>
      <c r="M3174" s="1" t="str">
        <f>TEXT(Table1[[#This Row],[Order Date]],"mmm")</f>
        <v>Sep</v>
      </c>
      <c r="N3174" s="1">
        <f>YEAR(Table1[[#This Row],[Order Date]])</f>
        <v>2024</v>
      </c>
    </row>
    <row r="3175" spans="1:14" x14ac:dyDescent="0.35">
      <c r="A3175" s="1" t="s">
        <v>3968</v>
      </c>
      <c r="B3175" s="1" t="s">
        <v>1624</v>
      </c>
      <c r="C3175" s="1" t="s">
        <v>128</v>
      </c>
      <c r="D3175" s="1" t="s">
        <v>44</v>
      </c>
      <c r="E3175" s="1" t="s">
        <v>28</v>
      </c>
      <c r="F3175" s="1" t="s">
        <v>44</v>
      </c>
      <c r="G3175" s="1">
        <v>4</v>
      </c>
      <c r="H3175" s="1">
        <v>26901</v>
      </c>
      <c r="I3175" s="1">
        <v>0.2</v>
      </c>
      <c r="J3175" s="1">
        <v>86083.199999999997</v>
      </c>
      <c r="K3175" s="1">
        <v>7787.53</v>
      </c>
      <c r="L3175" s="1" t="s">
        <v>70</v>
      </c>
      <c r="M3175" s="1" t="str">
        <f>TEXT(Table1[[#This Row],[Order Date]],"mmm")</f>
        <v>Apr</v>
      </c>
      <c r="N3175" s="1">
        <f>YEAR(Table1[[#This Row],[Order Date]])</f>
        <v>2023</v>
      </c>
    </row>
    <row r="3176" spans="1:14" x14ac:dyDescent="0.35">
      <c r="A3176" s="1" t="s">
        <v>3969</v>
      </c>
      <c r="B3176" s="1" t="s">
        <v>19</v>
      </c>
      <c r="C3176" s="1" t="s">
        <v>140</v>
      </c>
      <c r="D3176" s="1" t="s">
        <v>48</v>
      </c>
      <c r="E3176" s="1" t="s">
        <v>16</v>
      </c>
      <c r="F3176" s="1" t="s">
        <v>48</v>
      </c>
      <c r="G3176" s="1">
        <v>10</v>
      </c>
      <c r="H3176" s="1">
        <v>12714</v>
      </c>
      <c r="I3176" s="1">
        <v>0.05</v>
      </c>
      <c r="J3176" s="1">
        <v>120783</v>
      </c>
      <c r="K3176" s="1">
        <v>10403.35</v>
      </c>
      <c r="L3176" s="1" t="s">
        <v>23</v>
      </c>
      <c r="M3176" s="1" t="str">
        <f>TEXT(Table1[[#This Row],[Order Date]],"mmm")</f>
        <v>Jul</v>
      </c>
      <c r="N3176" s="1">
        <f>YEAR(Table1[[#This Row],[Order Date]])</f>
        <v>2023</v>
      </c>
    </row>
    <row r="3177" spans="1:14" x14ac:dyDescent="0.35">
      <c r="A3177" s="1" t="s">
        <v>3970</v>
      </c>
      <c r="B3177" s="1" t="s">
        <v>538</v>
      </c>
      <c r="C3177" s="1" t="s">
        <v>55</v>
      </c>
      <c r="D3177" s="1" t="s">
        <v>41</v>
      </c>
      <c r="E3177" s="1" t="s">
        <v>16</v>
      </c>
      <c r="F3177" s="1" t="s">
        <v>41</v>
      </c>
      <c r="G3177" s="1">
        <v>14</v>
      </c>
      <c r="H3177" s="1">
        <v>20316</v>
      </c>
      <c r="I3177" s="1">
        <v>0.2</v>
      </c>
      <c r="J3177" s="1">
        <v>227539.20000000001</v>
      </c>
      <c r="K3177" s="1">
        <v>65735.960000000006</v>
      </c>
      <c r="L3177" s="1" t="s">
        <v>70</v>
      </c>
      <c r="M3177" s="1" t="str">
        <f>TEXT(Table1[[#This Row],[Order Date]],"mmm")</f>
        <v>Jan</v>
      </c>
      <c r="N3177" s="1">
        <f>YEAR(Table1[[#This Row],[Order Date]])</f>
        <v>2024</v>
      </c>
    </row>
    <row r="3178" spans="1:14" x14ac:dyDescent="0.35">
      <c r="A3178" s="1" t="s">
        <v>3971</v>
      </c>
      <c r="B3178" s="1" t="s">
        <v>1245</v>
      </c>
      <c r="C3178" s="1" t="s">
        <v>507</v>
      </c>
      <c r="D3178" s="1" t="s">
        <v>60</v>
      </c>
      <c r="E3178" s="1" t="s">
        <v>33</v>
      </c>
      <c r="F3178" s="1" t="s">
        <v>60</v>
      </c>
      <c r="G3178" s="1">
        <v>14</v>
      </c>
      <c r="H3178" s="1">
        <v>3098</v>
      </c>
      <c r="I3178" s="1">
        <v>0.1</v>
      </c>
      <c r="J3178" s="1">
        <v>39034.800000000003</v>
      </c>
      <c r="K3178" s="1">
        <v>11598.25</v>
      </c>
      <c r="L3178" s="1" t="s">
        <v>70</v>
      </c>
      <c r="M3178" s="1" t="str">
        <f>TEXT(Table1[[#This Row],[Order Date]],"mmm")</f>
        <v>Nov</v>
      </c>
      <c r="N3178" s="1">
        <f>YEAR(Table1[[#This Row],[Order Date]])</f>
        <v>2024</v>
      </c>
    </row>
    <row r="3179" spans="1:14" x14ac:dyDescent="0.35">
      <c r="A3179" s="1" t="s">
        <v>3972</v>
      </c>
      <c r="B3179" s="1" t="s">
        <v>1092</v>
      </c>
      <c r="C3179" s="1" t="s">
        <v>175</v>
      </c>
      <c r="D3179" s="1" t="s">
        <v>179</v>
      </c>
      <c r="E3179" s="1" t="s">
        <v>28</v>
      </c>
      <c r="F3179" s="1" t="s">
        <v>179</v>
      </c>
      <c r="G3179" s="1">
        <v>2</v>
      </c>
      <c r="H3179" s="1">
        <v>3995</v>
      </c>
      <c r="I3179" s="1">
        <v>0</v>
      </c>
      <c r="J3179" s="1">
        <v>7990</v>
      </c>
      <c r="K3179" s="1">
        <v>1405.15</v>
      </c>
      <c r="L3179" s="1" t="s">
        <v>17</v>
      </c>
      <c r="M3179" s="1" t="str">
        <f>TEXT(Table1[[#This Row],[Order Date]],"mmm")</f>
        <v>Feb</v>
      </c>
      <c r="N3179" s="1">
        <f>YEAR(Table1[[#This Row],[Order Date]])</f>
        <v>2024</v>
      </c>
    </row>
    <row r="3180" spans="1:14" x14ac:dyDescent="0.35">
      <c r="A3180" s="1" t="s">
        <v>3973</v>
      </c>
      <c r="B3180" s="1" t="s">
        <v>515</v>
      </c>
      <c r="C3180" s="1" t="s">
        <v>59</v>
      </c>
      <c r="D3180" s="1" t="s">
        <v>141</v>
      </c>
      <c r="E3180" s="1" t="s">
        <v>22</v>
      </c>
      <c r="F3180" s="1" t="s">
        <v>141</v>
      </c>
      <c r="G3180" s="1">
        <v>10</v>
      </c>
      <c r="H3180" s="1">
        <v>53915</v>
      </c>
      <c r="I3180" s="1">
        <v>0.05</v>
      </c>
      <c r="J3180" s="1">
        <v>512192.5</v>
      </c>
      <c r="K3180" s="1">
        <v>78505.14</v>
      </c>
      <c r="L3180" s="1" t="s">
        <v>17</v>
      </c>
      <c r="M3180" s="1" t="str">
        <f>TEXT(Table1[[#This Row],[Order Date]],"mmm")</f>
        <v>Apr</v>
      </c>
      <c r="N3180" s="1">
        <f>YEAR(Table1[[#This Row],[Order Date]])</f>
        <v>2024</v>
      </c>
    </row>
    <row r="3181" spans="1:14" x14ac:dyDescent="0.35">
      <c r="A3181" s="1" t="s">
        <v>3974</v>
      </c>
      <c r="B3181" s="1" t="s">
        <v>288</v>
      </c>
      <c r="C3181" s="1" t="s">
        <v>20</v>
      </c>
      <c r="D3181" s="1" t="s">
        <v>141</v>
      </c>
      <c r="E3181" s="1" t="s">
        <v>22</v>
      </c>
      <c r="F3181" s="1" t="s">
        <v>141</v>
      </c>
      <c r="G3181" s="1">
        <v>2</v>
      </c>
      <c r="H3181" s="1">
        <v>4449</v>
      </c>
      <c r="I3181" s="1">
        <v>0.05</v>
      </c>
      <c r="J3181" s="1">
        <v>8453.1</v>
      </c>
      <c r="K3181" s="1">
        <v>2012.44</v>
      </c>
      <c r="L3181" s="1" t="s">
        <v>70</v>
      </c>
      <c r="M3181" s="1" t="str">
        <f>TEXT(Table1[[#This Row],[Order Date]],"mmm")</f>
        <v>Jun</v>
      </c>
      <c r="N3181" s="1">
        <f>YEAR(Table1[[#This Row],[Order Date]])</f>
        <v>2024</v>
      </c>
    </row>
    <row r="3182" spans="1:14" x14ac:dyDescent="0.35">
      <c r="A3182" s="1" t="s">
        <v>3975</v>
      </c>
      <c r="B3182" s="1" t="s">
        <v>2000</v>
      </c>
      <c r="C3182" s="1" t="s">
        <v>40</v>
      </c>
      <c r="D3182" s="1" t="s">
        <v>91</v>
      </c>
      <c r="E3182" s="1" t="s">
        <v>16</v>
      </c>
      <c r="F3182" s="1" t="s">
        <v>91</v>
      </c>
      <c r="G3182" s="1">
        <v>10</v>
      </c>
      <c r="H3182" s="1">
        <v>31201</v>
      </c>
      <c r="I3182" s="1">
        <v>0</v>
      </c>
      <c r="J3182" s="1">
        <v>312010</v>
      </c>
      <c r="K3182" s="1">
        <v>44477.71</v>
      </c>
      <c r="L3182" s="1" t="s">
        <v>70</v>
      </c>
      <c r="M3182" s="1" t="str">
        <f>TEXT(Table1[[#This Row],[Order Date]],"mmm")</f>
        <v>Sep</v>
      </c>
      <c r="N3182" s="1">
        <f>YEAR(Table1[[#This Row],[Order Date]])</f>
        <v>2024</v>
      </c>
    </row>
    <row r="3183" spans="1:14" x14ac:dyDescent="0.35">
      <c r="A3183" s="1" t="s">
        <v>3976</v>
      </c>
      <c r="B3183" s="1" t="s">
        <v>1545</v>
      </c>
      <c r="C3183" s="1" t="s">
        <v>335</v>
      </c>
      <c r="D3183" s="1" t="s">
        <v>41</v>
      </c>
      <c r="E3183" s="1" t="s">
        <v>16</v>
      </c>
      <c r="F3183" s="1" t="s">
        <v>41</v>
      </c>
      <c r="G3183" s="1">
        <v>8</v>
      </c>
      <c r="H3183" s="1">
        <v>14454</v>
      </c>
      <c r="I3183" s="1">
        <v>0.05</v>
      </c>
      <c r="J3183" s="1">
        <v>109850.4</v>
      </c>
      <c r="K3183" s="1">
        <v>32885.199999999997</v>
      </c>
      <c r="L3183" s="1" t="s">
        <v>17</v>
      </c>
      <c r="M3183" s="1" t="str">
        <f>TEXT(Table1[[#This Row],[Order Date]],"mmm")</f>
        <v>May</v>
      </c>
      <c r="N3183" s="1">
        <f>YEAR(Table1[[#This Row],[Order Date]])</f>
        <v>2023</v>
      </c>
    </row>
    <row r="3184" spans="1:14" x14ac:dyDescent="0.35">
      <c r="A3184" s="1" t="s">
        <v>3977</v>
      </c>
      <c r="B3184" s="1" t="s">
        <v>2274</v>
      </c>
      <c r="C3184" s="1" t="s">
        <v>332</v>
      </c>
      <c r="D3184" s="1" t="s">
        <v>179</v>
      </c>
      <c r="E3184" s="1" t="s">
        <v>28</v>
      </c>
      <c r="F3184" s="1" t="s">
        <v>179</v>
      </c>
      <c r="G3184" s="1">
        <v>13</v>
      </c>
      <c r="H3184" s="1">
        <v>43832</v>
      </c>
      <c r="I3184" s="1">
        <v>0</v>
      </c>
      <c r="J3184" s="1">
        <v>569816</v>
      </c>
      <c r="K3184" s="1">
        <v>99368.54</v>
      </c>
      <c r="L3184" s="1" t="s">
        <v>17</v>
      </c>
      <c r="M3184" s="1" t="str">
        <f>TEXT(Table1[[#This Row],[Order Date]],"mmm")</f>
        <v>Jan</v>
      </c>
      <c r="N3184" s="1">
        <f>YEAR(Table1[[#This Row],[Order Date]])</f>
        <v>2024</v>
      </c>
    </row>
    <row r="3185" spans="1:14" x14ac:dyDescent="0.35">
      <c r="A3185" s="1" t="s">
        <v>3978</v>
      </c>
      <c r="B3185" s="1" t="s">
        <v>1140</v>
      </c>
      <c r="C3185" s="1" t="s">
        <v>188</v>
      </c>
      <c r="D3185" s="1" t="s">
        <v>179</v>
      </c>
      <c r="E3185" s="1" t="s">
        <v>28</v>
      </c>
      <c r="F3185" s="1" t="s">
        <v>179</v>
      </c>
      <c r="G3185" s="1">
        <v>1</v>
      </c>
      <c r="H3185" s="1">
        <v>42524</v>
      </c>
      <c r="I3185" s="1">
        <v>0</v>
      </c>
      <c r="J3185" s="1">
        <v>42524</v>
      </c>
      <c r="K3185" s="1">
        <v>4684.42</v>
      </c>
      <c r="L3185" s="1" t="s">
        <v>70</v>
      </c>
      <c r="M3185" s="1" t="str">
        <f>TEXT(Table1[[#This Row],[Order Date]],"mmm")</f>
        <v>May</v>
      </c>
      <c r="N3185" s="1">
        <f>YEAR(Table1[[#This Row],[Order Date]])</f>
        <v>2024</v>
      </c>
    </row>
    <row r="3186" spans="1:14" x14ac:dyDescent="0.35">
      <c r="A3186" s="1" t="s">
        <v>3979</v>
      </c>
      <c r="B3186" s="1" t="s">
        <v>848</v>
      </c>
      <c r="C3186" s="1" t="s">
        <v>117</v>
      </c>
      <c r="D3186" s="1" t="s">
        <v>52</v>
      </c>
      <c r="E3186" s="1" t="s">
        <v>28</v>
      </c>
      <c r="F3186" s="1" t="s">
        <v>52</v>
      </c>
      <c r="G3186" s="1">
        <v>2</v>
      </c>
      <c r="H3186" s="1">
        <v>40490</v>
      </c>
      <c r="I3186" s="1">
        <v>0.2</v>
      </c>
      <c r="J3186" s="1">
        <v>64784</v>
      </c>
      <c r="K3186" s="1">
        <v>16454.43</v>
      </c>
      <c r="L3186" s="1" t="s">
        <v>17</v>
      </c>
      <c r="M3186" s="1" t="str">
        <f>TEXT(Table1[[#This Row],[Order Date]],"mmm")</f>
        <v>Mar</v>
      </c>
      <c r="N3186" s="1">
        <f>YEAR(Table1[[#This Row],[Order Date]])</f>
        <v>2024</v>
      </c>
    </row>
    <row r="3187" spans="1:14" x14ac:dyDescent="0.35">
      <c r="A3187" s="1" t="s">
        <v>3980</v>
      </c>
      <c r="B3187" s="1" t="s">
        <v>513</v>
      </c>
      <c r="C3187" s="1" t="s">
        <v>104</v>
      </c>
      <c r="D3187" s="1" t="s">
        <v>32</v>
      </c>
      <c r="E3187" s="1" t="s">
        <v>33</v>
      </c>
      <c r="F3187" s="1" t="s">
        <v>32</v>
      </c>
      <c r="G3187" s="1">
        <v>15</v>
      </c>
      <c r="H3187" s="1">
        <v>48753</v>
      </c>
      <c r="I3187" s="1">
        <v>0.1</v>
      </c>
      <c r="J3187" s="1">
        <v>658165.5</v>
      </c>
      <c r="K3187" s="1">
        <v>141994.39000000001</v>
      </c>
      <c r="L3187" s="1" t="s">
        <v>17</v>
      </c>
      <c r="M3187" s="1" t="str">
        <f>TEXT(Table1[[#This Row],[Order Date]],"mmm")</f>
        <v>Sep</v>
      </c>
      <c r="N3187" s="1">
        <f>YEAR(Table1[[#This Row],[Order Date]])</f>
        <v>2023</v>
      </c>
    </row>
    <row r="3188" spans="1:14" x14ac:dyDescent="0.35">
      <c r="A3188" s="1" t="s">
        <v>3981</v>
      </c>
      <c r="B3188" s="1" t="s">
        <v>400</v>
      </c>
      <c r="C3188" s="1" t="s">
        <v>111</v>
      </c>
      <c r="D3188" s="1" t="s">
        <v>179</v>
      </c>
      <c r="E3188" s="1" t="s">
        <v>28</v>
      </c>
      <c r="F3188" s="1" t="s">
        <v>179</v>
      </c>
      <c r="G3188" s="1">
        <v>4</v>
      </c>
      <c r="H3188" s="1">
        <v>28949</v>
      </c>
      <c r="I3188" s="1">
        <v>0.05</v>
      </c>
      <c r="J3188" s="1">
        <v>110006.2</v>
      </c>
      <c r="K3188" s="1">
        <v>32602.82</v>
      </c>
      <c r="L3188" s="1" t="s">
        <v>17</v>
      </c>
      <c r="M3188" s="1" t="str">
        <f>TEXT(Table1[[#This Row],[Order Date]],"mmm")</f>
        <v>Aug</v>
      </c>
      <c r="N3188" s="1">
        <f>YEAR(Table1[[#This Row],[Order Date]])</f>
        <v>2023</v>
      </c>
    </row>
    <row r="3189" spans="1:14" x14ac:dyDescent="0.35">
      <c r="A3189" s="1" t="s">
        <v>3982</v>
      </c>
      <c r="B3189" s="1" t="s">
        <v>292</v>
      </c>
      <c r="C3189" s="1" t="s">
        <v>120</v>
      </c>
      <c r="D3189" s="1" t="s">
        <v>37</v>
      </c>
      <c r="E3189" s="1" t="s">
        <v>16</v>
      </c>
      <c r="F3189" s="1" t="s">
        <v>37</v>
      </c>
      <c r="G3189" s="1">
        <v>9</v>
      </c>
      <c r="H3189" s="1">
        <v>40869</v>
      </c>
      <c r="I3189" s="1">
        <v>0.05</v>
      </c>
      <c r="J3189" s="1">
        <v>349429.95</v>
      </c>
      <c r="K3189" s="1">
        <v>83524.33</v>
      </c>
      <c r="L3189" s="1" t="s">
        <v>17</v>
      </c>
      <c r="M3189" s="1" t="str">
        <f>TEXT(Table1[[#This Row],[Order Date]],"mmm")</f>
        <v>Aug</v>
      </c>
      <c r="N3189" s="1">
        <f>YEAR(Table1[[#This Row],[Order Date]])</f>
        <v>2024</v>
      </c>
    </row>
    <row r="3190" spans="1:14" x14ac:dyDescent="0.35">
      <c r="A3190" s="1" t="s">
        <v>3983</v>
      </c>
      <c r="B3190" s="1" t="s">
        <v>909</v>
      </c>
      <c r="C3190" s="1" t="s">
        <v>31</v>
      </c>
      <c r="D3190" s="1" t="s">
        <v>27</v>
      </c>
      <c r="E3190" s="1" t="s">
        <v>28</v>
      </c>
      <c r="F3190" s="1" t="s">
        <v>27</v>
      </c>
      <c r="G3190" s="1">
        <v>13</v>
      </c>
      <c r="H3190" s="1">
        <v>27656</v>
      </c>
      <c r="I3190" s="1">
        <v>0.1</v>
      </c>
      <c r="J3190" s="1">
        <v>323575.2</v>
      </c>
      <c r="K3190" s="1">
        <v>27192.53</v>
      </c>
      <c r="L3190" s="1" t="s">
        <v>23</v>
      </c>
      <c r="M3190" s="1" t="str">
        <f>TEXT(Table1[[#This Row],[Order Date]],"mmm")</f>
        <v>Sep</v>
      </c>
      <c r="N3190" s="1">
        <f>YEAR(Table1[[#This Row],[Order Date]])</f>
        <v>2024</v>
      </c>
    </row>
    <row r="3191" spans="1:14" x14ac:dyDescent="0.35">
      <c r="A3191" s="1" t="s">
        <v>3984</v>
      </c>
      <c r="B3191" s="1" t="s">
        <v>792</v>
      </c>
      <c r="C3191" s="1" t="s">
        <v>255</v>
      </c>
      <c r="D3191" s="1" t="s">
        <v>137</v>
      </c>
      <c r="E3191" s="1" t="s">
        <v>22</v>
      </c>
      <c r="F3191" s="1" t="s">
        <v>137</v>
      </c>
      <c r="G3191" s="1">
        <v>6</v>
      </c>
      <c r="H3191" s="1">
        <v>41224</v>
      </c>
      <c r="I3191" s="1">
        <v>0.2</v>
      </c>
      <c r="J3191" s="1">
        <v>197875.20000000001</v>
      </c>
      <c r="K3191" s="1">
        <v>25293.26</v>
      </c>
      <c r="L3191" s="1" t="s">
        <v>23</v>
      </c>
      <c r="M3191" s="1" t="str">
        <f>TEXT(Table1[[#This Row],[Order Date]],"mmm")</f>
        <v>Aug</v>
      </c>
      <c r="N3191" s="1">
        <f>YEAR(Table1[[#This Row],[Order Date]])</f>
        <v>2023</v>
      </c>
    </row>
    <row r="3192" spans="1:14" x14ac:dyDescent="0.35">
      <c r="A3192" s="1" t="s">
        <v>3985</v>
      </c>
      <c r="B3192" s="1" t="s">
        <v>2009</v>
      </c>
      <c r="C3192" s="1" t="s">
        <v>94</v>
      </c>
      <c r="D3192" s="1" t="s">
        <v>323</v>
      </c>
      <c r="E3192" s="1" t="s">
        <v>33</v>
      </c>
      <c r="F3192" s="1" t="s">
        <v>323</v>
      </c>
      <c r="G3192" s="1">
        <v>4</v>
      </c>
      <c r="H3192" s="1">
        <v>34997</v>
      </c>
      <c r="I3192" s="1">
        <v>0</v>
      </c>
      <c r="J3192" s="1">
        <v>139988</v>
      </c>
      <c r="K3192" s="1">
        <v>32165.72</v>
      </c>
      <c r="L3192" s="1" t="s">
        <v>23</v>
      </c>
      <c r="M3192" s="1" t="str">
        <f>TEXT(Table1[[#This Row],[Order Date]],"mmm")</f>
        <v>Jun</v>
      </c>
      <c r="N3192" s="1">
        <f>YEAR(Table1[[#This Row],[Order Date]])</f>
        <v>2024</v>
      </c>
    </row>
    <row r="3193" spans="1:14" x14ac:dyDescent="0.35">
      <c r="A3193" s="1" t="s">
        <v>3986</v>
      </c>
      <c r="B3193" s="1" t="s">
        <v>292</v>
      </c>
      <c r="C3193" s="1" t="s">
        <v>200</v>
      </c>
      <c r="D3193" s="1" t="s">
        <v>293</v>
      </c>
      <c r="E3193" s="1" t="s">
        <v>33</v>
      </c>
      <c r="F3193" s="1" t="s">
        <v>293</v>
      </c>
      <c r="G3193" s="1">
        <v>7</v>
      </c>
      <c r="H3193" s="1">
        <v>44113</v>
      </c>
      <c r="I3193" s="1">
        <v>0.05</v>
      </c>
      <c r="J3193" s="1">
        <v>293351.45</v>
      </c>
      <c r="K3193" s="1">
        <v>27814.82</v>
      </c>
      <c r="L3193" s="1" t="s">
        <v>45</v>
      </c>
      <c r="M3193" s="1" t="str">
        <f>TEXT(Table1[[#This Row],[Order Date]],"mmm")</f>
        <v>Aug</v>
      </c>
      <c r="N3193" s="1">
        <f>YEAR(Table1[[#This Row],[Order Date]])</f>
        <v>2024</v>
      </c>
    </row>
    <row r="3194" spans="1:14" x14ac:dyDescent="0.35">
      <c r="A3194" s="1" t="s">
        <v>3987</v>
      </c>
      <c r="B3194" s="1" t="s">
        <v>1080</v>
      </c>
      <c r="C3194" s="1" t="s">
        <v>63</v>
      </c>
      <c r="D3194" s="1" t="s">
        <v>48</v>
      </c>
      <c r="E3194" s="1" t="s">
        <v>16</v>
      </c>
      <c r="F3194" s="1" t="s">
        <v>48</v>
      </c>
      <c r="G3194" s="1">
        <v>13</v>
      </c>
      <c r="H3194" s="1">
        <v>3483</v>
      </c>
      <c r="I3194" s="1">
        <v>0.05</v>
      </c>
      <c r="J3194" s="1">
        <v>43015.05</v>
      </c>
      <c r="K3194" s="1">
        <v>4508.1099999999997</v>
      </c>
      <c r="L3194" s="1" t="s">
        <v>17</v>
      </c>
      <c r="M3194" s="1" t="str">
        <f>TEXT(Table1[[#This Row],[Order Date]],"mmm")</f>
        <v>Apr</v>
      </c>
      <c r="N3194" s="1">
        <f>YEAR(Table1[[#This Row],[Order Date]])</f>
        <v>2024</v>
      </c>
    </row>
    <row r="3195" spans="1:14" x14ac:dyDescent="0.35">
      <c r="A3195" s="1" t="s">
        <v>3988</v>
      </c>
      <c r="B3195" s="1" t="s">
        <v>657</v>
      </c>
      <c r="C3195" s="1" t="s">
        <v>170</v>
      </c>
      <c r="D3195" s="1" t="s">
        <v>293</v>
      </c>
      <c r="E3195" s="1" t="s">
        <v>33</v>
      </c>
      <c r="F3195" s="1" t="s">
        <v>293</v>
      </c>
      <c r="G3195" s="1">
        <v>5</v>
      </c>
      <c r="H3195" s="1">
        <v>1917</v>
      </c>
      <c r="I3195" s="1">
        <v>0.05</v>
      </c>
      <c r="J3195" s="1">
        <v>9105.75</v>
      </c>
      <c r="K3195" s="1">
        <v>811.81</v>
      </c>
      <c r="L3195" s="1" t="s">
        <v>70</v>
      </c>
      <c r="M3195" s="1" t="str">
        <f>TEXT(Table1[[#This Row],[Order Date]],"mmm")</f>
        <v>Jan</v>
      </c>
      <c r="N3195" s="1">
        <f>YEAR(Table1[[#This Row],[Order Date]])</f>
        <v>2024</v>
      </c>
    </row>
    <row r="3196" spans="1:14" x14ac:dyDescent="0.35">
      <c r="A3196" s="1" t="s">
        <v>3989</v>
      </c>
      <c r="B3196" s="1" t="s">
        <v>1496</v>
      </c>
      <c r="C3196" s="1" t="s">
        <v>88</v>
      </c>
      <c r="D3196" s="1" t="s">
        <v>27</v>
      </c>
      <c r="E3196" s="1" t="s">
        <v>28</v>
      </c>
      <c r="F3196" s="1" t="s">
        <v>27</v>
      </c>
      <c r="G3196" s="1">
        <v>13</v>
      </c>
      <c r="H3196" s="1">
        <v>26638</v>
      </c>
      <c r="I3196" s="1">
        <v>0.1</v>
      </c>
      <c r="J3196" s="1">
        <v>311664.59999999998</v>
      </c>
      <c r="K3196" s="1">
        <v>44152.63</v>
      </c>
      <c r="L3196" s="1" t="s">
        <v>17</v>
      </c>
      <c r="M3196" s="1" t="str">
        <f>TEXT(Table1[[#This Row],[Order Date]],"mmm")</f>
        <v>Jan</v>
      </c>
      <c r="N3196" s="1">
        <f>YEAR(Table1[[#This Row],[Order Date]])</f>
        <v>2024</v>
      </c>
    </row>
    <row r="3197" spans="1:14" x14ac:dyDescent="0.35">
      <c r="A3197" s="1" t="s">
        <v>3990</v>
      </c>
      <c r="B3197" s="1" t="s">
        <v>963</v>
      </c>
      <c r="C3197" s="1" t="s">
        <v>140</v>
      </c>
      <c r="D3197" s="1" t="s">
        <v>37</v>
      </c>
      <c r="E3197" s="1" t="s">
        <v>16</v>
      </c>
      <c r="F3197" s="1" t="s">
        <v>37</v>
      </c>
      <c r="G3197" s="1">
        <v>15</v>
      </c>
      <c r="H3197" s="1">
        <v>27893</v>
      </c>
      <c r="I3197" s="1">
        <v>0</v>
      </c>
      <c r="J3197" s="1">
        <v>418395</v>
      </c>
      <c r="K3197" s="1">
        <v>100522.41</v>
      </c>
      <c r="L3197" s="1" t="s">
        <v>17</v>
      </c>
      <c r="M3197" s="1" t="str">
        <f>TEXT(Table1[[#This Row],[Order Date]],"mmm")</f>
        <v>Oct</v>
      </c>
      <c r="N3197" s="1">
        <f>YEAR(Table1[[#This Row],[Order Date]])</f>
        <v>2024</v>
      </c>
    </row>
    <row r="3198" spans="1:14" x14ac:dyDescent="0.35">
      <c r="A3198" s="1" t="s">
        <v>3991</v>
      </c>
      <c r="B3198" s="1" t="s">
        <v>1227</v>
      </c>
      <c r="C3198" s="1" t="s">
        <v>36</v>
      </c>
      <c r="D3198" s="1" t="s">
        <v>108</v>
      </c>
      <c r="E3198" s="1" t="s">
        <v>22</v>
      </c>
      <c r="F3198" s="1" t="s">
        <v>108</v>
      </c>
      <c r="G3198" s="1">
        <v>6</v>
      </c>
      <c r="H3198" s="1">
        <v>30614</v>
      </c>
      <c r="I3198" s="1">
        <v>0.2</v>
      </c>
      <c r="J3198" s="1">
        <v>146947.20000000001</v>
      </c>
      <c r="K3198" s="1">
        <v>26399.16</v>
      </c>
      <c r="L3198" s="1" t="s">
        <v>23</v>
      </c>
      <c r="M3198" s="1" t="str">
        <f>TEXT(Table1[[#This Row],[Order Date]],"mmm")</f>
        <v>Apr</v>
      </c>
      <c r="N3198" s="1">
        <f>YEAR(Table1[[#This Row],[Order Date]])</f>
        <v>2023</v>
      </c>
    </row>
    <row r="3199" spans="1:14" x14ac:dyDescent="0.35">
      <c r="A3199" s="1" t="s">
        <v>3992</v>
      </c>
      <c r="B3199" s="1" t="s">
        <v>2340</v>
      </c>
      <c r="C3199" s="1" t="s">
        <v>191</v>
      </c>
      <c r="D3199" s="1" t="s">
        <v>15</v>
      </c>
      <c r="E3199" s="1" t="s">
        <v>16</v>
      </c>
      <c r="F3199" s="1" t="s">
        <v>15</v>
      </c>
      <c r="G3199" s="1">
        <v>2</v>
      </c>
      <c r="H3199" s="1">
        <v>20985</v>
      </c>
      <c r="I3199" s="1">
        <v>0</v>
      </c>
      <c r="J3199" s="1">
        <v>41970</v>
      </c>
      <c r="K3199" s="1">
        <v>8781.2900000000009</v>
      </c>
      <c r="L3199" s="1" t="s">
        <v>23</v>
      </c>
      <c r="M3199" s="1" t="str">
        <f>TEXT(Table1[[#This Row],[Order Date]],"mmm")</f>
        <v>Sep</v>
      </c>
      <c r="N3199" s="1">
        <f>YEAR(Table1[[#This Row],[Order Date]])</f>
        <v>2023</v>
      </c>
    </row>
    <row r="3200" spans="1:14" x14ac:dyDescent="0.35">
      <c r="A3200" s="1" t="s">
        <v>3993</v>
      </c>
      <c r="B3200" s="1" t="s">
        <v>119</v>
      </c>
      <c r="C3200" s="1" t="s">
        <v>332</v>
      </c>
      <c r="D3200" s="1" t="s">
        <v>85</v>
      </c>
      <c r="E3200" s="1" t="s">
        <v>28</v>
      </c>
      <c r="F3200" s="1" t="s">
        <v>85</v>
      </c>
      <c r="G3200" s="1">
        <v>12</v>
      </c>
      <c r="H3200" s="1">
        <v>49305</v>
      </c>
      <c r="I3200" s="1">
        <v>0</v>
      </c>
      <c r="J3200" s="1">
        <v>591660</v>
      </c>
      <c r="K3200" s="1">
        <v>61806.12</v>
      </c>
      <c r="L3200" s="1" t="s">
        <v>23</v>
      </c>
      <c r="M3200" s="1" t="str">
        <f>TEXT(Table1[[#This Row],[Order Date]],"mmm")</f>
        <v>Apr</v>
      </c>
      <c r="N3200" s="1">
        <f>YEAR(Table1[[#This Row],[Order Date]])</f>
        <v>2024</v>
      </c>
    </row>
    <row r="3201" spans="1:14" x14ac:dyDescent="0.35">
      <c r="A3201" s="1" t="s">
        <v>3994</v>
      </c>
      <c r="B3201" s="1" t="s">
        <v>2161</v>
      </c>
      <c r="C3201" s="1" t="s">
        <v>370</v>
      </c>
      <c r="D3201" s="1" t="s">
        <v>44</v>
      </c>
      <c r="E3201" s="1" t="s">
        <v>28</v>
      </c>
      <c r="F3201" s="1" t="s">
        <v>44</v>
      </c>
      <c r="G3201" s="1">
        <v>11</v>
      </c>
      <c r="H3201" s="1">
        <v>58064</v>
      </c>
      <c r="I3201" s="1">
        <v>0.2</v>
      </c>
      <c r="J3201" s="1">
        <v>510963.20000000001</v>
      </c>
      <c r="K3201" s="1">
        <v>78405.460000000006</v>
      </c>
      <c r="L3201" s="1" t="s">
        <v>45</v>
      </c>
      <c r="M3201" s="1" t="str">
        <f>TEXT(Table1[[#This Row],[Order Date]],"mmm")</f>
        <v>Sep</v>
      </c>
      <c r="N3201" s="1">
        <f>YEAR(Table1[[#This Row],[Order Date]])</f>
        <v>2023</v>
      </c>
    </row>
    <row r="3202" spans="1:14" x14ac:dyDescent="0.35">
      <c r="A3202" s="1" t="s">
        <v>3995</v>
      </c>
      <c r="B3202" s="1" t="s">
        <v>190</v>
      </c>
      <c r="C3202" s="1" t="s">
        <v>178</v>
      </c>
      <c r="D3202" s="1" t="s">
        <v>52</v>
      </c>
      <c r="E3202" s="1" t="s">
        <v>28</v>
      </c>
      <c r="F3202" s="1" t="s">
        <v>52</v>
      </c>
      <c r="G3202" s="1">
        <v>1</v>
      </c>
      <c r="H3202" s="1">
        <v>40544</v>
      </c>
      <c r="I3202" s="1">
        <v>0.15</v>
      </c>
      <c r="J3202" s="1">
        <v>34462.400000000001</v>
      </c>
      <c r="K3202" s="1">
        <v>3677.85</v>
      </c>
      <c r="L3202" s="1" t="s">
        <v>70</v>
      </c>
      <c r="M3202" s="1" t="str">
        <f>TEXT(Table1[[#This Row],[Order Date]],"mmm")</f>
        <v>Mar</v>
      </c>
      <c r="N3202" s="1">
        <f>YEAR(Table1[[#This Row],[Order Date]])</f>
        <v>2024</v>
      </c>
    </row>
    <row r="3203" spans="1:14" x14ac:dyDescent="0.35">
      <c r="A3203" s="1" t="s">
        <v>3996</v>
      </c>
      <c r="B3203" s="1" t="s">
        <v>425</v>
      </c>
      <c r="C3203" s="1" t="s">
        <v>370</v>
      </c>
      <c r="D3203" s="1" t="s">
        <v>27</v>
      </c>
      <c r="E3203" s="1" t="s">
        <v>28</v>
      </c>
      <c r="F3203" s="1" t="s">
        <v>27</v>
      </c>
      <c r="G3203" s="1">
        <v>3</v>
      </c>
      <c r="H3203" s="1">
        <v>18272</v>
      </c>
      <c r="I3203" s="1">
        <v>0.1</v>
      </c>
      <c r="J3203" s="1">
        <v>49334.400000000001</v>
      </c>
      <c r="K3203" s="1">
        <v>6370.29</v>
      </c>
      <c r="L3203" s="1" t="s">
        <v>70</v>
      </c>
      <c r="M3203" s="1" t="str">
        <f>TEXT(Table1[[#This Row],[Order Date]],"mmm")</f>
        <v>Oct</v>
      </c>
      <c r="N3203" s="1">
        <f>YEAR(Table1[[#This Row],[Order Date]])</f>
        <v>2024</v>
      </c>
    </row>
    <row r="3204" spans="1:14" x14ac:dyDescent="0.35">
      <c r="A3204" s="1" t="s">
        <v>3997</v>
      </c>
      <c r="B3204" s="1" t="s">
        <v>1013</v>
      </c>
      <c r="C3204" s="1" t="s">
        <v>67</v>
      </c>
      <c r="D3204" s="1" t="s">
        <v>179</v>
      </c>
      <c r="E3204" s="1" t="s">
        <v>28</v>
      </c>
      <c r="F3204" s="1" t="s">
        <v>179</v>
      </c>
      <c r="G3204" s="1">
        <v>8</v>
      </c>
      <c r="H3204" s="1">
        <v>46241</v>
      </c>
      <c r="I3204" s="1">
        <v>0.2</v>
      </c>
      <c r="J3204" s="1">
        <v>295942.40000000002</v>
      </c>
      <c r="K3204" s="1">
        <v>63119.35</v>
      </c>
      <c r="L3204" s="1" t="s">
        <v>17</v>
      </c>
      <c r="M3204" s="1" t="str">
        <f>TEXT(Table1[[#This Row],[Order Date]],"mmm")</f>
        <v>Sep</v>
      </c>
      <c r="N3204" s="1">
        <f>YEAR(Table1[[#This Row],[Order Date]])</f>
        <v>2023</v>
      </c>
    </row>
    <row r="3205" spans="1:14" x14ac:dyDescent="0.35">
      <c r="A3205" s="1" t="s">
        <v>3998</v>
      </c>
      <c r="B3205" s="1" t="s">
        <v>30</v>
      </c>
      <c r="C3205" s="1" t="s">
        <v>155</v>
      </c>
      <c r="D3205" s="1" t="s">
        <v>27</v>
      </c>
      <c r="E3205" s="1" t="s">
        <v>28</v>
      </c>
      <c r="F3205" s="1" t="s">
        <v>27</v>
      </c>
      <c r="G3205" s="1">
        <v>14</v>
      </c>
      <c r="H3205" s="1">
        <v>13804</v>
      </c>
      <c r="I3205" s="1">
        <v>0</v>
      </c>
      <c r="J3205" s="1">
        <v>193256</v>
      </c>
      <c r="K3205" s="1">
        <v>16314.1</v>
      </c>
      <c r="L3205" s="1" t="s">
        <v>23</v>
      </c>
      <c r="M3205" s="1" t="str">
        <f>TEXT(Table1[[#This Row],[Order Date]],"mmm")</f>
        <v>Apr</v>
      </c>
      <c r="N3205" s="1">
        <f>YEAR(Table1[[#This Row],[Order Date]])</f>
        <v>2023</v>
      </c>
    </row>
    <row r="3206" spans="1:14" x14ac:dyDescent="0.35">
      <c r="A3206" s="1" t="s">
        <v>3999</v>
      </c>
      <c r="B3206" s="1" t="s">
        <v>3395</v>
      </c>
      <c r="C3206" s="1" t="s">
        <v>370</v>
      </c>
      <c r="D3206" s="1" t="s">
        <v>37</v>
      </c>
      <c r="E3206" s="1" t="s">
        <v>16</v>
      </c>
      <c r="F3206" s="1" t="s">
        <v>37</v>
      </c>
      <c r="G3206" s="1">
        <v>4</v>
      </c>
      <c r="H3206" s="1">
        <v>22613</v>
      </c>
      <c r="I3206" s="1">
        <v>0.05</v>
      </c>
      <c r="J3206" s="1">
        <v>85929.4</v>
      </c>
      <c r="K3206" s="1">
        <v>12926.41</v>
      </c>
      <c r="L3206" s="1" t="s">
        <v>45</v>
      </c>
      <c r="M3206" s="1" t="str">
        <f>TEXT(Table1[[#This Row],[Order Date]],"mmm")</f>
        <v>Feb</v>
      </c>
      <c r="N3206" s="1">
        <f>YEAR(Table1[[#This Row],[Order Date]])</f>
        <v>2023</v>
      </c>
    </row>
    <row r="3207" spans="1:14" x14ac:dyDescent="0.35">
      <c r="A3207" s="1" t="s">
        <v>4000</v>
      </c>
      <c r="B3207" s="1" t="s">
        <v>504</v>
      </c>
      <c r="C3207" s="1" t="s">
        <v>77</v>
      </c>
      <c r="D3207" s="1" t="s">
        <v>179</v>
      </c>
      <c r="E3207" s="1" t="s">
        <v>28</v>
      </c>
      <c r="F3207" s="1" t="s">
        <v>179</v>
      </c>
      <c r="G3207" s="1">
        <v>6</v>
      </c>
      <c r="H3207" s="1">
        <v>25442</v>
      </c>
      <c r="I3207" s="1">
        <v>0.1</v>
      </c>
      <c r="J3207" s="1">
        <v>137386.79999999999</v>
      </c>
      <c r="K3207" s="1">
        <v>38793.839999999997</v>
      </c>
      <c r="L3207" s="1" t="s">
        <v>23</v>
      </c>
      <c r="M3207" s="1" t="str">
        <f>TEXT(Table1[[#This Row],[Order Date]],"mmm")</f>
        <v>Aug</v>
      </c>
      <c r="N3207" s="1">
        <f>YEAR(Table1[[#This Row],[Order Date]])</f>
        <v>2023</v>
      </c>
    </row>
    <row r="3208" spans="1:14" x14ac:dyDescent="0.35">
      <c r="A3208" s="1" t="s">
        <v>4001</v>
      </c>
      <c r="B3208" s="1" t="s">
        <v>1629</v>
      </c>
      <c r="C3208" s="1" t="s">
        <v>158</v>
      </c>
      <c r="D3208" s="1" t="s">
        <v>60</v>
      </c>
      <c r="E3208" s="1" t="s">
        <v>33</v>
      </c>
      <c r="F3208" s="1" t="s">
        <v>60</v>
      </c>
      <c r="G3208" s="1">
        <v>14</v>
      </c>
      <c r="H3208" s="1">
        <v>8434</v>
      </c>
      <c r="I3208" s="1">
        <v>0</v>
      </c>
      <c r="J3208" s="1">
        <v>118076</v>
      </c>
      <c r="K3208" s="1">
        <v>15454.19</v>
      </c>
      <c r="L3208" s="1" t="s">
        <v>70</v>
      </c>
      <c r="M3208" s="1" t="str">
        <f>TEXT(Table1[[#This Row],[Order Date]],"mmm")</f>
        <v>Jan</v>
      </c>
      <c r="N3208" s="1">
        <f>YEAR(Table1[[#This Row],[Order Date]])</f>
        <v>2023</v>
      </c>
    </row>
    <row r="3209" spans="1:14" x14ac:dyDescent="0.35">
      <c r="A3209" s="1" t="s">
        <v>4002</v>
      </c>
      <c r="B3209" s="1" t="s">
        <v>2601</v>
      </c>
      <c r="C3209" s="1" t="s">
        <v>128</v>
      </c>
      <c r="D3209" s="1" t="s">
        <v>37</v>
      </c>
      <c r="E3209" s="1" t="s">
        <v>16</v>
      </c>
      <c r="F3209" s="1" t="s">
        <v>37</v>
      </c>
      <c r="G3209" s="1">
        <v>9</v>
      </c>
      <c r="H3209" s="1">
        <v>14522</v>
      </c>
      <c r="I3209" s="1">
        <v>0.05</v>
      </c>
      <c r="J3209" s="1">
        <v>124163.1</v>
      </c>
      <c r="K3209" s="1">
        <v>22789.63</v>
      </c>
      <c r="L3209" s="1" t="s">
        <v>23</v>
      </c>
      <c r="M3209" s="1" t="str">
        <f>TEXT(Table1[[#This Row],[Order Date]],"mmm")</f>
        <v>Aug</v>
      </c>
      <c r="N3209" s="1">
        <f>YEAR(Table1[[#This Row],[Order Date]])</f>
        <v>2023</v>
      </c>
    </row>
    <row r="3210" spans="1:14" x14ac:dyDescent="0.35">
      <c r="A3210" s="1" t="s">
        <v>4003</v>
      </c>
      <c r="B3210" s="1" t="s">
        <v>197</v>
      </c>
      <c r="C3210" s="1" t="s">
        <v>94</v>
      </c>
      <c r="D3210" s="1" t="s">
        <v>15</v>
      </c>
      <c r="E3210" s="1" t="s">
        <v>16</v>
      </c>
      <c r="F3210" s="1" t="s">
        <v>15</v>
      </c>
      <c r="G3210" s="1">
        <v>1</v>
      </c>
      <c r="H3210" s="1">
        <v>38284</v>
      </c>
      <c r="I3210" s="1">
        <v>0.15</v>
      </c>
      <c r="J3210" s="1">
        <v>32541.4</v>
      </c>
      <c r="K3210" s="1">
        <v>6133.9</v>
      </c>
      <c r="L3210" s="1" t="s">
        <v>45</v>
      </c>
      <c r="M3210" s="1" t="str">
        <f>TEXT(Table1[[#This Row],[Order Date]],"mmm")</f>
        <v>Feb</v>
      </c>
      <c r="N3210" s="1">
        <f>YEAR(Table1[[#This Row],[Order Date]])</f>
        <v>2024</v>
      </c>
    </row>
    <row r="3211" spans="1:14" x14ac:dyDescent="0.35">
      <c r="A3211" s="1" t="s">
        <v>4004</v>
      </c>
      <c r="B3211" s="1" t="s">
        <v>603</v>
      </c>
      <c r="C3211" s="1" t="s">
        <v>255</v>
      </c>
      <c r="D3211" s="1" t="s">
        <v>293</v>
      </c>
      <c r="E3211" s="1" t="s">
        <v>33</v>
      </c>
      <c r="F3211" s="1" t="s">
        <v>293</v>
      </c>
      <c r="G3211" s="1">
        <v>5</v>
      </c>
      <c r="H3211" s="1">
        <v>4446</v>
      </c>
      <c r="I3211" s="1">
        <v>0</v>
      </c>
      <c r="J3211" s="1">
        <v>22230</v>
      </c>
      <c r="K3211" s="1">
        <v>6540.01</v>
      </c>
      <c r="L3211" s="1" t="s">
        <v>70</v>
      </c>
      <c r="M3211" s="1" t="str">
        <f>TEXT(Table1[[#This Row],[Order Date]],"mmm")</f>
        <v>Dec</v>
      </c>
      <c r="N3211" s="1">
        <f>YEAR(Table1[[#This Row],[Order Date]])</f>
        <v>2023</v>
      </c>
    </row>
    <row r="3212" spans="1:14" x14ac:dyDescent="0.35">
      <c r="A3212" s="1" t="s">
        <v>4005</v>
      </c>
      <c r="B3212" s="1" t="s">
        <v>1716</v>
      </c>
      <c r="C3212" s="1" t="s">
        <v>255</v>
      </c>
      <c r="D3212" s="1" t="s">
        <v>95</v>
      </c>
      <c r="E3212" s="1" t="s">
        <v>33</v>
      </c>
      <c r="F3212" s="1" t="s">
        <v>95</v>
      </c>
      <c r="G3212" s="1">
        <v>12</v>
      </c>
      <c r="H3212" s="1">
        <v>13530</v>
      </c>
      <c r="I3212" s="1">
        <v>0.1</v>
      </c>
      <c r="J3212" s="1">
        <v>146124</v>
      </c>
      <c r="K3212" s="1">
        <v>40172.74</v>
      </c>
      <c r="L3212" s="1" t="s">
        <v>70</v>
      </c>
      <c r="M3212" s="1" t="str">
        <f>TEXT(Table1[[#This Row],[Order Date]],"mmm")</f>
        <v>Jul</v>
      </c>
      <c r="N3212" s="1">
        <f>YEAR(Table1[[#This Row],[Order Date]])</f>
        <v>2024</v>
      </c>
    </row>
    <row r="3213" spans="1:14" x14ac:dyDescent="0.35">
      <c r="A3213" s="1" t="s">
        <v>4006</v>
      </c>
      <c r="B3213" s="1" t="s">
        <v>3080</v>
      </c>
      <c r="C3213" s="1" t="s">
        <v>640</v>
      </c>
      <c r="D3213" s="1" t="s">
        <v>323</v>
      </c>
      <c r="E3213" s="1" t="s">
        <v>33</v>
      </c>
      <c r="F3213" s="1" t="s">
        <v>323</v>
      </c>
      <c r="G3213" s="1">
        <v>13</v>
      </c>
      <c r="H3213" s="1">
        <v>43385</v>
      </c>
      <c r="I3213" s="1">
        <v>0</v>
      </c>
      <c r="J3213" s="1">
        <v>564005</v>
      </c>
      <c r="K3213" s="1">
        <v>60484.05</v>
      </c>
      <c r="L3213" s="1" t="s">
        <v>70</v>
      </c>
      <c r="M3213" s="1" t="str">
        <f>TEXT(Table1[[#This Row],[Order Date]],"mmm")</f>
        <v>Oct</v>
      </c>
      <c r="N3213" s="1">
        <f>YEAR(Table1[[#This Row],[Order Date]])</f>
        <v>2024</v>
      </c>
    </row>
    <row r="3214" spans="1:14" x14ac:dyDescent="0.35">
      <c r="A3214" s="1" t="s">
        <v>4007</v>
      </c>
      <c r="B3214" s="1" t="s">
        <v>238</v>
      </c>
      <c r="C3214" s="1" t="s">
        <v>88</v>
      </c>
      <c r="D3214" s="1" t="s">
        <v>64</v>
      </c>
      <c r="E3214" s="1" t="s">
        <v>33</v>
      </c>
      <c r="F3214" s="1" t="s">
        <v>64</v>
      </c>
      <c r="G3214" s="1">
        <v>2</v>
      </c>
      <c r="H3214" s="1">
        <v>38085</v>
      </c>
      <c r="I3214" s="1">
        <v>0.2</v>
      </c>
      <c r="J3214" s="1">
        <v>60936</v>
      </c>
      <c r="K3214" s="1">
        <v>14851.68</v>
      </c>
      <c r="L3214" s="1" t="s">
        <v>45</v>
      </c>
      <c r="M3214" s="1" t="str">
        <f>TEXT(Table1[[#This Row],[Order Date]],"mmm")</f>
        <v>Dec</v>
      </c>
      <c r="N3214" s="1">
        <f>YEAR(Table1[[#This Row],[Order Date]])</f>
        <v>2023</v>
      </c>
    </row>
    <row r="3215" spans="1:14" x14ac:dyDescent="0.35">
      <c r="A3215" s="1" t="s">
        <v>4008</v>
      </c>
      <c r="B3215" s="1" t="s">
        <v>1359</v>
      </c>
      <c r="C3215" s="1" t="s">
        <v>162</v>
      </c>
      <c r="D3215" s="1" t="s">
        <v>114</v>
      </c>
      <c r="E3215" s="1" t="s">
        <v>16</v>
      </c>
      <c r="F3215" s="1" t="s">
        <v>114</v>
      </c>
      <c r="G3215" s="1">
        <v>5</v>
      </c>
      <c r="H3215" s="1">
        <v>47377</v>
      </c>
      <c r="I3215" s="1">
        <v>0</v>
      </c>
      <c r="J3215" s="1">
        <v>236885</v>
      </c>
      <c r="K3215" s="1">
        <v>37177.14</v>
      </c>
      <c r="L3215" s="1" t="s">
        <v>70</v>
      </c>
      <c r="M3215" s="1" t="str">
        <f>TEXT(Table1[[#This Row],[Order Date]],"mmm")</f>
        <v>Jul</v>
      </c>
      <c r="N3215" s="1">
        <f>YEAR(Table1[[#This Row],[Order Date]])</f>
        <v>2023</v>
      </c>
    </row>
    <row r="3216" spans="1:14" x14ac:dyDescent="0.35">
      <c r="A3216" s="1" t="s">
        <v>4009</v>
      </c>
      <c r="B3216" s="1" t="s">
        <v>3054</v>
      </c>
      <c r="C3216" s="1" t="s">
        <v>191</v>
      </c>
      <c r="D3216" s="1" t="s">
        <v>74</v>
      </c>
      <c r="E3216" s="1" t="s">
        <v>22</v>
      </c>
      <c r="F3216" s="1" t="s">
        <v>74</v>
      </c>
      <c r="G3216" s="1">
        <v>3</v>
      </c>
      <c r="H3216" s="1">
        <v>48666</v>
      </c>
      <c r="I3216" s="1">
        <v>0.1</v>
      </c>
      <c r="J3216" s="1">
        <v>131398.20000000001</v>
      </c>
      <c r="K3216" s="1">
        <v>13810.63</v>
      </c>
      <c r="L3216" s="1" t="s">
        <v>17</v>
      </c>
      <c r="M3216" s="1" t="str">
        <f>TEXT(Table1[[#This Row],[Order Date]],"mmm")</f>
        <v>Oct</v>
      </c>
      <c r="N3216" s="1">
        <f>YEAR(Table1[[#This Row],[Order Date]])</f>
        <v>2024</v>
      </c>
    </row>
    <row r="3217" spans="1:14" x14ac:dyDescent="0.35">
      <c r="A3217" s="1" t="s">
        <v>4010</v>
      </c>
      <c r="B3217" s="1" t="s">
        <v>1948</v>
      </c>
      <c r="C3217" s="1" t="s">
        <v>26</v>
      </c>
      <c r="D3217" s="1" t="s">
        <v>41</v>
      </c>
      <c r="E3217" s="1" t="s">
        <v>16</v>
      </c>
      <c r="F3217" s="1" t="s">
        <v>41</v>
      </c>
      <c r="G3217" s="1">
        <v>8</v>
      </c>
      <c r="H3217" s="1">
        <v>18517</v>
      </c>
      <c r="I3217" s="1">
        <v>0.1</v>
      </c>
      <c r="J3217" s="1">
        <v>133322.4</v>
      </c>
      <c r="K3217" s="1">
        <v>14080.83</v>
      </c>
      <c r="L3217" s="1" t="s">
        <v>23</v>
      </c>
      <c r="M3217" s="1" t="str">
        <f>TEXT(Table1[[#This Row],[Order Date]],"mmm")</f>
        <v>Dec</v>
      </c>
      <c r="N3217" s="1">
        <f>YEAR(Table1[[#This Row],[Order Date]])</f>
        <v>2023</v>
      </c>
    </row>
    <row r="3218" spans="1:14" x14ac:dyDescent="0.35">
      <c r="A3218" s="1" t="s">
        <v>4011</v>
      </c>
      <c r="B3218" s="1" t="s">
        <v>475</v>
      </c>
      <c r="C3218" s="1" t="s">
        <v>370</v>
      </c>
      <c r="D3218" s="1" t="s">
        <v>37</v>
      </c>
      <c r="E3218" s="1" t="s">
        <v>16</v>
      </c>
      <c r="F3218" s="1" t="s">
        <v>37</v>
      </c>
      <c r="G3218" s="1">
        <v>11</v>
      </c>
      <c r="H3218" s="1">
        <v>40489</v>
      </c>
      <c r="I3218" s="1">
        <v>0.15</v>
      </c>
      <c r="J3218" s="1">
        <v>378572.15</v>
      </c>
      <c r="K3218" s="1">
        <v>94959.74</v>
      </c>
      <c r="L3218" s="1" t="s">
        <v>23</v>
      </c>
      <c r="M3218" s="1" t="str">
        <f>TEXT(Table1[[#This Row],[Order Date]],"mmm")</f>
        <v>Jun</v>
      </c>
      <c r="N3218" s="1">
        <f>YEAR(Table1[[#This Row],[Order Date]])</f>
        <v>2023</v>
      </c>
    </row>
    <row r="3219" spans="1:14" x14ac:dyDescent="0.35">
      <c r="A3219" s="1" t="s">
        <v>4012</v>
      </c>
      <c r="B3219" s="1" t="s">
        <v>1301</v>
      </c>
      <c r="C3219" s="1" t="s">
        <v>362</v>
      </c>
      <c r="D3219" s="1" t="s">
        <v>56</v>
      </c>
      <c r="E3219" s="1" t="s">
        <v>22</v>
      </c>
      <c r="F3219" s="1" t="s">
        <v>56</v>
      </c>
      <c r="G3219" s="1">
        <v>12</v>
      </c>
      <c r="H3219" s="1">
        <v>31067</v>
      </c>
      <c r="I3219" s="1">
        <v>0.15</v>
      </c>
      <c r="J3219" s="1">
        <v>316883.40000000002</v>
      </c>
      <c r="K3219" s="1">
        <v>31649.05</v>
      </c>
      <c r="L3219" s="1" t="s">
        <v>70</v>
      </c>
      <c r="M3219" s="1" t="str">
        <f>TEXT(Table1[[#This Row],[Order Date]],"mmm")</f>
        <v>Jul</v>
      </c>
      <c r="N3219" s="1">
        <f>YEAR(Table1[[#This Row],[Order Date]])</f>
        <v>2024</v>
      </c>
    </row>
    <row r="3220" spans="1:14" x14ac:dyDescent="0.35">
      <c r="A3220" s="1" t="s">
        <v>4013</v>
      </c>
      <c r="B3220" s="1" t="s">
        <v>2092</v>
      </c>
      <c r="C3220" s="1" t="s">
        <v>158</v>
      </c>
      <c r="D3220" s="1" t="s">
        <v>60</v>
      </c>
      <c r="E3220" s="1" t="s">
        <v>33</v>
      </c>
      <c r="F3220" s="1" t="s">
        <v>60</v>
      </c>
      <c r="G3220" s="1">
        <v>2</v>
      </c>
      <c r="H3220" s="1">
        <v>22128</v>
      </c>
      <c r="I3220" s="1">
        <v>0.1</v>
      </c>
      <c r="J3220" s="1">
        <v>39830.400000000001</v>
      </c>
      <c r="K3220" s="1">
        <v>8140.02</v>
      </c>
      <c r="L3220" s="1" t="s">
        <v>17</v>
      </c>
      <c r="M3220" s="1" t="str">
        <f>TEXT(Table1[[#This Row],[Order Date]],"mmm")</f>
        <v>Feb</v>
      </c>
      <c r="N3220" s="1">
        <f>YEAR(Table1[[#This Row],[Order Date]])</f>
        <v>2024</v>
      </c>
    </row>
    <row r="3221" spans="1:14" x14ac:dyDescent="0.35">
      <c r="A3221" s="1" t="s">
        <v>4014</v>
      </c>
      <c r="B3221" s="1" t="s">
        <v>1537</v>
      </c>
      <c r="C3221" s="1" t="s">
        <v>140</v>
      </c>
      <c r="D3221" s="1" t="s">
        <v>27</v>
      </c>
      <c r="E3221" s="1" t="s">
        <v>28</v>
      </c>
      <c r="F3221" s="1" t="s">
        <v>27</v>
      </c>
      <c r="G3221" s="1">
        <v>2</v>
      </c>
      <c r="H3221" s="1">
        <v>24352</v>
      </c>
      <c r="I3221" s="1">
        <v>0.05</v>
      </c>
      <c r="J3221" s="1">
        <v>46268.800000000003</v>
      </c>
      <c r="K3221" s="1">
        <v>8317.59</v>
      </c>
      <c r="L3221" s="1" t="s">
        <v>17</v>
      </c>
      <c r="M3221" s="1" t="str">
        <f>TEXT(Table1[[#This Row],[Order Date]],"mmm")</f>
        <v>Jan</v>
      </c>
      <c r="N3221" s="1">
        <f>YEAR(Table1[[#This Row],[Order Date]])</f>
        <v>2023</v>
      </c>
    </row>
    <row r="3222" spans="1:14" x14ac:dyDescent="0.35">
      <c r="A3222" s="1" t="s">
        <v>4015</v>
      </c>
      <c r="B3222" s="1" t="s">
        <v>1391</v>
      </c>
      <c r="C3222" s="1" t="s">
        <v>191</v>
      </c>
      <c r="D3222" s="1" t="s">
        <v>37</v>
      </c>
      <c r="E3222" s="1" t="s">
        <v>16</v>
      </c>
      <c r="F3222" s="1" t="s">
        <v>37</v>
      </c>
      <c r="G3222" s="1">
        <v>11</v>
      </c>
      <c r="H3222" s="1">
        <v>1098</v>
      </c>
      <c r="I3222" s="1">
        <v>0.2</v>
      </c>
      <c r="J3222" s="1">
        <v>9662.4</v>
      </c>
      <c r="K3222" s="1">
        <v>2471.6</v>
      </c>
      <c r="L3222" s="1" t="s">
        <v>45</v>
      </c>
      <c r="M3222" s="1" t="str">
        <f>TEXT(Table1[[#This Row],[Order Date]],"mmm")</f>
        <v>Sep</v>
      </c>
      <c r="N3222" s="1">
        <f>YEAR(Table1[[#This Row],[Order Date]])</f>
        <v>2023</v>
      </c>
    </row>
    <row r="3223" spans="1:14" x14ac:dyDescent="0.35">
      <c r="A3223" s="1" t="s">
        <v>4016</v>
      </c>
      <c r="B3223" s="1" t="s">
        <v>267</v>
      </c>
      <c r="C3223" s="1" t="s">
        <v>40</v>
      </c>
      <c r="D3223" s="1" t="s">
        <v>48</v>
      </c>
      <c r="E3223" s="1" t="s">
        <v>16</v>
      </c>
      <c r="F3223" s="1" t="s">
        <v>48</v>
      </c>
      <c r="G3223" s="1">
        <v>10</v>
      </c>
      <c r="H3223" s="1">
        <v>1385</v>
      </c>
      <c r="I3223" s="1">
        <v>0.15</v>
      </c>
      <c r="J3223" s="1">
        <v>11772.5</v>
      </c>
      <c r="K3223" s="1">
        <v>1766.97</v>
      </c>
      <c r="L3223" s="1" t="s">
        <v>45</v>
      </c>
      <c r="M3223" s="1" t="str">
        <f>TEXT(Table1[[#This Row],[Order Date]],"mmm")</f>
        <v>Jun</v>
      </c>
      <c r="N3223" s="1">
        <f>YEAR(Table1[[#This Row],[Order Date]])</f>
        <v>2023</v>
      </c>
    </row>
    <row r="3224" spans="1:14" x14ac:dyDescent="0.35">
      <c r="A3224" s="1" t="s">
        <v>4017</v>
      </c>
      <c r="B3224" s="1" t="s">
        <v>257</v>
      </c>
      <c r="C3224" s="1" t="s">
        <v>26</v>
      </c>
      <c r="D3224" s="1" t="s">
        <v>137</v>
      </c>
      <c r="E3224" s="1" t="s">
        <v>22</v>
      </c>
      <c r="F3224" s="1" t="s">
        <v>137</v>
      </c>
      <c r="G3224" s="1">
        <v>6</v>
      </c>
      <c r="H3224" s="1">
        <v>36290</v>
      </c>
      <c r="I3224" s="1">
        <v>0.2</v>
      </c>
      <c r="J3224" s="1">
        <v>174192</v>
      </c>
      <c r="K3224" s="1">
        <v>26588.44</v>
      </c>
      <c r="L3224" s="1" t="s">
        <v>17</v>
      </c>
      <c r="M3224" s="1" t="str">
        <f>TEXT(Table1[[#This Row],[Order Date]],"mmm")</f>
        <v>Aug</v>
      </c>
      <c r="N3224" s="1">
        <f>YEAR(Table1[[#This Row],[Order Date]])</f>
        <v>2024</v>
      </c>
    </row>
    <row r="3225" spans="1:14" x14ac:dyDescent="0.35">
      <c r="A3225" s="1" t="s">
        <v>4018</v>
      </c>
      <c r="B3225" s="1" t="s">
        <v>493</v>
      </c>
      <c r="C3225" s="1" t="s">
        <v>107</v>
      </c>
      <c r="D3225" s="1" t="s">
        <v>15</v>
      </c>
      <c r="E3225" s="1" t="s">
        <v>16</v>
      </c>
      <c r="F3225" s="1" t="s">
        <v>15</v>
      </c>
      <c r="G3225" s="1">
        <v>9</v>
      </c>
      <c r="H3225" s="1">
        <v>28471</v>
      </c>
      <c r="I3225" s="1">
        <v>0</v>
      </c>
      <c r="J3225" s="1">
        <v>256239</v>
      </c>
      <c r="K3225" s="1">
        <v>58745.43</v>
      </c>
      <c r="L3225" s="1" t="s">
        <v>45</v>
      </c>
      <c r="M3225" s="1" t="str">
        <f>TEXT(Table1[[#This Row],[Order Date]],"mmm")</f>
        <v>Nov</v>
      </c>
      <c r="N3225" s="1">
        <f>YEAR(Table1[[#This Row],[Order Date]])</f>
        <v>2024</v>
      </c>
    </row>
    <row r="3226" spans="1:14" x14ac:dyDescent="0.35">
      <c r="A3226" s="1" t="s">
        <v>4019</v>
      </c>
      <c r="B3226" s="1" t="s">
        <v>2601</v>
      </c>
      <c r="C3226" s="1" t="s">
        <v>136</v>
      </c>
      <c r="D3226" s="1" t="s">
        <v>56</v>
      </c>
      <c r="E3226" s="1" t="s">
        <v>22</v>
      </c>
      <c r="F3226" s="1" t="s">
        <v>56</v>
      </c>
      <c r="G3226" s="1">
        <v>13</v>
      </c>
      <c r="H3226" s="1">
        <v>18618</v>
      </c>
      <c r="I3226" s="1">
        <v>0.15</v>
      </c>
      <c r="J3226" s="1">
        <v>205728.9</v>
      </c>
      <c r="K3226" s="1">
        <v>28492.6</v>
      </c>
      <c r="L3226" s="1" t="s">
        <v>23</v>
      </c>
      <c r="M3226" s="1" t="str">
        <f>TEXT(Table1[[#This Row],[Order Date]],"mmm")</f>
        <v>Aug</v>
      </c>
      <c r="N3226" s="1">
        <f>YEAR(Table1[[#This Row],[Order Date]])</f>
        <v>2023</v>
      </c>
    </row>
    <row r="3227" spans="1:14" x14ac:dyDescent="0.35">
      <c r="A3227" s="1" t="s">
        <v>4020</v>
      </c>
      <c r="B3227" s="1" t="s">
        <v>2635</v>
      </c>
      <c r="C3227" s="1" t="s">
        <v>111</v>
      </c>
      <c r="D3227" s="1" t="s">
        <v>114</v>
      </c>
      <c r="E3227" s="1" t="s">
        <v>16</v>
      </c>
      <c r="F3227" s="1" t="s">
        <v>114</v>
      </c>
      <c r="G3227" s="1">
        <v>15</v>
      </c>
      <c r="H3227" s="1">
        <v>47606</v>
      </c>
      <c r="I3227" s="1">
        <v>0.1</v>
      </c>
      <c r="J3227" s="1">
        <v>642681</v>
      </c>
      <c r="K3227" s="1">
        <v>116258.02</v>
      </c>
      <c r="L3227" s="1" t="s">
        <v>70</v>
      </c>
      <c r="M3227" s="1" t="str">
        <f>TEXT(Table1[[#This Row],[Order Date]],"mmm")</f>
        <v>Jun</v>
      </c>
      <c r="N3227" s="1">
        <f>YEAR(Table1[[#This Row],[Order Date]])</f>
        <v>2023</v>
      </c>
    </row>
    <row r="3228" spans="1:14" x14ac:dyDescent="0.35">
      <c r="A3228" s="1" t="s">
        <v>4021</v>
      </c>
      <c r="B3228" s="1" t="s">
        <v>58</v>
      </c>
      <c r="C3228" s="1" t="s">
        <v>26</v>
      </c>
      <c r="D3228" s="1" t="s">
        <v>15</v>
      </c>
      <c r="E3228" s="1" t="s">
        <v>16</v>
      </c>
      <c r="F3228" s="1" t="s">
        <v>15</v>
      </c>
      <c r="G3228" s="1">
        <v>2</v>
      </c>
      <c r="H3228" s="1">
        <v>43409</v>
      </c>
      <c r="I3228" s="1">
        <v>0</v>
      </c>
      <c r="J3228" s="1">
        <v>86818</v>
      </c>
      <c r="K3228" s="1">
        <v>16944.12</v>
      </c>
      <c r="L3228" s="1" t="s">
        <v>23</v>
      </c>
      <c r="M3228" s="1" t="str">
        <f>TEXT(Table1[[#This Row],[Order Date]],"mmm")</f>
        <v>Aug</v>
      </c>
      <c r="N3228" s="1">
        <f>YEAR(Table1[[#This Row],[Order Date]])</f>
        <v>2024</v>
      </c>
    </row>
    <row r="3229" spans="1:14" x14ac:dyDescent="0.35">
      <c r="A3229" s="1" t="s">
        <v>4022</v>
      </c>
      <c r="B3229" s="1" t="s">
        <v>2425</v>
      </c>
      <c r="C3229" s="1" t="s">
        <v>188</v>
      </c>
      <c r="D3229" s="1" t="s">
        <v>224</v>
      </c>
      <c r="E3229" s="1" t="s">
        <v>33</v>
      </c>
      <c r="F3229" s="1" t="s">
        <v>224</v>
      </c>
      <c r="G3229" s="1">
        <v>3</v>
      </c>
      <c r="H3229" s="1">
        <v>50513</v>
      </c>
      <c r="I3229" s="1">
        <v>0.2</v>
      </c>
      <c r="J3229" s="1">
        <v>121231.2</v>
      </c>
      <c r="K3229" s="1">
        <v>19913.8</v>
      </c>
      <c r="L3229" s="1" t="s">
        <v>17</v>
      </c>
      <c r="M3229" s="1" t="str">
        <f>TEXT(Table1[[#This Row],[Order Date]],"mmm")</f>
        <v>Jun</v>
      </c>
      <c r="N3229" s="1">
        <f>YEAR(Table1[[#This Row],[Order Date]])</f>
        <v>2024</v>
      </c>
    </row>
    <row r="3230" spans="1:14" x14ac:dyDescent="0.35">
      <c r="A3230" s="1" t="s">
        <v>4023</v>
      </c>
      <c r="B3230" s="1" t="s">
        <v>1645</v>
      </c>
      <c r="C3230" s="1" t="s">
        <v>128</v>
      </c>
      <c r="D3230" s="1" t="s">
        <v>293</v>
      </c>
      <c r="E3230" s="1" t="s">
        <v>33</v>
      </c>
      <c r="F3230" s="1" t="s">
        <v>293</v>
      </c>
      <c r="G3230" s="1">
        <v>13</v>
      </c>
      <c r="H3230" s="1">
        <v>51560</v>
      </c>
      <c r="I3230" s="1">
        <v>0.1</v>
      </c>
      <c r="J3230" s="1">
        <v>603252</v>
      </c>
      <c r="K3230" s="1">
        <v>135684.13</v>
      </c>
      <c r="L3230" s="1" t="s">
        <v>70</v>
      </c>
      <c r="M3230" s="1" t="str">
        <f>TEXT(Table1[[#This Row],[Order Date]],"mmm")</f>
        <v>Nov</v>
      </c>
      <c r="N3230" s="1">
        <f>YEAR(Table1[[#This Row],[Order Date]])</f>
        <v>2023</v>
      </c>
    </row>
    <row r="3231" spans="1:14" x14ac:dyDescent="0.35">
      <c r="A3231" s="1" t="s">
        <v>4024</v>
      </c>
      <c r="B3231" s="1" t="s">
        <v>1115</v>
      </c>
      <c r="C3231" s="1" t="s">
        <v>155</v>
      </c>
      <c r="D3231" s="1" t="s">
        <v>133</v>
      </c>
      <c r="E3231" s="1" t="s">
        <v>22</v>
      </c>
      <c r="F3231" s="1" t="s">
        <v>133</v>
      </c>
      <c r="G3231" s="1">
        <v>3</v>
      </c>
      <c r="H3231" s="1">
        <v>32543</v>
      </c>
      <c r="I3231" s="1">
        <v>0.1</v>
      </c>
      <c r="J3231" s="1">
        <v>87866.1</v>
      </c>
      <c r="K3231" s="1">
        <v>8615</v>
      </c>
      <c r="L3231" s="1" t="s">
        <v>17</v>
      </c>
      <c r="M3231" s="1" t="str">
        <f>TEXT(Table1[[#This Row],[Order Date]],"mmm")</f>
        <v>Jan</v>
      </c>
      <c r="N3231" s="1">
        <f>YEAR(Table1[[#This Row],[Order Date]])</f>
        <v>2024</v>
      </c>
    </row>
    <row r="3232" spans="1:14" x14ac:dyDescent="0.35">
      <c r="A3232" s="1" t="s">
        <v>4025</v>
      </c>
      <c r="B3232" s="1" t="s">
        <v>183</v>
      </c>
      <c r="C3232" s="1" t="s">
        <v>162</v>
      </c>
      <c r="D3232" s="1" t="s">
        <v>137</v>
      </c>
      <c r="E3232" s="1" t="s">
        <v>22</v>
      </c>
      <c r="F3232" s="1" t="s">
        <v>137</v>
      </c>
      <c r="G3232" s="1">
        <v>7</v>
      </c>
      <c r="H3232" s="1">
        <v>29911</v>
      </c>
      <c r="I3232" s="1">
        <v>0.2</v>
      </c>
      <c r="J3232" s="1">
        <v>167501.6</v>
      </c>
      <c r="K3232" s="1">
        <v>32259.13</v>
      </c>
      <c r="L3232" s="1" t="s">
        <v>70</v>
      </c>
      <c r="M3232" s="1" t="str">
        <f>TEXT(Table1[[#This Row],[Order Date]],"mmm")</f>
        <v>Jul</v>
      </c>
      <c r="N3232" s="1">
        <f>YEAR(Table1[[#This Row],[Order Date]])</f>
        <v>2024</v>
      </c>
    </row>
    <row r="3233" spans="1:14" x14ac:dyDescent="0.35">
      <c r="A3233" s="1" t="s">
        <v>4026</v>
      </c>
      <c r="B3233" s="1" t="s">
        <v>497</v>
      </c>
      <c r="C3233" s="1" t="s">
        <v>63</v>
      </c>
      <c r="D3233" s="1" t="s">
        <v>141</v>
      </c>
      <c r="E3233" s="1" t="s">
        <v>22</v>
      </c>
      <c r="F3233" s="1" t="s">
        <v>141</v>
      </c>
      <c r="G3233" s="1">
        <v>12</v>
      </c>
      <c r="H3233" s="1">
        <v>15904</v>
      </c>
      <c r="I3233" s="1">
        <v>0.2</v>
      </c>
      <c r="J3233" s="1">
        <v>152678.39999999999</v>
      </c>
      <c r="K3233" s="1">
        <v>31402.09</v>
      </c>
      <c r="L3233" s="1" t="s">
        <v>45</v>
      </c>
      <c r="M3233" s="1" t="str">
        <f>TEXT(Table1[[#This Row],[Order Date]],"mmm")</f>
        <v>Jul</v>
      </c>
      <c r="N3233" s="1">
        <f>YEAR(Table1[[#This Row],[Order Date]])</f>
        <v>2024</v>
      </c>
    </row>
    <row r="3234" spans="1:14" x14ac:dyDescent="0.35">
      <c r="A3234" s="1" t="s">
        <v>4027</v>
      </c>
      <c r="B3234" s="1" t="s">
        <v>621</v>
      </c>
      <c r="C3234" s="1" t="s">
        <v>191</v>
      </c>
      <c r="D3234" s="1" t="s">
        <v>41</v>
      </c>
      <c r="E3234" s="1" t="s">
        <v>16</v>
      </c>
      <c r="F3234" s="1" t="s">
        <v>41</v>
      </c>
      <c r="G3234" s="1">
        <v>15</v>
      </c>
      <c r="H3234" s="1">
        <v>18621</v>
      </c>
      <c r="I3234" s="1">
        <v>0</v>
      </c>
      <c r="J3234" s="1">
        <v>279315</v>
      </c>
      <c r="K3234" s="1">
        <v>76678.8</v>
      </c>
      <c r="L3234" s="1" t="s">
        <v>17</v>
      </c>
      <c r="M3234" s="1" t="str">
        <f>TEXT(Table1[[#This Row],[Order Date]],"mmm")</f>
        <v>Jan</v>
      </c>
      <c r="N3234" s="1">
        <f>YEAR(Table1[[#This Row],[Order Date]])</f>
        <v>2024</v>
      </c>
    </row>
    <row r="3235" spans="1:14" x14ac:dyDescent="0.35">
      <c r="A3235" s="1" t="s">
        <v>4028</v>
      </c>
      <c r="B3235" s="1" t="s">
        <v>337</v>
      </c>
      <c r="C3235" s="1" t="s">
        <v>175</v>
      </c>
      <c r="D3235" s="1" t="s">
        <v>52</v>
      </c>
      <c r="E3235" s="1" t="s">
        <v>28</v>
      </c>
      <c r="F3235" s="1" t="s">
        <v>52</v>
      </c>
      <c r="G3235" s="1">
        <v>13</v>
      </c>
      <c r="H3235" s="1">
        <v>32557</v>
      </c>
      <c r="I3235" s="1">
        <v>0</v>
      </c>
      <c r="J3235" s="1">
        <v>423241</v>
      </c>
      <c r="K3235" s="1">
        <v>103411.63</v>
      </c>
      <c r="L3235" s="1" t="s">
        <v>17</v>
      </c>
      <c r="M3235" s="1" t="str">
        <f>TEXT(Table1[[#This Row],[Order Date]],"mmm")</f>
        <v>May</v>
      </c>
      <c r="N3235" s="1">
        <f>YEAR(Table1[[#This Row],[Order Date]])</f>
        <v>2024</v>
      </c>
    </row>
    <row r="3236" spans="1:14" x14ac:dyDescent="0.35">
      <c r="A3236" s="1" t="s">
        <v>4029</v>
      </c>
      <c r="B3236" s="1" t="s">
        <v>1043</v>
      </c>
      <c r="C3236" s="1" t="s">
        <v>88</v>
      </c>
      <c r="D3236" s="1" t="s">
        <v>224</v>
      </c>
      <c r="E3236" s="1" t="s">
        <v>33</v>
      </c>
      <c r="F3236" s="1" t="s">
        <v>224</v>
      </c>
      <c r="G3236" s="1">
        <v>1</v>
      </c>
      <c r="H3236" s="1">
        <v>35874</v>
      </c>
      <c r="I3236" s="1">
        <v>0.15</v>
      </c>
      <c r="J3236" s="1">
        <v>30492.9</v>
      </c>
      <c r="K3236" s="1">
        <v>4515.97</v>
      </c>
      <c r="L3236" s="1" t="s">
        <v>17</v>
      </c>
      <c r="M3236" s="1" t="str">
        <f>TEXT(Table1[[#This Row],[Order Date]],"mmm")</f>
        <v>Aug</v>
      </c>
      <c r="N3236" s="1">
        <f>YEAR(Table1[[#This Row],[Order Date]])</f>
        <v>2024</v>
      </c>
    </row>
    <row r="3237" spans="1:14" x14ac:dyDescent="0.35">
      <c r="A3237" s="1" t="s">
        <v>4030</v>
      </c>
      <c r="B3237" s="1" t="s">
        <v>2049</v>
      </c>
      <c r="C3237" s="1" t="s">
        <v>51</v>
      </c>
      <c r="D3237" s="1" t="s">
        <v>151</v>
      </c>
      <c r="E3237" s="1" t="s">
        <v>22</v>
      </c>
      <c r="F3237" s="1" t="s">
        <v>151</v>
      </c>
      <c r="G3237" s="1">
        <v>1</v>
      </c>
      <c r="H3237" s="1">
        <v>26027</v>
      </c>
      <c r="I3237" s="1">
        <v>0</v>
      </c>
      <c r="J3237" s="1">
        <v>26027</v>
      </c>
      <c r="K3237" s="1">
        <v>6033.56</v>
      </c>
      <c r="L3237" s="1" t="s">
        <v>70</v>
      </c>
      <c r="M3237" s="1" t="str">
        <f>TEXT(Table1[[#This Row],[Order Date]],"mmm")</f>
        <v>Apr</v>
      </c>
      <c r="N3237" s="1">
        <f>YEAR(Table1[[#This Row],[Order Date]])</f>
        <v>2024</v>
      </c>
    </row>
    <row r="3238" spans="1:14" x14ac:dyDescent="0.35">
      <c r="A3238" s="1" t="s">
        <v>4031</v>
      </c>
      <c r="B3238" s="1" t="s">
        <v>341</v>
      </c>
      <c r="C3238" s="1" t="s">
        <v>158</v>
      </c>
      <c r="D3238" s="1" t="s">
        <v>167</v>
      </c>
      <c r="E3238" s="1" t="s">
        <v>16</v>
      </c>
      <c r="F3238" s="1" t="s">
        <v>167</v>
      </c>
      <c r="G3238" s="1">
        <v>3</v>
      </c>
      <c r="H3238" s="1">
        <v>31885</v>
      </c>
      <c r="I3238" s="1">
        <v>0.1</v>
      </c>
      <c r="J3238" s="1">
        <v>86089.5</v>
      </c>
      <c r="K3238" s="1">
        <v>9977.76</v>
      </c>
      <c r="L3238" s="1" t="s">
        <v>70</v>
      </c>
      <c r="M3238" s="1" t="str">
        <f>TEXT(Table1[[#This Row],[Order Date]],"mmm")</f>
        <v>May</v>
      </c>
      <c r="N3238" s="1">
        <f>YEAR(Table1[[#This Row],[Order Date]])</f>
        <v>2023</v>
      </c>
    </row>
    <row r="3239" spans="1:14" x14ac:dyDescent="0.35">
      <c r="A3239" s="1" t="s">
        <v>4032</v>
      </c>
      <c r="B3239" s="1" t="s">
        <v>1568</v>
      </c>
      <c r="C3239" s="1" t="s">
        <v>117</v>
      </c>
      <c r="D3239" s="1" t="s">
        <v>133</v>
      </c>
      <c r="E3239" s="1" t="s">
        <v>22</v>
      </c>
      <c r="F3239" s="1" t="s">
        <v>133</v>
      </c>
      <c r="G3239" s="1">
        <v>7</v>
      </c>
      <c r="H3239" s="1">
        <v>38823</v>
      </c>
      <c r="I3239" s="1">
        <v>0.05</v>
      </c>
      <c r="J3239" s="1">
        <v>258172.95</v>
      </c>
      <c r="K3239" s="1">
        <v>54223.59</v>
      </c>
      <c r="L3239" s="1" t="s">
        <v>17</v>
      </c>
      <c r="M3239" s="1" t="str">
        <f>TEXT(Table1[[#This Row],[Order Date]],"mmm")</f>
        <v>Feb</v>
      </c>
      <c r="N3239" s="1">
        <f>YEAR(Table1[[#This Row],[Order Date]])</f>
        <v>2024</v>
      </c>
    </row>
    <row r="3240" spans="1:14" x14ac:dyDescent="0.35">
      <c r="A3240" s="1" t="s">
        <v>4033</v>
      </c>
      <c r="B3240" s="1" t="s">
        <v>2017</v>
      </c>
      <c r="C3240" s="1" t="s">
        <v>203</v>
      </c>
      <c r="D3240" s="1" t="s">
        <v>78</v>
      </c>
      <c r="E3240" s="1" t="s">
        <v>28</v>
      </c>
      <c r="F3240" s="1" t="s">
        <v>78</v>
      </c>
      <c r="G3240" s="1">
        <v>15</v>
      </c>
      <c r="H3240" s="1">
        <v>10318</v>
      </c>
      <c r="I3240" s="1">
        <v>0.1</v>
      </c>
      <c r="J3240" s="1">
        <v>139293</v>
      </c>
      <c r="K3240" s="1">
        <v>21149.65</v>
      </c>
      <c r="L3240" s="1" t="s">
        <v>70</v>
      </c>
      <c r="M3240" s="1" t="str">
        <f>TEXT(Table1[[#This Row],[Order Date]],"mmm")</f>
        <v>Sep</v>
      </c>
      <c r="N3240" s="1">
        <f>YEAR(Table1[[#This Row],[Order Date]])</f>
        <v>2024</v>
      </c>
    </row>
    <row r="3241" spans="1:14" x14ac:dyDescent="0.35">
      <c r="A3241" s="1" t="s">
        <v>4034</v>
      </c>
      <c r="B3241" s="1" t="s">
        <v>2032</v>
      </c>
      <c r="C3241" s="1" t="s">
        <v>158</v>
      </c>
      <c r="D3241" s="1" t="s">
        <v>151</v>
      </c>
      <c r="E3241" s="1" t="s">
        <v>22</v>
      </c>
      <c r="F3241" s="1" t="s">
        <v>151</v>
      </c>
      <c r="G3241" s="1">
        <v>1</v>
      </c>
      <c r="H3241" s="1">
        <v>49305</v>
      </c>
      <c r="I3241" s="1">
        <v>0</v>
      </c>
      <c r="J3241" s="1">
        <v>49305</v>
      </c>
      <c r="K3241" s="1">
        <v>6466.57</v>
      </c>
      <c r="L3241" s="1" t="s">
        <v>17</v>
      </c>
      <c r="M3241" s="1" t="str">
        <f>TEXT(Table1[[#This Row],[Order Date]],"mmm")</f>
        <v>Nov</v>
      </c>
      <c r="N3241" s="1">
        <f>YEAR(Table1[[#This Row],[Order Date]])</f>
        <v>2024</v>
      </c>
    </row>
    <row r="3242" spans="1:14" x14ac:dyDescent="0.35">
      <c r="A3242" s="1" t="s">
        <v>4035</v>
      </c>
      <c r="B3242" s="1" t="s">
        <v>797</v>
      </c>
      <c r="C3242" s="1" t="s">
        <v>36</v>
      </c>
      <c r="D3242" s="1" t="s">
        <v>114</v>
      </c>
      <c r="E3242" s="1" t="s">
        <v>16</v>
      </c>
      <c r="F3242" s="1" t="s">
        <v>114</v>
      </c>
      <c r="G3242" s="1">
        <v>5</v>
      </c>
      <c r="H3242" s="1">
        <v>43603</v>
      </c>
      <c r="I3242" s="1">
        <v>0.15</v>
      </c>
      <c r="J3242" s="1">
        <v>185312.75</v>
      </c>
      <c r="K3242" s="1">
        <v>32773.58</v>
      </c>
      <c r="L3242" s="1" t="s">
        <v>23</v>
      </c>
      <c r="M3242" s="1" t="str">
        <f>TEXT(Table1[[#This Row],[Order Date]],"mmm")</f>
        <v>Nov</v>
      </c>
      <c r="N3242" s="1">
        <f>YEAR(Table1[[#This Row],[Order Date]])</f>
        <v>2023</v>
      </c>
    </row>
    <row r="3243" spans="1:14" x14ac:dyDescent="0.35">
      <c r="A3243" s="1" t="s">
        <v>4036</v>
      </c>
      <c r="B3243" s="1" t="s">
        <v>2123</v>
      </c>
      <c r="C3243" s="1" t="s">
        <v>208</v>
      </c>
      <c r="D3243" s="1" t="s">
        <v>41</v>
      </c>
      <c r="E3243" s="1" t="s">
        <v>16</v>
      </c>
      <c r="F3243" s="1" t="s">
        <v>41</v>
      </c>
      <c r="G3243" s="1">
        <v>13</v>
      </c>
      <c r="H3243" s="1">
        <v>34001</v>
      </c>
      <c r="I3243" s="1">
        <v>0.2</v>
      </c>
      <c r="J3243" s="1">
        <v>353610.4</v>
      </c>
      <c r="K3243" s="1">
        <v>74329.23</v>
      </c>
      <c r="L3243" s="1" t="s">
        <v>45</v>
      </c>
      <c r="M3243" s="1" t="str">
        <f>TEXT(Table1[[#This Row],[Order Date]],"mmm")</f>
        <v>Oct</v>
      </c>
      <c r="N3243" s="1">
        <f>YEAR(Table1[[#This Row],[Order Date]])</f>
        <v>2023</v>
      </c>
    </row>
    <row r="3244" spans="1:14" x14ac:dyDescent="0.35">
      <c r="A3244" s="1" t="s">
        <v>4037</v>
      </c>
      <c r="B3244" s="1" t="s">
        <v>569</v>
      </c>
      <c r="C3244" s="1" t="s">
        <v>191</v>
      </c>
      <c r="D3244" s="1" t="s">
        <v>224</v>
      </c>
      <c r="E3244" s="1" t="s">
        <v>33</v>
      </c>
      <c r="F3244" s="1" t="s">
        <v>224</v>
      </c>
      <c r="G3244" s="1">
        <v>8</v>
      </c>
      <c r="H3244" s="1">
        <v>59816</v>
      </c>
      <c r="I3244" s="1">
        <v>0.2</v>
      </c>
      <c r="J3244" s="1">
        <v>382822.40000000002</v>
      </c>
      <c r="K3244" s="1">
        <v>102736.51</v>
      </c>
      <c r="L3244" s="1" t="s">
        <v>17</v>
      </c>
      <c r="M3244" s="1" t="str">
        <f>TEXT(Table1[[#This Row],[Order Date]],"mmm")</f>
        <v>Sep</v>
      </c>
      <c r="N3244" s="1">
        <f>YEAR(Table1[[#This Row],[Order Date]])</f>
        <v>2024</v>
      </c>
    </row>
    <row r="3245" spans="1:14" x14ac:dyDescent="0.35">
      <c r="A3245" s="1" t="s">
        <v>4038</v>
      </c>
      <c r="B3245" s="1" t="s">
        <v>2059</v>
      </c>
      <c r="C3245" s="1" t="s">
        <v>31</v>
      </c>
      <c r="D3245" s="1" t="s">
        <v>27</v>
      </c>
      <c r="E3245" s="1" t="s">
        <v>28</v>
      </c>
      <c r="F3245" s="1" t="s">
        <v>27</v>
      </c>
      <c r="G3245" s="1">
        <v>14</v>
      </c>
      <c r="H3245" s="1">
        <v>55224</v>
      </c>
      <c r="I3245" s="1">
        <v>0.15</v>
      </c>
      <c r="J3245" s="1">
        <v>657165.6</v>
      </c>
      <c r="K3245" s="1">
        <v>150390.19</v>
      </c>
      <c r="L3245" s="1" t="s">
        <v>17</v>
      </c>
      <c r="M3245" s="1" t="str">
        <f>TEXT(Table1[[#This Row],[Order Date]],"mmm")</f>
        <v>Nov</v>
      </c>
      <c r="N3245" s="1">
        <f>YEAR(Table1[[#This Row],[Order Date]])</f>
        <v>2023</v>
      </c>
    </row>
    <row r="3246" spans="1:14" x14ac:dyDescent="0.35">
      <c r="A3246" s="1" t="s">
        <v>4039</v>
      </c>
      <c r="B3246" s="1" t="s">
        <v>50</v>
      </c>
      <c r="C3246" s="1" t="s">
        <v>94</v>
      </c>
      <c r="D3246" s="1" t="s">
        <v>224</v>
      </c>
      <c r="E3246" s="1" t="s">
        <v>33</v>
      </c>
      <c r="F3246" s="1" t="s">
        <v>224</v>
      </c>
      <c r="G3246" s="1">
        <v>5</v>
      </c>
      <c r="H3246" s="1">
        <v>31184</v>
      </c>
      <c r="I3246" s="1">
        <v>0.05</v>
      </c>
      <c r="J3246" s="1">
        <v>148124</v>
      </c>
      <c r="K3246" s="1">
        <v>44084.73</v>
      </c>
      <c r="L3246" s="1" t="s">
        <v>17</v>
      </c>
      <c r="M3246" s="1" t="str">
        <f>TEXT(Table1[[#This Row],[Order Date]],"mmm")</f>
        <v>May</v>
      </c>
      <c r="N3246" s="1">
        <f>YEAR(Table1[[#This Row],[Order Date]])</f>
        <v>2023</v>
      </c>
    </row>
    <row r="3247" spans="1:14" x14ac:dyDescent="0.35">
      <c r="A3247" s="1" t="s">
        <v>4040</v>
      </c>
      <c r="B3247" s="1" t="s">
        <v>1492</v>
      </c>
      <c r="C3247" s="1" t="s">
        <v>81</v>
      </c>
      <c r="D3247" s="1" t="s">
        <v>323</v>
      </c>
      <c r="E3247" s="1" t="s">
        <v>33</v>
      </c>
      <c r="F3247" s="1" t="s">
        <v>323</v>
      </c>
      <c r="G3247" s="1">
        <v>8</v>
      </c>
      <c r="H3247" s="1">
        <v>13257</v>
      </c>
      <c r="I3247" s="1">
        <v>0.15</v>
      </c>
      <c r="J3247" s="1">
        <v>90147.6</v>
      </c>
      <c r="K3247" s="1">
        <v>12702.36</v>
      </c>
      <c r="L3247" s="1" t="s">
        <v>23</v>
      </c>
      <c r="M3247" s="1" t="str">
        <f>TEXT(Table1[[#This Row],[Order Date]],"mmm")</f>
        <v>Mar</v>
      </c>
      <c r="N3247" s="1">
        <f>YEAR(Table1[[#This Row],[Order Date]])</f>
        <v>2024</v>
      </c>
    </row>
    <row r="3248" spans="1:14" x14ac:dyDescent="0.35">
      <c r="A3248" s="1" t="s">
        <v>4041</v>
      </c>
      <c r="B3248" s="1" t="s">
        <v>705</v>
      </c>
      <c r="C3248" s="1" t="s">
        <v>101</v>
      </c>
      <c r="D3248" s="1" t="s">
        <v>108</v>
      </c>
      <c r="E3248" s="1" t="s">
        <v>22</v>
      </c>
      <c r="F3248" s="1" t="s">
        <v>108</v>
      </c>
      <c r="G3248" s="1">
        <v>13</v>
      </c>
      <c r="H3248" s="1">
        <v>27632</v>
      </c>
      <c r="I3248" s="1">
        <v>0.05</v>
      </c>
      <c r="J3248" s="1">
        <v>341255.2</v>
      </c>
      <c r="K3248" s="1">
        <v>101947.06</v>
      </c>
      <c r="L3248" s="1" t="s">
        <v>70</v>
      </c>
      <c r="M3248" s="1" t="str">
        <f>TEXT(Table1[[#This Row],[Order Date]],"mmm")</f>
        <v>May</v>
      </c>
      <c r="N3248" s="1">
        <f>YEAR(Table1[[#This Row],[Order Date]])</f>
        <v>2024</v>
      </c>
    </row>
    <row r="3249" spans="1:14" x14ac:dyDescent="0.35">
      <c r="A3249" s="1" t="s">
        <v>4042</v>
      </c>
      <c r="B3249" s="1" t="s">
        <v>1765</v>
      </c>
      <c r="C3249" s="1" t="s">
        <v>640</v>
      </c>
      <c r="D3249" s="1" t="s">
        <v>293</v>
      </c>
      <c r="E3249" s="1" t="s">
        <v>33</v>
      </c>
      <c r="F3249" s="1" t="s">
        <v>293</v>
      </c>
      <c r="G3249" s="1">
        <v>2</v>
      </c>
      <c r="H3249" s="1">
        <v>51158</v>
      </c>
      <c r="I3249" s="1">
        <v>0.1</v>
      </c>
      <c r="J3249" s="1">
        <v>92084.4</v>
      </c>
      <c r="K3249" s="1">
        <v>8034.23</v>
      </c>
      <c r="L3249" s="1" t="s">
        <v>17</v>
      </c>
      <c r="M3249" s="1" t="str">
        <f>TEXT(Table1[[#This Row],[Order Date]],"mmm")</f>
        <v>May</v>
      </c>
      <c r="N3249" s="1">
        <f>YEAR(Table1[[#This Row],[Order Date]])</f>
        <v>2023</v>
      </c>
    </row>
    <row r="3250" spans="1:14" x14ac:dyDescent="0.35">
      <c r="A3250" s="1" t="s">
        <v>4043</v>
      </c>
      <c r="B3250" s="1" t="s">
        <v>406</v>
      </c>
      <c r="C3250" s="1" t="s">
        <v>140</v>
      </c>
      <c r="D3250" s="1" t="s">
        <v>151</v>
      </c>
      <c r="E3250" s="1" t="s">
        <v>22</v>
      </c>
      <c r="F3250" s="1" t="s">
        <v>151</v>
      </c>
      <c r="G3250" s="1">
        <v>8</v>
      </c>
      <c r="H3250" s="1">
        <v>3558</v>
      </c>
      <c r="I3250" s="1">
        <v>0.2</v>
      </c>
      <c r="J3250" s="1">
        <v>22771.200000000001</v>
      </c>
      <c r="K3250" s="1">
        <v>6317.89</v>
      </c>
      <c r="L3250" s="1" t="s">
        <v>45</v>
      </c>
      <c r="M3250" s="1" t="str">
        <f>TEXT(Table1[[#This Row],[Order Date]],"mmm")</f>
        <v>Mar</v>
      </c>
      <c r="N3250" s="1">
        <f>YEAR(Table1[[#This Row],[Order Date]])</f>
        <v>2023</v>
      </c>
    </row>
    <row r="3251" spans="1:14" x14ac:dyDescent="0.35">
      <c r="A3251" s="1" t="s">
        <v>4044</v>
      </c>
      <c r="B3251" s="1" t="s">
        <v>435</v>
      </c>
      <c r="C3251" s="1" t="s">
        <v>51</v>
      </c>
      <c r="D3251" s="1" t="s">
        <v>224</v>
      </c>
      <c r="E3251" s="1" t="s">
        <v>33</v>
      </c>
      <c r="F3251" s="1" t="s">
        <v>224</v>
      </c>
      <c r="G3251" s="1">
        <v>14</v>
      </c>
      <c r="H3251" s="1">
        <v>48774</v>
      </c>
      <c r="I3251" s="1">
        <v>0.05</v>
      </c>
      <c r="J3251" s="1">
        <v>648694.19999999995</v>
      </c>
      <c r="K3251" s="1">
        <v>160057.60000000001</v>
      </c>
      <c r="L3251" s="1" t="s">
        <v>70</v>
      </c>
      <c r="M3251" s="1" t="str">
        <f>TEXT(Table1[[#This Row],[Order Date]],"mmm")</f>
        <v>Nov</v>
      </c>
      <c r="N3251" s="1">
        <f>YEAR(Table1[[#This Row],[Order Date]])</f>
        <v>2024</v>
      </c>
    </row>
    <row r="3252" spans="1:14" x14ac:dyDescent="0.35">
      <c r="A3252" s="1" t="s">
        <v>4045</v>
      </c>
      <c r="B3252" s="1" t="s">
        <v>517</v>
      </c>
      <c r="C3252" s="1" t="s">
        <v>155</v>
      </c>
      <c r="D3252" s="1" t="s">
        <v>137</v>
      </c>
      <c r="E3252" s="1" t="s">
        <v>22</v>
      </c>
      <c r="F3252" s="1" t="s">
        <v>137</v>
      </c>
      <c r="G3252" s="1">
        <v>14</v>
      </c>
      <c r="H3252" s="1">
        <v>43981</v>
      </c>
      <c r="I3252" s="1">
        <v>0.1</v>
      </c>
      <c r="J3252" s="1">
        <v>554160.6</v>
      </c>
      <c r="K3252" s="1">
        <v>146875.93</v>
      </c>
      <c r="L3252" s="1" t="s">
        <v>70</v>
      </c>
      <c r="M3252" s="1" t="str">
        <f>TEXT(Table1[[#This Row],[Order Date]],"mmm")</f>
        <v>Jun</v>
      </c>
      <c r="N3252" s="1">
        <f>YEAR(Table1[[#This Row],[Order Date]])</f>
        <v>2024</v>
      </c>
    </row>
    <row r="3253" spans="1:14" x14ac:dyDescent="0.35">
      <c r="A3253" s="1" t="s">
        <v>4046</v>
      </c>
      <c r="B3253" s="1" t="s">
        <v>1209</v>
      </c>
      <c r="C3253" s="1" t="s">
        <v>140</v>
      </c>
      <c r="D3253" s="1" t="s">
        <v>137</v>
      </c>
      <c r="E3253" s="1" t="s">
        <v>22</v>
      </c>
      <c r="F3253" s="1" t="s">
        <v>137</v>
      </c>
      <c r="G3253" s="1">
        <v>12</v>
      </c>
      <c r="H3253" s="1">
        <v>2022</v>
      </c>
      <c r="I3253" s="1">
        <v>0.1</v>
      </c>
      <c r="J3253" s="1">
        <v>21837.599999999999</v>
      </c>
      <c r="K3253" s="1">
        <v>6092.15</v>
      </c>
      <c r="L3253" s="1" t="s">
        <v>70</v>
      </c>
      <c r="M3253" s="1" t="str">
        <f>TEXT(Table1[[#This Row],[Order Date]],"mmm")</f>
        <v>Jan</v>
      </c>
      <c r="N3253" s="1">
        <f>YEAR(Table1[[#This Row],[Order Date]])</f>
        <v>2023</v>
      </c>
    </row>
    <row r="3254" spans="1:14" x14ac:dyDescent="0.35">
      <c r="A3254" s="1" t="s">
        <v>4047</v>
      </c>
      <c r="B3254" s="1" t="s">
        <v>1517</v>
      </c>
      <c r="C3254" s="1" t="s">
        <v>84</v>
      </c>
      <c r="D3254" s="1" t="s">
        <v>21</v>
      </c>
      <c r="E3254" s="1" t="s">
        <v>22</v>
      </c>
      <c r="F3254" s="1" t="s">
        <v>21</v>
      </c>
      <c r="G3254" s="1">
        <v>10</v>
      </c>
      <c r="H3254" s="1">
        <v>9558</v>
      </c>
      <c r="I3254" s="1">
        <v>0</v>
      </c>
      <c r="J3254" s="1">
        <v>95580</v>
      </c>
      <c r="K3254" s="1">
        <v>20185.52</v>
      </c>
      <c r="L3254" s="1" t="s">
        <v>45</v>
      </c>
      <c r="M3254" s="1" t="str">
        <f>TEXT(Table1[[#This Row],[Order Date]],"mmm")</f>
        <v>Mar</v>
      </c>
      <c r="N3254" s="1">
        <f>YEAR(Table1[[#This Row],[Order Date]])</f>
        <v>2023</v>
      </c>
    </row>
    <row r="3255" spans="1:14" x14ac:dyDescent="0.35">
      <c r="A3255" s="1" t="s">
        <v>4048</v>
      </c>
      <c r="B3255" s="1" t="s">
        <v>1019</v>
      </c>
      <c r="C3255" s="1" t="s">
        <v>73</v>
      </c>
      <c r="D3255" s="1" t="s">
        <v>21</v>
      </c>
      <c r="E3255" s="1" t="s">
        <v>22</v>
      </c>
      <c r="F3255" s="1" t="s">
        <v>21</v>
      </c>
      <c r="G3255" s="1">
        <v>11</v>
      </c>
      <c r="H3255" s="1">
        <v>52037</v>
      </c>
      <c r="I3255" s="1">
        <v>0.1</v>
      </c>
      <c r="J3255" s="1">
        <v>515166.3</v>
      </c>
      <c r="K3255" s="1">
        <v>58360.3</v>
      </c>
      <c r="L3255" s="1" t="s">
        <v>45</v>
      </c>
      <c r="M3255" s="1" t="str">
        <f>TEXT(Table1[[#This Row],[Order Date]],"mmm")</f>
        <v>Jun</v>
      </c>
      <c r="N3255" s="1">
        <f>YEAR(Table1[[#This Row],[Order Date]])</f>
        <v>2024</v>
      </c>
    </row>
    <row r="3256" spans="1:14" x14ac:dyDescent="0.35">
      <c r="A3256" s="1" t="s">
        <v>4049</v>
      </c>
      <c r="B3256" s="1" t="s">
        <v>183</v>
      </c>
      <c r="C3256" s="1" t="s">
        <v>36</v>
      </c>
      <c r="D3256" s="1" t="s">
        <v>37</v>
      </c>
      <c r="E3256" s="1" t="s">
        <v>16</v>
      </c>
      <c r="F3256" s="1" t="s">
        <v>37</v>
      </c>
      <c r="G3256" s="1">
        <v>2</v>
      </c>
      <c r="H3256" s="1">
        <v>20614</v>
      </c>
      <c r="I3256" s="1">
        <v>0.15</v>
      </c>
      <c r="J3256" s="1">
        <v>35043.800000000003</v>
      </c>
      <c r="K3256" s="1">
        <v>4351.9799999999996</v>
      </c>
      <c r="L3256" s="1" t="s">
        <v>70</v>
      </c>
      <c r="M3256" s="1" t="str">
        <f>TEXT(Table1[[#This Row],[Order Date]],"mmm")</f>
        <v>Jul</v>
      </c>
      <c r="N3256" s="1">
        <f>YEAR(Table1[[#This Row],[Order Date]])</f>
        <v>2024</v>
      </c>
    </row>
    <row r="3257" spans="1:14" x14ac:dyDescent="0.35">
      <c r="A3257" s="1" t="s">
        <v>4050</v>
      </c>
      <c r="B3257" s="1" t="s">
        <v>605</v>
      </c>
      <c r="C3257" s="1" t="s">
        <v>640</v>
      </c>
      <c r="D3257" s="1" t="s">
        <v>85</v>
      </c>
      <c r="E3257" s="1" t="s">
        <v>28</v>
      </c>
      <c r="F3257" s="1" t="s">
        <v>85</v>
      </c>
      <c r="G3257" s="1">
        <v>15</v>
      </c>
      <c r="H3257" s="1">
        <v>9143</v>
      </c>
      <c r="I3257" s="1">
        <v>0.1</v>
      </c>
      <c r="J3257" s="1">
        <v>123430.5</v>
      </c>
      <c r="K3257" s="1">
        <v>11992.61</v>
      </c>
      <c r="L3257" s="1" t="s">
        <v>17</v>
      </c>
      <c r="M3257" s="1" t="str">
        <f>TEXT(Table1[[#This Row],[Order Date]],"mmm")</f>
        <v>Oct</v>
      </c>
      <c r="N3257" s="1">
        <f>YEAR(Table1[[#This Row],[Order Date]])</f>
        <v>2023</v>
      </c>
    </row>
    <row r="3258" spans="1:14" x14ac:dyDescent="0.35">
      <c r="A3258" s="1" t="s">
        <v>4051</v>
      </c>
      <c r="B3258" s="1" t="s">
        <v>1013</v>
      </c>
      <c r="C3258" s="1" t="s">
        <v>98</v>
      </c>
      <c r="D3258" s="1" t="s">
        <v>27</v>
      </c>
      <c r="E3258" s="1" t="s">
        <v>28</v>
      </c>
      <c r="F3258" s="1" t="s">
        <v>27</v>
      </c>
      <c r="G3258" s="1">
        <v>8</v>
      </c>
      <c r="H3258" s="1">
        <v>45875</v>
      </c>
      <c r="I3258" s="1">
        <v>0.2</v>
      </c>
      <c r="J3258" s="1">
        <v>293600</v>
      </c>
      <c r="K3258" s="1">
        <v>78629.34</v>
      </c>
      <c r="L3258" s="1" t="s">
        <v>70</v>
      </c>
      <c r="M3258" s="1" t="str">
        <f>TEXT(Table1[[#This Row],[Order Date]],"mmm")</f>
        <v>Sep</v>
      </c>
      <c r="N3258" s="1">
        <f>YEAR(Table1[[#This Row],[Order Date]])</f>
        <v>2023</v>
      </c>
    </row>
    <row r="3259" spans="1:14" x14ac:dyDescent="0.35">
      <c r="A3259" s="1" t="s">
        <v>4052</v>
      </c>
      <c r="B3259" s="1" t="s">
        <v>499</v>
      </c>
      <c r="C3259" s="1" t="s">
        <v>94</v>
      </c>
      <c r="D3259" s="1" t="s">
        <v>167</v>
      </c>
      <c r="E3259" s="1" t="s">
        <v>16</v>
      </c>
      <c r="F3259" s="1" t="s">
        <v>167</v>
      </c>
      <c r="G3259" s="1">
        <v>7</v>
      </c>
      <c r="H3259" s="1">
        <v>9680</v>
      </c>
      <c r="I3259" s="1">
        <v>0.1</v>
      </c>
      <c r="J3259" s="1">
        <v>60984</v>
      </c>
      <c r="K3259" s="1">
        <v>14528.89</v>
      </c>
      <c r="L3259" s="1" t="s">
        <v>23</v>
      </c>
      <c r="M3259" s="1" t="str">
        <f>TEXT(Table1[[#This Row],[Order Date]],"mmm")</f>
        <v>May</v>
      </c>
      <c r="N3259" s="1">
        <f>YEAR(Table1[[#This Row],[Order Date]])</f>
        <v>2024</v>
      </c>
    </row>
    <row r="3260" spans="1:14" x14ac:dyDescent="0.35">
      <c r="A3260" s="1" t="s">
        <v>4053</v>
      </c>
      <c r="B3260" s="1" t="s">
        <v>937</v>
      </c>
      <c r="C3260" s="1" t="s">
        <v>98</v>
      </c>
      <c r="D3260" s="1" t="s">
        <v>91</v>
      </c>
      <c r="E3260" s="1" t="s">
        <v>16</v>
      </c>
      <c r="F3260" s="1" t="s">
        <v>91</v>
      </c>
      <c r="G3260" s="1">
        <v>10</v>
      </c>
      <c r="H3260" s="1">
        <v>34641</v>
      </c>
      <c r="I3260" s="1">
        <v>0</v>
      </c>
      <c r="J3260" s="1">
        <v>346410</v>
      </c>
      <c r="K3260" s="1">
        <v>95984.99</v>
      </c>
      <c r="L3260" s="1" t="s">
        <v>45</v>
      </c>
      <c r="M3260" s="1" t="str">
        <f>TEXT(Table1[[#This Row],[Order Date]],"mmm")</f>
        <v>Oct</v>
      </c>
      <c r="N3260" s="1">
        <f>YEAR(Table1[[#This Row],[Order Date]])</f>
        <v>2023</v>
      </c>
    </row>
    <row r="3261" spans="1:14" x14ac:dyDescent="0.35">
      <c r="A3261" s="1" t="s">
        <v>4054</v>
      </c>
      <c r="B3261" s="1" t="s">
        <v>1168</v>
      </c>
      <c r="C3261" s="1" t="s">
        <v>260</v>
      </c>
      <c r="D3261" s="1" t="s">
        <v>60</v>
      </c>
      <c r="E3261" s="1" t="s">
        <v>33</v>
      </c>
      <c r="F3261" s="1" t="s">
        <v>60</v>
      </c>
      <c r="G3261" s="1">
        <v>11</v>
      </c>
      <c r="H3261" s="1">
        <v>39888</v>
      </c>
      <c r="I3261" s="1">
        <v>0.2</v>
      </c>
      <c r="J3261" s="1">
        <v>351014.40000000002</v>
      </c>
      <c r="K3261" s="1">
        <v>88240.37</v>
      </c>
      <c r="L3261" s="1" t="s">
        <v>70</v>
      </c>
      <c r="M3261" s="1" t="str">
        <f>TEXT(Table1[[#This Row],[Order Date]],"mmm")</f>
        <v>Sep</v>
      </c>
      <c r="N3261" s="1">
        <f>YEAR(Table1[[#This Row],[Order Date]])</f>
        <v>2024</v>
      </c>
    </row>
    <row r="3262" spans="1:14" x14ac:dyDescent="0.35">
      <c r="A3262" s="1" t="s">
        <v>4055</v>
      </c>
      <c r="B3262" s="1" t="s">
        <v>1168</v>
      </c>
      <c r="C3262" s="1" t="s">
        <v>36</v>
      </c>
      <c r="D3262" s="1" t="s">
        <v>293</v>
      </c>
      <c r="E3262" s="1" t="s">
        <v>33</v>
      </c>
      <c r="F3262" s="1" t="s">
        <v>293</v>
      </c>
      <c r="G3262" s="1">
        <v>3</v>
      </c>
      <c r="H3262" s="1">
        <v>11497</v>
      </c>
      <c r="I3262" s="1">
        <v>0.2</v>
      </c>
      <c r="J3262" s="1">
        <v>27592.799999999999</v>
      </c>
      <c r="K3262" s="1">
        <v>7069</v>
      </c>
      <c r="L3262" s="1" t="s">
        <v>17</v>
      </c>
      <c r="M3262" s="1" t="str">
        <f>TEXT(Table1[[#This Row],[Order Date]],"mmm")</f>
        <v>Sep</v>
      </c>
      <c r="N3262" s="1">
        <f>YEAR(Table1[[#This Row],[Order Date]])</f>
        <v>2024</v>
      </c>
    </row>
    <row r="3263" spans="1:14" x14ac:dyDescent="0.35">
      <c r="A3263" s="1" t="s">
        <v>4056</v>
      </c>
      <c r="B3263" s="1" t="s">
        <v>1732</v>
      </c>
      <c r="C3263" s="1" t="s">
        <v>120</v>
      </c>
      <c r="D3263" s="1" t="s">
        <v>167</v>
      </c>
      <c r="E3263" s="1" t="s">
        <v>16</v>
      </c>
      <c r="F3263" s="1" t="s">
        <v>167</v>
      </c>
      <c r="G3263" s="1">
        <v>5</v>
      </c>
      <c r="H3263" s="1">
        <v>491</v>
      </c>
      <c r="I3263" s="1">
        <v>0.15</v>
      </c>
      <c r="J3263" s="1">
        <v>2086.75</v>
      </c>
      <c r="K3263" s="1">
        <v>304.05</v>
      </c>
      <c r="L3263" s="1" t="s">
        <v>17</v>
      </c>
      <c r="M3263" s="1" t="str">
        <f>TEXT(Table1[[#This Row],[Order Date]],"mmm")</f>
        <v>Mar</v>
      </c>
      <c r="N3263" s="1">
        <f>YEAR(Table1[[#This Row],[Order Date]])</f>
        <v>2023</v>
      </c>
    </row>
    <row r="3264" spans="1:14" x14ac:dyDescent="0.35">
      <c r="A3264" s="1" t="s">
        <v>4057</v>
      </c>
      <c r="B3264" s="1" t="s">
        <v>538</v>
      </c>
      <c r="C3264" s="1" t="s">
        <v>67</v>
      </c>
      <c r="D3264" s="1" t="s">
        <v>41</v>
      </c>
      <c r="E3264" s="1" t="s">
        <v>16</v>
      </c>
      <c r="F3264" s="1" t="s">
        <v>41</v>
      </c>
      <c r="G3264" s="1">
        <v>12</v>
      </c>
      <c r="H3264" s="1">
        <v>10802</v>
      </c>
      <c r="I3264" s="1">
        <v>0.2</v>
      </c>
      <c r="J3264" s="1">
        <v>103699.2</v>
      </c>
      <c r="K3264" s="1">
        <v>11997.35</v>
      </c>
      <c r="L3264" s="1" t="s">
        <v>23</v>
      </c>
      <c r="M3264" s="1" t="str">
        <f>TEXT(Table1[[#This Row],[Order Date]],"mmm")</f>
        <v>Jan</v>
      </c>
      <c r="N3264" s="1">
        <f>YEAR(Table1[[#This Row],[Order Date]])</f>
        <v>2024</v>
      </c>
    </row>
    <row r="3265" spans="1:14" x14ac:dyDescent="0.35">
      <c r="A3265" s="1" t="s">
        <v>4058</v>
      </c>
      <c r="B3265" s="1" t="s">
        <v>563</v>
      </c>
      <c r="C3265" s="1" t="s">
        <v>88</v>
      </c>
      <c r="D3265" s="1" t="s">
        <v>27</v>
      </c>
      <c r="E3265" s="1" t="s">
        <v>28</v>
      </c>
      <c r="F3265" s="1" t="s">
        <v>27</v>
      </c>
      <c r="G3265" s="1">
        <v>2</v>
      </c>
      <c r="H3265" s="1">
        <v>10083</v>
      </c>
      <c r="I3265" s="1">
        <v>0.1</v>
      </c>
      <c r="J3265" s="1">
        <v>18149.400000000001</v>
      </c>
      <c r="K3265" s="1">
        <v>2477.83</v>
      </c>
      <c r="L3265" s="1" t="s">
        <v>23</v>
      </c>
      <c r="M3265" s="1" t="str">
        <f>TEXT(Table1[[#This Row],[Order Date]],"mmm")</f>
        <v>Jan</v>
      </c>
      <c r="N3265" s="1">
        <f>YEAR(Table1[[#This Row],[Order Date]])</f>
        <v>2023</v>
      </c>
    </row>
    <row r="3266" spans="1:14" x14ac:dyDescent="0.35">
      <c r="A3266" s="1" t="s">
        <v>4059</v>
      </c>
      <c r="B3266" s="1" t="s">
        <v>881</v>
      </c>
      <c r="C3266" s="1" t="s">
        <v>136</v>
      </c>
      <c r="D3266" s="1" t="s">
        <v>64</v>
      </c>
      <c r="E3266" s="1" t="s">
        <v>33</v>
      </c>
      <c r="F3266" s="1" t="s">
        <v>64</v>
      </c>
      <c r="G3266" s="1">
        <v>5</v>
      </c>
      <c r="H3266" s="1">
        <v>10760</v>
      </c>
      <c r="I3266" s="1">
        <v>0.05</v>
      </c>
      <c r="J3266" s="1">
        <v>51110</v>
      </c>
      <c r="K3266" s="1">
        <v>8227.69</v>
      </c>
      <c r="L3266" s="1" t="s">
        <v>17</v>
      </c>
      <c r="M3266" s="1" t="str">
        <f>TEXT(Table1[[#This Row],[Order Date]],"mmm")</f>
        <v>Oct</v>
      </c>
      <c r="N3266" s="1">
        <f>YEAR(Table1[[#This Row],[Order Date]])</f>
        <v>2024</v>
      </c>
    </row>
    <row r="3267" spans="1:14" x14ac:dyDescent="0.35">
      <c r="A3267" s="1" t="s">
        <v>4060</v>
      </c>
      <c r="B3267" s="1" t="s">
        <v>1361</v>
      </c>
      <c r="C3267" s="1" t="s">
        <v>14</v>
      </c>
      <c r="D3267" s="1" t="s">
        <v>44</v>
      </c>
      <c r="E3267" s="1" t="s">
        <v>28</v>
      </c>
      <c r="F3267" s="1" t="s">
        <v>44</v>
      </c>
      <c r="G3267" s="1">
        <v>12</v>
      </c>
      <c r="H3267" s="1">
        <v>29264</v>
      </c>
      <c r="I3267" s="1">
        <v>0.05</v>
      </c>
      <c r="J3267" s="1">
        <v>333609.59999999998</v>
      </c>
      <c r="K3267" s="1">
        <v>80594.34</v>
      </c>
      <c r="L3267" s="1" t="s">
        <v>45</v>
      </c>
      <c r="M3267" s="1" t="str">
        <f>TEXT(Table1[[#This Row],[Order Date]],"mmm")</f>
        <v>Apr</v>
      </c>
      <c r="N3267" s="1">
        <f>YEAR(Table1[[#This Row],[Order Date]])</f>
        <v>2023</v>
      </c>
    </row>
    <row r="3268" spans="1:14" x14ac:dyDescent="0.35">
      <c r="A3268" s="1" t="s">
        <v>4061</v>
      </c>
      <c r="B3268" s="1" t="s">
        <v>351</v>
      </c>
      <c r="C3268" s="1" t="s">
        <v>255</v>
      </c>
      <c r="D3268" s="1" t="s">
        <v>85</v>
      </c>
      <c r="E3268" s="1" t="s">
        <v>28</v>
      </c>
      <c r="F3268" s="1" t="s">
        <v>85</v>
      </c>
      <c r="G3268" s="1">
        <v>8</v>
      </c>
      <c r="H3268" s="1">
        <v>405</v>
      </c>
      <c r="I3268" s="1">
        <v>0.05</v>
      </c>
      <c r="J3268" s="1">
        <v>3078</v>
      </c>
      <c r="K3268" s="1">
        <v>745.06</v>
      </c>
      <c r="L3268" s="1" t="s">
        <v>23</v>
      </c>
      <c r="M3268" s="1" t="str">
        <f>TEXT(Table1[[#This Row],[Order Date]],"mmm")</f>
        <v>Apr</v>
      </c>
      <c r="N3268" s="1">
        <f>YEAR(Table1[[#This Row],[Order Date]])</f>
        <v>2023</v>
      </c>
    </row>
    <row r="3269" spans="1:14" x14ac:dyDescent="0.35">
      <c r="A3269" s="1" t="s">
        <v>4062</v>
      </c>
      <c r="B3269" s="1" t="s">
        <v>54</v>
      </c>
      <c r="C3269" s="1" t="s">
        <v>98</v>
      </c>
      <c r="D3269" s="1" t="s">
        <v>91</v>
      </c>
      <c r="E3269" s="1" t="s">
        <v>16</v>
      </c>
      <c r="F3269" s="1" t="s">
        <v>91</v>
      </c>
      <c r="G3269" s="1">
        <v>12</v>
      </c>
      <c r="H3269" s="1">
        <v>40075</v>
      </c>
      <c r="I3269" s="1">
        <v>0</v>
      </c>
      <c r="J3269" s="1">
        <v>480900</v>
      </c>
      <c r="K3269" s="1">
        <v>120724.39</v>
      </c>
      <c r="L3269" s="1" t="s">
        <v>23</v>
      </c>
      <c r="M3269" s="1" t="str">
        <f>TEXT(Table1[[#This Row],[Order Date]],"mmm")</f>
        <v>Mar</v>
      </c>
      <c r="N3269" s="1">
        <f>YEAR(Table1[[#This Row],[Order Date]])</f>
        <v>2023</v>
      </c>
    </row>
    <row r="3270" spans="1:14" x14ac:dyDescent="0.35">
      <c r="A3270" s="1" t="s">
        <v>4063</v>
      </c>
      <c r="B3270" s="1" t="s">
        <v>303</v>
      </c>
      <c r="C3270" s="1" t="s">
        <v>208</v>
      </c>
      <c r="D3270" s="1" t="s">
        <v>133</v>
      </c>
      <c r="E3270" s="1" t="s">
        <v>22</v>
      </c>
      <c r="F3270" s="1" t="s">
        <v>133</v>
      </c>
      <c r="G3270" s="1">
        <v>1</v>
      </c>
      <c r="H3270" s="1">
        <v>48792</v>
      </c>
      <c r="I3270" s="1">
        <v>0</v>
      </c>
      <c r="J3270" s="1">
        <v>48792</v>
      </c>
      <c r="K3270" s="1">
        <v>5605.07</v>
      </c>
      <c r="L3270" s="1" t="s">
        <v>17</v>
      </c>
      <c r="M3270" s="1" t="str">
        <f>TEXT(Table1[[#This Row],[Order Date]],"mmm")</f>
        <v>Jun</v>
      </c>
      <c r="N3270" s="1">
        <f>YEAR(Table1[[#This Row],[Order Date]])</f>
        <v>2024</v>
      </c>
    </row>
    <row r="3271" spans="1:14" x14ac:dyDescent="0.35">
      <c r="A3271" s="1" t="s">
        <v>4064</v>
      </c>
      <c r="B3271" s="1" t="s">
        <v>413</v>
      </c>
      <c r="C3271" s="1" t="s">
        <v>26</v>
      </c>
      <c r="D3271" s="1" t="s">
        <v>15</v>
      </c>
      <c r="E3271" s="1" t="s">
        <v>16</v>
      </c>
      <c r="F3271" s="1" t="s">
        <v>15</v>
      </c>
      <c r="G3271" s="1">
        <v>3</v>
      </c>
      <c r="H3271" s="1">
        <v>36123</v>
      </c>
      <c r="I3271" s="1">
        <v>0.05</v>
      </c>
      <c r="J3271" s="1">
        <v>102950.55</v>
      </c>
      <c r="K3271" s="1">
        <v>23174.31</v>
      </c>
      <c r="L3271" s="1" t="s">
        <v>45</v>
      </c>
      <c r="M3271" s="1" t="str">
        <f>TEXT(Table1[[#This Row],[Order Date]],"mmm")</f>
        <v>May</v>
      </c>
      <c r="N3271" s="1">
        <f>YEAR(Table1[[#This Row],[Order Date]])</f>
        <v>2024</v>
      </c>
    </row>
    <row r="3272" spans="1:14" x14ac:dyDescent="0.35">
      <c r="A3272" s="1" t="s">
        <v>4065</v>
      </c>
      <c r="B3272" s="1" t="s">
        <v>1401</v>
      </c>
      <c r="C3272" s="1" t="s">
        <v>20</v>
      </c>
      <c r="D3272" s="1" t="s">
        <v>41</v>
      </c>
      <c r="E3272" s="1" t="s">
        <v>16</v>
      </c>
      <c r="F3272" s="1" t="s">
        <v>41</v>
      </c>
      <c r="G3272" s="1">
        <v>12</v>
      </c>
      <c r="H3272" s="1">
        <v>3794</v>
      </c>
      <c r="I3272" s="1">
        <v>0.15</v>
      </c>
      <c r="J3272" s="1">
        <v>38698.800000000003</v>
      </c>
      <c r="K3272" s="1">
        <v>4395.46</v>
      </c>
      <c r="L3272" s="1" t="s">
        <v>17</v>
      </c>
      <c r="M3272" s="1" t="str">
        <f>TEXT(Table1[[#This Row],[Order Date]],"mmm")</f>
        <v>Nov</v>
      </c>
      <c r="N3272" s="1">
        <f>YEAR(Table1[[#This Row],[Order Date]])</f>
        <v>2023</v>
      </c>
    </row>
    <row r="3273" spans="1:14" x14ac:dyDescent="0.35">
      <c r="A3273" s="1" t="s">
        <v>4066</v>
      </c>
      <c r="B3273" s="1" t="s">
        <v>1427</v>
      </c>
      <c r="C3273" s="1" t="s">
        <v>101</v>
      </c>
      <c r="D3273" s="1" t="s">
        <v>167</v>
      </c>
      <c r="E3273" s="1" t="s">
        <v>16</v>
      </c>
      <c r="F3273" s="1" t="s">
        <v>167</v>
      </c>
      <c r="G3273" s="1">
        <v>14</v>
      </c>
      <c r="H3273" s="1">
        <v>56428</v>
      </c>
      <c r="I3273" s="1">
        <v>0.1</v>
      </c>
      <c r="J3273" s="1">
        <v>710992.8</v>
      </c>
      <c r="K3273" s="1">
        <v>72398.23</v>
      </c>
      <c r="L3273" s="1" t="s">
        <v>70</v>
      </c>
      <c r="M3273" s="1" t="str">
        <f>TEXT(Table1[[#This Row],[Order Date]],"mmm")</f>
        <v>Oct</v>
      </c>
      <c r="N3273" s="1">
        <f>YEAR(Table1[[#This Row],[Order Date]])</f>
        <v>2024</v>
      </c>
    </row>
    <row r="3274" spans="1:14" x14ac:dyDescent="0.35">
      <c r="A3274" s="1" t="s">
        <v>4067</v>
      </c>
      <c r="B3274" s="1" t="s">
        <v>1997</v>
      </c>
      <c r="C3274" s="1" t="s">
        <v>146</v>
      </c>
      <c r="D3274" s="1" t="s">
        <v>52</v>
      </c>
      <c r="E3274" s="1" t="s">
        <v>28</v>
      </c>
      <c r="F3274" s="1" t="s">
        <v>52</v>
      </c>
      <c r="G3274" s="1">
        <v>4</v>
      </c>
      <c r="H3274" s="1">
        <v>8393</v>
      </c>
      <c r="I3274" s="1">
        <v>0.05</v>
      </c>
      <c r="J3274" s="1">
        <v>31893.4</v>
      </c>
      <c r="K3274" s="1">
        <v>7338.45</v>
      </c>
      <c r="L3274" s="1" t="s">
        <v>70</v>
      </c>
      <c r="M3274" s="1" t="str">
        <f>TEXT(Table1[[#This Row],[Order Date]],"mmm")</f>
        <v>Jul</v>
      </c>
      <c r="N3274" s="1">
        <f>YEAR(Table1[[#This Row],[Order Date]])</f>
        <v>2023</v>
      </c>
    </row>
    <row r="3275" spans="1:14" x14ac:dyDescent="0.35">
      <c r="A3275" s="1" t="s">
        <v>4068</v>
      </c>
      <c r="B3275" s="1" t="s">
        <v>2002</v>
      </c>
      <c r="C3275" s="1" t="s">
        <v>203</v>
      </c>
      <c r="D3275" s="1" t="s">
        <v>293</v>
      </c>
      <c r="E3275" s="1" t="s">
        <v>33</v>
      </c>
      <c r="F3275" s="1" t="s">
        <v>293</v>
      </c>
      <c r="G3275" s="1">
        <v>3</v>
      </c>
      <c r="H3275" s="1">
        <v>34566</v>
      </c>
      <c r="I3275" s="1">
        <v>0.2</v>
      </c>
      <c r="J3275" s="1">
        <v>82958.399999999994</v>
      </c>
      <c r="K3275" s="1">
        <v>19879.53</v>
      </c>
      <c r="L3275" s="1" t="s">
        <v>45</v>
      </c>
      <c r="M3275" s="1" t="str">
        <f>TEXT(Table1[[#This Row],[Order Date]],"mmm")</f>
        <v>Apr</v>
      </c>
      <c r="N3275" s="1">
        <f>YEAR(Table1[[#This Row],[Order Date]])</f>
        <v>2024</v>
      </c>
    </row>
    <row r="3276" spans="1:14" x14ac:dyDescent="0.35">
      <c r="A3276" s="1" t="s">
        <v>4069</v>
      </c>
      <c r="B3276" s="1" t="s">
        <v>481</v>
      </c>
      <c r="C3276" s="1" t="s">
        <v>507</v>
      </c>
      <c r="D3276" s="1" t="s">
        <v>141</v>
      </c>
      <c r="E3276" s="1" t="s">
        <v>22</v>
      </c>
      <c r="F3276" s="1" t="s">
        <v>141</v>
      </c>
      <c r="G3276" s="1">
        <v>3</v>
      </c>
      <c r="H3276" s="1">
        <v>46145</v>
      </c>
      <c r="I3276" s="1">
        <v>0.1</v>
      </c>
      <c r="J3276" s="1">
        <v>124591.5</v>
      </c>
      <c r="K3276" s="1">
        <v>28810.35</v>
      </c>
      <c r="L3276" s="1" t="s">
        <v>45</v>
      </c>
      <c r="M3276" s="1" t="str">
        <f>TEXT(Table1[[#This Row],[Order Date]],"mmm")</f>
        <v>Oct</v>
      </c>
      <c r="N3276" s="1">
        <f>YEAR(Table1[[#This Row],[Order Date]])</f>
        <v>2024</v>
      </c>
    </row>
    <row r="3277" spans="1:14" x14ac:dyDescent="0.35">
      <c r="A3277" s="1" t="s">
        <v>4070</v>
      </c>
      <c r="B3277" s="1" t="s">
        <v>1038</v>
      </c>
      <c r="C3277" s="1" t="s">
        <v>81</v>
      </c>
      <c r="D3277" s="1" t="s">
        <v>48</v>
      </c>
      <c r="E3277" s="1" t="s">
        <v>16</v>
      </c>
      <c r="F3277" s="1" t="s">
        <v>48</v>
      </c>
      <c r="G3277" s="1">
        <v>5</v>
      </c>
      <c r="H3277" s="1">
        <v>7667</v>
      </c>
      <c r="I3277" s="1">
        <v>0.2</v>
      </c>
      <c r="J3277" s="1">
        <v>30668</v>
      </c>
      <c r="K3277" s="1">
        <v>2719.2</v>
      </c>
      <c r="L3277" s="1" t="s">
        <v>45</v>
      </c>
      <c r="M3277" s="1" t="str">
        <f>TEXT(Table1[[#This Row],[Order Date]],"mmm")</f>
        <v>Feb</v>
      </c>
      <c r="N3277" s="1">
        <f>YEAR(Table1[[#This Row],[Order Date]])</f>
        <v>2024</v>
      </c>
    </row>
    <row r="3278" spans="1:14" x14ac:dyDescent="0.35">
      <c r="A3278" s="1" t="s">
        <v>4071</v>
      </c>
      <c r="B3278" s="1" t="s">
        <v>517</v>
      </c>
      <c r="C3278" s="1" t="s">
        <v>81</v>
      </c>
      <c r="D3278" s="1" t="s">
        <v>293</v>
      </c>
      <c r="E3278" s="1" t="s">
        <v>33</v>
      </c>
      <c r="F3278" s="1" t="s">
        <v>293</v>
      </c>
      <c r="G3278" s="1">
        <v>6</v>
      </c>
      <c r="H3278" s="1">
        <v>8511</v>
      </c>
      <c r="I3278" s="1">
        <v>0.2</v>
      </c>
      <c r="J3278" s="1">
        <v>40852.800000000003</v>
      </c>
      <c r="K3278" s="1">
        <v>5891.56</v>
      </c>
      <c r="L3278" s="1" t="s">
        <v>45</v>
      </c>
      <c r="M3278" s="1" t="str">
        <f>TEXT(Table1[[#This Row],[Order Date]],"mmm")</f>
        <v>Jun</v>
      </c>
      <c r="N3278" s="1">
        <f>YEAR(Table1[[#This Row],[Order Date]])</f>
        <v>2024</v>
      </c>
    </row>
    <row r="3279" spans="1:14" x14ac:dyDescent="0.35">
      <c r="A3279" s="1" t="s">
        <v>4072</v>
      </c>
      <c r="B3279" s="1" t="s">
        <v>927</v>
      </c>
      <c r="C3279" s="1" t="s">
        <v>63</v>
      </c>
      <c r="D3279" s="1" t="s">
        <v>167</v>
      </c>
      <c r="E3279" s="1" t="s">
        <v>16</v>
      </c>
      <c r="F3279" s="1" t="s">
        <v>167</v>
      </c>
      <c r="G3279" s="1">
        <v>2</v>
      </c>
      <c r="H3279" s="1">
        <v>54100</v>
      </c>
      <c r="I3279" s="1">
        <v>0.15</v>
      </c>
      <c r="J3279" s="1">
        <v>91970</v>
      </c>
      <c r="K3279" s="1">
        <v>13937.3</v>
      </c>
      <c r="L3279" s="1" t="s">
        <v>23</v>
      </c>
      <c r="M3279" s="1" t="str">
        <f>TEXT(Table1[[#This Row],[Order Date]],"mmm")</f>
        <v>May</v>
      </c>
      <c r="N3279" s="1">
        <f>YEAR(Table1[[#This Row],[Order Date]])</f>
        <v>2024</v>
      </c>
    </row>
    <row r="3280" spans="1:14" x14ac:dyDescent="0.35">
      <c r="A3280" s="1" t="s">
        <v>4073</v>
      </c>
      <c r="B3280" s="1" t="s">
        <v>1092</v>
      </c>
      <c r="C3280" s="1" t="s">
        <v>84</v>
      </c>
      <c r="D3280" s="1" t="s">
        <v>323</v>
      </c>
      <c r="E3280" s="1" t="s">
        <v>33</v>
      </c>
      <c r="F3280" s="1" t="s">
        <v>323</v>
      </c>
      <c r="G3280" s="1">
        <v>6</v>
      </c>
      <c r="H3280" s="1">
        <v>30221</v>
      </c>
      <c r="I3280" s="1">
        <v>0.2</v>
      </c>
      <c r="J3280" s="1">
        <v>145060.79999999999</v>
      </c>
      <c r="K3280" s="1">
        <v>24198.39</v>
      </c>
      <c r="L3280" s="1" t="s">
        <v>17</v>
      </c>
      <c r="M3280" s="1" t="str">
        <f>TEXT(Table1[[#This Row],[Order Date]],"mmm")</f>
        <v>Feb</v>
      </c>
      <c r="N3280" s="1">
        <f>YEAR(Table1[[#This Row],[Order Date]])</f>
        <v>2024</v>
      </c>
    </row>
    <row r="3281" spans="1:14" x14ac:dyDescent="0.35">
      <c r="A3281" s="1" t="s">
        <v>4074</v>
      </c>
      <c r="B3281" s="1" t="s">
        <v>1842</v>
      </c>
      <c r="C3281" s="1" t="s">
        <v>227</v>
      </c>
      <c r="D3281" s="1" t="s">
        <v>293</v>
      </c>
      <c r="E3281" s="1" t="s">
        <v>33</v>
      </c>
      <c r="F3281" s="1" t="s">
        <v>293</v>
      </c>
      <c r="G3281" s="1">
        <v>10</v>
      </c>
      <c r="H3281" s="1">
        <v>5035</v>
      </c>
      <c r="I3281" s="1">
        <v>0.2</v>
      </c>
      <c r="J3281" s="1">
        <v>40280</v>
      </c>
      <c r="K3281" s="1">
        <v>7058.67</v>
      </c>
      <c r="L3281" s="1" t="s">
        <v>70</v>
      </c>
      <c r="M3281" s="1" t="str">
        <f>TEXT(Table1[[#This Row],[Order Date]],"mmm")</f>
        <v>Oct</v>
      </c>
      <c r="N3281" s="1">
        <f>YEAR(Table1[[#This Row],[Order Date]])</f>
        <v>2023</v>
      </c>
    </row>
    <row r="3282" spans="1:14" x14ac:dyDescent="0.35">
      <c r="A3282" s="1" t="s">
        <v>4075</v>
      </c>
      <c r="B3282" s="1" t="s">
        <v>495</v>
      </c>
      <c r="C3282" s="1" t="s">
        <v>227</v>
      </c>
      <c r="D3282" s="1" t="s">
        <v>41</v>
      </c>
      <c r="E3282" s="1" t="s">
        <v>16</v>
      </c>
      <c r="F3282" s="1" t="s">
        <v>41</v>
      </c>
      <c r="G3282" s="1">
        <v>2</v>
      </c>
      <c r="H3282" s="1">
        <v>8201</v>
      </c>
      <c r="I3282" s="1">
        <v>0.1</v>
      </c>
      <c r="J3282" s="1">
        <v>14761.8</v>
      </c>
      <c r="K3282" s="1">
        <v>3441.13</v>
      </c>
      <c r="L3282" s="1" t="s">
        <v>23</v>
      </c>
      <c r="M3282" s="1" t="str">
        <f>TEXT(Table1[[#This Row],[Order Date]],"mmm")</f>
        <v>Jun</v>
      </c>
      <c r="N3282" s="1">
        <f>YEAR(Table1[[#This Row],[Order Date]])</f>
        <v>2024</v>
      </c>
    </row>
    <row r="3283" spans="1:14" x14ac:dyDescent="0.35">
      <c r="A3283" s="1" t="s">
        <v>4076</v>
      </c>
      <c r="B3283" s="1" t="s">
        <v>2592</v>
      </c>
      <c r="C3283" s="1" t="s">
        <v>117</v>
      </c>
      <c r="D3283" s="1" t="s">
        <v>37</v>
      </c>
      <c r="E3283" s="1" t="s">
        <v>16</v>
      </c>
      <c r="F3283" s="1" t="s">
        <v>37</v>
      </c>
      <c r="G3283" s="1">
        <v>12</v>
      </c>
      <c r="H3283" s="1">
        <v>21425</v>
      </c>
      <c r="I3283" s="1">
        <v>0</v>
      </c>
      <c r="J3283" s="1">
        <v>257100</v>
      </c>
      <c r="K3283" s="1">
        <v>22580.23</v>
      </c>
      <c r="L3283" s="1" t="s">
        <v>45</v>
      </c>
      <c r="M3283" s="1" t="str">
        <f>TEXT(Table1[[#This Row],[Order Date]],"mmm")</f>
        <v>May</v>
      </c>
      <c r="N3283" s="1">
        <f>YEAR(Table1[[#This Row],[Order Date]])</f>
        <v>2023</v>
      </c>
    </row>
    <row r="3284" spans="1:14" x14ac:dyDescent="0.35">
      <c r="A3284" s="1" t="s">
        <v>4077</v>
      </c>
      <c r="B3284" s="1" t="s">
        <v>341</v>
      </c>
      <c r="C3284" s="1" t="s">
        <v>101</v>
      </c>
      <c r="D3284" s="1" t="s">
        <v>137</v>
      </c>
      <c r="E3284" s="1" t="s">
        <v>22</v>
      </c>
      <c r="F3284" s="1" t="s">
        <v>137</v>
      </c>
      <c r="G3284" s="1">
        <v>11</v>
      </c>
      <c r="H3284" s="1">
        <v>4810</v>
      </c>
      <c r="I3284" s="1">
        <v>0.2</v>
      </c>
      <c r="J3284" s="1">
        <v>42328</v>
      </c>
      <c r="K3284" s="1">
        <v>9097.34</v>
      </c>
      <c r="L3284" s="1" t="s">
        <v>45</v>
      </c>
      <c r="M3284" s="1" t="str">
        <f>TEXT(Table1[[#This Row],[Order Date]],"mmm")</f>
        <v>May</v>
      </c>
      <c r="N3284" s="1">
        <f>YEAR(Table1[[#This Row],[Order Date]])</f>
        <v>2023</v>
      </c>
    </row>
    <row r="3285" spans="1:14" x14ac:dyDescent="0.35">
      <c r="A3285" s="1" t="s">
        <v>4078</v>
      </c>
      <c r="B3285" s="1" t="s">
        <v>2092</v>
      </c>
      <c r="C3285" s="1" t="s">
        <v>107</v>
      </c>
      <c r="D3285" s="1" t="s">
        <v>141</v>
      </c>
      <c r="E3285" s="1" t="s">
        <v>22</v>
      </c>
      <c r="F3285" s="1" t="s">
        <v>141</v>
      </c>
      <c r="G3285" s="1">
        <v>4</v>
      </c>
      <c r="H3285" s="1">
        <v>5937</v>
      </c>
      <c r="I3285" s="1">
        <v>0.2</v>
      </c>
      <c r="J3285" s="1">
        <v>18998.400000000001</v>
      </c>
      <c r="K3285" s="1">
        <v>2174.62</v>
      </c>
      <c r="L3285" s="1" t="s">
        <v>45</v>
      </c>
      <c r="M3285" s="1" t="str">
        <f>TEXT(Table1[[#This Row],[Order Date]],"mmm")</f>
        <v>Feb</v>
      </c>
      <c r="N3285" s="1">
        <f>YEAR(Table1[[#This Row],[Order Date]])</f>
        <v>2024</v>
      </c>
    </row>
    <row r="3286" spans="1:14" x14ac:dyDescent="0.35">
      <c r="A3286" s="1" t="s">
        <v>4079</v>
      </c>
      <c r="B3286" s="1" t="s">
        <v>312</v>
      </c>
      <c r="C3286" s="1" t="s">
        <v>178</v>
      </c>
      <c r="D3286" s="1" t="s">
        <v>21</v>
      </c>
      <c r="E3286" s="1" t="s">
        <v>22</v>
      </c>
      <c r="F3286" s="1" t="s">
        <v>21</v>
      </c>
      <c r="G3286" s="1">
        <v>5</v>
      </c>
      <c r="H3286" s="1">
        <v>29993</v>
      </c>
      <c r="I3286" s="1">
        <v>0.1</v>
      </c>
      <c r="J3286" s="1">
        <v>134968.5</v>
      </c>
      <c r="K3286" s="1">
        <v>35229.71</v>
      </c>
      <c r="L3286" s="1" t="s">
        <v>70</v>
      </c>
      <c r="M3286" s="1" t="str">
        <f>TEXT(Table1[[#This Row],[Order Date]],"mmm")</f>
        <v>May</v>
      </c>
      <c r="N3286" s="1">
        <f>YEAR(Table1[[#This Row],[Order Date]])</f>
        <v>2024</v>
      </c>
    </row>
    <row r="3287" spans="1:14" x14ac:dyDescent="0.35">
      <c r="A3287" s="1" t="s">
        <v>4080</v>
      </c>
      <c r="B3287" s="1" t="s">
        <v>148</v>
      </c>
      <c r="C3287" s="1" t="s">
        <v>640</v>
      </c>
      <c r="D3287" s="1" t="s">
        <v>133</v>
      </c>
      <c r="E3287" s="1" t="s">
        <v>22</v>
      </c>
      <c r="F3287" s="1" t="s">
        <v>133</v>
      </c>
      <c r="G3287" s="1">
        <v>10</v>
      </c>
      <c r="H3287" s="1">
        <v>3186</v>
      </c>
      <c r="I3287" s="1">
        <v>0</v>
      </c>
      <c r="J3287" s="1">
        <v>31860</v>
      </c>
      <c r="K3287" s="1">
        <v>3633.76</v>
      </c>
      <c r="L3287" s="1" t="s">
        <v>45</v>
      </c>
      <c r="M3287" s="1" t="str">
        <f>TEXT(Table1[[#This Row],[Order Date]],"mmm")</f>
        <v>Jan</v>
      </c>
      <c r="N3287" s="1">
        <f>YEAR(Table1[[#This Row],[Order Date]])</f>
        <v>2024</v>
      </c>
    </row>
    <row r="3288" spans="1:14" x14ac:dyDescent="0.35">
      <c r="A3288" s="1" t="s">
        <v>4081</v>
      </c>
      <c r="B3288" s="1" t="s">
        <v>427</v>
      </c>
      <c r="C3288" s="1" t="s">
        <v>178</v>
      </c>
      <c r="D3288" s="1" t="s">
        <v>74</v>
      </c>
      <c r="E3288" s="1" t="s">
        <v>22</v>
      </c>
      <c r="F3288" s="1" t="s">
        <v>74</v>
      </c>
      <c r="G3288" s="1">
        <v>5</v>
      </c>
      <c r="H3288" s="1">
        <v>48805</v>
      </c>
      <c r="I3288" s="1">
        <v>0.15</v>
      </c>
      <c r="J3288" s="1">
        <v>207421.25</v>
      </c>
      <c r="K3288" s="1">
        <v>34110.79</v>
      </c>
      <c r="L3288" s="1" t="s">
        <v>45</v>
      </c>
      <c r="M3288" s="1" t="str">
        <f>TEXT(Table1[[#This Row],[Order Date]],"mmm")</f>
        <v>Jan</v>
      </c>
      <c r="N3288" s="1">
        <f>YEAR(Table1[[#This Row],[Order Date]])</f>
        <v>2023</v>
      </c>
    </row>
    <row r="3289" spans="1:14" x14ac:dyDescent="0.35">
      <c r="A3289" s="1" t="s">
        <v>4082</v>
      </c>
      <c r="B3289" s="1" t="s">
        <v>807</v>
      </c>
      <c r="C3289" s="1" t="s">
        <v>26</v>
      </c>
      <c r="D3289" s="1" t="s">
        <v>78</v>
      </c>
      <c r="E3289" s="1" t="s">
        <v>28</v>
      </c>
      <c r="F3289" s="1" t="s">
        <v>78</v>
      </c>
      <c r="G3289" s="1">
        <v>8</v>
      </c>
      <c r="H3289" s="1">
        <v>59717</v>
      </c>
      <c r="I3289" s="1">
        <v>0.2</v>
      </c>
      <c r="J3289" s="1">
        <v>382188.79999999999</v>
      </c>
      <c r="K3289" s="1">
        <v>61201.9</v>
      </c>
      <c r="L3289" s="1" t="s">
        <v>17</v>
      </c>
      <c r="M3289" s="1" t="str">
        <f>TEXT(Table1[[#This Row],[Order Date]],"mmm")</f>
        <v>Sep</v>
      </c>
      <c r="N3289" s="1">
        <f>YEAR(Table1[[#This Row],[Order Date]])</f>
        <v>2024</v>
      </c>
    </row>
    <row r="3290" spans="1:14" x14ac:dyDescent="0.35">
      <c r="A3290" s="1" t="s">
        <v>4083</v>
      </c>
      <c r="B3290" s="1" t="s">
        <v>284</v>
      </c>
      <c r="C3290" s="1" t="s">
        <v>81</v>
      </c>
      <c r="D3290" s="1" t="s">
        <v>64</v>
      </c>
      <c r="E3290" s="1" t="s">
        <v>33</v>
      </c>
      <c r="F3290" s="1" t="s">
        <v>64</v>
      </c>
      <c r="G3290" s="1">
        <v>13</v>
      </c>
      <c r="H3290" s="1">
        <v>55038</v>
      </c>
      <c r="I3290" s="1">
        <v>0.15</v>
      </c>
      <c r="J3290" s="1">
        <v>608169.9</v>
      </c>
      <c r="K3290" s="1">
        <v>132501.85</v>
      </c>
      <c r="L3290" s="1" t="s">
        <v>23</v>
      </c>
      <c r="M3290" s="1" t="str">
        <f>TEXT(Table1[[#This Row],[Order Date]],"mmm")</f>
        <v>Nov</v>
      </c>
      <c r="N3290" s="1">
        <f>YEAR(Table1[[#This Row],[Order Date]])</f>
        <v>2023</v>
      </c>
    </row>
    <row r="3291" spans="1:14" x14ac:dyDescent="0.35">
      <c r="A3291" s="1" t="s">
        <v>4084</v>
      </c>
      <c r="B3291" s="1" t="s">
        <v>599</v>
      </c>
      <c r="C3291" s="1" t="s">
        <v>120</v>
      </c>
      <c r="D3291" s="1" t="s">
        <v>85</v>
      </c>
      <c r="E3291" s="1" t="s">
        <v>28</v>
      </c>
      <c r="F3291" s="1" t="s">
        <v>85</v>
      </c>
      <c r="G3291" s="1">
        <v>11</v>
      </c>
      <c r="H3291" s="1">
        <v>57814</v>
      </c>
      <c r="I3291" s="1">
        <v>0.2</v>
      </c>
      <c r="J3291" s="1">
        <v>508763.2</v>
      </c>
      <c r="K3291" s="1">
        <v>116899.76</v>
      </c>
      <c r="L3291" s="1" t="s">
        <v>45</v>
      </c>
      <c r="M3291" s="1" t="str">
        <f>TEXT(Table1[[#This Row],[Order Date]],"mmm")</f>
        <v>May</v>
      </c>
      <c r="N3291" s="1">
        <f>YEAR(Table1[[#This Row],[Order Date]])</f>
        <v>2023</v>
      </c>
    </row>
    <row r="3292" spans="1:14" x14ac:dyDescent="0.35">
      <c r="A3292" s="1" t="s">
        <v>4085</v>
      </c>
      <c r="B3292" s="1" t="s">
        <v>2167</v>
      </c>
      <c r="C3292" s="1" t="s">
        <v>117</v>
      </c>
      <c r="D3292" s="1" t="s">
        <v>32</v>
      </c>
      <c r="E3292" s="1" t="s">
        <v>33</v>
      </c>
      <c r="F3292" s="1" t="s">
        <v>32</v>
      </c>
      <c r="G3292" s="1">
        <v>2</v>
      </c>
      <c r="H3292" s="1">
        <v>49981</v>
      </c>
      <c r="I3292" s="1">
        <v>0.15</v>
      </c>
      <c r="J3292" s="1">
        <v>84967.7</v>
      </c>
      <c r="K3292" s="1">
        <v>16782.34</v>
      </c>
      <c r="L3292" s="1" t="s">
        <v>70</v>
      </c>
      <c r="M3292" s="1" t="str">
        <f>TEXT(Table1[[#This Row],[Order Date]],"mmm")</f>
        <v>Aug</v>
      </c>
      <c r="N3292" s="1">
        <f>YEAR(Table1[[#This Row],[Order Date]])</f>
        <v>2024</v>
      </c>
    </row>
    <row r="3293" spans="1:14" x14ac:dyDescent="0.35">
      <c r="A3293" s="1" t="s">
        <v>4086</v>
      </c>
      <c r="B3293" s="1" t="s">
        <v>236</v>
      </c>
      <c r="C3293" s="1" t="s">
        <v>128</v>
      </c>
      <c r="D3293" s="1" t="s">
        <v>108</v>
      </c>
      <c r="E3293" s="1" t="s">
        <v>22</v>
      </c>
      <c r="F3293" s="1" t="s">
        <v>108</v>
      </c>
      <c r="G3293" s="1">
        <v>2</v>
      </c>
      <c r="H3293" s="1">
        <v>41670</v>
      </c>
      <c r="I3293" s="1">
        <v>0.2</v>
      </c>
      <c r="J3293" s="1">
        <v>66672</v>
      </c>
      <c r="K3293" s="1">
        <v>7828.73</v>
      </c>
      <c r="L3293" s="1" t="s">
        <v>17</v>
      </c>
      <c r="M3293" s="1" t="str">
        <f>TEXT(Table1[[#This Row],[Order Date]],"mmm")</f>
        <v>May</v>
      </c>
      <c r="N3293" s="1">
        <f>YEAR(Table1[[#This Row],[Order Date]])</f>
        <v>2024</v>
      </c>
    </row>
    <row r="3294" spans="1:14" x14ac:dyDescent="0.35">
      <c r="A3294" s="1" t="s">
        <v>4087</v>
      </c>
      <c r="B3294" s="1" t="s">
        <v>742</v>
      </c>
      <c r="C3294" s="1" t="s">
        <v>120</v>
      </c>
      <c r="D3294" s="1" t="s">
        <v>44</v>
      </c>
      <c r="E3294" s="1" t="s">
        <v>28</v>
      </c>
      <c r="F3294" s="1" t="s">
        <v>44</v>
      </c>
      <c r="G3294" s="1">
        <v>4</v>
      </c>
      <c r="H3294" s="1">
        <v>744</v>
      </c>
      <c r="I3294" s="1">
        <v>0.2</v>
      </c>
      <c r="J3294" s="1">
        <v>2380.8000000000002</v>
      </c>
      <c r="K3294" s="1">
        <v>318.48</v>
      </c>
      <c r="L3294" s="1" t="s">
        <v>45</v>
      </c>
      <c r="M3294" s="1" t="str">
        <f>TEXT(Table1[[#This Row],[Order Date]],"mmm")</f>
        <v>Aug</v>
      </c>
      <c r="N3294" s="1">
        <f>YEAR(Table1[[#This Row],[Order Date]])</f>
        <v>2023</v>
      </c>
    </row>
    <row r="3295" spans="1:14" x14ac:dyDescent="0.35">
      <c r="A3295" s="1" t="s">
        <v>4088</v>
      </c>
      <c r="B3295" s="1" t="s">
        <v>735</v>
      </c>
      <c r="C3295" s="1" t="s">
        <v>640</v>
      </c>
      <c r="D3295" s="1" t="s">
        <v>52</v>
      </c>
      <c r="E3295" s="1" t="s">
        <v>28</v>
      </c>
      <c r="F3295" s="1" t="s">
        <v>52</v>
      </c>
      <c r="G3295" s="1">
        <v>2</v>
      </c>
      <c r="H3295" s="1">
        <v>17387</v>
      </c>
      <c r="I3295" s="1">
        <v>0.15</v>
      </c>
      <c r="J3295" s="1">
        <v>29557.9</v>
      </c>
      <c r="K3295" s="1">
        <v>8094.58</v>
      </c>
      <c r="L3295" s="1" t="s">
        <v>45</v>
      </c>
      <c r="M3295" s="1" t="str">
        <f>TEXT(Table1[[#This Row],[Order Date]],"mmm")</f>
        <v>Aug</v>
      </c>
      <c r="N3295" s="1">
        <f>YEAR(Table1[[#This Row],[Order Date]])</f>
        <v>2024</v>
      </c>
    </row>
    <row r="3296" spans="1:14" x14ac:dyDescent="0.35">
      <c r="A3296" s="1" t="s">
        <v>4089</v>
      </c>
      <c r="B3296" s="1" t="s">
        <v>2148</v>
      </c>
      <c r="C3296" s="1" t="s">
        <v>81</v>
      </c>
      <c r="D3296" s="1" t="s">
        <v>323</v>
      </c>
      <c r="E3296" s="1" t="s">
        <v>33</v>
      </c>
      <c r="F3296" s="1" t="s">
        <v>323</v>
      </c>
      <c r="G3296" s="1">
        <v>2</v>
      </c>
      <c r="H3296" s="1">
        <v>49605</v>
      </c>
      <c r="I3296" s="1">
        <v>0.1</v>
      </c>
      <c r="J3296" s="1">
        <v>89289</v>
      </c>
      <c r="K3296" s="1">
        <v>16710.59</v>
      </c>
      <c r="L3296" s="1" t="s">
        <v>23</v>
      </c>
      <c r="M3296" s="1" t="str">
        <f>TEXT(Table1[[#This Row],[Order Date]],"mmm")</f>
        <v>Aug</v>
      </c>
      <c r="N3296" s="1">
        <f>YEAR(Table1[[#This Row],[Order Date]])</f>
        <v>2024</v>
      </c>
    </row>
    <row r="3297" spans="1:14" x14ac:dyDescent="0.35">
      <c r="A3297" s="1" t="s">
        <v>4090</v>
      </c>
      <c r="B3297" s="1" t="s">
        <v>265</v>
      </c>
      <c r="C3297" s="1" t="s">
        <v>63</v>
      </c>
      <c r="D3297" s="1" t="s">
        <v>56</v>
      </c>
      <c r="E3297" s="1" t="s">
        <v>22</v>
      </c>
      <c r="F3297" s="1" t="s">
        <v>56</v>
      </c>
      <c r="G3297" s="1">
        <v>10</v>
      </c>
      <c r="H3297" s="1">
        <v>50704</v>
      </c>
      <c r="I3297" s="1">
        <v>0.05</v>
      </c>
      <c r="J3297" s="1">
        <v>481688</v>
      </c>
      <c r="K3297" s="1">
        <v>92560.6</v>
      </c>
      <c r="L3297" s="1" t="s">
        <v>23</v>
      </c>
      <c r="M3297" s="1" t="str">
        <f>TEXT(Table1[[#This Row],[Order Date]],"mmm")</f>
        <v>Aug</v>
      </c>
      <c r="N3297" s="1">
        <f>YEAR(Table1[[#This Row],[Order Date]])</f>
        <v>2023</v>
      </c>
    </row>
    <row r="3298" spans="1:14" x14ac:dyDescent="0.35">
      <c r="A3298" s="1" t="s">
        <v>4091</v>
      </c>
      <c r="B3298" s="1" t="s">
        <v>267</v>
      </c>
      <c r="C3298" s="1" t="s">
        <v>332</v>
      </c>
      <c r="D3298" s="1" t="s">
        <v>56</v>
      </c>
      <c r="E3298" s="1" t="s">
        <v>22</v>
      </c>
      <c r="F3298" s="1" t="s">
        <v>56</v>
      </c>
      <c r="G3298" s="1">
        <v>3</v>
      </c>
      <c r="H3298" s="1">
        <v>38547</v>
      </c>
      <c r="I3298" s="1">
        <v>0.1</v>
      </c>
      <c r="J3298" s="1">
        <v>104076.9</v>
      </c>
      <c r="K3298" s="1">
        <v>14986.33</v>
      </c>
      <c r="L3298" s="1" t="s">
        <v>45</v>
      </c>
      <c r="M3298" s="1" t="str">
        <f>TEXT(Table1[[#This Row],[Order Date]],"mmm")</f>
        <v>Jun</v>
      </c>
      <c r="N3298" s="1">
        <f>YEAR(Table1[[#This Row],[Order Date]])</f>
        <v>2023</v>
      </c>
    </row>
    <row r="3299" spans="1:14" x14ac:dyDescent="0.35">
      <c r="A3299" s="1" t="s">
        <v>4092</v>
      </c>
      <c r="B3299" s="1" t="s">
        <v>1760</v>
      </c>
      <c r="C3299" s="1" t="s">
        <v>107</v>
      </c>
      <c r="D3299" s="1" t="s">
        <v>78</v>
      </c>
      <c r="E3299" s="1" t="s">
        <v>28</v>
      </c>
      <c r="F3299" s="1" t="s">
        <v>78</v>
      </c>
      <c r="G3299" s="1">
        <v>5</v>
      </c>
      <c r="H3299" s="1">
        <v>7780</v>
      </c>
      <c r="I3299" s="1">
        <v>0.15</v>
      </c>
      <c r="J3299" s="1">
        <v>33065</v>
      </c>
      <c r="K3299" s="1">
        <v>6887.89</v>
      </c>
      <c r="L3299" s="1" t="s">
        <v>17</v>
      </c>
      <c r="M3299" s="1" t="str">
        <f>TEXT(Table1[[#This Row],[Order Date]],"mmm")</f>
        <v>Aug</v>
      </c>
      <c r="N3299" s="1">
        <f>YEAR(Table1[[#This Row],[Order Date]])</f>
        <v>2024</v>
      </c>
    </row>
    <row r="3300" spans="1:14" x14ac:dyDescent="0.35">
      <c r="A3300" s="1" t="s">
        <v>4093</v>
      </c>
      <c r="B3300" s="1" t="s">
        <v>1085</v>
      </c>
      <c r="C3300" s="1" t="s">
        <v>188</v>
      </c>
      <c r="D3300" s="1" t="s">
        <v>323</v>
      </c>
      <c r="E3300" s="1" t="s">
        <v>33</v>
      </c>
      <c r="F3300" s="1" t="s">
        <v>323</v>
      </c>
      <c r="G3300" s="1">
        <v>2</v>
      </c>
      <c r="H3300" s="1">
        <v>4859</v>
      </c>
      <c r="I3300" s="1">
        <v>0.1</v>
      </c>
      <c r="J3300" s="1">
        <v>8746.2000000000007</v>
      </c>
      <c r="K3300" s="1">
        <v>1257.6099999999999</v>
      </c>
      <c r="L3300" s="1" t="s">
        <v>23</v>
      </c>
      <c r="M3300" s="1" t="str">
        <f>TEXT(Table1[[#This Row],[Order Date]],"mmm")</f>
        <v>Aug</v>
      </c>
      <c r="N3300" s="1">
        <f>YEAR(Table1[[#This Row],[Order Date]])</f>
        <v>2023</v>
      </c>
    </row>
    <row r="3301" spans="1:14" x14ac:dyDescent="0.35">
      <c r="A3301" s="1" t="s">
        <v>4094</v>
      </c>
      <c r="B3301" s="1" t="s">
        <v>1007</v>
      </c>
      <c r="C3301" s="1" t="s">
        <v>370</v>
      </c>
      <c r="D3301" s="1" t="s">
        <v>85</v>
      </c>
      <c r="E3301" s="1" t="s">
        <v>28</v>
      </c>
      <c r="F3301" s="1" t="s">
        <v>85</v>
      </c>
      <c r="G3301" s="1">
        <v>3</v>
      </c>
      <c r="H3301" s="1">
        <v>17462</v>
      </c>
      <c r="I3301" s="1">
        <v>0.2</v>
      </c>
      <c r="J3301" s="1">
        <v>41908.800000000003</v>
      </c>
      <c r="K3301" s="1">
        <v>4877.6099999999997</v>
      </c>
      <c r="L3301" s="1" t="s">
        <v>17</v>
      </c>
      <c r="M3301" s="1" t="str">
        <f>TEXT(Table1[[#This Row],[Order Date]],"mmm")</f>
        <v>Apr</v>
      </c>
      <c r="N3301" s="1">
        <f>YEAR(Table1[[#This Row],[Order Date]])</f>
        <v>2023</v>
      </c>
    </row>
    <row r="3302" spans="1:14" x14ac:dyDescent="0.35">
      <c r="A3302" s="1" t="s">
        <v>4095</v>
      </c>
      <c r="B3302" s="1" t="s">
        <v>643</v>
      </c>
      <c r="C3302" s="1" t="s">
        <v>203</v>
      </c>
      <c r="D3302" s="1" t="s">
        <v>108</v>
      </c>
      <c r="E3302" s="1" t="s">
        <v>22</v>
      </c>
      <c r="F3302" s="1" t="s">
        <v>108</v>
      </c>
      <c r="G3302" s="1">
        <v>11</v>
      </c>
      <c r="H3302" s="1">
        <v>3952</v>
      </c>
      <c r="I3302" s="1">
        <v>0.1</v>
      </c>
      <c r="J3302" s="1">
        <v>39124.800000000003</v>
      </c>
      <c r="K3302" s="1">
        <v>9577.6200000000008</v>
      </c>
      <c r="L3302" s="1" t="s">
        <v>23</v>
      </c>
      <c r="M3302" s="1" t="str">
        <f>TEXT(Table1[[#This Row],[Order Date]],"mmm")</f>
        <v>Aug</v>
      </c>
      <c r="N3302" s="1">
        <f>YEAR(Table1[[#This Row],[Order Date]])</f>
        <v>2024</v>
      </c>
    </row>
    <row r="3303" spans="1:14" x14ac:dyDescent="0.35">
      <c r="A3303" s="1" t="s">
        <v>4096</v>
      </c>
      <c r="B3303" s="1" t="s">
        <v>2247</v>
      </c>
      <c r="C3303" s="1" t="s">
        <v>255</v>
      </c>
      <c r="D3303" s="1" t="s">
        <v>56</v>
      </c>
      <c r="E3303" s="1" t="s">
        <v>22</v>
      </c>
      <c r="F3303" s="1" t="s">
        <v>56</v>
      </c>
      <c r="G3303" s="1">
        <v>3</v>
      </c>
      <c r="H3303" s="1">
        <v>38392</v>
      </c>
      <c r="I3303" s="1">
        <v>0.1</v>
      </c>
      <c r="J3303" s="1">
        <v>103658.4</v>
      </c>
      <c r="K3303" s="1">
        <v>11770.19</v>
      </c>
      <c r="L3303" s="1" t="s">
        <v>70</v>
      </c>
      <c r="M3303" s="1" t="str">
        <f>TEXT(Table1[[#This Row],[Order Date]],"mmm")</f>
        <v>Apr</v>
      </c>
      <c r="N3303" s="1">
        <f>YEAR(Table1[[#This Row],[Order Date]])</f>
        <v>2024</v>
      </c>
    </row>
    <row r="3304" spans="1:14" x14ac:dyDescent="0.35">
      <c r="A3304" s="1" t="s">
        <v>4097</v>
      </c>
      <c r="B3304" s="1" t="s">
        <v>187</v>
      </c>
      <c r="C3304" s="1" t="s">
        <v>227</v>
      </c>
      <c r="D3304" s="1" t="s">
        <v>15</v>
      </c>
      <c r="E3304" s="1" t="s">
        <v>16</v>
      </c>
      <c r="F3304" s="1" t="s">
        <v>15</v>
      </c>
      <c r="G3304" s="1">
        <v>4</v>
      </c>
      <c r="H3304" s="1">
        <v>22954</v>
      </c>
      <c r="I3304" s="1">
        <v>0.15</v>
      </c>
      <c r="J3304" s="1">
        <v>78043.600000000006</v>
      </c>
      <c r="K3304" s="1">
        <v>14425.29</v>
      </c>
      <c r="L3304" s="1" t="s">
        <v>45</v>
      </c>
      <c r="M3304" s="1" t="str">
        <f>TEXT(Table1[[#This Row],[Order Date]],"mmm")</f>
        <v>Sep</v>
      </c>
      <c r="N3304" s="1">
        <f>YEAR(Table1[[#This Row],[Order Date]])</f>
        <v>2024</v>
      </c>
    </row>
    <row r="3305" spans="1:14" x14ac:dyDescent="0.35">
      <c r="A3305" s="1" t="s">
        <v>4098</v>
      </c>
      <c r="B3305" s="1" t="s">
        <v>4099</v>
      </c>
      <c r="C3305" s="1" t="s">
        <v>104</v>
      </c>
      <c r="D3305" s="1" t="s">
        <v>141</v>
      </c>
      <c r="E3305" s="1" t="s">
        <v>22</v>
      </c>
      <c r="F3305" s="1" t="s">
        <v>141</v>
      </c>
      <c r="G3305" s="1">
        <v>7</v>
      </c>
      <c r="H3305" s="1">
        <v>20144</v>
      </c>
      <c r="I3305" s="1">
        <v>0.2</v>
      </c>
      <c r="J3305" s="1">
        <v>112806.39999999999</v>
      </c>
      <c r="K3305" s="1">
        <v>9359.25</v>
      </c>
      <c r="L3305" s="1" t="s">
        <v>17</v>
      </c>
      <c r="M3305" s="1" t="str">
        <f>TEXT(Table1[[#This Row],[Order Date]],"mmm")</f>
        <v>Oct</v>
      </c>
      <c r="N3305" s="1">
        <f>YEAR(Table1[[#This Row],[Order Date]])</f>
        <v>2024</v>
      </c>
    </row>
    <row r="3306" spans="1:14" x14ac:dyDescent="0.35">
      <c r="A3306" s="1" t="s">
        <v>4100</v>
      </c>
      <c r="B3306" s="1" t="s">
        <v>1166</v>
      </c>
      <c r="C3306" s="1" t="s">
        <v>155</v>
      </c>
      <c r="D3306" s="1" t="s">
        <v>41</v>
      </c>
      <c r="E3306" s="1" t="s">
        <v>16</v>
      </c>
      <c r="F3306" s="1" t="s">
        <v>41</v>
      </c>
      <c r="G3306" s="1">
        <v>2</v>
      </c>
      <c r="H3306" s="1">
        <v>20234</v>
      </c>
      <c r="I3306" s="1">
        <v>0.05</v>
      </c>
      <c r="J3306" s="1">
        <v>38444.6</v>
      </c>
      <c r="K3306" s="1">
        <v>3658.46</v>
      </c>
      <c r="L3306" s="1" t="s">
        <v>17</v>
      </c>
      <c r="M3306" s="1" t="str">
        <f>TEXT(Table1[[#This Row],[Order Date]],"mmm")</f>
        <v>Oct</v>
      </c>
      <c r="N3306" s="1">
        <f>YEAR(Table1[[#This Row],[Order Date]])</f>
        <v>2024</v>
      </c>
    </row>
    <row r="3307" spans="1:14" x14ac:dyDescent="0.35">
      <c r="A3307" s="1" t="s">
        <v>4101</v>
      </c>
      <c r="B3307" s="1" t="s">
        <v>746</v>
      </c>
      <c r="C3307" s="1" t="s">
        <v>255</v>
      </c>
      <c r="D3307" s="1" t="s">
        <v>48</v>
      </c>
      <c r="E3307" s="1" t="s">
        <v>16</v>
      </c>
      <c r="F3307" s="1" t="s">
        <v>48</v>
      </c>
      <c r="G3307" s="1">
        <v>2</v>
      </c>
      <c r="H3307" s="1">
        <v>25222</v>
      </c>
      <c r="I3307" s="1">
        <v>0.05</v>
      </c>
      <c r="J3307" s="1">
        <v>47921.8</v>
      </c>
      <c r="K3307" s="1">
        <v>11673.83</v>
      </c>
      <c r="L3307" s="1" t="s">
        <v>23</v>
      </c>
      <c r="M3307" s="1" t="str">
        <f>TEXT(Table1[[#This Row],[Order Date]],"mmm")</f>
        <v>Mar</v>
      </c>
      <c r="N3307" s="1">
        <f>YEAR(Table1[[#This Row],[Order Date]])</f>
        <v>2024</v>
      </c>
    </row>
    <row r="3308" spans="1:14" x14ac:dyDescent="0.35">
      <c r="A3308" s="1" t="s">
        <v>4102</v>
      </c>
      <c r="B3308" s="1" t="s">
        <v>475</v>
      </c>
      <c r="C3308" s="1" t="s">
        <v>84</v>
      </c>
      <c r="D3308" s="1" t="s">
        <v>64</v>
      </c>
      <c r="E3308" s="1" t="s">
        <v>33</v>
      </c>
      <c r="F3308" s="1" t="s">
        <v>64</v>
      </c>
      <c r="G3308" s="1">
        <v>4</v>
      </c>
      <c r="H3308" s="1">
        <v>6644</v>
      </c>
      <c r="I3308" s="1">
        <v>0.05</v>
      </c>
      <c r="J3308" s="1">
        <v>25247.200000000001</v>
      </c>
      <c r="K3308" s="1">
        <v>7024.72</v>
      </c>
      <c r="L3308" s="1" t="s">
        <v>23</v>
      </c>
      <c r="M3308" s="1" t="str">
        <f>TEXT(Table1[[#This Row],[Order Date]],"mmm")</f>
        <v>Jun</v>
      </c>
      <c r="N3308" s="1">
        <f>YEAR(Table1[[#This Row],[Order Date]])</f>
        <v>2023</v>
      </c>
    </row>
    <row r="3309" spans="1:14" x14ac:dyDescent="0.35">
      <c r="A3309" s="1" t="s">
        <v>4103</v>
      </c>
      <c r="B3309" s="1" t="s">
        <v>688</v>
      </c>
      <c r="C3309" s="1" t="s">
        <v>255</v>
      </c>
      <c r="D3309" s="1" t="s">
        <v>21</v>
      </c>
      <c r="E3309" s="1" t="s">
        <v>22</v>
      </c>
      <c r="F3309" s="1" t="s">
        <v>21</v>
      </c>
      <c r="G3309" s="1">
        <v>3</v>
      </c>
      <c r="H3309" s="1">
        <v>53759</v>
      </c>
      <c r="I3309" s="1">
        <v>0.1</v>
      </c>
      <c r="J3309" s="1">
        <v>145149.29999999999</v>
      </c>
      <c r="K3309" s="1">
        <v>29980.59</v>
      </c>
      <c r="L3309" s="1" t="s">
        <v>45</v>
      </c>
      <c r="M3309" s="1" t="str">
        <f>TEXT(Table1[[#This Row],[Order Date]],"mmm")</f>
        <v>Jul</v>
      </c>
      <c r="N3309" s="1">
        <f>YEAR(Table1[[#This Row],[Order Date]])</f>
        <v>2023</v>
      </c>
    </row>
    <row r="3310" spans="1:14" x14ac:dyDescent="0.35">
      <c r="A3310" s="1" t="s">
        <v>4104</v>
      </c>
      <c r="B3310" s="1" t="s">
        <v>392</v>
      </c>
      <c r="C3310" s="1" t="s">
        <v>88</v>
      </c>
      <c r="D3310" s="1" t="s">
        <v>74</v>
      </c>
      <c r="E3310" s="1" t="s">
        <v>22</v>
      </c>
      <c r="F3310" s="1" t="s">
        <v>74</v>
      </c>
      <c r="G3310" s="1">
        <v>7</v>
      </c>
      <c r="H3310" s="1">
        <v>17865</v>
      </c>
      <c r="I3310" s="1">
        <v>0.15</v>
      </c>
      <c r="J3310" s="1">
        <v>106296.75</v>
      </c>
      <c r="K3310" s="1">
        <v>31193.33</v>
      </c>
      <c r="L3310" s="1" t="s">
        <v>45</v>
      </c>
      <c r="M3310" s="1" t="str">
        <f>TEXT(Table1[[#This Row],[Order Date]],"mmm")</f>
        <v>May</v>
      </c>
      <c r="N3310" s="1">
        <f>YEAR(Table1[[#This Row],[Order Date]])</f>
        <v>2024</v>
      </c>
    </row>
    <row r="3311" spans="1:14" x14ac:dyDescent="0.35">
      <c r="A3311" s="1" t="s">
        <v>4105</v>
      </c>
      <c r="B3311" s="1" t="s">
        <v>93</v>
      </c>
      <c r="C3311" s="1" t="s">
        <v>140</v>
      </c>
      <c r="D3311" s="1" t="s">
        <v>137</v>
      </c>
      <c r="E3311" s="1" t="s">
        <v>22</v>
      </c>
      <c r="F3311" s="1" t="s">
        <v>137</v>
      </c>
      <c r="G3311" s="1">
        <v>11</v>
      </c>
      <c r="H3311" s="1">
        <v>46050</v>
      </c>
      <c r="I3311" s="1">
        <v>0.2</v>
      </c>
      <c r="J3311" s="1">
        <v>405240</v>
      </c>
      <c r="K3311" s="1">
        <v>64138.73</v>
      </c>
      <c r="L3311" s="1" t="s">
        <v>45</v>
      </c>
      <c r="M3311" s="1" t="str">
        <f>TEXT(Table1[[#This Row],[Order Date]],"mmm")</f>
        <v>Mar</v>
      </c>
      <c r="N3311" s="1">
        <f>YEAR(Table1[[#This Row],[Order Date]])</f>
        <v>2024</v>
      </c>
    </row>
    <row r="3312" spans="1:14" x14ac:dyDescent="0.35">
      <c r="A3312" s="1" t="s">
        <v>4106</v>
      </c>
      <c r="B3312" s="1" t="s">
        <v>2148</v>
      </c>
      <c r="C3312" s="1" t="s">
        <v>63</v>
      </c>
      <c r="D3312" s="1" t="s">
        <v>179</v>
      </c>
      <c r="E3312" s="1" t="s">
        <v>28</v>
      </c>
      <c r="F3312" s="1" t="s">
        <v>179</v>
      </c>
      <c r="G3312" s="1">
        <v>13</v>
      </c>
      <c r="H3312" s="1">
        <v>14275</v>
      </c>
      <c r="I3312" s="1">
        <v>0.15</v>
      </c>
      <c r="J3312" s="1">
        <v>157738.75</v>
      </c>
      <c r="K3312" s="1">
        <v>15328.76</v>
      </c>
      <c r="L3312" s="1" t="s">
        <v>70</v>
      </c>
      <c r="M3312" s="1" t="str">
        <f>TEXT(Table1[[#This Row],[Order Date]],"mmm")</f>
        <v>Aug</v>
      </c>
      <c r="N3312" s="1">
        <f>YEAR(Table1[[#This Row],[Order Date]])</f>
        <v>2024</v>
      </c>
    </row>
    <row r="3313" spans="1:14" x14ac:dyDescent="0.35">
      <c r="A3313" s="1" t="s">
        <v>4107</v>
      </c>
      <c r="B3313" s="1" t="s">
        <v>132</v>
      </c>
      <c r="C3313" s="1" t="s">
        <v>81</v>
      </c>
      <c r="D3313" s="1" t="s">
        <v>137</v>
      </c>
      <c r="E3313" s="1" t="s">
        <v>22</v>
      </c>
      <c r="F3313" s="1" t="s">
        <v>137</v>
      </c>
      <c r="G3313" s="1">
        <v>14</v>
      </c>
      <c r="H3313" s="1">
        <v>27720</v>
      </c>
      <c r="I3313" s="1">
        <v>0</v>
      </c>
      <c r="J3313" s="1">
        <v>388080</v>
      </c>
      <c r="K3313" s="1">
        <v>66096.320000000007</v>
      </c>
      <c r="L3313" s="1" t="s">
        <v>17</v>
      </c>
      <c r="M3313" s="1" t="str">
        <f>TEXT(Table1[[#This Row],[Order Date]],"mmm")</f>
        <v>Feb</v>
      </c>
      <c r="N3313" s="1">
        <f>YEAR(Table1[[#This Row],[Order Date]])</f>
        <v>2023</v>
      </c>
    </row>
    <row r="3314" spans="1:14" x14ac:dyDescent="0.35">
      <c r="A3314" s="1" t="s">
        <v>4108</v>
      </c>
      <c r="B3314" s="1" t="s">
        <v>1267</v>
      </c>
      <c r="C3314" s="1" t="s">
        <v>136</v>
      </c>
      <c r="D3314" s="1" t="s">
        <v>52</v>
      </c>
      <c r="E3314" s="1" t="s">
        <v>28</v>
      </c>
      <c r="F3314" s="1" t="s">
        <v>52</v>
      </c>
      <c r="G3314" s="1">
        <v>13</v>
      </c>
      <c r="H3314" s="1">
        <v>56634</v>
      </c>
      <c r="I3314" s="1">
        <v>0.1</v>
      </c>
      <c r="J3314" s="1">
        <v>662617.80000000005</v>
      </c>
      <c r="K3314" s="1">
        <v>98102.66</v>
      </c>
      <c r="L3314" s="1" t="s">
        <v>70</v>
      </c>
      <c r="M3314" s="1" t="str">
        <f>TEXT(Table1[[#This Row],[Order Date]],"mmm")</f>
        <v>Jan</v>
      </c>
      <c r="N3314" s="1">
        <f>YEAR(Table1[[#This Row],[Order Date]])</f>
        <v>2023</v>
      </c>
    </row>
    <row r="3315" spans="1:14" x14ac:dyDescent="0.35">
      <c r="A3315" s="1" t="s">
        <v>4109</v>
      </c>
      <c r="B3315" s="1" t="s">
        <v>746</v>
      </c>
      <c r="C3315" s="1" t="s">
        <v>63</v>
      </c>
      <c r="D3315" s="1" t="s">
        <v>60</v>
      </c>
      <c r="E3315" s="1" t="s">
        <v>33</v>
      </c>
      <c r="F3315" s="1" t="s">
        <v>60</v>
      </c>
      <c r="G3315" s="1">
        <v>2</v>
      </c>
      <c r="H3315" s="1">
        <v>39153</v>
      </c>
      <c r="I3315" s="1">
        <v>0.1</v>
      </c>
      <c r="J3315" s="1">
        <v>70475.399999999994</v>
      </c>
      <c r="K3315" s="1">
        <v>8494.51</v>
      </c>
      <c r="L3315" s="1" t="s">
        <v>17</v>
      </c>
      <c r="M3315" s="1" t="str">
        <f>TEXT(Table1[[#This Row],[Order Date]],"mmm")</f>
        <v>Mar</v>
      </c>
      <c r="N3315" s="1">
        <f>YEAR(Table1[[#This Row],[Order Date]])</f>
        <v>2024</v>
      </c>
    </row>
    <row r="3316" spans="1:14" x14ac:dyDescent="0.35">
      <c r="A3316" s="1" t="s">
        <v>4110</v>
      </c>
      <c r="B3316" s="1" t="s">
        <v>157</v>
      </c>
      <c r="C3316" s="1" t="s">
        <v>88</v>
      </c>
      <c r="D3316" s="1" t="s">
        <v>137</v>
      </c>
      <c r="E3316" s="1" t="s">
        <v>22</v>
      </c>
      <c r="F3316" s="1" t="s">
        <v>137</v>
      </c>
      <c r="G3316" s="1">
        <v>3</v>
      </c>
      <c r="H3316" s="1">
        <v>20507</v>
      </c>
      <c r="I3316" s="1">
        <v>0</v>
      </c>
      <c r="J3316" s="1">
        <v>61521</v>
      </c>
      <c r="K3316" s="1">
        <v>12936.14</v>
      </c>
      <c r="L3316" s="1" t="s">
        <v>17</v>
      </c>
      <c r="M3316" s="1" t="str">
        <f>TEXT(Table1[[#This Row],[Order Date]],"mmm")</f>
        <v>Jan</v>
      </c>
      <c r="N3316" s="1">
        <f>YEAR(Table1[[#This Row],[Order Date]])</f>
        <v>2024</v>
      </c>
    </row>
    <row r="3317" spans="1:14" x14ac:dyDescent="0.35">
      <c r="A3317" s="1" t="s">
        <v>4111</v>
      </c>
      <c r="B3317" s="1" t="s">
        <v>1015</v>
      </c>
      <c r="C3317" s="1" t="s">
        <v>101</v>
      </c>
      <c r="D3317" s="1" t="s">
        <v>37</v>
      </c>
      <c r="E3317" s="1" t="s">
        <v>16</v>
      </c>
      <c r="F3317" s="1" t="s">
        <v>37</v>
      </c>
      <c r="G3317" s="1">
        <v>3</v>
      </c>
      <c r="H3317" s="1">
        <v>46228</v>
      </c>
      <c r="I3317" s="1">
        <v>0</v>
      </c>
      <c r="J3317" s="1">
        <v>138684</v>
      </c>
      <c r="K3317" s="1">
        <v>25165.29</v>
      </c>
      <c r="L3317" s="1" t="s">
        <v>17</v>
      </c>
      <c r="M3317" s="1" t="str">
        <f>TEXT(Table1[[#This Row],[Order Date]],"mmm")</f>
        <v>Aug</v>
      </c>
      <c r="N3317" s="1">
        <f>YEAR(Table1[[#This Row],[Order Date]])</f>
        <v>2023</v>
      </c>
    </row>
    <row r="3318" spans="1:14" x14ac:dyDescent="0.35">
      <c r="A3318" s="1" t="s">
        <v>4112</v>
      </c>
      <c r="B3318" s="1" t="s">
        <v>195</v>
      </c>
      <c r="C3318" s="1" t="s">
        <v>51</v>
      </c>
      <c r="D3318" s="1" t="s">
        <v>95</v>
      </c>
      <c r="E3318" s="1" t="s">
        <v>33</v>
      </c>
      <c r="F3318" s="1" t="s">
        <v>95</v>
      </c>
      <c r="G3318" s="1">
        <v>14</v>
      </c>
      <c r="H3318" s="1">
        <v>53642</v>
      </c>
      <c r="I3318" s="1">
        <v>0.1</v>
      </c>
      <c r="J3318" s="1">
        <v>675889.2</v>
      </c>
      <c r="K3318" s="1">
        <v>89376.43</v>
      </c>
      <c r="L3318" s="1" t="s">
        <v>23</v>
      </c>
      <c r="M3318" s="1" t="str">
        <f>TEXT(Table1[[#This Row],[Order Date]],"mmm")</f>
        <v>Mar</v>
      </c>
      <c r="N3318" s="1">
        <f>YEAR(Table1[[#This Row],[Order Date]])</f>
        <v>2024</v>
      </c>
    </row>
    <row r="3319" spans="1:14" x14ac:dyDescent="0.35">
      <c r="A3319" s="1" t="s">
        <v>4113</v>
      </c>
      <c r="B3319" s="1" t="s">
        <v>812</v>
      </c>
      <c r="C3319" s="1" t="s">
        <v>227</v>
      </c>
      <c r="D3319" s="1" t="s">
        <v>78</v>
      </c>
      <c r="E3319" s="1" t="s">
        <v>28</v>
      </c>
      <c r="F3319" s="1" t="s">
        <v>78</v>
      </c>
      <c r="G3319" s="1">
        <v>6</v>
      </c>
      <c r="H3319" s="1">
        <v>59644</v>
      </c>
      <c r="I3319" s="1">
        <v>0.2</v>
      </c>
      <c r="J3319" s="1">
        <v>286291.20000000001</v>
      </c>
      <c r="K3319" s="1">
        <v>73869.48</v>
      </c>
      <c r="L3319" s="1" t="s">
        <v>23</v>
      </c>
      <c r="M3319" s="1" t="str">
        <f>TEXT(Table1[[#This Row],[Order Date]],"mmm")</f>
        <v>Dec</v>
      </c>
      <c r="N3319" s="1">
        <f>YEAR(Table1[[#This Row],[Order Date]])</f>
        <v>2023</v>
      </c>
    </row>
    <row r="3320" spans="1:14" x14ac:dyDescent="0.35">
      <c r="A3320" s="1" t="s">
        <v>4114</v>
      </c>
      <c r="B3320" s="1" t="s">
        <v>148</v>
      </c>
      <c r="C3320" s="1" t="s">
        <v>370</v>
      </c>
      <c r="D3320" s="1" t="s">
        <v>52</v>
      </c>
      <c r="E3320" s="1" t="s">
        <v>28</v>
      </c>
      <c r="F3320" s="1" t="s">
        <v>52</v>
      </c>
      <c r="G3320" s="1">
        <v>8</v>
      </c>
      <c r="H3320" s="1">
        <v>34853</v>
      </c>
      <c r="I3320" s="1">
        <v>0.05</v>
      </c>
      <c r="J3320" s="1">
        <v>264882.8</v>
      </c>
      <c r="K3320" s="1">
        <v>35839.120000000003</v>
      </c>
      <c r="L3320" s="1" t="s">
        <v>23</v>
      </c>
      <c r="M3320" s="1" t="str">
        <f>TEXT(Table1[[#This Row],[Order Date]],"mmm")</f>
        <v>Jan</v>
      </c>
      <c r="N3320" s="1">
        <f>YEAR(Table1[[#This Row],[Order Date]])</f>
        <v>2024</v>
      </c>
    </row>
    <row r="3321" spans="1:14" x14ac:dyDescent="0.35">
      <c r="A3321" s="1" t="s">
        <v>4115</v>
      </c>
      <c r="B3321" s="1" t="s">
        <v>1278</v>
      </c>
      <c r="C3321" s="1" t="s">
        <v>40</v>
      </c>
      <c r="D3321" s="1" t="s">
        <v>91</v>
      </c>
      <c r="E3321" s="1" t="s">
        <v>16</v>
      </c>
      <c r="F3321" s="1" t="s">
        <v>91</v>
      </c>
      <c r="G3321" s="1">
        <v>15</v>
      </c>
      <c r="H3321" s="1">
        <v>13819</v>
      </c>
      <c r="I3321" s="1">
        <v>0.05</v>
      </c>
      <c r="J3321" s="1">
        <v>196920.75</v>
      </c>
      <c r="K3321" s="1">
        <v>36917.82</v>
      </c>
      <c r="L3321" s="1" t="s">
        <v>45</v>
      </c>
      <c r="M3321" s="1" t="str">
        <f>TEXT(Table1[[#This Row],[Order Date]],"mmm")</f>
        <v>Aug</v>
      </c>
      <c r="N3321" s="1">
        <f>YEAR(Table1[[#This Row],[Order Date]])</f>
        <v>2023</v>
      </c>
    </row>
    <row r="3322" spans="1:14" x14ac:dyDescent="0.35">
      <c r="A3322" s="1" t="s">
        <v>4116</v>
      </c>
      <c r="B3322" s="1" t="s">
        <v>901</v>
      </c>
      <c r="C3322" s="1" t="s">
        <v>67</v>
      </c>
      <c r="D3322" s="1" t="s">
        <v>137</v>
      </c>
      <c r="E3322" s="1" t="s">
        <v>22</v>
      </c>
      <c r="F3322" s="1" t="s">
        <v>137</v>
      </c>
      <c r="G3322" s="1">
        <v>12</v>
      </c>
      <c r="H3322" s="1">
        <v>9621</v>
      </c>
      <c r="I3322" s="1">
        <v>0</v>
      </c>
      <c r="J3322" s="1">
        <v>115452</v>
      </c>
      <c r="K3322" s="1">
        <v>19454.04</v>
      </c>
      <c r="L3322" s="1" t="s">
        <v>70</v>
      </c>
      <c r="M3322" s="1" t="str">
        <f>TEXT(Table1[[#This Row],[Order Date]],"mmm")</f>
        <v>May</v>
      </c>
      <c r="N3322" s="1">
        <f>YEAR(Table1[[#This Row],[Order Date]])</f>
        <v>2023</v>
      </c>
    </row>
    <row r="3323" spans="1:14" x14ac:dyDescent="0.35">
      <c r="A3323" s="1" t="s">
        <v>4117</v>
      </c>
      <c r="B3323" s="1" t="s">
        <v>1585</v>
      </c>
      <c r="C3323" s="1" t="s">
        <v>640</v>
      </c>
      <c r="D3323" s="1" t="s">
        <v>179</v>
      </c>
      <c r="E3323" s="1" t="s">
        <v>28</v>
      </c>
      <c r="F3323" s="1" t="s">
        <v>179</v>
      </c>
      <c r="G3323" s="1">
        <v>5</v>
      </c>
      <c r="H3323" s="1">
        <v>31819</v>
      </c>
      <c r="I3323" s="1">
        <v>0.2</v>
      </c>
      <c r="J3323" s="1">
        <v>127276</v>
      </c>
      <c r="K3323" s="1">
        <v>35024.239999999998</v>
      </c>
      <c r="L3323" s="1" t="s">
        <v>23</v>
      </c>
      <c r="M3323" s="1" t="str">
        <f>TEXT(Table1[[#This Row],[Order Date]],"mmm")</f>
        <v>Dec</v>
      </c>
      <c r="N3323" s="1">
        <f>YEAR(Table1[[#This Row],[Order Date]])</f>
        <v>2023</v>
      </c>
    </row>
    <row r="3324" spans="1:14" x14ac:dyDescent="0.35">
      <c r="A3324" s="1" t="s">
        <v>4118</v>
      </c>
      <c r="B3324" s="1" t="s">
        <v>1205</v>
      </c>
      <c r="C3324" s="1" t="s">
        <v>59</v>
      </c>
      <c r="D3324" s="1" t="s">
        <v>91</v>
      </c>
      <c r="E3324" s="1" t="s">
        <v>16</v>
      </c>
      <c r="F3324" s="1" t="s">
        <v>91</v>
      </c>
      <c r="G3324" s="1">
        <v>2</v>
      </c>
      <c r="H3324" s="1">
        <v>29248</v>
      </c>
      <c r="I3324" s="1">
        <v>0.2</v>
      </c>
      <c r="J3324" s="1">
        <v>46796.800000000003</v>
      </c>
      <c r="K3324" s="1">
        <v>8209.48</v>
      </c>
      <c r="L3324" s="1" t="s">
        <v>17</v>
      </c>
      <c r="M3324" s="1" t="str">
        <f>TEXT(Table1[[#This Row],[Order Date]],"mmm")</f>
        <v>Dec</v>
      </c>
      <c r="N3324" s="1">
        <f>YEAR(Table1[[#This Row],[Order Date]])</f>
        <v>2023</v>
      </c>
    </row>
    <row r="3325" spans="1:14" x14ac:dyDescent="0.35">
      <c r="A3325" s="1" t="s">
        <v>4119</v>
      </c>
      <c r="B3325" s="1" t="s">
        <v>365</v>
      </c>
      <c r="C3325" s="1" t="s">
        <v>140</v>
      </c>
      <c r="D3325" s="1" t="s">
        <v>37</v>
      </c>
      <c r="E3325" s="1" t="s">
        <v>16</v>
      </c>
      <c r="F3325" s="1" t="s">
        <v>37</v>
      </c>
      <c r="G3325" s="1">
        <v>7</v>
      </c>
      <c r="H3325" s="1">
        <v>25892</v>
      </c>
      <c r="I3325" s="1">
        <v>0.2</v>
      </c>
      <c r="J3325" s="1">
        <v>144995.20000000001</v>
      </c>
      <c r="K3325" s="1">
        <v>34987.74</v>
      </c>
      <c r="L3325" s="1" t="s">
        <v>17</v>
      </c>
      <c r="M3325" s="1" t="str">
        <f>TEXT(Table1[[#This Row],[Order Date]],"mmm")</f>
        <v>Jun</v>
      </c>
      <c r="N3325" s="1">
        <f>YEAR(Table1[[#This Row],[Order Date]])</f>
        <v>2023</v>
      </c>
    </row>
    <row r="3326" spans="1:14" x14ac:dyDescent="0.35">
      <c r="A3326" s="1" t="s">
        <v>4120</v>
      </c>
      <c r="B3326" s="1" t="s">
        <v>310</v>
      </c>
      <c r="C3326" s="1" t="s">
        <v>255</v>
      </c>
      <c r="D3326" s="1" t="s">
        <v>21</v>
      </c>
      <c r="E3326" s="1" t="s">
        <v>22</v>
      </c>
      <c r="F3326" s="1" t="s">
        <v>21</v>
      </c>
      <c r="G3326" s="1">
        <v>6</v>
      </c>
      <c r="H3326" s="1">
        <v>18818</v>
      </c>
      <c r="I3326" s="1">
        <v>0</v>
      </c>
      <c r="J3326" s="1">
        <v>112908</v>
      </c>
      <c r="K3326" s="1">
        <v>31758.79</v>
      </c>
      <c r="L3326" s="1" t="s">
        <v>17</v>
      </c>
      <c r="M3326" s="1" t="str">
        <f>TEXT(Table1[[#This Row],[Order Date]],"mmm")</f>
        <v>Feb</v>
      </c>
      <c r="N3326" s="1">
        <f>YEAR(Table1[[#This Row],[Order Date]])</f>
        <v>2023</v>
      </c>
    </row>
    <row r="3327" spans="1:14" x14ac:dyDescent="0.35">
      <c r="A3327" s="1" t="s">
        <v>4121</v>
      </c>
      <c r="B3327" s="1" t="s">
        <v>833</v>
      </c>
      <c r="C3327" s="1" t="s">
        <v>14</v>
      </c>
      <c r="D3327" s="1" t="s">
        <v>114</v>
      </c>
      <c r="E3327" s="1" t="s">
        <v>16</v>
      </c>
      <c r="F3327" s="1" t="s">
        <v>114</v>
      </c>
      <c r="G3327" s="1">
        <v>14</v>
      </c>
      <c r="H3327" s="1">
        <v>27966</v>
      </c>
      <c r="I3327" s="1">
        <v>0.05</v>
      </c>
      <c r="J3327" s="1">
        <v>371947.8</v>
      </c>
      <c r="K3327" s="1">
        <v>103359.05</v>
      </c>
      <c r="L3327" s="1" t="s">
        <v>70</v>
      </c>
      <c r="M3327" s="1" t="str">
        <f>TEXT(Table1[[#This Row],[Order Date]],"mmm")</f>
        <v>Apr</v>
      </c>
      <c r="N3327" s="1">
        <f>YEAR(Table1[[#This Row],[Order Date]])</f>
        <v>2023</v>
      </c>
    </row>
    <row r="3328" spans="1:14" x14ac:dyDescent="0.35">
      <c r="A3328" s="1" t="s">
        <v>4122</v>
      </c>
      <c r="B3328" s="1" t="s">
        <v>867</v>
      </c>
      <c r="C3328" s="1" t="s">
        <v>146</v>
      </c>
      <c r="D3328" s="1" t="s">
        <v>167</v>
      </c>
      <c r="E3328" s="1" t="s">
        <v>16</v>
      </c>
      <c r="F3328" s="1" t="s">
        <v>167</v>
      </c>
      <c r="G3328" s="1">
        <v>7</v>
      </c>
      <c r="H3328" s="1">
        <v>38196</v>
      </c>
      <c r="I3328" s="1">
        <v>0.15</v>
      </c>
      <c r="J3328" s="1">
        <v>227266.2</v>
      </c>
      <c r="K3328" s="1">
        <v>48781.72</v>
      </c>
      <c r="L3328" s="1" t="s">
        <v>45</v>
      </c>
      <c r="M3328" s="1" t="str">
        <f>TEXT(Table1[[#This Row],[Order Date]],"mmm")</f>
        <v>Aug</v>
      </c>
      <c r="N3328" s="1">
        <f>YEAR(Table1[[#This Row],[Order Date]])</f>
        <v>2024</v>
      </c>
    </row>
    <row r="3329" spans="1:14" x14ac:dyDescent="0.35">
      <c r="A3329" s="1" t="s">
        <v>4123</v>
      </c>
      <c r="B3329" s="1" t="s">
        <v>1220</v>
      </c>
      <c r="C3329" s="1" t="s">
        <v>125</v>
      </c>
      <c r="D3329" s="1" t="s">
        <v>78</v>
      </c>
      <c r="E3329" s="1" t="s">
        <v>28</v>
      </c>
      <c r="F3329" s="1" t="s">
        <v>78</v>
      </c>
      <c r="G3329" s="1">
        <v>8</v>
      </c>
      <c r="H3329" s="1">
        <v>27063</v>
      </c>
      <c r="I3329" s="1">
        <v>0.1</v>
      </c>
      <c r="J3329" s="1">
        <v>194853.6</v>
      </c>
      <c r="K3329" s="1">
        <v>54223.65</v>
      </c>
      <c r="L3329" s="1" t="s">
        <v>70</v>
      </c>
      <c r="M3329" s="1" t="str">
        <f>TEXT(Table1[[#This Row],[Order Date]],"mmm")</f>
        <v>Oct</v>
      </c>
      <c r="N3329" s="1">
        <f>YEAR(Table1[[#This Row],[Order Date]])</f>
        <v>2024</v>
      </c>
    </row>
    <row r="3330" spans="1:14" x14ac:dyDescent="0.35">
      <c r="A3330" s="1" t="s">
        <v>4124</v>
      </c>
      <c r="B3330" s="1" t="s">
        <v>1186</v>
      </c>
      <c r="C3330" s="1" t="s">
        <v>507</v>
      </c>
      <c r="D3330" s="1" t="s">
        <v>21</v>
      </c>
      <c r="E3330" s="1" t="s">
        <v>22</v>
      </c>
      <c r="F3330" s="1" t="s">
        <v>21</v>
      </c>
      <c r="G3330" s="1">
        <v>14</v>
      </c>
      <c r="H3330" s="1">
        <v>55525</v>
      </c>
      <c r="I3330" s="1">
        <v>0.2</v>
      </c>
      <c r="J3330" s="1">
        <v>621880</v>
      </c>
      <c r="K3330" s="1">
        <v>49852.81</v>
      </c>
      <c r="L3330" s="1" t="s">
        <v>17</v>
      </c>
      <c r="M3330" s="1" t="str">
        <f>TEXT(Table1[[#This Row],[Order Date]],"mmm")</f>
        <v>Mar</v>
      </c>
      <c r="N3330" s="1">
        <f>YEAR(Table1[[#This Row],[Order Date]])</f>
        <v>2023</v>
      </c>
    </row>
    <row r="3331" spans="1:14" x14ac:dyDescent="0.35">
      <c r="A3331" s="1" t="s">
        <v>4125</v>
      </c>
      <c r="B3331" s="1" t="s">
        <v>1438</v>
      </c>
      <c r="C3331" s="1" t="s">
        <v>227</v>
      </c>
      <c r="D3331" s="1" t="s">
        <v>141</v>
      </c>
      <c r="E3331" s="1" t="s">
        <v>22</v>
      </c>
      <c r="F3331" s="1" t="s">
        <v>141</v>
      </c>
      <c r="G3331" s="1">
        <v>12</v>
      </c>
      <c r="H3331" s="1">
        <v>35944</v>
      </c>
      <c r="I3331" s="1">
        <v>0.1</v>
      </c>
      <c r="J3331" s="1">
        <v>388195.2</v>
      </c>
      <c r="K3331" s="1">
        <v>32693.58</v>
      </c>
      <c r="L3331" s="1" t="s">
        <v>23</v>
      </c>
      <c r="M3331" s="1" t="str">
        <f>TEXT(Table1[[#This Row],[Order Date]],"mmm")</f>
        <v>Nov</v>
      </c>
      <c r="N3331" s="1">
        <f>YEAR(Table1[[#This Row],[Order Date]])</f>
        <v>2024</v>
      </c>
    </row>
    <row r="3332" spans="1:14" x14ac:dyDescent="0.35">
      <c r="A3332" s="1" t="s">
        <v>4126</v>
      </c>
      <c r="B3332" s="1" t="s">
        <v>1705</v>
      </c>
      <c r="C3332" s="1" t="s">
        <v>203</v>
      </c>
      <c r="D3332" s="1" t="s">
        <v>27</v>
      </c>
      <c r="E3332" s="1" t="s">
        <v>28</v>
      </c>
      <c r="F3332" s="1" t="s">
        <v>27</v>
      </c>
      <c r="G3332" s="1">
        <v>10</v>
      </c>
      <c r="H3332" s="1">
        <v>41239</v>
      </c>
      <c r="I3332" s="1">
        <v>0.05</v>
      </c>
      <c r="J3332" s="1">
        <v>391770.5</v>
      </c>
      <c r="K3332" s="1">
        <v>45901.120000000003</v>
      </c>
      <c r="L3332" s="1" t="s">
        <v>17</v>
      </c>
      <c r="M3332" s="1" t="str">
        <f>TEXT(Table1[[#This Row],[Order Date]],"mmm")</f>
        <v>Oct</v>
      </c>
      <c r="N3332" s="1">
        <f>YEAR(Table1[[#This Row],[Order Date]])</f>
        <v>2024</v>
      </c>
    </row>
    <row r="3333" spans="1:14" x14ac:dyDescent="0.35">
      <c r="A3333" s="1" t="s">
        <v>4127</v>
      </c>
      <c r="B3333" s="1" t="s">
        <v>166</v>
      </c>
      <c r="C3333" s="1" t="s">
        <v>120</v>
      </c>
      <c r="D3333" s="1" t="s">
        <v>56</v>
      </c>
      <c r="E3333" s="1" t="s">
        <v>22</v>
      </c>
      <c r="F3333" s="1" t="s">
        <v>56</v>
      </c>
      <c r="G3333" s="1">
        <v>2</v>
      </c>
      <c r="H3333" s="1">
        <v>6340</v>
      </c>
      <c r="I3333" s="1">
        <v>0.15</v>
      </c>
      <c r="J3333" s="1">
        <v>10778</v>
      </c>
      <c r="K3333" s="1">
        <v>862.56</v>
      </c>
      <c r="L3333" s="1" t="s">
        <v>45</v>
      </c>
      <c r="M3333" s="1" t="str">
        <f>TEXT(Table1[[#This Row],[Order Date]],"mmm")</f>
        <v>Jan</v>
      </c>
      <c r="N3333" s="1">
        <f>YEAR(Table1[[#This Row],[Order Date]])</f>
        <v>2024</v>
      </c>
    </row>
    <row r="3334" spans="1:14" x14ac:dyDescent="0.35">
      <c r="A3334" s="1" t="s">
        <v>4128</v>
      </c>
      <c r="B3334" s="1" t="s">
        <v>1341</v>
      </c>
      <c r="C3334" s="1" t="s">
        <v>162</v>
      </c>
      <c r="D3334" s="1" t="s">
        <v>179</v>
      </c>
      <c r="E3334" s="1" t="s">
        <v>28</v>
      </c>
      <c r="F3334" s="1" t="s">
        <v>179</v>
      </c>
      <c r="G3334" s="1">
        <v>4</v>
      </c>
      <c r="H3334" s="1">
        <v>41271</v>
      </c>
      <c r="I3334" s="1">
        <v>0.2</v>
      </c>
      <c r="J3334" s="1">
        <v>132067.20000000001</v>
      </c>
      <c r="K3334" s="1">
        <v>26864.080000000002</v>
      </c>
      <c r="L3334" s="1" t="s">
        <v>23</v>
      </c>
      <c r="M3334" s="1" t="str">
        <f>TEXT(Table1[[#This Row],[Order Date]],"mmm")</f>
        <v>Oct</v>
      </c>
      <c r="N3334" s="1">
        <f>YEAR(Table1[[#This Row],[Order Date]])</f>
        <v>2024</v>
      </c>
    </row>
    <row r="3335" spans="1:14" x14ac:dyDescent="0.35">
      <c r="A3335" s="1" t="s">
        <v>4129</v>
      </c>
      <c r="B3335" s="1" t="s">
        <v>829</v>
      </c>
      <c r="C3335" s="1" t="s">
        <v>98</v>
      </c>
      <c r="D3335" s="1" t="s">
        <v>133</v>
      </c>
      <c r="E3335" s="1" t="s">
        <v>22</v>
      </c>
      <c r="F3335" s="1" t="s">
        <v>133</v>
      </c>
      <c r="G3335" s="1">
        <v>15</v>
      </c>
      <c r="H3335" s="1">
        <v>11335</v>
      </c>
      <c r="I3335" s="1">
        <v>0.1</v>
      </c>
      <c r="J3335" s="1">
        <v>153022.5</v>
      </c>
      <c r="K3335" s="1">
        <v>32706.82</v>
      </c>
      <c r="L3335" s="1" t="s">
        <v>23</v>
      </c>
      <c r="M3335" s="1" t="str">
        <f>TEXT(Table1[[#This Row],[Order Date]],"mmm")</f>
        <v>Aug</v>
      </c>
      <c r="N3335" s="1">
        <f>YEAR(Table1[[#This Row],[Order Date]])</f>
        <v>2024</v>
      </c>
    </row>
    <row r="3336" spans="1:14" x14ac:dyDescent="0.35">
      <c r="A3336" s="1" t="s">
        <v>4130</v>
      </c>
      <c r="B3336" s="1" t="s">
        <v>139</v>
      </c>
      <c r="C3336" s="1" t="s">
        <v>227</v>
      </c>
      <c r="D3336" s="1" t="s">
        <v>60</v>
      </c>
      <c r="E3336" s="1" t="s">
        <v>33</v>
      </c>
      <c r="F3336" s="1" t="s">
        <v>60</v>
      </c>
      <c r="G3336" s="1">
        <v>12</v>
      </c>
      <c r="H3336" s="1">
        <v>32715</v>
      </c>
      <c r="I3336" s="1">
        <v>0.1</v>
      </c>
      <c r="J3336" s="1">
        <v>353322</v>
      </c>
      <c r="K3336" s="1">
        <v>87812.02</v>
      </c>
      <c r="L3336" s="1" t="s">
        <v>17</v>
      </c>
      <c r="M3336" s="1" t="str">
        <f>TEXT(Table1[[#This Row],[Order Date]],"mmm")</f>
        <v>Dec</v>
      </c>
      <c r="N3336" s="1">
        <f>YEAR(Table1[[#This Row],[Order Date]])</f>
        <v>2023</v>
      </c>
    </row>
    <row r="3337" spans="1:14" x14ac:dyDescent="0.35">
      <c r="A3337" s="1" t="s">
        <v>4131</v>
      </c>
      <c r="B3337" s="1" t="s">
        <v>1054</v>
      </c>
      <c r="C3337" s="1" t="s">
        <v>67</v>
      </c>
      <c r="D3337" s="1" t="s">
        <v>179</v>
      </c>
      <c r="E3337" s="1" t="s">
        <v>28</v>
      </c>
      <c r="F3337" s="1" t="s">
        <v>179</v>
      </c>
      <c r="G3337" s="1">
        <v>11</v>
      </c>
      <c r="H3337" s="1">
        <v>47841</v>
      </c>
      <c r="I3337" s="1">
        <v>0.1</v>
      </c>
      <c r="J3337" s="1">
        <v>473625.9</v>
      </c>
      <c r="K3337" s="1">
        <v>108206.46</v>
      </c>
      <c r="L3337" s="1" t="s">
        <v>23</v>
      </c>
      <c r="M3337" s="1" t="str">
        <f>TEXT(Table1[[#This Row],[Order Date]],"mmm")</f>
        <v>Nov</v>
      </c>
      <c r="N3337" s="1">
        <f>YEAR(Table1[[#This Row],[Order Date]])</f>
        <v>2023</v>
      </c>
    </row>
    <row r="3338" spans="1:14" x14ac:dyDescent="0.35">
      <c r="A3338" s="1" t="s">
        <v>4132</v>
      </c>
      <c r="B3338" s="1" t="s">
        <v>2161</v>
      </c>
      <c r="C3338" s="1" t="s">
        <v>158</v>
      </c>
      <c r="D3338" s="1" t="s">
        <v>15</v>
      </c>
      <c r="E3338" s="1" t="s">
        <v>16</v>
      </c>
      <c r="F3338" s="1" t="s">
        <v>15</v>
      </c>
      <c r="G3338" s="1">
        <v>8</v>
      </c>
      <c r="H3338" s="1">
        <v>52705</v>
      </c>
      <c r="I3338" s="1">
        <v>0.15</v>
      </c>
      <c r="J3338" s="1">
        <v>358394</v>
      </c>
      <c r="K3338" s="1">
        <v>82222.990000000005</v>
      </c>
      <c r="L3338" s="1" t="s">
        <v>70</v>
      </c>
      <c r="M3338" s="1" t="str">
        <f>TEXT(Table1[[#This Row],[Order Date]],"mmm")</f>
        <v>Sep</v>
      </c>
      <c r="N3338" s="1">
        <f>YEAR(Table1[[#This Row],[Order Date]])</f>
        <v>2023</v>
      </c>
    </row>
    <row r="3339" spans="1:14" x14ac:dyDescent="0.35">
      <c r="A3339" s="1" t="s">
        <v>4133</v>
      </c>
      <c r="B3339" s="1" t="s">
        <v>2243</v>
      </c>
      <c r="C3339" s="1" t="s">
        <v>178</v>
      </c>
      <c r="D3339" s="1" t="s">
        <v>21</v>
      </c>
      <c r="E3339" s="1" t="s">
        <v>22</v>
      </c>
      <c r="F3339" s="1" t="s">
        <v>21</v>
      </c>
      <c r="G3339" s="1">
        <v>9</v>
      </c>
      <c r="H3339" s="1">
        <v>51212</v>
      </c>
      <c r="I3339" s="1">
        <v>0.1</v>
      </c>
      <c r="J3339" s="1">
        <v>414817.2</v>
      </c>
      <c r="K3339" s="1">
        <v>108976.37</v>
      </c>
      <c r="L3339" s="1" t="s">
        <v>45</v>
      </c>
      <c r="M3339" s="1" t="str">
        <f>TEXT(Table1[[#This Row],[Order Date]],"mmm")</f>
        <v>May</v>
      </c>
      <c r="N3339" s="1">
        <f>YEAR(Table1[[#This Row],[Order Date]])</f>
        <v>2023</v>
      </c>
    </row>
    <row r="3340" spans="1:14" x14ac:dyDescent="0.35">
      <c r="A3340" s="1" t="s">
        <v>4134</v>
      </c>
      <c r="B3340" s="1" t="s">
        <v>1068</v>
      </c>
      <c r="C3340" s="1" t="s">
        <v>125</v>
      </c>
      <c r="D3340" s="1" t="s">
        <v>167</v>
      </c>
      <c r="E3340" s="1" t="s">
        <v>16</v>
      </c>
      <c r="F3340" s="1" t="s">
        <v>167</v>
      </c>
      <c r="G3340" s="1">
        <v>3</v>
      </c>
      <c r="H3340" s="1">
        <v>35747</v>
      </c>
      <c r="I3340" s="1">
        <v>0.05</v>
      </c>
      <c r="J3340" s="1">
        <v>101878.95</v>
      </c>
      <c r="K3340" s="1">
        <v>11935.92</v>
      </c>
      <c r="L3340" s="1" t="s">
        <v>45</v>
      </c>
      <c r="M3340" s="1" t="str">
        <f>TEXT(Table1[[#This Row],[Order Date]],"mmm")</f>
        <v>Apr</v>
      </c>
      <c r="N3340" s="1">
        <f>YEAR(Table1[[#This Row],[Order Date]])</f>
        <v>2023</v>
      </c>
    </row>
    <row r="3341" spans="1:14" x14ac:dyDescent="0.35">
      <c r="A3341" s="1" t="s">
        <v>4135</v>
      </c>
      <c r="B3341" s="1" t="s">
        <v>1023</v>
      </c>
      <c r="C3341" s="1" t="s">
        <v>88</v>
      </c>
      <c r="D3341" s="1" t="s">
        <v>15</v>
      </c>
      <c r="E3341" s="1" t="s">
        <v>16</v>
      </c>
      <c r="F3341" s="1" t="s">
        <v>15</v>
      </c>
      <c r="G3341" s="1">
        <v>12</v>
      </c>
      <c r="H3341" s="1">
        <v>19215</v>
      </c>
      <c r="I3341" s="1">
        <v>0.15</v>
      </c>
      <c r="J3341" s="1">
        <v>195993</v>
      </c>
      <c r="K3341" s="1">
        <v>55701.59</v>
      </c>
      <c r="L3341" s="1" t="s">
        <v>45</v>
      </c>
      <c r="M3341" s="1" t="str">
        <f>TEXT(Table1[[#This Row],[Order Date]],"mmm")</f>
        <v>May</v>
      </c>
      <c r="N3341" s="1">
        <f>YEAR(Table1[[#This Row],[Order Date]])</f>
        <v>2023</v>
      </c>
    </row>
    <row r="3342" spans="1:14" x14ac:dyDescent="0.35">
      <c r="A3342" s="1" t="s">
        <v>4136</v>
      </c>
      <c r="B3342" s="1" t="s">
        <v>100</v>
      </c>
      <c r="C3342" s="1" t="s">
        <v>14</v>
      </c>
      <c r="D3342" s="1" t="s">
        <v>74</v>
      </c>
      <c r="E3342" s="1" t="s">
        <v>22</v>
      </c>
      <c r="F3342" s="1" t="s">
        <v>74</v>
      </c>
      <c r="G3342" s="1">
        <v>2</v>
      </c>
      <c r="H3342" s="1">
        <v>36553</v>
      </c>
      <c r="I3342" s="1">
        <v>0.05</v>
      </c>
      <c r="J3342" s="1">
        <v>69450.7</v>
      </c>
      <c r="K3342" s="1">
        <v>16760.5</v>
      </c>
      <c r="L3342" s="1" t="s">
        <v>23</v>
      </c>
      <c r="M3342" s="1" t="str">
        <f>TEXT(Table1[[#This Row],[Order Date]],"mmm")</f>
        <v>Nov</v>
      </c>
      <c r="N3342" s="1">
        <f>YEAR(Table1[[#This Row],[Order Date]])</f>
        <v>2023</v>
      </c>
    </row>
    <row r="3343" spans="1:14" x14ac:dyDescent="0.35">
      <c r="A3343" s="1" t="s">
        <v>4137</v>
      </c>
      <c r="B3343" s="1" t="s">
        <v>2864</v>
      </c>
      <c r="C3343" s="1" t="s">
        <v>227</v>
      </c>
      <c r="D3343" s="1" t="s">
        <v>91</v>
      </c>
      <c r="E3343" s="1" t="s">
        <v>16</v>
      </c>
      <c r="F3343" s="1" t="s">
        <v>91</v>
      </c>
      <c r="G3343" s="1">
        <v>2</v>
      </c>
      <c r="H3343" s="1">
        <v>30340</v>
      </c>
      <c r="I3343" s="1">
        <v>0.15</v>
      </c>
      <c r="J3343" s="1">
        <v>51578</v>
      </c>
      <c r="K3343" s="1">
        <v>5431.48</v>
      </c>
      <c r="L3343" s="1" t="s">
        <v>23</v>
      </c>
      <c r="M3343" s="1" t="str">
        <f>TEXT(Table1[[#This Row],[Order Date]],"mmm")</f>
        <v>Dec</v>
      </c>
      <c r="N3343" s="1">
        <f>YEAR(Table1[[#This Row],[Order Date]])</f>
        <v>2023</v>
      </c>
    </row>
    <row r="3344" spans="1:14" x14ac:dyDescent="0.35">
      <c r="A3344" s="1" t="s">
        <v>4138</v>
      </c>
      <c r="B3344" s="1" t="s">
        <v>1420</v>
      </c>
      <c r="C3344" s="1" t="s">
        <v>125</v>
      </c>
      <c r="D3344" s="1" t="s">
        <v>21</v>
      </c>
      <c r="E3344" s="1" t="s">
        <v>22</v>
      </c>
      <c r="F3344" s="1" t="s">
        <v>21</v>
      </c>
      <c r="G3344" s="1">
        <v>4</v>
      </c>
      <c r="H3344" s="1">
        <v>48586</v>
      </c>
      <c r="I3344" s="1">
        <v>0.1</v>
      </c>
      <c r="J3344" s="1">
        <v>174909.6</v>
      </c>
      <c r="K3344" s="1">
        <v>51316.04</v>
      </c>
      <c r="L3344" s="1" t="s">
        <v>23</v>
      </c>
      <c r="M3344" s="1" t="str">
        <f>TEXT(Table1[[#This Row],[Order Date]],"mmm")</f>
        <v>Apr</v>
      </c>
      <c r="N3344" s="1">
        <f>YEAR(Table1[[#This Row],[Order Date]])</f>
        <v>2024</v>
      </c>
    </row>
    <row r="3345" spans="1:14" x14ac:dyDescent="0.35">
      <c r="A3345" s="1" t="s">
        <v>4139</v>
      </c>
      <c r="B3345" s="1" t="s">
        <v>886</v>
      </c>
      <c r="C3345" s="1" t="s">
        <v>188</v>
      </c>
      <c r="D3345" s="1" t="s">
        <v>48</v>
      </c>
      <c r="E3345" s="1" t="s">
        <v>16</v>
      </c>
      <c r="F3345" s="1" t="s">
        <v>48</v>
      </c>
      <c r="G3345" s="1">
        <v>6</v>
      </c>
      <c r="H3345" s="1">
        <v>22615</v>
      </c>
      <c r="I3345" s="1">
        <v>0</v>
      </c>
      <c r="J3345" s="1">
        <v>135690</v>
      </c>
      <c r="K3345" s="1">
        <v>27120.45</v>
      </c>
      <c r="L3345" s="1" t="s">
        <v>70</v>
      </c>
      <c r="M3345" s="1" t="str">
        <f>TEXT(Table1[[#This Row],[Order Date]],"mmm")</f>
        <v>Apr</v>
      </c>
      <c r="N3345" s="1">
        <f>YEAR(Table1[[#This Row],[Order Date]])</f>
        <v>2023</v>
      </c>
    </row>
    <row r="3346" spans="1:14" x14ac:dyDescent="0.35">
      <c r="A3346" s="1" t="s">
        <v>4140</v>
      </c>
      <c r="B3346" s="1" t="s">
        <v>763</v>
      </c>
      <c r="C3346" s="1" t="s">
        <v>191</v>
      </c>
      <c r="D3346" s="1" t="s">
        <v>114</v>
      </c>
      <c r="E3346" s="1" t="s">
        <v>16</v>
      </c>
      <c r="F3346" s="1" t="s">
        <v>114</v>
      </c>
      <c r="G3346" s="1">
        <v>5</v>
      </c>
      <c r="H3346" s="1">
        <v>35148</v>
      </c>
      <c r="I3346" s="1">
        <v>0.15</v>
      </c>
      <c r="J3346" s="1">
        <v>149379</v>
      </c>
      <c r="K3346" s="1">
        <v>16934</v>
      </c>
      <c r="L3346" s="1" t="s">
        <v>23</v>
      </c>
      <c r="M3346" s="1" t="str">
        <f>TEXT(Table1[[#This Row],[Order Date]],"mmm")</f>
        <v>Oct</v>
      </c>
      <c r="N3346" s="1">
        <f>YEAR(Table1[[#This Row],[Order Date]])</f>
        <v>2024</v>
      </c>
    </row>
    <row r="3347" spans="1:14" x14ac:dyDescent="0.35">
      <c r="A3347" s="1" t="s">
        <v>4141</v>
      </c>
      <c r="B3347" s="1" t="s">
        <v>969</v>
      </c>
      <c r="C3347" s="1" t="s">
        <v>188</v>
      </c>
      <c r="D3347" s="1" t="s">
        <v>95</v>
      </c>
      <c r="E3347" s="1" t="s">
        <v>33</v>
      </c>
      <c r="F3347" s="1" t="s">
        <v>95</v>
      </c>
      <c r="G3347" s="1">
        <v>11</v>
      </c>
      <c r="H3347" s="1">
        <v>56102</v>
      </c>
      <c r="I3347" s="1">
        <v>0</v>
      </c>
      <c r="J3347" s="1">
        <v>617122</v>
      </c>
      <c r="K3347" s="1">
        <v>110972.06</v>
      </c>
      <c r="L3347" s="1" t="s">
        <v>45</v>
      </c>
      <c r="M3347" s="1" t="str">
        <f>TEXT(Table1[[#This Row],[Order Date]],"mmm")</f>
        <v>Aug</v>
      </c>
      <c r="N3347" s="1">
        <f>YEAR(Table1[[#This Row],[Order Date]])</f>
        <v>2024</v>
      </c>
    </row>
    <row r="3348" spans="1:14" x14ac:dyDescent="0.35">
      <c r="A3348" s="1" t="s">
        <v>4142</v>
      </c>
      <c r="B3348" s="1" t="s">
        <v>4143</v>
      </c>
      <c r="C3348" s="1" t="s">
        <v>640</v>
      </c>
      <c r="D3348" s="1" t="s">
        <v>293</v>
      </c>
      <c r="E3348" s="1" t="s">
        <v>33</v>
      </c>
      <c r="F3348" s="1" t="s">
        <v>293</v>
      </c>
      <c r="G3348" s="1">
        <v>8</v>
      </c>
      <c r="H3348" s="1">
        <v>10664</v>
      </c>
      <c r="I3348" s="1">
        <v>0.1</v>
      </c>
      <c r="J3348" s="1">
        <v>76780.800000000003</v>
      </c>
      <c r="K3348" s="1">
        <v>17472.439999999999</v>
      </c>
      <c r="L3348" s="1" t="s">
        <v>17</v>
      </c>
      <c r="M3348" s="1" t="str">
        <f>TEXT(Table1[[#This Row],[Order Date]],"mmm")</f>
        <v>Feb</v>
      </c>
      <c r="N3348" s="1">
        <f>YEAR(Table1[[#This Row],[Order Date]])</f>
        <v>2023</v>
      </c>
    </row>
    <row r="3349" spans="1:14" x14ac:dyDescent="0.35">
      <c r="A3349" s="1" t="s">
        <v>4144</v>
      </c>
      <c r="B3349" s="1" t="s">
        <v>1984</v>
      </c>
      <c r="C3349" s="1" t="s">
        <v>55</v>
      </c>
      <c r="D3349" s="1" t="s">
        <v>293</v>
      </c>
      <c r="E3349" s="1" t="s">
        <v>33</v>
      </c>
      <c r="F3349" s="1" t="s">
        <v>293</v>
      </c>
      <c r="G3349" s="1">
        <v>4</v>
      </c>
      <c r="H3349" s="1">
        <v>30387</v>
      </c>
      <c r="I3349" s="1">
        <v>0</v>
      </c>
      <c r="J3349" s="1">
        <v>121548</v>
      </c>
      <c r="K3349" s="1">
        <v>22221.79</v>
      </c>
      <c r="L3349" s="1" t="s">
        <v>70</v>
      </c>
      <c r="M3349" s="1" t="str">
        <f>TEXT(Table1[[#This Row],[Order Date]],"mmm")</f>
        <v>May</v>
      </c>
      <c r="N3349" s="1">
        <f>YEAR(Table1[[#This Row],[Order Date]])</f>
        <v>2024</v>
      </c>
    </row>
    <row r="3350" spans="1:14" x14ac:dyDescent="0.35">
      <c r="A3350" s="1" t="s">
        <v>4145</v>
      </c>
      <c r="B3350" s="1" t="s">
        <v>543</v>
      </c>
      <c r="C3350" s="1" t="s">
        <v>146</v>
      </c>
      <c r="D3350" s="1" t="s">
        <v>37</v>
      </c>
      <c r="E3350" s="1" t="s">
        <v>16</v>
      </c>
      <c r="F3350" s="1" t="s">
        <v>37</v>
      </c>
      <c r="G3350" s="1">
        <v>15</v>
      </c>
      <c r="H3350" s="1">
        <v>55449</v>
      </c>
      <c r="I3350" s="1">
        <v>0.05</v>
      </c>
      <c r="J3350" s="1">
        <v>790148.25</v>
      </c>
      <c r="K3350" s="1">
        <v>184934.62</v>
      </c>
      <c r="L3350" s="1" t="s">
        <v>45</v>
      </c>
      <c r="M3350" s="1" t="str">
        <f>TEXT(Table1[[#This Row],[Order Date]],"mmm")</f>
        <v>Jun</v>
      </c>
      <c r="N3350" s="1">
        <f>YEAR(Table1[[#This Row],[Order Date]])</f>
        <v>2024</v>
      </c>
    </row>
    <row r="3351" spans="1:14" x14ac:dyDescent="0.35">
      <c r="A3351" s="1" t="s">
        <v>4146</v>
      </c>
      <c r="B3351" s="1" t="s">
        <v>1718</v>
      </c>
      <c r="C3351" s="1" t="s">
        <v>77</v>
      </c>
      <c r="D3351" s="1" t="s">
        <v>167</v>
      </c>
      <c r="E3351" s="1" t="s">
        <v>16</v>
      </c>
      <c r="F3351" s="1" t="s">
        <v>167</v>
      </c>
      <c r="G3351" s="1">
        <v>14</v>
      </c>
      <c r="H3351" s="1">
        <v>42809</v>
      </c>
      <c r="I3351" s="1">
        <v>0.15</v>
      </c>
      <c r="J3351" s="1">
        <v>509427.1</v>
      </c>
      <c r="K3351" s="1">
        <v>75173.460000000006</v>
      </c>
      <c r="L3351" s="1" t="s">
        <v>70</v>
      </c>
      <c r="M3351" s="1" t="str">
        <f>TEXT(Table1[[#This Row],[Order Date]],"mmm")</f>
        <v>Nov</v>
      </c>
      <c r="N3351" s="1">
        <f>YEAR(Table1[[#This Row],[Order Date]])</f>
        <v>2024</v>
      </c>
    </row>
    <row r="3352" spans="1:14" x14ac:dyDescent="0.35">
      <c r="A3352" s="1" t="s">
        <v>4147</v>
      </c>
      <c r="B3352" s="1" t="s">
        <v>563</v>
      </c>
      <c r="C3352" s="1" t="s">
        <v>20</v>
      </c>
      <c r="D3352" s="1" t="s">
        <v>37</v>
      </c>
      <c r="E3352" s="1" t="s">
        <v>16</v>
      </c>
      <c r="F3352" s="1" t="s">
        <v>37</v>
      </c>
      <c r="G3352" s="1">
        <v>12</v>
      </c>
      <c r="H3352" s="1">
        <v>32264</v>
      </c>
      <c r="I3352" s="1">
        <v>0.15</v>
      </c>
      <c r="J3352" s="1">
        <v>329092.8</v>
      </c>
      <c r="K3352" s="1">
        <v>67222.58</v>
      </c>
      <c r="L3352" s="1" t="s">
        <v>45</v>
      </c>
      <c r="M3352" s="1" t="str">
        <f>TEXT(Table1[[#This Row],[Order Date]],"mmm")</f>
        <v>Jan</v>
      </c>
      <c r="N3352" s="1">
        <f>YEAR(Table1[[#This Row],[Order Date]])</f>
        <v>2023</v>
      </c>
    </row>
    <row r="3353" spans="1:14" x14ac:dyDescent="0.35">
      <c r="A3353" s="1" t="s">
        <v>4148</v>
      </c>
      <c r="B3353" s="1" t="s">
        <v>2101</v>
      </c>
      <c r="C3353" s="1" t="s">
        <v>335</v>
      </c>
      <c r="D3353" s="1" t="s">
        <v>37</v>
      </c>
      <c r="E3353" s="1" t="s">
        <v>16</v>
      </c>
      <c r="F3353" s="1" t="s">
        <v>37</v>
      </c>
      <c r="G3353" s="1">
        <v>5</v>
      </c>
      <c r="H3353" s="1">
        <v>13650</v>
      </c>
      <c r="I3353" s="1">
        <v>0.15</v>
      </c>
      <c r="J3353" s="1">
        <v>58012.5</v>
      </c>
      <c r="K3353" s="1">
        <v>12716.03</v>
      </c>
      <c r="L3353" s="1" t="s">
        <v>17</v>
      </c>
      <c r="M3353" s="1" t="str">
        <f>TEXT(Table1[[#This Row],[Order Date]],"mmm")</f>
        <v>Oct</v>
      </c>
      <c r="N3353" s="1">
        <f>YEAR(Table1[[#This Row],[Order Date]])</f>
        <v>2024</v>
      </c>
    </row>
    <row r="3354" spans="1:14" x14ac:dyDescent="0.35">
      <c r="A3354" s="1" t="s">
        <v>4149</v>
      </c>
      <c r="B3354" s="1" t="s">
        <v>873</v>
      </c>
      <c r="C3354" s="1" t="s">
        <v>77</v>
      </c>
      <c r="D3354" s="1" t="s">
        <v>78</v>
      </c>
      <c r="E3354" s="1" t="s">
        <v>28</v>
      </c>
      <c r="F3354" s="1" t="s">
        <v>78</v>
      </c>
      <c r="G3354" s="1">
        <v>13</v>
      </c>
      <c r="H3354" s="1">
        <v>3753</v>
      </c>
      <c r="I3354" s="1">
        <v>0.05</v>
      </c>
      <c r="J3354" s="1">
        <v>46349.55</v>
      </c>
      <c r="K3354" s="1">
        <v>4392.79</v>
      </c>
      <c r="L3354" s="1" t="s">
        <v>70</v>
      </c>
      <c r="M3354" s="1" t="str">
        <f>TEXT(Table1[[#This Row],[Order Date]],"mmm")</f>
        <v>Dec</v>
      </c>
      <c r="N3354" s="1">
        <f>YEAR(Table1[[#This Row],[Order Date]])</f>
        <v>2023</v>
      </c>
    </row>
    <row r="3355" spans="1:14" x14ac:dyDescent="0.35">
      <c r="A3355" s="1" t="s">
        <v>4150</v>
      </c>
      <c r="B3355" s="1" t="s">
        <v>69</v>
      </c>
      <c r="C3355" s="1" t="s">
        <v>84</v>
      </c>
      <c r="D3355" s="1" t="s">
        <v>323</v>
      </c>
      <c r="E3355" s="1" t="s">
        <v>33</v>
      </c>
      <c r="F3355" s="1" t="s">
        <v>323</v>
      </c>
      <c r="G3355" s="1">
        <v>4</v>
      </c>
      <c r="H3355" s="1">
        <v>10004</v>
      </c>
      <c r="I3355" s="1">
        <v>0.15</v>
      </c>
      <c r="J3355" s="1">
        <v>34013.599999999999</v>
      </c>
      <c r="K3355" s="1">
        <v>7211.87</v>
      </c>
      <c r="L3355" s="1" t="s">
        <v>45</v>
      </c>
      <c r="M3355" s="1" t="str">
        <f>TEXT(Table1[[#This Row],[Order Date]],"mmm")</f>
        <v>Mar</v>
      </c>
      <c r="N3355" s="1">
        <f>YEAR(Table1[[#This Row],[Order Date]])</f>
        <v>2023</v>
      </c>
    </row>
    <row r="3356" spans="1:14" x14ac:dyDescent="0.35">
      <c r="A3356" s="1" t="s">
        <v>4151</v>
      </c>
      <c r="B3356" s="1" t="s">
        <v>1729</v>
      </c>
      <c r="C3356" s="1" t="s">
        <v>136</v>
      </c>
      <c r="D3356" s="1" t="s">
        <v>323</v>
      </c>
      <c r="E3356" s="1" t="s">
        <v>33</v>
      </c>
      <c r="F3356" s="1" t="s">
        <v>323</v>
      </c>
      <c r="G3356" s="1">
        <v>5</v>
      </c>
      <c r="H3356" s="1">
        <v>23645</v>
      </c>
      <c r="I3356" s="1">
        <v>0.15</v>
      </c>
      <c r="J3356" s="1">
        <v>100491.25</v>
      </c>
      <c r="K3356" s="1">
        <v>18546.599999999999</v>
      </c>
      <c r="L3356" s="1" t="s">
        <v>17</v>
      </c>
      <c r="M3356" s="1" t="str">
        <f>TEXT(Table1[[#This Row],[Order Date]],"mmm")</f>
        <v>Jul</v>
      </c>
      <c r="N3356" s="1">
        <f>YEAR(Table1[[#This Row],[Order Date]])</f>
        <v>2024</v>
      </c>
    </row>
    <row r="3357" spans="1:14" x14ac:dyDescent="0.35">
      <c r="A3357" s="1" t="s">
        <v>4152</v>
      </c>
      <c r="B3357" s="1" t="s">
        <v>1196</v>
      </c>
      <c r="C3357" s="1" t="s">
        <v>51</v>
      </c>
      <c r="D3357" s="1" t="s">
        <v>151</v>
      </c>
      <c r="E3357" s="1" t="s">
        <v>22</v>
      </c>
      <c r="F3357" s="1" t="s">
        <v>151</v>
      </c>
      <c r="G3357" s="1">
        <v>1</v>
      </c>
      <c r="H3357" s="1">
        <v>43186</v>
      </c>
      <c r="I3357" s="1">
        <v>0.05</v>
      </c>
      <c r="J3357" s="1">
        <v>41026.699999999997</v>
      </c>
      <c r="K3357" s="1">
        <v>12017.08</v>
      </c>
      <c r="L3357" s="1" t="s">
        <v>17</v>
      </c>
      <c r="M3357" s="1" t="str">
        <f>TEXT(Table1[[#This Row],[Order Date]],"mmm")</f>
        <v>May</v>
      </c>
      <c r="N3357" s="1">
        <f>YEAR(Table1[[#This Row],[Order Date]])</f>
        <v>2023</v>
      </c>
    </row>
    <row r="3358" spans="1:14" x14ac:dyDescent="0.35">
      <c r="A3358" s="1" t="s">
        <v>4153</v>
      </c>
      <c r="B3358" s="1" t="s">
        <v>721</v>
      </c>
      <c r="C3358" s="1" t="s">
        <v>26</v>
      </c>
      <c r="D3358" s="1" t="s">
        <v>48</v>
      </c>
      <c r="E3358" s="1" t="s">
        <v>16</v>
      </c>
      <c r="F3358" s="1" t="s">
        <v>48</v>
      </c>
      <c r="G3358" s="1">
        <v>2</v>
      </c>
      <c r="H3358" s="1">
        <v>37705</v>
      </c>
      <c r="I3358" s="1">
        <v>0.15</v>
      </c>
      <c r="J3358" s="1">
        <v>64098.5</v>
      </c>
      <c r="K3358" s="1">
        <v>12481.51</v>
      </c>
      <c r="L3358" s="1" t="s">
        <v>45</v>
      </c>
      <c r="M3358" s="1" t="str">
        <f>TEXT(Table1[[#This Row],[Order Date]],"mmm")</f>
        <v>Sep</v>
      </c>
      <c r="N3358" s="1">
        <f>YEAR(Table1[[#This Row],[Order Date]])</f>
        <v>2023</v>
      </c>
    </row>
    <row r="3359" spans="1:14" x14ac:dyDescent="0.35">
      <c r="A3359" s="1" t="s">
        <v>4154</v>
      </c>
      <c r="B3359" s="1" t="s">
        <v>2589</v>
      </c>
      <c r="C3359" s="1" t="s">
        <v>362</v>
      </c>
      <c r="D3359" s="1" t="s">
        <v>141</v>
      </c>
      <c r="E3359" s="1" t="s">
        <v>22</v>
      </c>
      <c r="F3359" s="1" t="s">
        <v>141</v>
      </c>
      <c r="G3359" s="1">
        <v>1</v>
      </c>
      <c r="H3359" s="1">
        <v>14331</v>
      </c>
      <c r="I3359" s="1">
        <v>0.05</v>
      </c>
      <c r="J3359" s="1">
        <v>13614.45</v>
      </c>
      <c r="K3359" s="1">
        <v>3073.29</v>
      </c>
      <c r="L3359" s="1" t="s">
        <v>70</v>
      </c>
      <c r="M3359" s="1" t="str">
        <f>TEXT(Table1[[#This Row],[Order Date]],"mmm")</f>
        <v>Feb</v>
      </c>
      <c r="N3359" s="1">
        <f>YEAR(Table1[[#This Row],[Order Date]])</f>
        <v>2024</v>
      </c>
    </row>
    <row r="3360" spans="1:14" x14ac:dyDescent="0.35">
      <c r="A3360" s="1" t="s">
        <v>4155</v>
      </c>
      <c r="B3360" s="1" t="s">
        <v>948</v>
      </c>
      <c r="C3360" s="1" t="s">
        <v>40</v>
      </c>
      <c r="D3360" s="1" t="s">
        <v>224</v>
      </c>
      <c r="E3360" s="1" t="s">
        <v>33</v>
      </c>
      <c r="F3360" s="1" t="s">
        <v>224</v>
      </c>
      <c r="G3360" s="1">
        <v>12</v>
      </c>
      <c r="H3360" s="1">
        <v>6880</v>
      </c>
      <c r="I3360" s="1">
        <v>0.2</v>
      </c>
      <c r="J3360" s="1">
        <v>66048</v>
      </c>
      <c r="K3360" s="1">
        <v>19627.14</v>
      </c>
      <c r="L3360" s="1" t="s">
        <v>23</v>
      </c>
      <c r="M3360" s="1" t="str">
        <f>TEXT(Table1[[#This Row],[Order Date]],"mmm")</f>
        <v>Dec</v>
      </c>
      <c r="N3360" s="1">
        <f>YEAR(Table1[[#This Row],[Order Date]])</f>
        <v>2023</v>
      </c>
    </row>
    <row r="3361" spans="1:14" x14ac:dyDescent="0.35">
      <c r="A3361" s="1" t="s">
        <v>4156</v>
      </c>
      <c r="B3361" s="1" t="s">
        <v>608</v>
      </c>
      <c r="C3361" s="1" t="s">
        <v>125</v>
      </c>
      <c r="D3361" s="1" t="s">
        <v>224</v>
      </c>
      <c r="E3361" s="1" t="s">
        <v>33</v>
      </c>
      <c r="F3361" s="1" t="s">
        <v>224</v>
      </c>
      <c r="G3361" s="1">
        <v>11</v>
      </c>
      <c r="H3361" s="1">
        <v>35094</v>
      </c>
      <c r="I3361" s="1">
        <v>0</v>
      </c>
      <c r="J3361" s="1">
        <v>386034</v>
      </c>
      <c r="K3361" s="1">
        <v>66682.3</v>
      </c>
      <c r="L3361" s="1" t="s">
        <v>17</v>
      </c>
      <c r="M3361" s="1" t="str">
        <f>TEXT(Table1[[#This Row],[Order Date]],"mmm")</f>
        <v>May</v>
      </c>
      <c r="N3361" s="1">
        <f>YEAR(Table1[[#This Row],[Order Date]])</f>
        <v>2024</v>
      </c>
    </row>
    <row r="3362" spans="1:14" x14ac:dyDescent="0.35">
      <c r="A3362" s="1" t="s">
        <v>4157</v>
      </c>
      <c r="B3362" s="1" t="s">
        <v>937</v>
      </c>
      <c r="C3362" s="1" t="s">
        <v>14</v>
      </c>
      <c r="D3362" s="1" t="s">
        <v>56</v>
      </c>
      <c r="E3362" s="1" t="s">
        <v>22</v>
      </c>
      <c r="F3362" s="1" t="s">
        <v>56</v>
      </c>
      <c r="G3362" s="1">
        <v>1</v>
      </c>
      <c r="H3362" s="1">
        <v>26387</v>
      </c>
      <c r="I3362" s="1">
        <v>0.05</v>
      </c>
      <c r="J3362" s="1">
        <v>25067.65</v>
      </c>
      <c r="K3362" s="1">
        <v>3455.92</v>
      </c>
      <c r="L3362" s="1" t="s">
        <v>70</v>
      </c>
      <c r="M3362" s="1" t="str">
        <f>TEXT(Table1[[#This Row],[Order Date]],"mmm")</f>
        <v>Oct</v>
      </c>
      <c r="N3362" s="1">
        <f>YEAR(Table1[[#This Row],[Order Date]])</f>
        <v>2023</v>
      </c>
    </row>
    <row r="3363" spans="1:14" x14ac:dyDescent="0.35">
      <c r="A3363" s="1" t="s">
        <v>4158</v>
      </c>
      <c r="B3363" s="1" t="s">
        <v>193</v>
      </c>
      <c r="C3363" s="1" t="s">
        <v>63</v>
      </c>
      <c r="D3363" s="1" t="s">
        <v>293</v>
      </c>
      <c r="E3363" s="1" t="s">
        <v>33</v>
      </c>
      <c r="F3363" s="1" t="s">
        <v>293</v>
      </c>
      <c r="G3363" s="1">
        <v>13</v>
      </c>
      <c r="H3363" s="1">
        <v>30048</v>
      </c>
      <c r="I3363" s="1">
        <v>0.15</v>
      </c>
      <c r="J3363" s="1">
        <v>332030.40000000002</v>
      </c>
      <c r="K3363" s="1">
        <v>92475.93</v>
      </c>
      <c r="L3363" s="1" t="s">
        <v>23</v>
      </c>
      <c r="M3363" s="1" t="str">
        <f>TEXT(Table1[[#This Row],[Order Date]],"mmm")</f>
        <v>Jun</v>
      </c>
      <c r="N3363" s="1">
        <f>YEAR(Table1[[#This Row],[Order Date]])</f>
        <v>2023</v>
      </c>
    </row>
    <row r="3364" spans="1:14" x14ac:dyDescent="0.35">
      <c r="A3364" s="1" t="s">
        <v>4159</v>
      </c>
      <c r="B3364" s="1" t="s">
        <v>776</v>
      </c>
      <c r="C3364" s="1" t="s">
        <v>84</v>
      </c>
      <c r="D3364" s="1" t="s">
        <v>85</v>
      </c>
      <c r="E3364" s="1" t="s">
        <v>28</v>
      </c>
      <c r="F3364" s="1" t="s">
        <v>85</v>
      </c>
      <c r="G3364" s="1">
        <v>3</v>
      </c>
      <c r="H3364" s="1">
        <v>22054</v>
      </c>
      <c r="I3364" s="1">
        <v>0.2</v>
      </c>
      <c r="J3364" s="1">
        <v>52929.599999999999</v>
      </c>
      <c r="K3364" s="1">
        <v>13155.03</v>
      </c>
      <c r="L3364" s="1" t="s">
        <v>23</v>
      </c>
      <c r="M3364" s="1" t="str">
        <f>TEXT(Table1[[#This Row],[Order Date]],"mmm")</f>
        <v>Feb</v>
      </c>
      <c r="N3364" s="1">
        <f>YEAR(Table1[[#This Row],[Order Date]])</f>
        <v>2024</v>
      </c>
    </row>
    <row r="3365" spans="1:14" x14ac:dyDescent="0.35">
      <c r="A3365" s="1" t="s">
        <v>4160</v>
      </c>
      <c r="B3365" s="1" t="s">
        <v>1043</v>
      </c>
      <c r="C3365" s="1" t="s">
        <v>640</v>
      </c>
      <c r="D3365" s="1" t="s">
        <v>37</v>
      </c>
      <c r="E3365" s="1" t="s">
        <v>16</v>
      </c>
      <c r="F3365" s="1" t="s">
        <v>37</v>
      </c>
      <c r="G3365" s="1">
        <v>1</v>
      </c>
      <c r="H3365" s="1">
        <v>41240</v>
      </c>
      <c r="I3365" s="1">
        <v>0.15</v>
      </c>
      <c r="J3365" s="1">
        <v>35054</v>
      </c>
      <c r="K3365" s="1">
        <v>10380.56</v>
      </c>
      <c r="L3365" s="1" t="s">
        <v>17</v>
      </c>
      <c r="M3365" s="1" t="str">
        <f>TEXT(Table1[[#This Row],[Order Date]],"mmm")</f>
        <v>Aug</v>
      </c>
      <c r="N3365" s="1">
        <f>YEAR(Table1[[#This Row],[Order Date]])</f>
        <v>2024</v>
      </c>
    </row>
    <row r="3366" spans="1:14" x14ac:dyDescent="0.35">
      <c r="A3366" s="1" t="s">
        <v>4161</v>
      </c>
      <c r="B3366" s="1" t="s">
        <v>469</v>
      </c>
      <c r="C3366" s="1" t="s">
        <v>107</v>
      </c>
      <c r="D3366" s="1" t="s">
        <v>74</v>
      </c>
      <c r="E3366" s="1" t="s">
        <v>22</v>
      </c>
      <c r="F3366" s="1" t="s">
        <v>74</v>
      </c>
      <c r="G3366" s="1">
        <v>9</v>
      </c>
      <c r="H3366" s="1">
        <v>11803</v>
      </c>
      <c r="I3366" s="1">
        <v>0.05</v>
      </c>
      <c r="J3366" s="1">
        <v>100915.65</v>
      </c>
      <c r="K3366" s="1">
        <v>10623.65</v>
      </c>
      <c r="L3366" s="1" t="s">
        <v>45</v>
      </c>
      <c r="M3366" s="1" t="str">
        <f>TEXT(Table1[[#This Row],[Order Date]],"mmm")</f>
        <v>Apr</v>
      </c>
      <c r="N3366" s="1">
        <f>YEAR(Table1[[#This Row],[Order Date]])</f>
        <v>2023</v>
      </c>
    </row>
    <row r="3367" spans="1:14" x14ac:dyDescent="0.35">
      <c r="A3367" s="1" t="s">
        <v>4162</v>
      </c>
      <c r="B3367" s="1" t="s">
        <v>599</v>
      </c>
      <c r="C3367" s="1" t="s">
        <v>255</v>
      </c>
      <c r="D3367" s="1" t="s">
        <v>167</v>
      </c>
      <c r="E3367" s="1" t="s">
        <v>16</v>
      </c>
      <c r="F3367" s="1" t="s">
        <v>167</v>
      </c>
      <c r="G3367" s="1">
        <v>2</v>
      </c>
      <c r="H3367" s="1">
        <v>21468</v>
      </c>
      <c r="I3367" s="1">
        <v>0.1</v>
      </c>
      <c r="J3367" s="1">
        <v>38642.400000000001</v>
      </c>
      <c r="K3367" s="1">
        <v>10848.58</v>
      </c>
      <c r="L3367" s="1" t="s">
        <v>70</v>
      </c>
      <c r="M3367" s="1" t="str">
        <f>TEXT(Table1[[#This Row],[Order Date]],"mmm")</f>
        <v>May</v>
      </c>
      <c r="N3367" s="1">
        <f>YEAR(Table1[[#This Row],[Order Date]])</f>
        <v>2023</v>
      </c>
    </row>
    <row r="3368" spans="1:14" x14ac:dyDescent="0.35">
      <c r="A3368" s="1" t="s">
        <v>4163</v>
      </c>
      <c r="B3368" s="1" t="s">
        <v>1341</v>
      </c>
      <c r="C3368" s="1" t="s">
        <v>36</v>
      </c>
      <c r="D3368" s="1" t="s">
        <v>151</v>
      </c>
      <c r="E3368" s="1" t="s">
        <v>22</v>
      </c>
      <c r="F3368" s="1" t="s">
        <v>151</v>
      </c>
      <c r="G3368" s="1">
        <v>10</v>
      </c>
      <c r="H3368" s="1">
        <v>50132</v>
      </c>
      <c r="I3368" s="1">
        <v>0</v>
      </c>
      <c r="J3368" s="1">
        <v>501320</v>
      </c>
      <c r="K3368" s="1">
        <v>60174.5</v>
      </c>
      <c r="L3368" s="1" t="s">
        <v>23</v>
      </c>
      <c r="M3368" s="1" t="str">
        <f>TEXT(Table1[[#This Row],[Order Date]],"mmm")</f>
        <v>Oct</v>
      </c>
      <c r="N3368" s="1">
        <f>YEAR(Table1[[#This Row],[Order Date]])</f>
        <v>2024</v>
      </c>
    </row>
    <row r="3369" spans="1:14" x14ac:dyDescent="0.35">
      <c r="A3369" s="1" t="s">
        <v>4164</v>
      </c>
      <c r="B3369" s="1" t="s">
        <v>1097</v>
      </c>
      <c r="C3369" s="1" t="s">
        <v>59</v>
      </c>
      <c r="D3369" s="1" t="s">
        <v>56</v>
      </c>
      <c r="E3369" s="1" t="s">
        <v>22</v>
      </c>
      <c r="F3369" s="1" t="s">
        <v>56</v>
      </c>
      <c r="G3369" s="1">
        <v>8</v>
      </c>
      <c r="H3369" s="1">
        <v>21994</v>
      </c>
      <c r="I3369" s="1">
        <v>0</v>
      </c>
      <c r="J3369" s="1">
        <v>175952</v>
      </c>
      <c r="K3369" s="1">
        <v>47494.23</v>
      </c>
      <c r="L3369" s="1" t="s">
        <v>45</v>
      </c>
      <c r="M3369" s="1" t="str">
        <f>TEXT(Table1[[#This Row],[Order Date]],"mmm")</f>
        <v>Sep</v>
      </c>
      <c r="N3369" s="1">
        <f>YEAR(Table1[[#This Row],[Order Date]])</f>
        <v>2024</v>
      </c>
    </row>
    <row r="3370" spans="1:14" x14ac:dyDescent="0.35">
      <c r="A3370" s="1" t="s">
        <v>4165</v>
      </c>
      <c r="B3370" s="1" t="s">
        <v>1115</v>
      </c>
      <c r="C3370" s="1" t="s">
        <v>227</v>
      </c>
      <c r="D3370" s="1" t="s">
        <v>95</v>
      </c>
      <c r="E3370" s="1" t="s">
        <v>33</v>
      </c>
      <c r="F3370" s="1" t="s">
        <v>95</v>
      </c>
      <c r="G3370" s="1">
        <v>9</v>
      </c>
      <c r="H3370" s="1">
        <v>12807</v>
      </c>
      <c r="I3370" s="1">
        <v>0.1</v>
      </c>
      <c r="J3370" s="1">
        <v>103736.7</v>
      </c>
      <c r="K3370" s="1">
        <v>13052.38</v>
      </c>
      <c r="L3370" s="1" t="s">
        <v>45</v>
      </c>
      <c r="M3370" s="1" t="str">
        <f>TEXT(Table1[[#This Row],[Order Date]],"mmm")</f>
        <v>Jan</v>
      </c>
      <c r="N3370" s="1">
        <f>YEAR(Table1[[#This Row],[Order Date]])</f>
        <v>2024</v>
      </c>
    </row>
    <row r="3371" spans="1:14" x14ac:dyDescent="0.35">
      <c r="A3371" s="1" t="s">
        <v>4166</v>
      </c>
      <c r="B3371" s="1" t="s">
        <v>19</v>
      </c>
      <c r="C3371" s="1" t="s">
        <v>31</v>
      </c>
      <c r="D3371" s="1" t="s">
        <v>91</v>
      </c>
      <c r="E3371" s="1" t="s">
        <v>16</v>
      </c>
      <c r="F3371" s="1" t="s">
        <v>91</v>
      </c>
      <c r="G3371" s="1">
        <v>7</v>
      </c>
      <c r="H3371" s="1">
        <v>21263</v>
      </c>
      <c r="I3371" s="1">
        <v>0.2</v>
      </c>
      <c r="J3371" s="1">
        <v>119072.8</v>
      </c>
      <c r="K3371" s="1">
        <v>27801.08</v>
      </c>
      <c r="L3371" s="1" t="s">
        <v>17</v>
      </c>
      <c r="M3371" s="1" t="str">
        <f>TEXT(Table1[[#This Row],[Order Date]],"mmm")</f>
        <v>Jul</v>
      </c>
      <c r="N3371" s="1">
        <f>YEAR(Table1[[#This Row],[Order Date]])</f>
        <v>2023</v>
      </c>
    </row>
    <row r="3372" spans="1:14" x14ac:dyDescent="0.35">
      <c r="A3372" s="1" t="s">
        <v>4167</v>
      </c>
      <c r="B3372" s="1" t="s">
        <v>1099</v>
      </c>
      <c r="C3372" s="1" t="s">
        <v>63</v>
      </c>
      <c r="D3372" s="1" t="s">
        <v>37</v>
      </c>
      <c r="E3372" s="1" t="s">
        <v>16</v>
      </c>
      <c r="F3372" s="1" t="s">
        <v>37</v>
      </c>
      <c r="G3372" s="1">
        <v>12</v>
      </c>
      <c r="H3372" s="1">
        <v>4401</v>
      </c>
      <c r="I3372" s="1">
        <v>0.2</v>
      </c>
      <c r="J3372" s="1">
        <v>42249.599999999999</v>
      </c>
      <c r="K3372" s="1">
        <v>7607.37</v>
      </c>
      <c r="L3372" s="1" t="s">
        <v>45</v>
      </c>
      <c r="M3372" s="1" t="str">
        <f>TEXT(Table1[[#This Row],[Order Date]],"mmm")</f>
        <v>Oct</v>
      </c>
      <c r="N3372" s="1">
        <f>YEAR(Table1[[#This Row],[Order Date]])</f>
        <v>2023</v>
      </c>
    </row>
    <row r="3373" spans="1:14" x14ac:dyDescent="0.35">
      <c r="A3373" s="1" t="s">
        <v>4168</v>
      </c>
      <c r="B3373" s="1" t="s">
        <v>1790</v>
      </c>
      <c r="C3373" s="1" t="s">
        <v>191</v>
      </c>
      <c r="D3373" s="1" t="s">
        <v>85</v>
      </c>
      <c r="E3373" s="1" t="s">
        <v>28</v>
      </c>
      <c r="F3373" s="1" t="s">
        <v>85</v>
      </c>
      <c r="G3373" s="1">
        <v>2</v>
      </c>
      <c r="H3373" s="1">
        <v>35778</v>
      </c>
      <c r="I3373" s="1">
        <v>0</v>
      </c>
      <c r="J3373" s="1">
        <v>71556</v>
      </c>
      <c r="K3373" s="1">
        <v>15570.31</v>
      </c>
      <c r="L3373" s="1" t="s">
        <v>45</v>
      </c>
      <c r="M3373" s="1" t="str">
        <f>TEXT(Table1[[#This Row],[Order Date]],"mmm")</f>
        <v>Jan</v>
      </c>
      <c r="N3373" s="1">
        <f>YEAR(Table1[[#This Row],[Order Date]])</f>
        <v>2023</v>
      </c>
    </row>
    <row r="3374" spans="1:14" x14ac:dyDescent="0.35">
      <c r="A3374" s="1" t="s">
        <v>4169</v>
      </c>
      <c r="B3374" s="1" t="s">
        <v>1080</v>
      </c>
      <c r="C3374" s="1" t="s">
        <v>81</v>
      </c>
      <c r="D3374" s="1" t="s">
        <v>15</v>
      </c>
      <c r="E3374" s="1" t="s">
        <v>16</v>
      </c>
      <c r="F3374" s="1" t="s">
        <v>15</v>
      </c>
      <c r="G3374" s="1">
        <v>10</v>
      </c>
      <c r="H3374" s="1">
        <v>12388</v>
      </c>
      <c r="I3374" s="1">
        <v>0.1</v>
      </c>
      <c r="J3374" s="1">
        <v>111492</v>
      </c>
      <c r="K3374" s="1">
        <v>16213.68</v>
      </c>
      <c r="L3374" s="1" t="s">
        <v>23</v>
      </c>
      <c r="M3374" s="1" t="str">
        <f>TEXT(Table1[[#This Row],[Order Date]],"mmm")</f>
        <v>Apr</v>
      </c>
      <c r="N3374" s="1">
        <f>YEAR(Table1[[#This Row],[Order Date]])</f>
        <v>2024</v>
      </c>
    </row>
    <row r="3375" spans="1:14" x14ac:dyDescent="0.35">
      <c r="A3375" s="1" t="s">
        <v>4170</v>
      </c>
      <c r="B3375" s="1" t="s">
        <v>1032</v>
      </c>
      <c r="C3375" s="1" t="s">
        <v>117</v>
      </c>
      <c r="D3375" s="1" t="s">
        <v>60</v>
      </c>
      <c r="E3375" s="1" t="s">
        <v>33</v>
      </c>
      <c r="F3375" s="1" t="s">
        <v>60</v>
      </c>
      <c r="G3375" s="1">
        <v>10</v>
      </c>
      <c r="H3375" s="1">
        <v>25302</v>
      </c>
      <c r="I3375" s="1">
        <v>0.15</v>
      </c>
      <c r="J3375" s="1">
        <v>215067</v>
      </c>
      <c r="K3375" s="1">
        <v>43238.49</v>
      </c>
      <c r="L3375" s="1" t="s">
        <v>45</v>
      </c>
      <c r="M3375" s="1" t="str">
        <f>TEXT(Table1[[#This Row],[Order Date]],"mmm")</f>
        <v>May</v>
      </c>
      <c r="N3375" s="1">
        <f>YEAR(Table1[[#This Row],[Order Date]])</f>
        <v>2024</v>
      </c>
    </row>
    <row r="3376" spans="1:14" x14ac:dyDescent="0.35">
      <c r="A3376" s="1" t="s">
        <v>4171</v>
      </c>
      <c r="B3376" s="1" t="s">
        <v>193</v>
      </c>
      <c r="C3376" s="1" t="s">
        <v>507</v>
      </c>
      <c r="D3376" s="1" t="s">
        <v>95</v>
      </c>
      <c r="E3376" s="1" t="s">
        <v>33</v>
      </c>
      <c r="F3376" s="1" t="s">
        <v>95</v>
      </c>
      <c r="G3376" s="1">
        <v>13</v>
      </c>
      <c r="H3376" s="1">
        <v>37535</v>
      </c>
      <c r="I3376" s="1">
        <v>0.05</v>
      </c>
      <c r="J3376" s="1">
        <v>463557.25</v>
      </c>
      <c r="K3376" s="1">
        <v>114943.53</v>
      </c>
      <c r="L3376" s="1" t="s">
        <v>17</v>
      </c>
      <c r="M3376" s="1" t="str">
        <f>TEXT(Table1[[#This Row],[Order Date]],"mmm")</f>
        <v>Jun</v>
      </c>
      <c r="N3376" s="1">
        <f>YEAR(Table1[[#This Row],[Order Date]])</f>
        <v>2023</v>
      </c>
    </row>
    <row r="3377" spans="1:14" x14ac:dyDescent="0.35">
      <c r="A3377" s="1" t="s">
        <v>4172</v>
      </c>
      <c r="B3377" s="1" t="s">
        <v>643</v>
      </c>
      <c r="C3377" s="1" t="s">
        <v>40</v>
      </c>
      <c r="D3377" s="1" t="s">
        <v>41</v>
      </c>
      <c r="E3377" s="1" t="s">
        <v>16</v>
      </c>
      <c r="F3377" s="1" t="s">
        <v>41</v>
      </c>
      <c r="G3377" s="1">
        <v>9</v>
      </c>
      <c r="H3377" s="1">
        <v>1037</v>
      </c>
      <c r="I3377" s="1">
        <v>0.1</v>
      </c>
      <c r="J3377" s="1">
        <v>8399.7000000000007</v>
      </c>
      <c r="K3377" s="1">
        <v>2187.63</v>
      </c>
      <c r="L3377" s="1" t="s">
        <v>17</v>
      </c>
      <c r="M3377" s="1" t="str">
        <f>TEXT(Table1[[#This Row],[Order Date]],"mmm")</f>
        <v>Aug</v>
      </c>
      <c r="N3377" s="1">
        <f>YEAR(Table1[[#This Row],[Order Date]])</f>
        <v>2024</v>
      </c>
    </row>
    <row r="3378" spans="1:14" x14ac:dyDescent="0.35">
      <c r="A3378" s="1" t="s">
        <v>4173</v>
      </c>
      <c r="B3378" s="1" t="s">
        <v>1414</v>
      </c>
      <c r="C3378" s="1" t="s">
        <v>507</v>
      </c>
      <c r="D3378" s="1" t="s">
        <v>44</v>
      </c>
      <c r="E3378" s="1" t="s">
        <v>28</v>
      </c>
      <c r="F3378" s="1" t="s">
        <v>44</v>
      </c>
      <c r="G3378" s="1">
        <v>8</v>
      </c>
      <c r="H3378" s="1">
        <v>36438</v>
      </c>
      <c r="I3378" s="1">
        <v>0.1</v>
      </c>
      <c r="J3378" s="1">
        <v>262353.59999999998</v>
      </c>
      <c r="K3378" s="1">
        <v>42700.82</v>
      </c>
      <c r="L3378" s="1" t="s">
        <v>17</v>
      </c>
      <c r="M3378" s="1" t="str">
        <f>TEXT(Table1[[#This Row],[Order Date]],"mmm")</f>
        <v>Aug</v>
      </c>
      <c r="N3378" s="1">
        <f>YEAR(Table1[[#This Row],[Order Date]])</f>
        <v>2024</v>
      </c>
    </row>
    <row r="3379" spans="1:14" x14ac:dyDescent="0.35">
      <c r="A3379" s="1" t="s">
        <v>4174</v>
      </c>
      <c r="B3379" s="1" t="s">
        <v>702</v>
      </c>
      <c r="C3379" s="1" t="s">
        <v>507</v>
      </c>
      <c r="D3379" s="1" t="s">
        <v>85</v>
      </c>
      <c r="E3379" s="1" t="s">
        <v>28</v>
      </c>
      <c r="F3379" s="1" t="s">
        <v>85</v>
      </c>
      <c r="G3379" s="1">
        <v>9</v>
      </c>
      <c r="H3379" s="1">
        <v>16670</v>
      </c>
      <c r="I3379" s="1">
        <v>0.2</v>
      </c>
      <c r="J3379" s="1">
        <v>120024</v>
      </c>
      <c r="K3379" s="1">
        <v>17958.73</v>
      </c>
      <c r="L3379" s="1" t="s">
        <v>17</v>
      </c>
      <c r="M3379" s="1" t="str">
        <f>TEXT(Table1[[#This Row],[Order Date]],"mmm")</f>
        <v>Aug</v>
      </c>
      <c r="N3379" s="1">
        <f>YEAR(Table1[[#This Row],[Order Date]])</f>
        <v>2023</v>
      </c>
    </row>
    <row r="3380" spans="1:14" x14ac:dyDescent="0.35">
      <c r="A3380" s="1" t="s">
        <v>4175</v>
      </c>
      <c r="B3380" s="1" t="s">
        <v>1140</v>
      </c>
      <c r="C3380" s="1" t="s">
        <v>335</v>
      </c>
      <c r="D3380" s="1" t="s">
        <v>78</v>
      </c>
      <c r="E3380" s="1" t="s">
        <v>28</v>
      </c>
      <c r="F3380" s="1" t="s">
        <v>78</v>
      </c>
      <c r="G3380" s="1">
        <v>4</v>
      </c>
      <c r="H3380" s="1">
        <v>39679</v>
      </c>
      <c r="I3380" s="1">
        <v>0.15</v>
      </c>
      <c r="J3380" s="1">
        <v>134908.6</v>
      </c>
      <c r="K3380" s="1">
        <v>38609.82</v>
      </c>
      <c r="L3380" s="1" t="s">
        <v>70</v>
      </c>
      <c r="M3380" s="1" t="str">
        <f>TEXT(Table1[[#This Row],[Order Date]],"mmm")</f>
        <v>May</v>
      </c>
      <c r="N3380" s="1">
        <f>YEAR(Table1[[#This Row],[Order Date]])</f>
        <v>2024</v>
      </c>
    </row>
    <row r="3381" spans="1:14" x14ac:dyDescent="0.35">
      <c r="A3381" s="1" t="s">
        <v>4176</v>
      </c>
      <c r="B3381" s="1" t="s">
        <v>692</v>
      </c>
      <c r="C3381" s="1" t="s">
        <v>31</v>
      </c>
      <c r="D3381" s="1" t="s">
        <v>179</v>
      </c>
      <c r="E3381" s="1" t="s">
        <v>28</v>
      </c>
      <c r="F3381" s="1" t="s">
        <v>179</v>
      </c>
      <c r="G3381" s="1">
        <v>9</v>
      </c>
      <c r="H3381" s="1">
        <v>5751</v>
      </c>
      <c r="I3381" s="1">
        <v>0</v>
      </c>
      <c r="J3381" s="1">
        <v>51759</v>
      </c>
      <c r="K3381" s="1">
        <v>11958.65</v>
      </c>
      <c r="L3381" s="1" t="s">
        <v>70</v>
      </c>
      <c r="M3381" s="1" t="str">
        <f>TEXT(Table1[[#This Row],[Order Date]],"mmm")</f>
        <v>Nov</v>
      </c>
      <c r="N3381" s="1">
        <f>YEAR(Table1[[#This Row],[Order Date]])</f>
        <v>2023</v>
      </c>
    </row>
    <row r="3382" spans="1:14" x14ac:dyDescent="0.35">
      <c r="A3382" s="1" t="s">
        <v>4177</v>
      </c>
      <c r="B3382" s="1" t="s">
        <v>215</v>
      </c>
      <c r="C3382" s="1" t="s">
        <v>162</v>
      </c>
      <c r="D3382" s="1" t="s">
        <v>167</v>
      </c>
      <c r="E3382" s="1" t="s">
        <v>16</v>
      </c>
      <c r="F3382" s="1" t="s">
        <v>167</v>
      </c>
      <c r="G3382" s="1">
        <v>6</v>
      </c>
      <c r="H3382" s="1">
        <v>3769</v>
      </c>
      <c r="I3382" s="1">
        <v>0.15</v>
      </c>
      <c r="J3382" s="1">
        <v>19221.900000000001</v>
      </c>
      <c r="K3382" s="1">
        <v>3062.97</v>
      </c>
      <c r="L3382" s="1" t="s">
        <v>45</v>
      </c>
      <c r="M3382" s="1" t="str">
        <f>TEXT(Table1[[#This Row],[Order Date]],"mmm")</f>
        <v>Jul</v>
      </c>
      <c r="N3382" s="1">
        <f>YEAR(Table1[[#This Row],[Order Date]])</f>
        <v>2024</v>
      </c>
    </row>
    <row r="3383" spans="1:14" x14ac:dyDescent="0.35">
      <c r="A3383" s="1" t="s">
        <v>4178</v>
      </c>
      <c r="B3383" s="1" t="s">
        <v>2321</v>
      </c>
      <c r="C3383" s="1" t="s">
        <v>158</v>
      </c>
      <c r="D3383" s="1" t="s">
        <v>91</v>
      </c>
      <c r="E3383" s="1" t="s">
        <v>16</v>
      </c>
      <c r="F3383" s="1" t="s">
        <v>91</v>
      </c>
      <c r="G3383" s="1">
        <v>11</v>
      </c>
      <c r="H3383" s="1">
        <v>17013</v>
      </c>
      <c r="I3383" s="1">
        <v>0.15</v>
      </c>
      <c r="J3383" s="1">
        <v>159071.54999999999</v>
      </c>
      <c r="K3383" s="1">
        <v>38469.019999999997</v>
      </c>
      <c r="L3383" s="1" t="s">
        <v>17</v>
      </c>
      <c r="M3383" s="1" t="str">
        <f>TEXT(Table1[[#This Row],[Order Date]],"mmm")</f>
        <v>Feb</v>
      </c>
      <c r="N3383" s="1">
        <f>YEAR(Table1[[#This Row],[Order Date]])</f>
        <v>2023</v>
      </c>
    </row>
    <row r="3384" spans="1:14" x14ac:dyDescent="0.35">
      <c r="A3384" s="1" t="s">
        <v>4179</v>
      </c>
      <c r="B3384" s="1" t="s">
        <v>172</v>
      </c>
      <c r="C3384" s="1" t="s">
        <v>332</v>
      </c>
      <c r="D3384" s="1" t="s">
        <v>91</v>
      </c>
      <c r="E3384" s="1" t="s">
        <v>16</v>
      </c>
      <c r="F3384" s="1" t="s">
        <v>91</v>
      </c>
      <c r="G3384" s="1">
        <v>1</v>
      </c>
      <c r="H3384" s="1">
        <v>40732</v>
      </c>
      <c r="I3384" s="1">
        <v>0.2</v>
      </c>
      <c r="J3384" s="1">
        <v>32585.599999999999</v>
      </c>
      <c r="K3384" s="1">
        <v>5777.72</v>
      </c>
      <c r="L3384" s="1" t="s">
        <v>23</v>
      </c>
      <c r="M3384" s="1" t="str">
        <f>TEXT(Table1[[#This Row],[Order Date]],"mmm")</f>
        <v>Mar</v>
      </c>
      <c r="N3384" s="1">
        <f>YEAR(Table1[[#This Row],[Order Date]])</f>
        <v>2023</v>
      </c>
    </row>
    <row r="3385" spans="1:14" x14ac:dyDescent="0.35">
      <c r="A3385" s="1" t="s">
        <v>4180</v>
      </c>
      <c r="B3385" s="1" t="s">
        <v>250</v>
      </c>
      <c r="C3385" s="1" t="s">
        <v>55</v>
      </c>
      <c r="D3385" s="1" t="s">
        <v>323</v>
      </c>
      <c r="E3385" s="1" t="s">
        <v>33</v>
      </c>
      <c r="F3385" s="1" t="s">
        <v>323</v>
      </c>
      <c r="G3385" s="1">
        <v>3</v>
      </c>
      <c r="H3385" s="1">
        <v>24375</v>
      </c>
      <c r="I3385" s="1">
        <v>0.1</v>
      </c>
      <c r="J3385" s="1">
        <v>65812.5</v>
      </c>
      <c r="K3385" s="1">
        <v>15900.37</v>
      </c>
      <c r="L3385" s="1" t="s">
        <v>23</v>
      </c>
      <c r="M3385" s="1" t="str">
        <f>TEXT(Table1[[#This Row],[Order Date]],"mmm")</f>
        <v>Aug</v>
      </c>
      <c r="N3385" s="1">
        <f>YEAR(Table1[[#This Row],[Order Date]])</f>
        <v>2023</v>
      </c>
    </row>
    <row r="3386" spans="1:14" x14ac:dyDescent="0.35">
      <c r="A3386" s="1" t="s">
        <v>4181</v>
      </c>
      <c r="B3386" s="1" t="s">
        <v>427</v>
      </c>
      <c r="C3386" s="1" t="s">
        <v>55</v>
      </c>
      <c r="D3386" s="1" t="s">
        <v>60</v>
      </c>
      <c r="E3386" s="1" t="s">
        <v>33</v>
      </c>
      <c r="F3386" s="1" t="s">
        <v>60</v>
      </c>
      <c r="G3386" s="1">
        <v>4</v>
      </c>
      <c r="H3386" s="1">
        <v>54577</v>
      </c>
      <c r="I3386" s="1">
        <v>0</v>
      </c>
      <c r="J3386" s="1">
        <v>218308</v>
      </c>
      <c r="K3386" s="1">
        <v>44343.15</v>
      </c>
      <c r="L3386" s="1" t="s">
        <v>17</v>
      </c>
      <c r="M3386" s="1" t="str">
        <f>TEXT(Table1[[#This Row],[Order Date]],"mmm")</f>
        <v>Jan</v>
      </c>
      <c r="N3386" s="1">
        <f>YEAR(Table1[[#This Row],[Order Date]])</f>
        <v>2023</v>
      </c>
    </row>
    <row r="3387" spans="1:14" x14ac:dyDescent="0.35">
      <c r="A3387" s="1" t="s">
        <v>4182</v>
      </c>
      <c r="B3387" s="1" t="s">
        <v>901</v>
      </c>
      <c r="C3387" s="1" t="s">
        <v>255</v>
      </c>
      <c r="D3387" s="1" t="s">
        <v>52</v>
      </c>
      <c r="E3387" s="1" t="s">
        <v>28</v>
      </c>
      <c r="F3387" s="1" t="s">
        <v>52</v>
      </c>
      <c r="G3387" s="1">
        <v>5</v>
      </c>
      <c r="H3387" s="1">
        <v>23441</v>
      </c>
      <c r="I3387" s="1">
        <v>0.2</v>
      </c>
      <c r="J3387" s="1">
        <v>93764</v>
      </c>
      <c r="K3387" s="1">
        <v>25189.759999999998</v>
      </c>
      <c r="L3387" s="1" t="s">
        <v>45</v>
      </c>
      <c r="M3387" s="1" t="str">
        <f>TEXT(Table1[[#This Row],[Order Date]],"mmm")</f>
        <v>May</v>
      </c>
      <c r="N3387" s="1">
        <f>YEAR(Table1[[#This Row],[Order Date]])</f>
        <v>2023</v>
      </c>
    </row>
    <row r="3388" spans="1:14" x14ac:dyDescent="0.35">
      <c r="A3388" s="1" t="s">
        <v>4183</v>
      </c>
      <c r="B3388" s="1" t="s">
        <v>655</v>
      </c>
      <c r="C3388" s="1" t="s">
        <v>140</v>
      </c>
      <c r="D3388" s="1" t="s">
        <v>41</v>
      </c>
      <c r="E3388" s="1" t="s">
        <v>16</v>
      </c>
      <c r="F3388" s="1" t="s">
        <v>41</v>
      </c>
      <c r="G3388" s="1">
        <v>12</v>
      </c>
      <c r="H3388" s="1">
        <v>9612</v>
      </c>
      <c r="I3388" s="1">
        <v>0.15</v>
      </c>
      <c r="J3388" s="1">
        <v>98042.4</v>
      </c>
      <c r="K3388" s="1">
        <v>8817.24</v>
      </c>
      <c r="L3388" s="1" t="s">
        <v>70</v>
      </c>
      <c r="M3388" s="1" t="str">
        <f>TEXT(Table1[[#This Row],[Order Date]],"mmm")</f>
        <v>Jul</v>
      </c>
      <c r="N3388" s="1">
        <f>YEAR(Table1[[#This Row],[Order Date]])</f>
        <v>2023</v>
      </c>
    </row>
    <row r="3389" spans="1:14" x14ac:dyDescent="0.35">
      <c r="A3389" s="1" t="s">
        <v>4184</v>
      </c>
      <c r="B3389" s="1" t="s">
        <v>1227</v>
      </c>
      <c r="C3389" s="1" t="s">
        <v>162</v>
      </c>
      <c r="D3389" s="1" t="s">
        <v>52</v>
      </c>
      <c r="E3389" s="1" t="s">
        <v>28</v>
      </c>
      <c r="F3389" s="1" t="s">
        <v>52</v>
      </c>
      <c r="G3389" s="1">
        <v>4</v>
      </c>
      <c r="H3389" s="1">
        <v>46510</v>
      </c>
      <c r="I3389" s="1">
        <v>0</v>
      </c>
      <c r="J3389" s="1">
        <v>186040</v>
      </c>
      <c r="K3389" s="1">
        <v>39609</v>
      </c>
      <c r="L3389" s="1" t="s">
        <v>45</v>
      </c>
      <c r="M3389" s="1" t="str">
        <f>TEXT(Table1[[#This Row],[Order Date]],"mmm")</f>
        <v>Apr</v>
      </c>
      <c r="N3389" s="1">
        <f>YEAR(Table1[[#This Row],[Order Date]])</f>
        <v>2023</v>
      </c>
    </row>
    <row r="3390" spans="1:14" x14ac:dyDescent="0.35">
      <c r="A3390" s="1" t="s">
        <v>4185</v>
      </c>
      <c r="B3390" s="1" t="s">
        <v>1420</v>
      </c>
      <c r="C3390" s="1" t="s">
        <v>73</v>
      </c>
      <c r="D3390" s="1" t="s">
        <v>179</v>
      </c>
      <c r="E3390" s="1" t="s">
        <v>28</v>
      </c>
      <c r="F3390" s="1" t="s">
        <v>179</v>
      </c>
      <c r="G3390" s="1">
        <v>13</v>
      </c>
      <c r="H3390" s="1">
        <v>8355</v>
      </c>
      <c r="I3390" s="1">
        <v>0.1</v>
      </c>
      <c r="J3390" s="1">
        <v>97753.5</v>
      </c>
      <c r="K3390" s="1">
        <v>11944.83</v>
      </c>
      <c r="L3390" s="1" t="s">
        <v>45</v>
      </c>
      <c r="M3390" s="1" t="str">
        <f>TEXT(Table1[[#This Row],[Order Date]],"mmm")</f>
        <v>Apr</v>
      </c>
      <c r="N3390" s="1">
        <f>YEAR(Table1[[#This Row],[Order Date]])</f>
        <v>2024</v>
      </c>
    </row>
    <row r="3391" spans="1:14" x14ac:dyDescent="0.35">
      <c r="A3391" s="1" t="s">
        <v>4186</v>
      </c>
      <c r="B3391" s="1" t="s">
        <v>1045</v>
      </c>
      <c r="C3391" s="1" t="s">
        <v>120</v>
      </c>
      <c r="D3391" s="1" t="s">
        <v>21</v>
      </c>
      <c r="E3391" s="1" t="s">
        <v>22</v>
      </c>
      <c r="F3391" s="1" t="s">
        <v>21</v>
      </c>
      <c r="G3391" s="1">
        <v>6</v>
      </c>
      <c r="H3391" s="1">
        <v>30372</v>
      </c>
      <c r="I3391" s="1">
        <v>0.15</v>
      </c>
      <c r="J3391" s="1">
        <v>154897.20000000001</v>
      </c>
      <c r="K3391" s="1">
        <v>34995.21</v>
      </c>
      <c r="L3391" s="1" t="s">
        <v>45</v>
      </c>
      <c r="M3391" s="1" t="str">
        <f>TEXT(Table1[[#This Row],[Order Date]],"mmm")</f>
        <v>Feb</v>
      </c>
      <c r="N3391" s="1">
        <f>YEAR(Table1[[#This Row],[Order Date]])</f>
        <v>2023</v>
      </c>
    </row>
    <row r="3392" spans="1:14" x14ac:dyDescent="0.35">
      <c r="A3392" s="1" t="s">
        <v>4187</v>
      </c>
      <c r="B3392" s="1" t="s">
        <v>776</v>
      </c>
      <c r="C3392" s="1" t="s">
        <v>117</v>
      </c>
      <c r="D3392" s="1" t="s">
        <v>15</v>
      </c>
      <c r="E3392" s="1" t="s">
        <v>16</v>
      </c>
      <c r="F3392" s="1" t="s">
        <v>15</v>
      </c>
      <c r="G3392" s="1">
        <v>8</v>
      </c>
      <c r="H3392" s="1">
        <v>49650</v>
      </c>
      <c r="I3392" s="1">
        <v>0.2</v>
      </c>
      <c r="J3392" s="1">
        <v>317760</v>
      </c>
      <c r="K3392" s="1">
        <v>87754.47</v>
      </c>
      <c r="L3392" s="1" t="s">
        <v>45</v>
      </c>
      <c r="M3392" s="1" t="str">
        <f>TEXT(Table1[[#This Row],[Order Date]],"mmm")</f>
        <v>Feb</v>
      </c>
      <c r="N3392" s="1">
        <f>YEAR(Table1[[#This Row],[Order Date]])</f>
        <v>2024</v>
      </c>
    </row>
    <row r="3393" spans="1:14" x14ac:dyDescent="0.35">
      <c r="A3393" s="1" t="s">
        <v>4188</v>
      </c>
      <c r="B3393" s="1" t="s">
        <v>2425</v>
      </c>
      <c r="C3393" s="1" t="s">
        <v>117</v>
      </c>
      <c r="D3393" s="1" t="s">
        <v>78</v>
      </c>
      <c r="E3393" s="1" t="s">
        <v>28</v>
      </c>
      <c r="F3393" s="1" t="s">
        <v>78</v>
      </c>
      <c r="G3393" s="1">
        <v>9</v>
      </c>
      <c r="H3393" s="1">
        <v>30540</v>
      </c>
      <c r="I3393" s="1">
        <v>0.05</v>
      </c>
      <c r="J3393" s="1">
        <v>261117</v>
      </c>
      <c r="K3393" s="1">
        <v>67953</v>
      </c>
      <c r="L3393" s="1" t="s">
        <v>70</v>
      </c>
      <c r="M3393" s="1" t="str">
        <f>TEXT(Table1[[#This Row],[Order Date]],"mmm")</f>
        <v>Jun</v>
      </c>
      <c r="N3393" s="1">
        <f>YEAR(Table1[[#This Row],[Order Date]])</f>
        <v>2024</v>
      </c>
    </row>
    <row r="3394" spans="1:14" x14ac:dyDescent="0.35">
      <c r="A3394" s="1" t="s">
        <v>4189</v>
      </c>
      <c r="B3394" s="1" t="s">
        <v>599</v>
      </c>
      <c r="C3394" s="1" t="s">
        <v>349</v>
      </c>
      <c r="D3394" s="1" t="s">
        <v>91</v>
      </c>
      <c r="E3394" s="1" t="s">
        <v>16</v>
      </c>
      <c r="F3394" s="1" t="s">
        <v>91</v>
      </c>
      <c r="G3394" s="1">
        <v>12</v>
      </c>
      <c r="H3394" s="1">
        <v>18566</v>
      </c>
      <c r="I3394" s="1">
        <v>0</v>
      </c>
      <c r="J3394" s="1">
        <v>222792</v>
      </c>
      <c r="K3394" s="1">
        <v>62829.83</v>
      </c>
      <c r="L3394" s="1" t="s">
        <v>45</v>
      </c>
      <c r="M3394" s="1" t="str">
        <f>TEXT(Table1[[#This Row],[Order Date]],"mmm")</f>
        <v>May</v>
      </c>
      <c r="N3394" s="1">
        <f>YEAR(Table1[[#This Row],[Order Date]])</f>
        <v>2023</v>
      </c>
    </row>
    <row r="3395" spans="1:14" x14ac:dyDescent="0.35">
      <c r="A3395" s="1" t="s">
        <v>4190</v>
      </c>
      <c r="B3395" s="1" t="s">
        <v>1054</v>
      </c>
      <c r="C3395" s="1" t="s">
        <v>26</v>
      </c>
      <c r="D3395" s="1" t="s">
        <v>64</v>
      </c>
      <c r="E3395" s="1" t="s">
        <v>33</v>
      </c>
      <c r="F3395" s="1" t="s">
        <v>64</v>
      </c>
      <c r="G3395" s="1">
        <v>10</v>
      </c>
      <c r="H3395" s="1">
        <v>54510</v>
      </c>
      <c r="I3395" s="1">
        <v>0</v>
      </c>
      <c r="J3395" s="1">
        <v>545100</v>
      </c>
      <c r="K3395" s="1">
        <v>135667.07999999999</v>
      </c>
      <c r="L3395" s="1" t="s">
        <v>70</v>
      </c>
      <c r="M3395" s="1" t="str">
        <f>TEXT(Table1[[#This Row],[Order Date]],"mmm")</f>
        <v>Nov</v>
      </c>
      <c r="N3395" s="1">
        <f>YEAR(Table1[[#This Row],[Order Date]])</f>
        <v>2023</v>
      </c>
    </row>
    <row r="3396" spans="1:14" x14ac:dyDescent="0.35">
      <c r="A3396" s="1" t="s">
        <v>4191</v>
      </c>
      <c r="B3396" s="1" t="s">
        <v>599</v>
      </c>
      <c r="C3396" s="1" t="s">
        <v>40</v>
      </c>
      <c r="D3396" s="1" t="s">
        <v>56</v>
      </c>
      <c r="E3396" s="1" t="s">
        <v>22</v>
      </c>
      <c r="F3396" s="1" t="s">
        <v>56</v>
      </c>
      <c r="G3396" s="1">
        <v>13</v>
      </c>
      <c r="H3396" s="1">
        <v>26555</v>
      </c>
      <c r="I3396" s="1">
        <v>0.05</v>
      </c>
      <c r="J3396" s="1">
        <v>327954.25</v>
      </c>
      <c r="K3396" s="1">
        <v>66411.990000000005</v>
      </c>
      <c r="L3396" s="1" t="s">
        <v>70</v>
      </c>
      <c r="M3396" s="1" t="str">
        <f>TEXT(Table1[[#This Row],[Order Date]],"mmm")</f>
        <v>May</v>
      </c>
      <c r="N3396" s="1">
        <f>YEAR(Table1[[#This Row],[Order Date]])</f>
        <v>2023</v>
      </c>
    </row>
    <row r="3397" spans="1:14" x14ac:dyDescent="0.35">
      <c r="A3397" s="1" t="s">
        <v>4192</v>
      </c>
      <c r="B3397" s="1" t="s">
        <v>457</v>
      </c>
      <c r="C3397" s="1" t="s">
        <v>140</v>
      </c>
      <c r="D3397" s="1" t="s">
        <v>224</v>
      </c>
      <c r="E3397" s="1" t="s">
        <v>33</v>
      </c>
      <c r="F3397" s="1" t="s">
        <v>224</v>
      </c>
      <c r="G3397" s="1">
        <v>15</v>
      </c>
      <c r="H3397" s="1">
        <v>15502</v>
      </c>
      <c r="I3397" s="1">
        <v>0</v>
      </c>
      <c r="J3397" s="1">
        <v>232530</v>
      </c>
      <c r="K3397" s="1">
        <v>59544.29</v>
      </c>
      <c r="L3397" s="1" t="s">
        <v>70</v>
      </c>
      <c r="M3397" s="1" t="str">
        <f>TEXT(Table1[[#This Row],[Order Date]],"mmm")</f>
        <v>Mar</v>
      </c>
      <c r="N3397" s="1">
        <f>YEAR(Table1[[#This Row],[Order Date]])</f>
        <v>2024</v>
      </c>
    </row>
    <row r="3398" spans="1:14" x14ac:dyDescent="0.35">
      <c r="A3398" s="1" t="s">
        <v>4193</v>
      </c>
      <c r="B3398" s="1" t="s">
        <v>2148</v>
      </c>
      <c r="C3398" s="1" t="s">
        <v>36</v>
      </c>
      <c r="D3398" s="1" t="s">
        <v>133</v>
      </c>
      <c r="E3398" s="1" t="s">
        <v>22</v>
      </c>
      <c r="F3398" s="1" t="s">
        <v>133</v>
      </c>
      <c r="G3398" s="1">
        <v>5</v>
      </c>
      <c r="H3398" s="1">
        <v>22131</v>
      </c>
      <c r="I3398" s="1">
        <v>0.05</v>
      </c>
      <c r="J3398" s="1">
        <v>105122.25</v>
      </c>
      <c r="K3398" s="1">
        <v>23898.53</v>
      </c>
      <c r="L3398" s="1" t="s">
        <v>70</v>
      </c>
      <c r="M3398" s="1" t="str">
        <f>TEXT(Table1[[#This Row],[Order Date]],"mmm")</f>
        <v>Aug</v>
      </c>
      <c r="N3398" s="1">
        <f>YEAR(Table1[[#This Row],[Order Date]])</f>
        <v>2024</v>
      </c>
    </row>
    <row r="3399" spans="1:14" x14ac:dyDescent="0.35">
      <c r="A3399" s="1" t="s">
        <v>4194</v>
      </c>
      <c r="B3399" s="1" t="s">
        <v>2254</v>
      </c>
      <c r="C3399" s="1" t="s">
        <v>136</v>
      </c>
      <c r="D3399" s="1" t="s">
        <v>44</v>
      </c>
      <c r="E3399" s="1" t="s">
        <v>28</v>
      </c>
      <c r="F3399" s="1" t="s">
        <v>44</v>
      </c>
      <c r="G3399" s="1">
        <v>3</v>
      </c>
      <c r="H3399" s="1">
        <v>11318</v>
      </c>
      <c r="I3399" s="1">
        <v>0.1</v>
      </c>
      <c r="J3399" s="1">
        <v>30558.6</v>
      </c>
      <c r="K3399" s="1">
        <v>8784.3700000000008</v>
      </c>
      <c r="L3399" s="1" t="s">
        <v>45</v>
      </c>
      <c r="M3399" s="1" t="str">
        <f>TEXT(Table1[[#This Row],[Order Date]],"mmm")</f>
        <v>May</v>
      </c>
      <c r="N3399" s="1">
        <f>YEAR(Table1[[#This Row],[Order Date]])</f>
        <v>2024</v>
      </c>
    </row>
    <row r="3400" spans="1:14" x14ac:dyDescent="0.35">
      <c r="A3400" s="1" t="s">
        <v>4195</v>
      </c>
      <c r="B3400" s="1" t="s">
        <v>334</v>
      </c>
      <c r="C3400" s="1" t="s">
        <v>51</v>
      </c>
      <c r="D3400" s="1" t="s">
        <v>52</v>
      </c>
      <c r="E3400" s="1" t="s">
        <v>28</v>
      </c>
      <c r="F3400" s="1" t="s">
        <v>52</v>
      </c>
      <c r="G3400" s="1">
        <v>6</v>
      </c>
      <c r="H3400" s="1">
        <v>2214</v>
      </c>
      <c r="I3400" s="1">
        <v>0.15</v>
      </c>
      <c r="J3400" s="1">
        <v>11291.4</v>
      </c>
      <c r="K3400" s="1">
        <v>1796.83</v>
      </c>
      <c r="L3400" s="1" t="s">
        <v>70</v>
      </c>
      <c r="M3400" s="1" t="str">
        <f>TEXT(Table1[[#This Row],[Order Date]],"mmm")</f>
        <v>Sep</v>
      </c>
      <c r="N3400" s="1">
        <f>YEAR(Table1[[#This Row],[Order Date]])</f>
        <v>2023</v>
      </c>
    </row>
    <row r="3401" spans="1:14" x14ac:dyDescent="0.35">
      <c r="A3401" s="1" t="s">
        <v>4196</v>
      </c>
      <c r="B3401" s="1" t="s">
        <v>1890</v>
      </c>
      <c r="C3401" s="1" t="s">
        <v>208</v>
      </c>
      <c r="D3401" s="1" t="s">
        <v>91</v>
      </c>
      <c r="E3401" s="1" t="s">
        <v>16</v>
      </c>
      <c r="F3401" s="1" t="s">
        <v>91</v>
      </c>
      <c r="G3401" s="1">
        <v>14</v>
      </c>
      <c r="H3401" s="1">
        <v>30896</v>
      </c>
      <c r="I3401" s="1">
        <v>0.1</v>
      </c>
      <c r="J3401" s="1">
        <v>389289.6</v>
      </c>
      <c r="K3401" s="1">
        <v>63124.18</v>
      </c>
      <c r="L3401" s="1" t="s">
        <v>23</v>
      </c>
      <c r="M3401" s="1" t="str">
        <f>TEXT(Table1[[#This Row],[Order Date]],"mmm")</f>
        <v>Oct</v>
      </c>
      <c r="N3401" s="1">
        <f>YEAR(Table1[[#This Row],[Order Date]])</f>
        <v>2023</v>
      </c>
    </row>
    <row r="3402" spans="1:14" x14ac:dyDescent="0.35">
      <c r="A3402" s="1" t="s">
        <v>4197</v>
      </c>
      <c r="B3402" s="1" t="s">
        <v>692</v>
      </c>
      <c r="C3402" s="1" t="s">
        <v>88</v>
      </c>
      <c r="D3402" s="1" t="s">
        <v>32</v>
      </c>
      <c r="E3402" s="1" t="s">
        <v>33</v>
      </c>
      <c r="F3402" s="1" t="s">
        <v>32</v>
      </c>
      <c r="G3402" s="1">
        <v>12</v>
      </c>
      <c r="H3402" s="1">
        <v>34717</v>
      </c>
      <c r="I3402" s="1">
        <v>0.1</v>
      </c>
      <c r="J3402" s="1">
        <v>374943.6</v>
      </c>
      <c r="K3402" s="1">
        <v>38362.370000000003</v>
      </c>
      <c r="L3402" s="1" t="s">
        <v>17</v>
      </c>
      <c r="M3402" s="1" t="str">
        <f>TEXT(Table1[[#This Row],[Order Date]],"mmm")</f>
        <v>Nov</v>
      </c>
      <c r="N3402" s="1">
        <f>YEAR(Table1[[#This Row],[Order Date]])</f>
        <v>2023</v>
      </c>
    </row>
    <row r="3403" spans="1:14" x14ac:dyDescent="0.35">
      <c r="A3403" s="1" t="s">
        <v>4198</v>
      </c>
      <c r="B3403" s="1" t="s">
        <v>1573</v>
      </c>
      <c r="C3403" s="1" t="s">
        <v>101</v>
      </c>
      <c r="D3403" s="1" t="s">
        <v>48</v>
      </c>
      <c r="E3403" s="1" t="s">
        <v>16</v>
      </c>
      <c r="F3403" s="1" t="s">
        <v>48</v>
      </c>
      <c r="G3403" s="1">
        <v>6</v>
      </c>
      <c r="H3403" s="1">
        <v>21918</v>
      </c>
      <c r="I3403" s="1">
        <v>0.2</v>
      </c>
      <c r="J3403" s="1">
        <v>105206.39999999999</v>
      </c>
      <c r="K3403" s="1">
        <v>30103.37</v>
      </c>
      <c r="L3403" s="1" t="s">
        <v>70</v>
      </c>
      <c r="M3403" s="1" t="str">
        <f>TEXT(Table1[[#This Row],[Order Date]],"mmm")</f>
        <v>Aug</v>
      </c>
      <c r="N3403" s="1">
        <f>YEAR(Table1[[#This Row],[Order Date]])</f>
        <v>2024</v>
      </c>
    </row>
    <row r="3404" spans="1:14" x14ac:dyDescent="0.35">
      <c r="A3404" s="1" t="s">
        <v>4199</v>
      </c>
      <c r="B3404" s="1" t="s">
        <v>425</v>
      </c>
      <c r="C3404" s="1" t="s">
        <v>136</v>
      </c>
      <c r="D3404" s="1" t="s">
        <v>21</v>
      </c>
      <c r="E3404" s="1" t="s">
        <v>22</v>
      </c>
      <c r="F3404" s="1" t="s">
        <v>21</v>
      </c>
      <c r="G3404" s="1">
        <v>6</v>
      </c>
      <c r="H3404" s="1">
        <v>24208</v>
      </c>
      <c r="I3404" s="1">
        <v>0.1</v>
      </c>
      <c r="J3404" s="1">
        <v>130723.2</v>
      </c>
      <c r="K3404" s="1">
        <v>20147.73</v>
      </c>
      <c r="L3404" s="1" t="s">
        <v>23</v>
      </c>
      <c r="M3404" s="1" t="str">
        <f>TEXT(Table1[[#This Row],[Order Date]],"mmm")</f>
        <v>Oct</v>
      </c>
      <c r="N3404" s="1">
        <f>YEAR(Table1[[#This Row],[Order Date]])</f>
        <v>2024</v>
      </c>
    </row>
    <row r="3405" spans="1:14" x14ac:dyDescent="0.35">
      <c r="A3405" s="1" t="s">
        <v>4200</v>
      </c>
      <c r="B3405" s="1" t="s">
        <v>744</v>
      </c>
      <c r="C3405" s="1" t="s">
        <v>349</v>
      </c>
      <c r="D3405" s="1" t="s">
        <v>151</v>
      </c>
      <c r="E3405" s="1" t="s">
        <v>22</v>
      </c>
      <c r="F3405" s="1" t="s">
        <v>151</v>
      </c>
      <c r="G3405" s="1">
        <v>14</v>
      </c>
      <c r="H3405" s="1">
        <v>53965</v>
      </c>
      <c r="I3405" s="1">
        <v>0.1</v>
      </c>
      <c r="J3405" s="1">
        <v>679959</v>
      </c>
      <c r="K3405" s="1">
        <v>165963</v>
      </c>
      <c r="L3405" s="1" t="s">
        <v>45</v>
      </c>
      <c r="M3405" s="1" t="str">
        <f>TEXT(Table1[[#This Row],[Order Date]],"mmm")</f>
        <v>May</v>
      </c>
      <c r="N3405" s="1">
        <f>YEAR(Table1[[#This Row],[Order Date]])</f>
        <v>2023</v>
      </c>
    </row>
    <row r="3406" spans="1:14" x14ac:dyDescent="0.35">
      <c r="A3406" s="1" t="s">
        <v>4201</v>
      </c>
      <c r="B3406" s="1" t="s">
        <v>643</v>
      </c>
      <c r="C3406" s="1" t="s">
        <v>63</v>
      </c>
      <c r="D3406" s="1" t="s">
        <v>37</v>
      </c>
      <c r="E3406" s="1" t="s">
        <v>16</v>
      </c>
      <c r="F3406" s="1" t="s">
        <v>37</v>
      </c>
      <c r="G3406" s="1">
        <v>1</v>
      </c>
      <c r="H3406" s="1">
        <v>12400</v>
      </c>
      <c r="I3406" s="1">
        <v>0</v>
      </c>
      <c r="J3406" s="1">
        <v>12400</v>
      </c>
      <c r="K3406" s="1">
        <v>2221.98</v>
      </c>
      <c r="L3406" s="1" t="s">
        <v>23</v>
      </c>
      <c r="M3406" s="1" t="str">
        <f>TEXT(Table1[[#This Row],[Order Date]],"mmm")</f>
        <v>Aug</v>
      </c>
      <c r="N3406" s="1">
        <f>YEAR(Table1[[#This Row],[Order Date]])</f>
        <v>2024</v>
      </c>
    </row>
    <row r="3407" spans="1:14" x14ac:dyDescent="0.35">
      <c r="A3407" s="1" t="s">
        <v>4202</v>
      </c>
      <c r="B3407" s="1" t="s">
        <v>812</v>
      </c>
      <c r="C3407" s="1" t="s">
        <v>175</v>
      </c>
      <c r="D3407" s="1" t="s">
        <v>137</v>
      </c>
      <c r="E3407" s="1" t="s">
        <v>22</v>
      </c>
      <c r="F3407" s="1" t="s">
        <v>137</v>
      </c>
      <c r="G3407" s="1">
        <v>10</v>
      </c>
      <c r="H3407" s="1">
        <v>895</v>
      </c>
      <c r="I3407" s="1">
        <v>0</v>
      </c>
      <c r="J3407" s="1">
        <v>8950</v>
      </c>
      <c r="K3407" s="1">
        <v>1190.26</v>
      </c>
      <c r="L3407" s="1" t="s">
        <v>17</v>
      </c>
      <c r="M3407" s="1" t="str">
        <f>TEXT(Table1[[#This Row],[Order Date]],"mmm")</f>
        <v>Dec</v>
      </c>
      <c r="N3407" s="1">
        <f>YEAR(Table1[[#This Row],[Order Date]])</f>
        <v>2023</v>
      </c>
    </row>
    <row r="3408" spans="1:14" x14ac:dyDescent="0.35">
      <c r="A3408" s="1" t="s">
        <v>4203</v>
      </c>
      <c r="B3408" s="1" t="s">
        <v>835</v>
      </c>
      <c r="C3408" s="1" t="s">
        <v>370</v>
      </c>
      <c r="D3408" s="1" t="s">
        <v>44</v>
      </c>
      <c r="E3408" s="1" t="s">
        <v>28</v>
      </c>
      <c r="F3408" s="1" t="s">
        <v>44</v>
      </c>
      <c r="G3408" s="1">
        <v>9</v>
      </c>
      <c r="H3408" s="1">
        <v>58550</v>
      </c>
      <c r="I3408" s="1">
        <v>0.2</v>
      </c>
      <c r="J3408" s="1">
        <v>421560</v>
      </c>
      <c r="K3408" s="1">
        <v>108446.58</v>
      </c>
      <c r="L3408" s="1" t="s">
        <v>70</v>
      </c>
      <c r="M3408" s="1" t="str">
        <f>TEXT(Table1[[#This Row],[Order Date]],"mmm")</f>
        <v>Nov</v>
      </c>
      <c r="N3408" s="1">
        <f>YEAR(Table1[[#This Row],[Order Date]])</f>
        <v>2024</v>
      </c>
    </row>
    <row r="3409" spans="1:14" x14ac:dyDescent="0.35">
      <c r="A3409" s="1" t="s">
        <v>4204</v>
      </c>
      <c r="B3409" s="1" t="s">
        <v>1487</v>
      </c>
      <c r="C3409" s="1" t="s">
        <v>255</v>
      </c>
      <c r="D3409" s="1" t="s">
        <v>44</v>
      </c>
      <c r="E3409" s="1" t="s">
        <v>28</v>
      </c>
      <c r="F3409" s="1" t="s">
        <v>44</v>
      </c>
      <c r="G3409" s="1">
        <v>1</v>
      </c>
      <c r="H3409" s="1">
        <v>36985</v>
      </c>
      <c r="I3409" s="1">
        <v>0.2</v>
      </c>
      <c r="J3409" s="1">
        <v>29588</v>
      </c>
      <c r="K3409" s="1">
        <v>7207.63</v>
      </c>
      <c r="L3409" s="1" t="s">
        <v>45</v>
      </c>
      <c r="M3409" s="1" t="str">
        <f>TEXT(Table1[[#This Row],[Order Date]],"mmm")</f>
        <v>Oct</v>
      </c>
      <c r="N3409" s="1">
        <f>YEAR(Table1[[#This Row],[Order Date]])</f>
        <v>2023</v>
      </c>
    </row>
    <row r="3410" spans="1:14" x14ac:dyDescent="0.35">
      <c r="A3410" s="1" t="s">
        <v>4205</v>
      </c>
      <c r="B3410" s="1" t="s">
        <v>478</v>
      </c>
      <c r="C3410" s="1" t="s">
        <v>104</v>
      </c>
      <c r="D3410" s="1" t="s">
        <v>91</v>
      </c>
      <c r="E3410" s="1" t="s">
        <v>16</v>
      </c>
      <c r="F3410" s="1" t="s">
        <v>91</v>
      </c>
      <c r="G3410" s="1">
        <v>12</v>
      </c>
      <c r="H3410" s="1">
        <v>46482</v>
      </c>
      <c r="I3410" s="1">
        <v>0.05</v>
      </c>
      <c r="J3410" s="1">
        <v>529894.80000000005</v>
      </c>
      <c r="K3410" s="1">
        <v>112458.93</v>
      </c>
      <c r="L3410" s="1" t="s">
        <v>23</v>
      </c>
      <c r="M3410" s="1" t="str">
        <f>TEXT(Table1[[#This Row],[Order Date]],"mmm")</f>
        <v>May</v>
      </c>
      <c r="N3410" s="1">
        <f>YEAR(Table1[[#This Row],[Order Date]])</f>
        <v>2024</v>
      </c>
    </row>
    <row r="3411" spans="1:14" x14ac:dyDescent="0.35">
      <c r="A3411" s="1" t="s">
        <v>4206</v>
      </c>
      <c r="B3411" s="1" t="s">
        <v>545</v>
      </c>
      <c r="C3411" s="1" t="s">
        <v>155</v>
      </c>
      <c r="D3411" s="1" t="s">
        <v>44</v>
      </c>
      <c r="E3411" s="1" t="s">
        <v>28</v>
      </c>
      <c r="F3411" s="1" t="s">
        <v>44</v>
      </c>
      <c r="G3411" s="1">
        <v>7</v>
      </c>
      <c r="H3411" s="1">
        <v>16932</v>
      </c>
      <c r="I3411" s="1">
        <v>0</v>
      </c>
      <c r="J3411" s="1">
        <v>118524</v>
      </c>
      <c r="K3411" s="1">
        <v>20102.87</v>
      </c>
      <c r="L3411" s="1" t="s">
        <v>17</v>
      </c>
      <c r="M3411" s="1" t="str">
        <f>TEXT(Table1[[#This Row],[Order Date]],"mmm")</f>
        <v>Jan</v>
      </c>
      <c r="N3411" s="1">
        <f>YEAR(Table1[[#This Row],[Order Date]])</f>
        <v>2024</v>
      </c>
    </row>
    <row r="3412" spans="1:14" x14ac:dyDescent="0.35">
      <c r="A3412" s="1" t="s">
        <v>4207</v>
      </c>
      <c r="B3412" s="1" t="s">
        <v>1068</v>
      </c>
      <c r="C3412" s="1" t="s">
        <v>178</v>
      </c>
      <c r="D3412" s="1" t="s">
        <v>85</v>
      </c>
      <c r="E3412" s="1" t="s">
        <v>28</v>
      </c>
      <c r="F3412" s="1" t="s">
        <v>85</v>
      </c>
      <c r="G3412" s="1">
        <v>12</v>
      </c>
      <c r="H3412" s="1">
        <v>17770</v>
      </c>
      <c r="I3412" s="1">
        <v>0.05</v>
      </c>
      <c r="J3412" s="1">
        <v>202578</v>
      </c>
      <c r="K3412" s="1">
        <v>19979.55</v>
      </c>
      <c r="L3412" s="1" t="s">
        <v>23</v>
      </c>
      <c r="M3412" s="1" t="str">
        <f>TEXT(Table1[[#This Row],[Order Date]],"mmm")</f>
        <v>Apr</v>
      </c>
      <c r="N3412" s="1">
        <f>YEAR(Table1[[#This Row],[Order Date]])</f>
        <v>2023</v>
      </c>
    </row>
    <row r="3413" spans="1:14" x14ac:dyDescent="0.35">
      <c r="A3413" s="1" t="s">
        <v>4208</v>
      </c>
      <c r="B3413" s="1" t="s">
        <v>2225</v>
      </c>
      <c r="C3413" s="1" t="s">
        <v>178</v>
      </c>
      <c r="D3413" s="1" t="s">
        <v>15</v>
      </c>
      <c r="E3413" s="1" t="s">
        <v>16</v>
      </c>
      <c r="F3413" s="1" t="s">
        <v>15</v>
      </c>
      <c r="G3413" s="1">
        <v>12</v>
      </c>
      <c r="H3413" s="1">
        <v>51439</v>
      </c>
      <c r="I3413" s="1">
        <v>0.1</v>
      </c>
      <c r="J3413" s="1">
        <v>555541.19999999995</v>
      </c>
      <c r="K3413" s="1">
        <v>161406.48000000001</v>
      </c>
      <c r="L3413" s="1" t="s">
        <v>45</v>
      </c>
      <c r="M3413" s="1" t="str">
        <f>TEXT(Table1[[#This Row],[Order Date]],"mmm")</f>
        <v>Nov</v>
      </c>
      <c r="N3413" s="1">
        <f>YEAR(Table1[[#This Row],[Order Date]])</f>
        <v>2023</v>
      </c>
    </row>
    <row r="3414" spans="1:14" x14ac:dyDescent="0.35">
      <c r="A3414" s="1" t="s">
        <v>4209</v>
      </c>
      <c r="B3414" s="1" t="s">
        <v>770</v>
      </c>
      <c r="C3414" s="1" t="s">
        <v>77</v>
      </c>
      <c r="D3414" s="1" t="s">
        <v>44</v>
      </c>
      <c r="E3414" s="1" t="s">
        <v>28</v>
      </c>
      <c r="F3414" s="1" t="s">
        <v>44</v>
      </c>
      <c r="G3414" s="1">
        <v>1</v>
      </c>
      <c r="H3414" s="1">
        <v>34475</v>
      </c>
      <c r="I3414" s="1">
        <v>0.2</v>
      </c>
      <c r="J3414" s="1">
        <v>27580</v>
      </c>
      <c r="K3414" s="1">
        <v>6934.94</v>
      </c>
      <c r="L3414" s="1" t="s">
        <v>17</v>
      </c>
      <c r="M3414" s="1" t="str">
        <f>TEXT(Table1[[#This Row],[Order Date]],"mmm")</f>
        <v>Feb</v>
      </c>
      <c r="N3414" s="1">
        <f>YEAR(Table1[[#This Row],[Order Date]])</f>
        <v>2024</v>
      </c>
    </row>
    <row r="3415" spans="1:14" x14ac:dyDescent="0.35">
      <c r="A3415" s="1" t="s">
        <v>4210</v>
      </c>
      <c r="B3415" s="1" t="s">
        <v>1163</v>
      </c>
      <c r="C3415" s="1" t="s">
        <v>175</v>
      </c>
      <c r="D3415" s="1" t="s">
        <v>44</v>
      </c>
      <c r="E3415" s="1" t="s">
        <v>28</v>
      </c>
      <c r="F3415" s="1" t="s">
        <v>44</v>
      </c>
      <c r="G3415" s="1">
        <v>2</v>
      </c>
      <c r="H3415" s="1">
        <v>25347</v>
      </c>
      <c r="I3415" s="1">
        <v>0.15</v>
      </c>
      <c r="J3415" s="1">
        <v>43089.9</v>
      </c>
      <c r="K3415" s="1">
        <v>8621.58</v>
      </c>
      <c r="L3415" s="1" t="s">
        <v>70</v>
      </c>
      <c r="M3415" s="1" t="str">
        <f>TEXT(Table1[[#This Row],[Order Date]],"mmm")</f>
        <v>Jun</v>
      </c>
      <c r="N3415" s="1">
        <f>YEAR(Table1[[#This Row],[Order Date]])</f>
        <v>2023</v>
      </c>
    </row>
    <row r="3416" spans="1:14" x14ac:dyDescent="0.35">
      <c r="A3416" s="1" t="s">
        <v>4211</v>
      </c>
      <c r="B3416" s="1" t="s">
        <v>804</v>
      </c>
      <c r="C3416" s="1" t="s">
        <v>84</v>
      </c>
      <c r="D3416" s="1" t="s">
        <v>224</v>
      </c>
      <c r="E3416" s="1" t="s">
        <v>33</v>
      </c>
      <c r="F3416" s="1" t="s">
        <v>224</v>
      </c>
      <c r="G3416" s="1">
        <v>2</v>
      </c>
      <c r="H3416" s="1">
        <v>19072</v>
      </c>
      <c r="I3416" s="1">
        <v>0</v>
      </c>
      <c r="J3416" s="1">
        <v>38144</v>
      </c>
      <c r="K3416" s="1">
        <v>6211.81</v>
      </c>
      <c r="L3416" s="1" t="s">
        <v>23</v>
      </c>
      <c r="M3416" s="1" t="str">
        <f>TEXT(Table1[[#This Row],[Order Date]],"mmm")</f>
        <v>Apr</v>
      </c>
      <c r="N3416" s="1">
        <f>YEAR(Table1[[#This Row],[Order Date]])</f>
        <v>2023</v>
      </c>
    </row>
    <row r="3417" spans="1:14" x14ac:dyDescent="0.35">
      <c r="A3417" s="1" t="s">
        <v>4212</v>
      </c>
      <c r="B3417" s="1" t="s">
        <v>1860</v>
      </c>
      <c r="C3417" s="1" t="s">
        <v>188</v>
      </c>
      <c r="D3417" s="1" t="s">
        <v>224</v>
      </c>
      <c r="E3417" s="1" t="s">
        <v>33</v>
      </c>
      <c r="F3417" s="1" t="s">
        <v>224</v>
      </c>
      <c r="G3417" s="1">
        <v>12</v>
      </c>
      <c r="H3417" s="1">
        <v>7343</v>
      </c>
      <c r="I3417" s="1">
        <v>0.2</v>
      </c>
      <c r="J3417" s="1">
        <v>70492.800000000003</v>
      </c>
      <c r="K3417" s="1">
        <v>13911.3</v>
      </c>
      <c r="L3417" s="1" t="s">
        <v>23</v>
      </c>
      <c r="M3417" s="1" t="str">
        <f>TEXT(Table1[[#This Row],[Order Date]],"mmm")</f>
        <v>Jul</v>
      </c>
      <c r="N3417" s="1">
        <f>YEAR(Table1[[#This Row],[Order Date]])</f>
        <v>2023</v>
      </c>
    </row>
    <row r="3418" spans="1:14" x14ac:dyDescent="0.35">
      <c r="A3418" s="1" t="s">
        <v>4213</v>
      </c>
      <c r="B3418" s="1" t="s">
        <v>750</v>
      </c>
      <c r="C3418" s="1" t="s">
        <v>191</v>
      </c>
      <c r="D3418" s="1" t="s">
        <v>52</v>
      </c>
      <c r="E3418" s="1" t="s">
        <v>28</v>
      </c>
      <c r="F3418" s="1" t="s">
        <v>52</v>
      </c>
      <c r="G3418" s="1">
        <v>10</v>
      </c>
      <c r="H3418" s="1">
        <v>14703</v>
      </c>
      <c r="I3418" s="1">
        <v>0.05</v>
      </c>
      <c r="J3418" s="1">
        <v>139678.5</v>
      </c>
      <c r="K3418" s="1">
        <v>28041.07</v>
      </c>
      <c r="L3418" s="1" t="s">
        <v>23</v>
      </c>
      <c r="M3418" s="1" t="str">
        <f>TEXT(Table1[[#This Row],[Order Date]],"mmm")</f>
        <v>Nov</v>
      </c>
      <c r="N3418" s="1">
        <f>YEAR(Table1[[#This Row],[Order Date]])</f>
        <v>2023</v>
      </c>
    </row>
    <row r="3419" spans="1:14" x14ac:dyDescent="0.35">
      <c r="A3419" s="1" t="s">
        <v>4214</v>
      </c>
      <c r="B3419" s="1" t="s">
        <v>1673</v>
      </c>
      <c r="C3419" s="1" t="s">
        <v>175</v>
      </c>
      <c r="D3419" s="1" t="s">
        <v>60</v>
      </c>
      <c r="E3419" s="1" t="s">
        <v>33</v>
      </c>
      <c r="F3419" s="1" t="s">
        <v>60</v>
      </c>
      <c r="G3419" s="1">
        <v>1</v>
      </c>
      <c r="H3419" s="1">
        <v>10666</v>
      </c>
      <c r="I3419" s="1">
        <v>0.1</v>
      </c>
      <c r="J3419" s="1">
        <v>9599.4</v>
      </c>
      <c r="K3419" s="1">
        <v>2239.2800000000002</v>
      </c>
      <c r="L3419" s="1" t="s">
        <v>23</v>
      </c>
      <c r="M3419" s="1" t="str">
        <f>TEXT(Table1[[#This Row],[Order Date]],"mmm")</f>
        <v>Jan</v>
      </c>
      <c r="N3419" s="1">
        <f>YEAR(Table1[[#This Row],[Order Date]])</f>
        <v>2024</v>
      </c>
    </row>
    <row r="3420" spans="1:14" x14ac:dyDescent="0.35">
      <c r="A3420" s="1" t="s">
        <v>4215</v>
      </c>
      <c r="B3420" s="1" t="s">
        <v>1220</v>
      </c>
      <c r="C3420" s="1" t="s">
        <v>14</v>
      </c>
      <c r="D3420" s="1" t="s">
        <v>114</v>
      </c>
      <c r="E3420" s="1" t="s">
        <v>16</v>
      </c>
      <c r="F3420" s="1" t="s">
        <v>114</v>
      </c>
      <c r="G3420" s="1">
        <v>10</v>
      </c>
      <c r="H3420" s="1">
        <v>5088</v>
      </c>
      <c r="I3420" s="1">
        <v>0</v>
      </c>
      <c r="J3420" s="1">
        <v>50880</v>
      </c>
      <c r="K3420" s="1">
        <v>12913.37</v>
      </c>
      <c r="L3420" s="1" t="s">
        <v>17</v>
      </c>
      <c r="M3420" s="1" t="str">
        <f>TEXT(Table1[[#This Row],[Order Date]],"mmm")</f>
        <v>Oct</v>
      </c>
      <c r="N3420" s="1">
        <f>YEAR(Table1[[#This Row],[Order Date]])</f>
        <v>2024</v>
      </c>
    </row>
    <row r="3421" spans="1:14" x14ac:dyDescent="0.35">
      <c r="A3421" s="1" t="s">
        <v>4216</v>
      </c>
      <c r="B3421" s="1" t="s">
        <v>1178</v>
      </c>
      <c r="C3421" s="1" t="s">
        <v>362</v>
      </c>
      <c r="D3421" s="1" t="s">
        <v>48</v>
      </c>
      <c r="E3421" s="1" t="s">
        <v>16</v>
      </c>
      <c r="F3421" s="1" t="s">
        <v>48</v>
      </c>
      <c r="G3421" s="1">
        <v>11</v>
      </c>
      <c r="H3421" s="1">
        <v>22173</v>
      </c>
      <c r="I3421" s="1">
        <v>0.15</v>
      </c>
      <c r="J3421" s="1">
        <v>207317.55</v>
      </c>
      <c r="K3421" s="1">
        <v>50332.480000000003</v>
      </c>
      <c r="L3421" s="1" t="s">
        <v>70</v>
      </c>
      <c r="M3421" s="1" t="str">
        <f>TEXT(Table1[[#This Row],[Order Date]],"mmm")</f>
        <v>Feb</v>
      </c>
      <c r="N3421" s="1">
        <f>YEAR(Table1[[#This Row],[Order Date]])</f>
        <v>2023</v>
      </c>
    </row>
    <row r="3422" spans="1:14" x14ac:dyDescent="0.35">
      <c r="A3422" s="1" t="s">
        <v>4217</v>
      </c>
      <c r="B3422" s="1" t="s">
        <v>520</v>
      </c>
      <c r="C3422" s="1" t="s">
        <v>88</v>
      </c>
      <c r="D3422" s="1" t="s">
        <v>56</v>
      </c>
      <c r="E3422" s="1" t="s">
        <v>22</v>
      </c>
      <c r="F3422" s="1" t="s">
        <v>56</v>
      </c>
      <c r="G3422" s="1">
        <v>14</v>
      </c>
      <c r="H3422" s="1">
        <v>4246</v>
      </c>
      <c r="I3422" s="1">
        <v>0.2</v>
      </c>
      <c r="J3422" s="1">
        <v>47555.199999999997</v>
      </c>
      <c r="K3422" s="1">
        <v>3991.91</v>
      </c>
      <c r="L3422" s="1" t="s">
        <v>23</v>
      </c>
      <c r="M3422" s="1" t="str">
        <f>TEXT(Table1[[#This Row],[Order Date]],"mmm")</f>
        <v>Mar</v>
      </c>
      <c r="N3422" s="1">
        <f>YEAR(Table1[[#This Row],[Order Date]])</f>
        <v>2023</v>
      </c>
    </row>
    <row r="3423" spans="1:14" x14ac:dyDescent="0.35">
      <c r="A3423" s="1" t="s">
        <v>4218</v>
      </c>
      <c r="B3423" s="1" t="s">
        <v>334</v>
      </c>
      <c r="C3423" s="1" t="s">
        <v>31</v>
      </c>
      <c r="D3423" s="1" t="s">
        <v>85</v>
      </c>
      <c r="E3423" s="1" t="s">
        <v>28</v>
      </c>
      <c r="F3423" s="1" t="s">
        <v>85</v>
      </c>
      <c r="G3423" s="1">
        <v>3</v>
      </c>
      <c r="H3423" s="1">
        <v>15055</v>
      </c>
      <c r="I3423" s="1">
        <v>0.2</v>
      </c>
      <c r="J3423" s="1">
        <v>36132</v>
      </c>
      <c r="K3423" s="1">
        <v>7486.44</v>
      </c>
      <c r="L3423" s="1" t="s">
        <v>23</v>
      </c>
      <c r="M3423" s="1" t="str">
        <f>TEXT(Table1[[#This Row],[Order Date]],"mmm")</f>
        <v>Sep</v>
      </c>
      <c r="N3423" s="1">
        <f>YEAR(Table1[[#This Row],[Order Date]])</f>
        <v>2023</v>
      </c>
    </row>
    <row r="3424" spans="1:14" x14ac:dyDescent="0.35">
      <c r="A3424" s="1" t="s">
        <v>4219</v>
      </c>
      <c r="B3424" s="1" t="s">
        <v>1258</v>
      </c>
      <c r="C3424" s="1" t="s">
        <v>26</v>
      </c>
      <c r="D3424" s="1" t="s">
        <v>151</v>
      </c>
      <c r="E3424" s="1" t="s">
        <v>22</v>
      </c>
      <c r="F3424" s="1" t="s">
        <v>151</v>
      </c>
      <c r="G3424" s="1">
        <v>13</v>
      </c>
      <c r="H3424" s="1">
        <v>22902</v>
      </c>
      <c r="I3424" s="1">
        <v>0.05</v>
      </c>
      <c r="J3424" s="1">
        <v>282839.7</v>
      </c>
      <c r="K3424" s="1">
        <v>83441.91</v>
      </c>
      <c r="L3424" s="1" t="s">
        <v>45</v>
      </c>
      <c r="M3424" s="1" t="str">
        <f>TEXT(Table1[[#This Row],[Order Date]],"mmm")</f>
        <v>Jun</v>
      </c>
      <c r="N3424" s="1">
        <f>YEAR(Table1[[#This Row],[Order Date]])</f>
        <v>2023</v>
      </c>
    </row>
    <row r="3425" spans="1:14" x14ac:dyDescent="0.35">
      <c r="A3425" s="1" t="s">
        <v>4220</v>
      </c>
      <c r="B3425" s="1" t="s">
        <v>856</v>
      </c>
      <c r="C3425" s="1" t="s">
        <v>67</v>
      </c>
      <c r="D3425" s="1" t="s">
        <v>48</v>
      </c>
      <c r="E3425" s="1" t="s">
        <v>16</v>
      </c>
      <c r="F3425" s="1" t="s">
        <v>48</v>
      </c>
      <c r="G3425" s="1">
        <v>10</v>
      </c>
      <c r="H3425" s="1">
        <v>7265</v>
      </c>
      <c r="I3425" s="1">
        <v>0.15</v>
      </c>
      <c r="J3425" s="1">
        <v>61752.5</v>
      </c>
      <c r="K3425" s="1">
        <v>16763.75</v>
      </c>
      <c r="L3425" s="1" t="s">
        <v>23</v>
      </c>
      <c r="M3425" s="1" t="str">
        <f>TEXT(Table1[[#This Row],[Order Date]],"mmm")</f>
        <v>Oct</v>
      </c>
      <c r="N3425" s="1">
        <f>YEAR(Table1[[#This Row],[Order Date]])</f>
        <v>2024</v>
      </c>
    </row>
    <row r="3426" spans="1:14" x14ac:dyDescent="0.35">
      <c r="A3426" s="1" t="s">
        <v>4221</v>
      </c>
      <c r="B3426" s="1" t="s">
        <v>419</v>
      </c>
      <c r="C3426" s="1" t="s">
        <v>146</v>
      </c>
      <c r="D3426" s="1" t="s">
        <v>64</v>
      </c>
      <c r="E3426" s="1" t="s">
        <v>33</v>
      </c>
      <c r="F3426" s="1" t="s">
        <v>64</v>
      </c>
      <c r="G3426" s="1">
        <v>1</v>
      </c>
      <c r="H3426" s="1">
        <v>22554</v>
      </c>
      <c r="I3426" s="1">
        <v>0</v>
      </c>
      <c r="J3426" s="1">
        <v>22554</v>
      </c>
      <c r="K3426" s="1">
        <v>2878.33</v>
      </c>
      <c r="L3426" s="1" t="s">
        <v>23</v>
      </c>
      <c r="M3426" s="1" t="str">
        <f>TEXT(Table1[[#This Row],[Order Date]],"mmm")</f>
        <v>Feb</v>
      </c>
      <c r="N3426" s="1">
        <f>YEAR(Table1[[#This Row],[Order Date]])</f>
        <v>2024</v>
      </c>
    </row>
    <row r="3427" spans="1:14" x14ac:dyDescent="0.35">
      <c r="A3427" s="1" t="s">
        <v>4222</v>
      </c>
      <c r="B3427" s="1" t="s">
        <v>453</v>
      </c>
      <c r="C3427" s="1" t="s">
        <v>84</v>
      </c>
      <c r="D3427" s="1" t="s">
        <v>133</v>
      </c>
      <c r="E3427" s="1" t="s">
        <v>22</v>
      </c>
      <c r="F3427" s="1" t="s">
        <v>133</v>
      </c>
      <c r="G3427" s="1">
        <v>7</v>
      </c>
      <c r="H3427" s="1">
        <v>56971</v>
      </c>
      <c r="I3427" s="1">
        <v>0.1</v>
      </c>
      <c r="J3427" s="1">
        <v>358917.3</v>
      </c>
      <c r="K3427" s="1">
        <v>70788.95</v>
      </c>
      <c r="L3427" s="1" t="s">
        <v>45</v>
      </c>
      <c r="M3427" s="1" t="str">
        <f>TEXT(Table1[[#This Row],[Order Date]],"mmm")</f>
        <v>Jul</v>
      </c>
      <c r="N3427" s="1">
        <f>YEAR(Table1[[#This Row],[Order Date]])</f>
        <v>2023</v>
      </c>
    </row>
    <row r="3428" spans="1:14" x14ac:dyDescent="0.35">
      <c r="A3428" s="1" t="s">
        <v>4223</v>
      </c>
      <c r="B3428" s="1" t="s">
        <v>1097</v>
      </c>
      <c r="C3428" s="1" t="s">
        <v>104</v>
      </c>
      <c r="D3428" s="1" t="s">
        <v>151</v>
      </c>
      <c r="E3428" s="1" t="s">
        <v>22</v>
      </c>
      <c r="F3428" s="1" t="s">
        <v>151</v>
      </c>
      <c r="G3428" s="1">
        <v>9</v>
      </c>
      <c r="H3428" s="1">
        <v>32780</v>
      </c>
      <c r="I3428" s="1">
        <v>0.05</v>
      </c>
      <c r="J3428" s="1">
        <v>280269</v>
      </c>
      <c r="K3428" s="1">
        <v>70072.460000000006</v>
      </c>
      <c r="L3428" s="1" t="s">
        <v>70</v>
      </c>
      <c r="M3428" s="1" t="str">
        <f>TEXT(Table1[[#This Row],[Order Date]],"mmm")</f>
        <v>Sep</v>
      </c>
      <c r="N3428" s="1">
        <f>YEAR(Table1[[#This Row],[Order Date]])</f>
        <v>2024</v>
      </c>
    </row>
    <row r="3429" spans="1:14" x14ac:dyDescent="0.35">
      <c r="A3429" s="1" t="s">
        <v>4224</v>
      </c>
      <c r="B3429" s="1" t="s">
        <v>1420</v>
      </c>
      <c r="C3429" s="1" t="s">
        <v>208</v>
      </c>
      <c r="D3429" s="1" t="s">
        <v>15</v>
      </c>
      <c r="E3429" s="1" t="s">
        <v>16</v>
      </c>
      <c r="F3429" s="1" t="s">
        <v>15</v>
      </c>
      <c r="G3429" s="1">
        <v>3</v>
      </c>
      <c r="H3429" s="1">
        <v>36164</v>
      </c>
      <c r="I3429" s="1">
        <v>0.2</v>
      </c>
      <c r="J3429" s="1">
        <v>86793.600000000006</v>
      </c>
      <c r="K3429" s="1">
        <v>16904.349999999999</v>
      </c>
      <c r="L3429" s="1" t="s">
        <v>17</v>
      </c>
      <c r="M3429" s="1" t="str">
        <f>TEXT(Table1[[#This Row],[Order Date]],"mmm")</f>
        <v>Apr</v>
      </c>
      <c r="N3429" s="1">
        <f>YEAR(Table1[[#This Row],[Order Date]])</f>
        <v>2024</v>
      </c>
    </row>
    <row r="3430" spans="1:14" x14ac:dyDescent="0.35">
      <c r="A3430" s="1" t="s">
        <v>4225</v>
      </c>
      <c r="B3430" s="1" t="s">
        <v>2430</v>
      </c>
      <c r="C3430" s="1" t="s">
        <v>175</v>
      </c>
      <c r="D3430" s="1" t="s">
        <v>179</v>
      </c>
      <c r="E3430" s="1" t="s">
        <v>28</v>
      </c>
      <c r="F3430" s="1" t="s">
        <v>179</v>
      </c>
      <c r="G3430" s="1">
        <v>2</v>
      </c>
      <c r="H3430" s="1">
        <v>40627</v>
      </c>
      <c r="I3430" s="1">
        <v>0.2</v>
      </c>
      <c r="J3430" s="1">
        <v>65003.199999999997</v>
      </c>
      <c r="K3430" s="1">
        <v>18153.41</v>
      </c>
      <c r="L3430" s="1" t="s">
        <v>45</v>
      </c>
      <c r="M3430" s="1" t="str">
        <f>TEXT(Table1[[#This Row],[Order Date]],"mmm")</f>
        <v>Mar</v>
      </c>
      <c r="N3430" s="1">
        <f>YEAR(Table1[[#This Row],[Order Date]])</f>
        <v>2024</v>
      </c>
    </row>
    <row r="3431" spans="1:14" x14ac:dyDescent="0.35">
      <c r="A3431" s="1" t="s">
        <v>4226</v>
      </c>
      <c r="B3431" s="1" t="s">
        <v>415</v>
      </c>
      <c r="C3431" s="1" t="s">
        <v>98</v>
      </c>
      <c r="D3431" s="1" t="s">
        <v>32</v>
      </c>
      <c r="E3431" s="1" t="s">
        <v>33</v>
      </c>
      <c r="F3431" s="1" t="s">
        <v>32</v>
      </c>
      <c r="G3431" s="1">
        <v>12</v>
      </c>
      <c r="H3431" s="1">
        <v>1981</v>
      </c>
      <c r="I3431" s="1">
        <v>0.05</v>
      </c>
      <c r="J3431" s="1">
        <v>22583.4</v>
      </c>
      <c r="K3431" s="1">
        <v>6309.33</v>
      </c>
      <c r="L3431" s="1" t="s">
        <v>70</v>
      </c>
      <c r="M3431" s="1" t="str">
        <f>TEXT(Table1[[#This Row],[Order Date]],"mmm")</f>
        <v>Jan</v>
      </c>
      <c r="N3431" s="1">
        <f>YEAR(Table1[[#This Row],[Order Date]])</f>
        <v>2024</v>
      </c>
    </row>
    <row r="3432" spans="1:14" x14ac:dyDescent="0.35">
      <c r="A3432" s="1" t="s">
        <v>4227</v>
      </c>
      <c r="B3432" s="1" t="s">
        <v>728</v>
      </c>
      <c r="C3432" s="1" t="s">
        <v>73</v>
      </c>
      <c r="D3432" s="1" t="s">
        <v>323</v>
      </c>
      <c r="E3432" s="1" t="s">
        <v>33</v>
      </c>
      <c r="F3432" s="1" t="s">
        <v>323</v>
      </c>
      <c r="G3432" s="1">
        <v>3</v>
      </c>
      <c r="H3432" s="1">
        <v>33825</v>
      </c>
      <c r="I3432" s="1">
        <v>0</v>
      </c>
      <c r="J3432" s="1">
        <v>101475</v>
      </c>
      <c r="K3432" s="1">
        <v>16162.33</v>
      </c>
      <c r="L3432" s="1" t="s">
        <v>70</v>
      </c>
      <c r="M3432" s="1" t="str">
        <f>TEXT(Table1[[#This Row],[Order Date]],"mmm")</f>
        <v>Oct</v>
      </c>
      <c r="N3432" s="1">
        <f>YEAR(Table1[[#This Row],[Order Date]])</f>
        <v>2023</v>
      </c>
    </row>
    <row r="3433" spans="1:14" x14ac:dyDescent="0.35">
      <c r="A3433" s="1" t="s">
        <v>4228</v>
      </c>
      <c r="B3433" s="1" t="s">
        <v>30</v>
      </c>
      <c r="C3433" s="1" t="s">
        <v>170</v>
      </c>
      <c r="D3433" s="1" t="s">
        <v>44</v>
      </c>
      <c r="E3433" s="1" t="s">
        <v>28</v>
      </c>
      <c r="F3433" s="1" t="s">
        <v>44</v>
      </c>
      <c r="G3433" s="1">
        <v>14</v>
      </c>
      <c r="H3433" s="1">
        <v>27279</v>
      </c>
      <c r="I3433" s="1">
        <v>0</v>
      </c>
      <c r="J3433" s="1">
        <v>381906</v>
      </c>
      <c r="K3433" s="1">
        <v>34905.56</v>
      </c>
      <c r="L3433" s="1" t="s">
        <v>45</v>
      </c>
      <c r="M3433" s="1" t="str">
        <f>TEXT(Table1[[#This Row],[Order Date]],"mmm")</f>
        <v>Apr</v>
      </c>
      <c r="N3433" s="1">
        <f>YEAR(Table1[[#This Row],[Order Date]])</f>
        <v>2023</v>
      </c>
    </row>
    <row r="3434" spans="1:14" x14ac:dyDescent="0.35">
      <c r="A3434" s="1" t="s">
        <v>4229</v>
      </c>
      <c r="B3434" s="1" t="s">
        <v>785</v>
      </c>
      <c r="C3434" s="1" t="s">
        <v>370</v>
      </c>
      <c r="D3434" s="1" t="s">
        <v>37</v>
      </c>
      <c r="E3434" s="1" t="s">
        <v>16</v>
      </c>
      <c r="F3434" s="1" t="s">
        <v>37</v>
      </c>
      <c r="G3434" s="1">
        <v>3</v>
      </c>
      <c r="H3434" s="1">
        <v>52760</v>
      </c>
      <c r="I3434" s="1">
        <v>0.1</v>
      </c>
      <c r="J3434" s="1">
        <v>142452</v>
      </c>
      <c r="K3434" s="1">
        <v>16769.259999999998</v>
      </c>
      <c r="L3434" s="1" t="s">
        <v>17</v>
      </c>
      <c r="M3434" s="1" t="str">
        <f>TEXT(Table1[[#This Row],[Order Date]],"mmm")</f>
        <v>Apr</v>
      </c>
      <c r="N3434" s="1">
        <f>YEAR(Table1[[#This Row],[Order Date]])</f>
        <v>2023</v>
      </c>
    </row>
    <row r="3435" spans="1:14" x14ac:dyDescent="0.35">
      <c r="A3435" s="1" t="s">
        <v>4230</v>
      </c>
      <c r="B3435" s="1" t="s">
        <v>565</v>
      </c>
      <c r="C3435" s="1" t="s">
        <v>200</v>
      </c>
      <c r="D3435" s="1" t="s">
        <v>137</v>
      </c>
      <c r="E3435" s="1" t="s">
        <v>22</v>
      </c>
      <c r="F3435" s="1" t="s">
        <v>137</v>
      </c>
      <c r="G3435" s="1">
        <v>13</v>
      </c>
      <c r="H3435" s="1">
        <v>42279</v>
      </c>
      <c r="I3435" s="1">
        <v>0</v>
      </c>
      <c r="J3435" s="1">
        <v>549627</v>
      </c>
      <c r="K3435" s="1">
        <v>112490.86</v>
      </c>
      <c r="L3435" s="1" t="s">
        <v>70</v>
      </c>
      <c r="M3435" s="1" t="str">
        <f>TEXT(Table1[[#This Row],[Order Date]],"mmm")</f>
        <v>Nov</v>
      </c>
      <c r="N3435" s="1">
        <f>YEAR(Table1[[#This Row],[Order Date]])</f>
        <v>2024</v>
      </c>
    </row>
    <row r="3436" spans="1:14" x14ac:dyDescent="0.35">
      <c r="A3436" s="1" t="s">
        <v>4231</v>
      </c>
      <c r="B3436" s="1" t="s">
        <v>72</v>
      </c>
      <c r="C3436" s="1" t="s">
        <v>178</v>
      </c>
      <c r="D3436" s="1" t="s">
        <v>108</v>
      </c>
      <c r="E3436" s="1" t="s">
        <v>22</v>
      </c>
      <c r="F3436" s="1" t="s">
        <v>108</v>
      </c>
      <c r="G3436" s="1">
        <v>3</v>
      </c>
      <c r="H3436" s="1">
        <v>45056</v>
      </c>
      <c r="I3436" s="1">
        <v>0.2</v>
      </c>
      <c r="J3436" s="1">
        <v>108134.39999999999</v>
      </c>
      <c r="K3436" s="1">
        <v>23363.05</v>
      </c>
      <c r="L3436" s="1" t="s">
        <v>70</v>
      </c>
      <c r="M3436" s="1" t="str">
        <f>TEXT(Table1[[#This Row],[Order Date]],"mmm")</f>
        <v>Aug</v>
      </c>
      <c r="N3436" s="1">
        <f>YEAR(Table1[[#This Row],[Order Date]])</f>
        <v>2023</v>
      </c>
    </row>
    <row r="3437" spans="1:14" x14ac:dyDescent="0.35">
      <c r="A3437" s="1" t="s">
        <v>4232</v>
      </c>
      <c r="B3437" s="1" t="s">
        <v>1301</v>
      </c>
      <c r="C3437" s="1" t="s">
        <v>140</v>
      </c>
      <c r="D3437" s="1" t="s">
        <v>37</v>
      </c>
      <c r="E3437" s="1" t="s">
        <v>16</v>
      </c>
      <c r="F3437" s="1" t="s">
        <v>37</v>
      </c>
      <c r="G3437" s="1">
        <v>1</v>
      </c>
      <c r="H3437" s="1">
        <v>27160</v>
      </c>
      <c r="I3437" s="1">
        <v>0.1</v>
      </c>
      <c r="J3437" s="1">
        <v>24444</v>
      </c>
      <c r="K3437" s="1">
        <v>4024.32</v>
      </c>
      <c r="L3437" s="1" t="s">
        <v>23</v>
      </c>
      <c r="M3437" s="1" t="str">
        <f>TEXT(Table1[[#This Row],[Order Date]],"mmm")</f>
        <v>Jul</v>
      </c>
      <c r="N3437" s="1">
        <f>YEAR(Table1[[#This Row],[Order Date]])</f>
        <v>2024</v>
      </c>
    </row>
    <row r="3438" spans="1:14" x14ac:dyDescent="0.35">
      <c r="A3438" s="1" t="s">
        <v>4233</v>
      </c>
      <c r="B3438" s="1" t="s">
        <v>348</v>
      </c>
      <c r="C3438" s="1" t="s">
        <v>59</v>
      </c>
      <c r="D3438" s="1" t="s">
        <v>15</v>
      </c>
      <c r="E3438" s="1" t="s">
        <v>16</v>
      </c>
      <c r="F3438" s="1" t="s">
        <v>15</v>
      </c>
      <c r="G3438" s="1">
        <v>4</v>
      </c>
      <c r="H3438" s="1">
        <v>42326</v>
      </c>
      <c r="I3438" s="1">
        <v>0.1</v>
      </c>
      <c r="J3438" s="1">
        <v>152373.6</v>
      </c>
      <c r="K3438" s="1">
        <v>38710.89</v>
      </c>
      <c r="L3438" s="1" t="s">
        <v>70</v>
      </c>
      <c r="M3438" s="1" t="str">
        <f>TEXT(Table1[[#This Row],[Order Date]],"mmm")</f>
        <v>May</v>
      </c>
      <c r="N3438" s="1">
        <f>YEAR(Table1[[#This Row],[Order Date]])</f>
        <v>2024</v>
      </c>
    </row>
    <row r="3439" spans="1:14" x14ac:dyDescent="0.35">
      <c r="A3439" s="1" t="s">
        <v>4234</v>
      </c>
      <c r="B3439" s="1" t="s">
        <v>322</v>
      </c>
      <c r="C3439" s="1" t="s">
        <v>335</v>
      </c>
      <c r="D3439" s="1" t="s">
        <v>56</v>
      </c>
      <c r="E3439" s="1" t="s">
        <v>22</v>
      </c>
      <c r="F3439" s="1" t="s">
        <v>56</v>
      </c>
      <c r="G3439" s="1">
        <v>4</v>
      </c>
      <c r="H3439" s="1">
        <v>11626</v>
      </c>
      <c r="I3439" s="1">
        <v>0.05</v>
      </c>
      <c r="J3439" s="1">
        <v>44178.8</v>
      </c>
      <c r="K3439" s="1">
        <v>10081.41</v>
      </c>
      <c r="L3439" s="1" t="s">
        <v>70</v>
      </c>
      <c r="M3439" s="1" t="str">
        <f>TEXT(Table1[[#This Row],[Order Date]],"mmm")</f>
        <v>Sep</v>
      </c>
      <c r="N3439" s="1">
        <f>YEAR(Table1[[#This Row],[Order Date]])</f>
        <v>2023</v>
      </c>
    </row>
    <row r="3440" spans="1:14" x14ac:dyDescent="0.35">
      <c r="A3440" s="1" t="s">
        <v>4235</v>
      </c>
      <c r="B3440" s="1" t="s">
        <v>2225</v>
      </c>
      <c r="C3440" s="1" t="s">
        <v>84</v>
      </c>
      <c r="D3440" s="1" t="s">
        <v>27</v>
      </c>
      <c r="E3440" s="1" t="s">
        <v>28</v>
      </c>
      <c r="F3440" s="1" t="s">
        <v>27</v>
      </c>
      <c r="G3440" s="1">
        <v>3</v>
      </c>
      <c r="H3440" s="1">
        <v>2536</v>
      </c>
      <c r="I3440" s="1">
        <v>0.15</v>
      </c>
      <c r="J3440" s="1">
        <v>6466.8</v>
      </c>
      <c r="K3440" s="1">
        <v>635.37</v>
      </c>
      <c r="L3440" s="1" t="s">
        <v>23</v>
      </c>
      <c r="M3440" s="1" t="str">
        <f>TEXT(Table1[[#This Row],[Order Date]],"mmm")</f>
        <v>Nov</v>
      </c>
      <c r="N3440" s="1">
        <f>YEAR(Table1[[#This Row],[Order Date]])</f>
        <v>2023</v>
      </c>
    </row>
    <row r="3441" spans="1:14" x14ac:dyDescent="0.35">
      <c r="A3441" s="1" t="s">
        <v>4236</v>
      </c>
      <c r="B3441" s="1" t="s">
        <v>369</v>
      </c>
      <c r="C3441" s="1" t="s">
        <v>20</v>
      </c>
      <c r="D3441" s="1" t="s">
        <v>179</v>
      </c>
      <c r="E3441" s="1" t="s">
        <v>28</v>
      </c>
      <c r="F3441" s="1" t="s">
        <v>179</v>
      </c>
      <c r="G3441" s="1">
        <v>8</v>
      </c>
      <c r="H3441" s="1">
        <v>20612</v>
      </c>
      <c r="I3441" s="1">
        <v>0.2</v>
      </c>
      <c r="J3441" s="1">
        <v>131916.79999999999</v>
      </c>
      <c r="K3441" s="1">
        <v>17190.05</v>
      </c>
      <c r="L3441" s="1" t="s">
        <v>45</v>
      </c>
      <c r="M3441" s="1" t="str">
        <f>TEXT(Table1[[#This Row],[Order Date]],"mmm")</f>
        <v>Sep</v>
      </c>
      <c r="N3441" s="1">
        <f>YEAR(Table1[[#This Row],[Order Date]])</f>
        <v>2024</v>
      </c>
    </row>
    <row r="3442" spans="1:14" x14ac:dyDescent="0.35">
      <c r="A3442" s="1" t="s">
        <v>4237</v>
      </c>
      <c r="B3442" s="1" t="s">
        <v>1010</v>
      </c>
      <c r="C3442" s="1" t="s">
        <v>260</v>
      </c>
      <c r="D3442" s="1" t="s">
        <v>41</v>
      </c>
      <c r="E3442" s="1" t="s">
        <v>16</v>
      </c>
      <c r="F3442" s="1" t="s">
        <v>41</v>
      </c>
      <c r="G3442" s="1">
        <v>13</v>
      </c>
      <c r="H3442" s="1">
        <v>32269</v>
      </c>
      <c r="I3442" s="1">
        <v>0.05</v>
      </c>
      <c r="J3442" s="1">
        <v>398522.15</v>
      </c>
      <c r="K3442" s="1">
        <v>36637.24</v>
      </c>
      <c r="L3442" s="1" t="s">
        <v>23</v>
      </c>
      <c r="M3442" s="1" t="str">
        <f>TEXT(Table1[[#This Row],[Order Date]],"mmm")</f>
        <v>May</v>
      </c>
      <c r="N3442" s="1">
        <f>YEAR(Table1[[#This Row],[Order Date]])</f>
        <v>2024</v>
      </c>
    </row>
    <row r="3443" spans="1:14" x14ac:dyDescent="0.35">
      <c r="A3443" s="1" t="s">
        <v>4238</v>
      </c>
      <c r="B3443" s="1" t="s">
        <v>288</v>
      </c>
      <c r="C3443" s="1" t="s">
        <v>162</v>
      </c>
      <c r="D3443" s="1" t="s">
        <v>37</v>
      </c>
      <c r="E3443" s="1" t="s">
        <v>16</v>
      </c>
      <c r="F3443" s="1" t="s">
        <v>37</v>
      </c>
      <c r="G3443" s="1">
        <v>11</v>
      </c>
      <c r="H3443" s="1">
        <v>4932</v>
      </c>
      <c r="I3443" s="1">
        <v>0.05</v>
      </c>
      <c r="J3443" s="1">
        <v>51539.4</v>
      </c>
      <c r="K3443" s="1">
        <v>5770.96</v>
      </c>
      <c r="L3443" s="1" t="s">
        <v>70</v>
      </c>
      <c r="M3443" s="1" t="str">
        <f>TEXT(Table1[[#This Row],[Order Date]],"mmm")</f>
        <v>Jun</v>
      </c>
      <c r="N3443" s="1">
        <f>YEAR(Table1[[#This Row],[Order Date]])</f>
        <v>2024</v>
      </c>
    </row>
    <row r="3444" spans="1:14" x14ac:dyDescent="0.35">
      <c r="A3444" s="1" t="s">
        <v>4239</v>
      </c>
      <c r="B3444" s="1" t="s">
        <v>724</v>
      </c>
      <c r="C3444" s="1" t="s">
        <v>128</v>
      </c>
      <c r="D3444" s="1" t="s">
        <v>293</v>
      </c>
      <c r="E3444" s="1" t="s">
        <v>33</v>
      </c>
      <c r="F3444" s="1" t="s">
        <v>293</v>
      </c>
      <c r="G3444" s="1">
        <v>4</v>
      </c>
      <c r="H3444" s="1">
        <v>52020</v>
      </c>
      <c r="I3444" s="1">
        <v>0.15</v>
      </c>
      <c r="J3444" s="1">
        <v>176868</v>
      </c>
      <c r="K3444" s="1">
        <v>21689.06</v>
      </c>
      <c r="L3444" s="1" t="s">
        <v>70</v>
      </c>
      <c r="M3444" s="1" t="str">
        <f>TEXT(Table1[[#This Row],[Order Date]],"mmm")</f>
        <v>Feb</v>
      </c>
      <c r="N3444" s="1">
        <f>YEAR(Table1[[#This Row],[Order Date]])</f>
        <v>2023</v>
      </c>
    </row>
    <row r="3445" spans="1:14" x14ac:dyDescent="0.35">
      <c r="A3445" s="1" t="s">
        <v>4240</v>
      </c>
      <c r="B3445" s="1" t="s">
        <v>1326</v>
      </c>
      <c r="C3445" s="1" t="s">
        <v>81</v>
      </c>
      <c r="D3445" s="1" t="s">
        <v>78</v>
      </c>
      <c r="E3445" s="1" t="s">
        <v>28</v>
      </c>
      <c r="F3445" s="1" t="s">
        <v>78</v>
      </c>
      <c r="G3445" s="1">
        <v>12</v>
      </c>
      <c r="H3445" s="1">
        <v>28046</v>
      </c>
      <c r="I3445" s="1">
        <v>0.2</v>
      </c>
      <c r="J3445" s="1">
        <v>269241.59999999998</v>
      </c>
      <c r="K3445" s="1">
        <v>44563.71</v>
      </c>
      <c r="L3445" s="1" t="s">
        <v>17</v>
      </c>
      <c r="M3445" s="1" t="str">
        <f>TEXT(Table1[[#This Row],[Order Date]],"mmm")</f>
        <v>Dec</v>
      </c>
      <c r="N3445" s="1">
        <f>YEAR(Table1[[#This Row],[Order Date]])</f>
        <v>2023</v>
      </c>
    </row>
    <row r="3446" spans="1:14" x14ac:dyDescent="0.35">
      <c r="A3446" s="1" t="s">
        <v>4241</v>
      </c>
      <c r="B3446" s="1" t="s">
        <v>2178</v>
      </c>
      <c r="C3446" s="1" t="s">
        <v>175</v>
      </c>
      <c r="D3446" s="1" t="s">
        <v>52</v>
      </c>
      <c r="E3446" s="1" t="s">
        <v>28</v>
      </c>
      <c r="F3446" s="1" t="s">
        <v>52</v>
      </c>
      <c r="G3446" s="1">
        <v>11</v>
      </c>
      <c r="H3446" s="1">
        <v>58763</v>
      </c>
      <c r="I3446" s="1">
        <v>0.1</v>
      </c>
      <c r="J3446" s="1">
        <v>581753.69999999995</v>
      </c>
      <c r="K3446" s="1">
        <v>60454.05</v>
      </c>
      <c r="L3446" s="1" t="s">
        <v>17</v>
      </c>
      <c r="M3446" s="1" t="str">
        <f>TEXT(Table1[[#This Row],[Order Date]],"mmm")</f>
        <v>Jul</v>
      </c>
      <c r="N3446" s="1">
        <f>YEAR(Table1[[#This Row],[Order Date]])</f>
        <v>2023</v>
      </c>
    </row>
    <row r="3447" spans="1:14" x14ac:dyDescent="0.35">
      <c r="A3447" s="1" t="s">
        <v>4242</v>
      </c>
      <c r="B3447" s="1" t="s">
        <v>930</v>
      </c>
      <c r="C3447" s="1" t="s">
        <v>203</v>
      </c>
      <c r="D3447" s="1" t="s">
        <v>91</v>
      </c>
      <c r="E3447" s="1" t="s">
        <v>16</v>
      </c>
      <c r="F3447" s="1" t="s">
        <v>91</v>
      </c>
      <c r="G3447" s="1">
        <v>6</v>
      </c>
      <c r="H3447" s="1">
        <v>28542</v>
      </c>
      <c r="I3447" s="1">
        <v>0.15</v>
      </c>
      <c r="J3447" s="1">
        <v>145564.20000000001</v>
      </c>
      <c r="K3447" s="1">
        <v>23256.59</v>
      </c>
      <c r="L3447" s="1" t="s">
        <v>70</v>
      </c>
      <c r="M3447" s="1" t="str">
        <f>TEXT(Table1[[#This Row],[Order Date]],"mmm")</f>
        <v>Apr</v>
      </c>
      <c r="N3447" s="1">
        <f>YEAR(Table1[[#This Row],[Order Date]])</f>
        <v>2024</v>
      </c>
    </row>
    <row r="3448" spans="1:14" x14ac:dyDescent="0.35">
      <c r="A3448" s="1" t="s">
        <v>4243</v>
      </c>
      <c r="B3448" s="1" t="s">
        <v>2154</v>
      </c>
      <c r="C3448" s="1" t="s">
        <v>640</v>
      </c>
      <c r="D3448" s="1" t="s">
        <v>137</v>
      </c>
      <c r="E3448" s="1" t="s">
        <v>22</v>
      </c>
      <c r="F3448" s="1" t="s">
        <v>137</v>
      </c>
      <c r="G3448" s="1">
        <v>13</v>
      </c>
      <c r="H3448" s="1">
        <v>26934</v>
      </c>
      <c r="I3448" s="1">
        <v>0.1</v>
      </c>
      <c r="J3448" s="1">
        <v>315127.8</v>
      </c>
      <c r="K3448" s="1">
        <v>45810.86</v>
      </c>
      <c r="L3448" s="1" t="s">
        <v>17</v>
      </c>
      <c r="M3448" s="1" t="str">
        <f>TEXT(Table1[[#This Row],[Order Date]],"mmm")</f>
        <v>Oct</v>
      </c>
      <c r="N3448" s="1">
        <f>YEAR(Table1[[#This Row],[Order Date]])</f>
        <v>2024</v>
      </c>
    </row>
    <row r="3449" spans="1:14" x14ac:dyDescent="0.35">
      <c r="A3449" s="1" t="s">
        <v>4244</v>
      </c>
      <c r="B3449" s="1" t="s">
        <v>1099</v>
      </c>
      <c r="C3449" s="1" t="s">
        <v>227</v>
      </c>
      <c r="D3449" s="1" t="s">
        <v>37</v>
      </c>
      <c r="E3449" s="1" t="s">
        <v>16</v>
      </c>
      <c r="F3449" s="1" t="s">
        <v>37</v>
      </c>
      <c r="G3449" s="1">
        <v>1</v>
      </c>
      <c r="H3449" s="1">
        <v>53581</v>
      </c>
      <c r="I3449" s="1">
        <v>0.2</v>
      </c>
      <c r="J3449" s="1">
        <v>42864.800000000003</v>
      </c>
      <c r="K3449" s="1">
        <v>4108.53</v>
      </c>
      <c r="L3449" s="1" t="s">
        <v>70</v>
      </c>
      <c r="M3449" s="1" t="str">
        <f>TEXT(Table1[[#This Row],[Order Date]],"mmm")</f>
        <v>Oct</v>
      </c>
      <c r="N3449" s="1">
        <f>YEAR(Table1[[#This Row],[Order Date]])</f>
        <v>2023</v>
      </c>
    </row>
    <row r="3450" spans="1:14" x14ac:dyDescent="0.35">
      <c r="A3450" s="1" t="s">
        <v>4245</v>
      </c>
      <c r="B3450" s="1" t="s">
        <v>1732</v>
      </c>
      <c r="C3450" s="1" t="s">
        <v>188</v>
      </c>
      <c r="D3450" s="1" t="s">
        <v>37</v>
      </c>
      <c r="E3450" s="1" t="s">
        <v>16</v>
      </c>
      <c r="F3450" s="1" t="s">
        <v>37</v>
      </c>
      <c r="G3450" s="1">
        <v>13</v>
      </c>
      <c r="H3450" s="1">
        <v>45896</v>
      </c>
      <c r="I3450" s="1">
        <v>0</v>
      </c>
      <c r="J3450" s="1">
        <v>596648</v>
      </c>
      <c r="K3450" s="1">
        <v>82132.009999999995</v>
      </c>
      <c r="L3450" s="1" t="s">
        <v>17</v>
      </c>
      <c r="M3450" s="1" t="str">
        <f>TEXT(Table1[[#This Row],[Order Date]],"mmm")</f>
        <v>Mar</v>
      </c>
      <c r="N3450" s="1">
        <f>YEAR(Table1[[#This Row],[Order Date]])</f>
        <v>2023</v>
      </c>
    </row>
    <row r="3451" spans="1:14" x14ac:dyDescent="0.35">
      <c r="A3451" s="1" t="s">
        <v>4246</v>
      </c>
      <c r="B3451" s="1" t="s">
        <v>1151</v>
      </c>
      <c r="C3451" s="1" t="s">
        <v>128</v>
      </c>
      <c r="D3451" s="1" t="s">
        <v>133</v>
      </c>
      <c r="E3451" s="1" t="s">
        <v>22</v>
      </c>
      <c r="F3451" s="1" t="s">
        <v>133</v>
      </c>
      <c r="G3451" s="1">
        <v>12</v>
      </c>
      <c r="H3451" s="1">
        <v>2044</v>
      </c>
      <c r="I3451" s="1">
        <v>0.05</v>
      </c>
      <c r="J3451" s="1">
        <v>23301.599999999999</v>
      </c>
      <c r="K3451" s="1">
        <v>2474.84</v>
      </c>
      <c r="L3451" s="1" t="s">
        <v>70</v>
      </c>
      <c r="M3451" s="1" t="str">
        <f>TEXT(Table1[[#This Row],[Order Date]],"mmm")</f>
        <v>Jul</v>
      </c>
      <c r="N3451" s="1">
        <f>YEAR(Table1[[#This Row],[Order Date]])</f>
        <v>2023</v>
      </c>
    </row>
    <row r="3452" spans="1:14" x14ac:dyDescent="0.35">
      <c r="A3452" s="1" t="s">
        <v>4247</v>
      </c>
      <c r="B3452" s="1" t="s">
        <v>1278</v>
      </c>
      <c r="C3452" s="1" t="s">
        <v>59</v>
      </c>
      <c r="D3452" s="1" t="s">
        <v>37</v>
      </c>
      <c r="E3452" s="1" t="s">
        <v>16</v>
      </c>
      <c r="F3452" s="1" t="s">
        <v>37</v>
      </c>
      <c r="G3452" s="1">
        <v>12</v>
      </c>
      <c r="H3452" s="1">
        <v>53175</v>
      </c>
      <c r="I3452" s="1">
        <v>0.1</v>
      </c>
      <c r="J3452" s="1">
        <v>574290</v>
      </c>
      <c r="K3452" s="1">
        <v>88780.74</v>
      </c>
      <c r="L3452" s="1" t="s">
        <v>45</v>
      </c>
      <c r="M3452" s="1" t="str">
        <f>TEXT(Table1[[#This Row],[Order Date]],"mmm")</f>
        <v>Aug</v>
      </c>
      <c r="N3452" s="1">
        <f>YEAR(Table1[[#This Row],[Order Date]])</f>
        <v>2023</v>
      </c>
    </row>
    <row r="3453" spans="1:14" x14ac:dyDescent="0.35">
      <c r="A3453" s="1" t="s">
        <v>4248</v>
      </c>
      <c r="B3453" s="1" t="s">
        <v>272</v>
      </c>
      <c r="C3453" s="1" t="s">
        <v>158</v>
      </c>
      <c r="D3453" s="1" t="s">
        <v>293</v>
      </c>
      <c r="E3453" s="1" t="s">
        <v>33</v>
      </c>
      <c r="F3453" s="1" t="s">
        <v>293</v>
      </c>
      <c r="G3453" s="1">
        <v>2</v>
      </c>
      <c r="H3453" s="1">
        <v>50288</v>
      </c>
      <c r="I3453" s="1">
        <v>0.15</v>
      </c>
      <c r="J3453" s="1">
        <v>85489.600000000006</v>
      </c>
      <c r="K3453" s="1">
        <v>21638.03</v>
      </c>
      <c r="L3453" s="1" t="s">
        <v>70</v>
      </c>
      <c r="M3453" s="1" t="str">
        <f>TEXT(Table1[[#This Row],[Order Date]],"mmm")</f>
        <v>Jun</v>
      </c>
      <c r="N3453" s="1">
        <f>YEAR(Table1[[#This Row],[Order Date]])</f>
        <v>2023</v>
      </c>
    </row>
    <row r="3454" spans="1:14" x14ac:dyDescent="0.35">
      <c r="A3454" s="1" t="s">
        <v>4249</v>
      </c>
      <c r="B3454" s="1" t="s">
        <v>934</v>
      </c>
      <c r="C3454" s="1" t="s">
        <v>362</v>
      </c>
      <c r="D3454" s="1" t="s">
        <v>114</v>
      </c>
      <c r="E3454" s="1" t="s">
        <v>16</v>
      </c>
      <c r="F3454" s="1" t="s">
        <v>114</v>
      </c>
      <c r="G3454" s="1">
        <v>3</v>
      </c>
      <c r="H3454" s="1">
        <v>18552</v>
      </c>
      <c r="I3454" s="1">
        <v>0.05</v>
      </c>
      <c r="J3454" s="1">
        <v>52873.2</v>
      </c>
      <c r="K3454" s="1">
        <v>11340.62</v>
      </c>
      <c r="L3454" s="1" t="s">
        <v>17</v>
      </c>
      <c r="M3454" s="1" t="str">
        <f>TEXT(Table1[[#This Row],[Order Date]],"mmm")</f>
        <v>Jun</v>
      </c>
      <c r="N3454" s="1">
        <f>YEAR(Table1[[#This Row],[Order Date]])</f>
        <v>2023</v>
      </c>
    </row>
    <row r="3455" spans="1:14" x14ac:dyDescent="0.35">
      <c r="A3455" s="1" t="s">
        <v>4250</v>
      </c>
      <c r="B3455" s="1" t="s">
        <v>551</v>
      </c>
      <c r="C3455" s="1" t="s">
        <v>94</v>
      </c>
      <c r="D3455" s="1" t="s">
        <v>167</v>
      </c>
      <c r="E3455" s="1" t="s">
        <v>16</v>
      </c>
      <c r="F3455" s="1" t="s">
        <v>167</v>
      </c>
      <c r="G3455" s="1">
        <v>15</v>
      </c>
      <c r="H3455" s="1">
        <v>11169</v>
      </c>
      <c r="I3455" s="1">
        <v>0.1</v>
      </c>
      <c r="J3455" s="1">
        <v>150781.5</v>
      </c>
      <c r="K3455" s="1">
        <v>15313.15</v>
      </c>
      <c r="L3455" s="1" t="s">
        <v>45</v>
      </c>
      <c r="M3455" s="1" t="str">
        <f>TEXT(Table1[[#This Row],[Order Date]],"mmm")</f>
        <v>Apr</v>
      </c>
      <c r="N3455" s="1">
        <f>YEAR(Table1[[#This Row],[Order Date]])</f>
        <v>2024</v>
      </c>
    </row>
    <row r="3456" spans="1:14" x14ac:dyDescent="0.35">
      <c r="A3456" s="1" t="s">
        <v>4251</v>
      </c>
      <c r="B3456" s="1" t="s">
        <v>1970</v>
      </c>
      <c r="C3456" s="1" t="s">
        <v>26</v>
      </c>
      <c r="D3456" s="1" t="s">
        <v>179</v>
      </c>
      <c r="E3456" s="1" t="s">
        <v>28</v>
      </c>
      <c r="F3456" s="1" t="s">
        <v>179</v>
      </c>
      <c r="G3456" s="1">
        <v>7</v>
      </c>
      <c r="H3456" s="1">
        <v>49614</v>
      </c>
      <c r="I3456" s="1">
        <v>0.05</v>
      </c>
      <c r="J3456" s="1">
        <v>329933.09999999998</v>
      </c>
      <c r="K3456" s="1">
        <v>93628.52</v>
      </c>
      <c r="L3456" s="1" t="s">
        <v>45</v>
      </c>
      <c r="M3456" s="1" t="str">
        <f>TEXT(Table1[[#This Row],[Order Date]],"mmm")</f>
        <v>Feb</v>
      </c>
      <c r="N3456" s="1">
        <f>YEAR(Table1[[#This Row],[Order Date]])</f>
        <v>2024</v>
      </c>
    </row>
    <row r="3457" spans="1:14" x14ac:dyDescent="0.35">
      <c r="A3457" s="1" t="s">
        <v>4252</v>
      </c>
      <c r="B3457" s="1" t="s">
        <v>72</v>
      </c>
      <c r="C3457" s="1" t="s">
        <v>260</v>
      </c>
      <c r="D3457" s="1" t="s">
        <v>44</v>
      </c>
      <c r="E3457" s="1" t="s">
        <v>28</v>
      </c>
      <c r="F3457" s="1" t="s">
        <v>44</v>
      </c>
      <c r="G3457" s="1">
        <v>1</v>
      </c>
      <c r="H3457" s="1">
        <v>37115</v>
      </c>
      <c r="I3457" s="1">
        <v>0.05</v>
      </c>
      <c r="J3457" s="1">
        <v>35259.25</v>
      </c>
      <c r="K3457" s="1">
        <v>6492.32</v>
      </c>
      <c r="L3457" s="1" t="s">
        <v>23</v>
      </c>
      <c r="M3457" s="1" t="str">
        <f>TEXT(Table1[[#This Row],[Order Date]],"mmm")</f>
        <v>Aug</v>
      </c>
      <c r="N3457" s="1">
        <f>YEAR(Table1[[#This Row],[Order Date]])</f>
        <v>2023</v>
      </c>
    </row>
    <row r="3458" spans="1:14" x14ac:dyDescent="0.35">
      <c r="A3458" s="1" t="s">
        <v>4253</v>
      </c>
      <c r="B3458" s="1" t="s">
        <v>265</v>
      </c>
      <c r="C3458" s="1" t="s">
        <v>146</v>
      </c>
      <c r="D3458" s="1" t="s">
        <v>64</v>
      </c>
      <c r="E3458" s="1" t="s">
        <v>33</v>
      </c>
      <c r="F3458" s="1" t="s">
        <v>64</v>
      </c>
      <c r="G3458" s="1">
        <v>15</v>
      </c>
      <c r="H3458" s="1">
        <v>52186</v>
      </c>
      <c r="I3458" s="1">
        <v>0.2</v>
      </c>
      <c r="J3458" s="1">
        <v>626232</v>
      </c>
      <c r="K3458" s="1">
        <v>173459.3</v>
      </c>
      <c r="L3458" s="1" t="s">
        <v>70</v>
      </c>
      <c r="M3458" s="1" t="str">
        <f>TEXT(Table1[[#This Row],[Order Date]],"mmm")</f>
        <v>Aug</v>
      </c>
      <c r="N3458" s="1">
        <f>YEAR(Table1[[#This Row],[Order Date]])</f>
        <v>2023</v>
      </c>
    </row>
    <row r="3459" spans="1:14" x14ac:dyDescent="0.35">
      <c r="A3459" s="1" t="s">
        <v>4254</v>
      </c>
      <c r="B3459" s="1" t="s">
        <v>821</v>
      </c>
      <c r="C3459" s="1" t="s">
        <v>67</v>
      </c>
      <c r="D3459" s="1" t="s">
        <v>41</v>
      </c>
      <c r="E3459" s="1" t="s">
        <v>16</v>
      </c>
      <c r="F3459" s="1" t="s">
        <v>41</v>
      </c>
      <c r="G3459" s="1">
        <v>9</v>
      </c>
      <c r="H3459" s="1">
        <v>9656</v>
      </c>
      <c r="I3459" s="1">
        <v>0.15</v>
      </c>
      <c r="J3459" s="1">
        <v>73868.399999999994</v>
      </c>
      <c r="K3459" s="1">
        <v>7680.04</v>
      </c>
      <c r="L3459" s="1" t="s">
        <v>17</v>
      </c>
      <c r="M3459" s="1" t="str">
        <f>TEXT(Table1[[#This Row],[Order Date]],"mmm")</f>
        <v>Aug</v>
      </c>
      <c r="N3459" s="1">
        <f>YEAR(Table1[[#This Row],[Order Date]])</f>
        <v>2024</v>
      </c>
    </row>
    <row r="3460" spans="1:14" x14ac:dyDescent="0.35">
      <c r="A3460" s="1" t="s">
        <v>4255</v>
      </c>
      <c r="B3460" s="1" t="s">
        <v>3395</v>
      </c>
      <c r="C3460" s="1" t="s">
        <v>191</v>
      </c>
      <c r="D3460" s="1" t="s">
        <v>27</v>
      </c>
      <c r="E3460" s="1" t="s">
        <v>28</v>
      </c>
      <c r="F3460" s="1" t="s">
        <v>27</v>
      </c>
      <c r="G3460" s="1">
        <v>10</v>
      </c>
      <c r="H3460" s="1">
        <v>31048</v>
      </c>
      <c r="I3460" s="1">
        <v>0.15</v>
      </c>
      <c r="J3460" s="1">
        <v>263908</v>
      </c>
      <c r="K3460" s="1">
        <v>40533.53</v>
      </c>
      <c r="L3460" s="1" t="s">
        <v>17</v>
      </c>
      <c r="M3460" s="1" t="str">
        <f>TEXT(Table1[[#This Row],[Order Date]],"mmm")</f>
        <v>Feb</v>
      </c>
      <c r="N3460" s="1">
        <f>YEAR(Table1[[#This Row],[Order Date]])</f>
        <v>2023</v>
      </c>
    </row>
    <row r="3461" spans="1:14" x14ac:dyDescent="0.35">
      <c r="A3461" s="1" t="s">
        <v>4256</v>
      </c>
      <c r="B3461" s="1" t="s">
        <v>577</v>
      </c>
      <c r="C3461" s="1" t="s">
        <v>155</v>
      </c>
      <c r="D3461" s="1" t="s">
        <v>15</v>
      </c>
      <c r="E3461" s="1" t="s">
        <v>16</v>
      </c>
      <c r="F3461" s="1" t="s">
        <v>15</v>
      </c>
      <c r="G3461" s="1">
        <v>6</v>
      </c>
      <c r="H3461" s="1">
        <v>24061</v>
      </c>
      <c r="I3461" s="1">
        <v>0.1</v>
      </c>
      <c r="J3461" s="1">
        <v>129929.4</v>
      </c>
      <c r="K3461" s="1">
        <v>32509.14</v>
      </c>
      <c r="L3461" s="1" t="s">
        <v>45</v>
      </c>
      <c r="M3461" s="1" t="str">
        <f>TEXT(Table1[[#This Row],[Order Date]],"mmm")</f>
        <v>Mar</v>
      </c>
      <c r="N3461" s="1">
        <f>YEAR(Table1[[#This Row],[Order Date]])</f>
        <v>2024</v>
      </c>
    </row>
    <row r="3462" spans="1:14" x14ac:dyDescent="0.35">
      <c r="A3462" s="1" t="s">
        <v>4257</v>
      </c>
      <c r="B3462" s="1" t="s">
        <v>408</v>
      </c>
      <c r="C3462" s="1" t="s">
        <v>191</v>
      </c>
      <c r="D3462" s="1" t="s">
        <v>52</v>
      </c>
      <c r="E3462" s="1" t="s">
        <v>28</v>
      </c>
      <c r="F3462" s="1" t="s">
        <v>52</v>
      </c>
      <c r="G3462" s="1">
        <v>13</v>
      </c>
      <c r="H3462" s="1">
        <v>25869</v>
      </c>
      <c r="I3462" s="1">
        <v>0.1</v>
      </c>
      <c r="J3462" s="1">
        <v>302667.3</v>
      </c>
      <c r="K3462" s="1">
        <v>85550.97</v>
      </c>
      <c r="L3462" s="1" t="s">
        <v>70</v>
      </c>
      <c r="M3462" s="1" t="str">
        <f>TEXT(Table1[[#This Row],[Order Date]],"mmm")</f>
        <v>Jul</v>
      </c>
      <c r="N3462" s="1">
        <f>YEAR(Table1[[#This Row],[Order Date]])</f>
        <v>2023</v>
      </c>
    </row>
    <row r="3463" spans="1:14" x14ac:dyDescent="0.35">
      <c r="A3463" s="1" t="s">
        <v>4258</v>
      </c>
      <c r="B3463" s="1" t="s">
        <v>394</v>
      </c>
      <c r="C3463" s="1" t="s">
        <v>191</v>
      </c>
      <c r="D3463" s="1" t="s">
        <v>74</v>
      </c>
      <c r="E3463" s="1" t="s">
        <v>22</v>
      </c>
      <c r="F3463" s="1" t="s">
        <v>74</v>
      </c>
      <c r="G3463" s="1">
        <v>15</v>
      </c>
      <c r="H3463" s="1">
        <v>34407</v>
      </c>
      <c r="I3463" s="1">
        <v>0</v>
      </c>
      <c r="J3463" s="1">
        <v>516105</v>
      </c>
      <c r="K3463" s="1">
        <v>78846.97</v>
      </c>
      <c r="L3463" s="1" t="s">
        <v>45</v>
      </c>
      <c r="M3463" s="1" t="str">
        <f>TEXT(Table1[[#This Row],[Order Date]],"mmm")</f>
        <v>Sep</v>
      </c>
      <c r="N3463" s="1">
        <f>YEAR(Table1[[#This Row],[Order Date]])</f>
        <v>2023</v>
      </c>
    </row>
    <row r="3464" spans="1:14" x14ac:dyDescent="0.35">
      <c r="A3464" s="1" t="s">
        <v>4259</v>
      </c>
      <c r="B3464" s="1" t="s">
        <v>1951</v>
      </c>
      <c r="C3464" s="1" t="s">
        <v>59</v>
      </c>
      <c r="D3464" s="1" t="s">
        <v>167</v>
      </c>
      <c r="E3464" s="1" t="s">
        <v>16</v>
      </c>
      <c r="F3464" s="1" t="s">
        <v>167</v>
      </c>
      <c r="G3464" s="1">
        <v>1</v>
      </c>
      <c r="H3464" s="1">
        <v>33703</v>
      </c>
      <c r="I3464" s="1">
        <v>0.15</v>
      </c>
      <c r="J3464" s="1">
        <v>28647.55</v>
      </c>
      <c r="K3464" s="1">
        <v>5861.57</v>
      </c>
      <c r="L3464" s="1" t="s">
        <v>17</v>
      </c>
      <c r="M3464" s="1" t="str">
        <f>TEXT(Table1[[#This Row],[Order Date]],"mmm")</f>
        <v>May</v>
      </c>
      <c r="N3464" s="1">
        <f>YEAR(Table1[[#This Row],[Order Date]])</f>
        <v>2024</v>
      </c>
    </row>
    <row r="3465" spans="1:14" x14ac:dyDescent="0.35">
      <c r="A3465" s="1" t="s">
        <v>4260</v>
      </c>
      <c r="B3465" s="1" t="s">
        <v>35</v>
      </c>
      <c r="C3465" s="1" t="s">
        <v>73</v>
      </c>
      <c r="D3465" s="1" t="s">
        <v>114</v>
      </c>
      <c r="E3465" s="1" t="s">
        <v>16</v>
      </c>
      <c r="F3465" s="1" t="s">
        <v>114</v>
      </c>
      <c r="G3465" s="1">
        <v>14</v>
      </c>
      <c r="H3465" s="1">
        <v>26546</v>
      </c>
      <c r="I3465" s="1">
        <v>0</v>
      </c>
      <c r="J3465" s="1">
        <v>371644</v>
      </c>
      <c r="K3465" s="1">
        <v>105869.97</v>
      </c>
      <c r="L3465" s="1" t="s">
        <v>70</v>
      </c>
      <c r="M3465" s="1" t="str">
        <f>TEXT(Table1[[#This Row],[Order Date]],"mmm")</f>
        <v>Jan</v>
      </c>
      <c r="N3465" s="1">
        <f>YEAR(Table1[[#This Row],[Order Date]])</f>
        <v>2023</v>
      </c>
    </row>
    <row r="3466" spans="1:14" x14ac:dyDescent="0.35">
      <c r="A3466" s="1" t="s">
        <v>4261</v>
      </c>
      <c r="B3466" s="1" t="s">
        <v>132</v>
      </c>
      <c r="C3466" s="1" t="s">
        <v>146</v>
      </c>
      <c r="D3466" s="1" t="s">
        <v>167</v>
      </c>
      <c r="E3466" s="1" t="s">
        <v>16</v>
      </c>
      <c r="F3466" s="1" t="s">
        <v>167</v>
      </c>
      <c r="G3466" s="1">
        <v>3</v>
      </c>
      <c r="H3466" s="1">
        <v>37332</v>
      </c>
      <c r="I3466" s="1">
        <v>0.05</v>
      </c>
      <c r="J3466" s="1">
        <v>106396.2</v>
      </c>
      <c r="K3466" s="1">
        <v>12300.04</v>
      </c>
      <c r="L3466" s="1" t="s">
        <v>17</v>
      </c>
      <c r="M3466" s="1" t="str">
        <f>TEXT(Table1[[#This Row],[Order Date]],"mmm")</f>
        <v>Feb</v>
      </c>
      <c r="N3466" s="1">
        <f>YEAR(Table1[[#This Row],[Order Date]])</f>
        <v>2023</v>
      </c>
    </row>
    <row r="3467" spans="1:14" x14ac:dyDescent="0.35">
      <c r="A3467" s="1" t="s">
        <v>4262</v>
      </c>
      <c r="B3467" s="1" t="s">
        <v>439</v>
      </c>
      <c r="C3467" s="1" t="s">
        <v>40</v>
      </c>
      <c r="D3467" s="1" t="s">
        <v>224</v>
      </c>
      <c r="E3467" s="1" t="s">
        <v>33</v>
      </c>
      <c r="F3467" s="1" t="s">
        <v>224</v>
      </c>
      <c r="G3467" s="1">
        <v>1</v>
      </c>
      <c r="H3467" s="1">
        <v>24836</v>
      </c>
      <c r="I3467" s="1">
        <v>0.1</v>
      </c>
      <c r="J3467" s="1">
        <v>22352.400000000001</v>
      </c>
      <c r="K3467" s="1">
        <v>3837.88</v>
      </c>
      <c r="L3467" s="1" t="s">
        <v>17</v>
      </c>
      <c r="M3467" s="1" t="str">
        <f>TEXT(Table1[[#This Row],[Order Date]],"mmm")</f>
        <v>Jan</v>
      </c>
      <c r="N3467" s="1">
        <f>YEAR(Table1[[#This Row],[Order Date]])</f>
        <v>2023</v>
      </c>
    </row>
    <row r="3468" spans="1:14" x14ac:dyDescent="0.35">
      <c r="A3468" s="1" t="s">
        <v>4263</v>
      </c>
      <c r="B3468" s="1" t="s">
        <v>1792</v>
      </c>
      <c r="C3468" s="1" t="s">
        <v>208</v>
      </c>
      <c r="D3468" s="1" t="s">
        <v>179</v>
      </c>
      <c r="E3468" s="1" t="s">
        <v>28</v>
      </c>
      <c r="F3468" s="1" t="s">
        <v>179</v>
      </c>
      <c r="G3468" s="1">
        <v>6</v>
      </c>
      <c r="H3468" s="1">
        <v>54359</v>
      </c>
      <c r="I3468" s="1">
        <v>0.15</v>
      </c>
      <c r="J3468" s="1">
        <v>277230.90000000002</v>
      </c>
      <c r="K3468" s="1">
        <v>31601.39</v>
      </c>
      <c r="L3468" s="1" t="s">
        <v>17</v>
      </c>
      <c r="M3468" s="1" t="str">
        <f>TEXT(Table1[[#This Row],[Order Date]],"mmm")</f>
        <v>Apr</v>
      </c>
      <c r="N3468" s="1">
        <f>YEAR(Table1[[#This Row],[Order Date]])</f>
        <v>2023</v>
      </c>
    </row>
    <row r="3469" spans="1:14" x14ac:dyDescent="0.35">
      <c r="A3469" s="1" t="s">
        <v>4264</v>
      </c>
      <c r="B3469" s="1" t="s">
        <v>1513</v>
      </c>
      <c r="C3469" s="1" t="s">
        <v>26</v>
      </c>
      <c r="D3469" s="1" t="s">
        <v>137</v>
      </c>
      <c r="E3469" s="1" t="s">
        <v>22</v>
      </c>
      <c r="F3469" s="1" t="s">
        <v>137</v>
      </c>
      <c r="G3469" s="1">
        <v>11</v>
      </c>
      <c r="H3469" s="1">
        <v>10554</v>
      </c>
      <c r="I3469" s="1">
        <v>0.1</v>
      </c>
      <c r="J3469" s="1">
        <v>104484.6</v>
      </c>
      <c r="K3469" s="1">
        <v>15309.5</v>
      </c>
      <c r="L3469" s="1" t="s">
        <v>17</v>
      </c>
      <c r="M3469" s="1" t="str">
        <f>TEXT(Table1[[#This Row],[Order Date]],"mmm")</f>
        <v>Jan</v>
      </c>
      <c r="N3469" s="1">
        <f>YEAR(Table1[[#This Row],[Order Date]])</f>
        <v>2023</v>
      </c>
    </row>
    <row r="3470" spans="1:14" x14ac:dyDescent="0.35">
      <c r="A3470" s="1" t="s">
        <v>4265</v>
      </c>
      <c r="B3470" s="1" t="s">
        <v>2589</v>
      </c>
      <c r="C3470" s="1" t="s">
        <v>191</v>
      </c>
      <c r="D3470" s="1" t="s">
        <v>137</v>
      </c>
      <c r="E3470" s="1" t="s">
        <v>22</v>
      </c>
      <c r="F3470" s="1" t="s">
        <v>137</v>
      </c>
      <c r="G3470" s="1">
        <v>2</v>
      </c>
      <c r="H3470" s="1">
        <v>32420</v>
      </c>
      <c r="I3470" s="1">
        <v>0.2</v>
      </c>
      <c r="J3470" s="1">
        <v>51872</v>
      </c>
      <c r="K3470" s="1">
        <v>15174.12</v>
      </c>
      <c r="L3470" s="1" t="s">
        <v>45</v>
      </c>
      <c r="M3470" s="1" t="str">
        <f>TEXT(Table1[[#This Row],[Order Date]],"mmm")</f>
        <v>Feb</v>
      </c>
      <c r="N3470" s="1">
        <f>YEAR(Table1[[#This Row],[Order Date]])</f>
        <v>2024</v>
      </c>
    </row>
    <row r="3471" spans="1:14" x14ac:dyDescent="0.35">
      <c r="A3471" s="1" t="s">
        <v>4266</v>
      </c>
      <c r="B3471" s="1" t="s">
        <v>4143</v>
      </c>
      <c r="C3471" s="1" t="s">
        <v>140</v>
      </c>
      <c r="D3471" s="1" t="s">
        <v>133</v>
      </c>
      <c r="E3471" s="1" t="s">
        <v>22</v>
      </c>
      <c r="F3471" s="1" t="s">
        <v>133</v>
      </c>
      <c r="G3471" s="1">
        <v>10</v>
      </c>
      <c r="H3471" s="1">
        <v>56085</v>
      </c>
      <c r="I3471" s="1">
        <v>0.1</v>
      </c>
      <c r="J3471" s="1">
        <v>504765</v>
      </c>
      <c r="K3471" s="1">
        <v>74303.820000000007</v>
      </c>
      <c r="L3471" s="1" t="s">
        <v>45</v>
      </c>
      <c r="M3471" s="1" t="str">
        <f>TEXT(Table1[[#This Row],[Order Date]],"mmm")</f>
        <v>Feb</v>
      </c>
      <c r="N3471" s="1">
        <f>YEAR(Table1[[#This Row],[Order Date]])</f>
        <v>2023</v>
      </c>
    </row>
    <row r="3472" spans="1:14" x14ac:dyDescent="0.35">
      <c r="A3472" s="1" t="s">
        <v>4267</v>
      </c>
      <c r="B3472" s="1" t="s">
        <v>746</v>
      </c>
      <c r="C3472" s="1" t="s">
        <v>332</v>
      </c>
      <c r="D3472" s="1" t="s">
        <v>85</v>
      </c>
      <c r="E3472" s="1" t="s">
        <v>28</v>
      </c>
      <c r="F3472" s="1" t="s">
        <v>85</v>
      </c>
      <c r="G3472" s="1">
        <v>1</v>
      </c>
      <c r="H3472" s="1">
        <v>16978</v>
      </c>
      <c r="I3472" s="1">
        <v>0.15</v>
      </c>
      <c r="J3472" s="1">
        <v>14431.3</v>
      </c>
      <c r="K3472" s="1">
        <v>4237.87</v>
      </c>
      <c r="L3472" s="1" t="s">
        <v>45</v>
      </c>
      <c r="M3472" s="1" t="str">
        <f>TEXT(Table1[[#This Row],[Order Date]],"mmm")</f>
        <v>Mar</v>
      </c>
      <c r="N3472" s="1">
        <f>YEAR(Table1[[#This Row],[Order Date]])</f>
        <v>2024</v>
      </c>
    </row>
    <row r="3473" spans="1:14" x14ac:dyDescent="0.35">
      <c r="A3473" s="1" t="s">
        <v>4268</v>
      </c>
      <c r="B3473" s="1" t="s">
        <v>396</v>
      </c>
      <c r="C3473" s="1" t="s">
        <v>200</v>
      </c>
      <c r="D3473" s="1" t="s">
        <v>64</v>
      </c>
      <c r="E3473" s="1" t="s">
        <v>33</v>
      </c>
      <c r="F3473" s="1" t="s">
        <v>64</v>
      </c>
      <c r="G3473" s="1">
        <v>3</v>
      </c>
      <c r="H3473" s="1">
        <v>19702</v>
      </c>
      <c r="I3473" s="1">
        <v>0.05</v>
      </c>
      <c r="J3473" s="1">
        <v>56150.7</v>
      </c>
      <c r="K3473" s="1">
        <v>14602.75</v>
      </c>
      <c r="L3473" s="1" t="s">
        <v>17</v>
      </c>
      <c r="M3473" s="1" t="str">
        <f>TEXT(Table1[[#This Row],[Order Date]],"mmm")</f>
        <v>Jul</v>
      </c>
      <c r="N3473" s="1">
        <f>YEAR(Table1[[#This Row],[Order Date]])</f>
        <v>2023</v>
      </c>
    </row>
    <row r="3474" spans="1:14" x14ac:dyDescent="0.35">
      <c r="A3474" s="1" t="s">
        <v>4269</v>
      </c>
      <c r="B3474" s="1" t="s">
        <v>1662</v>
      </c>
      <c r="C3474" s="1" t="s">
        <v>20</v>
      </c>
      <c r="D3474" s="1" t="s">
        <v>74</v>
      </c>
      <c r="E3474" s="1" t="s">
        <v>22</v>
      </c>
      <c r="F3474" s="1" t="s">
        <v>74</v>
      </c>
      <c r="G3474" s="1">
        <v>6</v>
      </c>
      <c r="H3474" s="1">
        <v>34928</v>
      </c>
      <c r="I3474" s="1">
        <v>0</v>
      </c>
      <c r="J3474" s="1">
        <v>209568</v>
      </c>
      <c r="K3474" s="1">
        <v>24027.599999999999</v>
      </c>
      <c r="L3474" s="1" t="s">
        <v>17</v>
      </c>
      <c r="M3474" s="1" t="str">
        <f>TEXT(Table1[[#This Row],[Order Date]],"mmm")</f>
        <v>Aug</v>
      </c>
      <c r="N3474" s="1">
        <f>YEAR(Table1[[#This Row],[Order Date]])</f>
        <v>2024</v>
      </c>
    </row>
    <row r="3475" spans="1:14" x14ac:dyDescent="0.35">
      <c r="A3475" s="1" t="s">
        <v>4270</v>
      </c>
      <c r="B3475" s="1" t="s">
        <v>106</v>
      </c>
      <c r="C3475" s="1" t="s">
        <v>107</v>
      </c>
      <c r="D3475" s="1" t="s">
        <v>56</v>
      </c>
      <c r="E3475" s="1" t="s">
        <v>22</v>
      </c>
      <c r="F3475" s="1" t="s">
        <v>56</v>
      </c>
      <c r="G3475" s="1">
        <v>12</v>
      </c>
      <c r="H3475" s="1">
        <v>52523</v>
      </c>
      <c r="I3475" s="1">
        <v>0.05</v>
      </c>
      <c r="J3475" s="1">
        <v>598762.19999999995</v>
      </c>
      <c r="K3475" s="1">
        <v>95916.29</v>
      </c>
      <c r="L3475" s="1" t="s">
        <v>70</v>
      </c>
      <c r="M3475" s="1" t="str">
        <f>TEXT(Table1[[#This Row],[Order Date]],"mmm")</f>
        <v>Jun</v>
      </c>
      <c r="N3475" s="1">
        <f>YEAR(Table1[[#This Row],[Order Date]])</f>
        <v>2023</v>
      </c>
    </row>
    <row r="3476" spans="1:14" x14ac:dyDescent="0.35">
      <c r="A3476" s="1" t="s">
        <v>4271</v>
      </c>
      <c r="B3476" s="1" t="s">
        <v>599</v>
      </c>
      <c r="C3476" s="1" t="s">
        <v>178</v>
      </c>
      <c r="D3476" s="1" t="s">
        <v>95</v>
      </c>
      <c r="E3476" s="1" t="s">
        <v>33</v>
      </c>
      <c r="F3476" s="1" t="s">
        <v>95</v>
      </c>
      <c r="G3476" s="1">
        <v>12</v>
      </c>
      <c r="H3476" s="1">
        <v>24127</v>
      </c>
      <c r="I3476" s="1">
        <v>0</v>
      </c>
      <c r="J3476" s="1">
        <v>289524</v>
      </c>
      <c r="K3476" s="1">
        <v>55295.06</v>
      </c>
      <c r="L3476" s="1" t="s">
        <v>45</v>
      </c>
      <c r="M3476" s="1" t="str">
        <f>TEXT(Table1[[#This Row],[Order Date]],"mmm")</f>
        <v>May</v>
      </c>
      <c r="N3476" s="1">
        <f>YEAR(Table1[[#This Row],[Order Date]])</f>
        <v>2023</v>
      </c>
    </row>
    <row r="3477" spans="1:14" x14ac:dyDescent="0.35">
      <c r="A3477" s="1" t="s">
        <v>4272</v>
      </c>
      <c r="B3477" s="1" t="s">
        <v>1276</v>
      </c>
      <c r="C3477" s="1" t="s">
        <v>191</v>
      </c>
      <c r="D3477" s="1" t="s">
        <v>91</v>
      </c>
      <c r="E3477" s="1" t="s">
        <v>16</v>
      </c>
      <c r="F3477" s="1" t="s">
        <v>91</v>
      </c>
      <c r="G3477" s="1">
        <v>7</v>
      </c>
      <c r="H3477" s="1">
        <v>15299</v>
      </c>
      <c r="I3477" s="1">
        <v>0</v>
      </c>
      <c r="J3477" s="1">
        <v>107093</v>
      </c>
      <c r="K3477" s="1">
        <v>13622.72</v>
      </c>
      <c r="L3477" s="1" t="s">
        <v>45</v>
      </c>
      <c r="M3477" s="1" t="str">
        <f>TEXT(Table1[[#This Row],[Order Date]],"mmm")</f>
        <v>Apr</v>
      </c>
      <c r="N3477" s="1">
        <f>YEAR(Table1[[#This Row],[Order Date]])</f>
        <v>2023</v>
      </c>
    </row>
    <row r="3478" spans="1:14" x14ac:dyDescent="0.35">
      <c r="A3478" s="1" t="s">
        <v>4273</v>
      </c>
      <c r="B3478" s="1" t="s">
        <v>744</v>
      </c>
      <c r="C3478" s="1" t="s">
        <v>55</v>
      </c>
      <c r="D3478" s="1" t="s">
        <v>21</v>
      </c>
      <c r="E3478" s="1" t="s">
        <v>22</v>
      </c>
      <c r="F3478" s="1" t="s">
        <v>21</v>
      </c>
      <c r="G3478" s="1">
        <v>7</v>
      </c>
      <c r="H3478" s="1">
        <v>32587</v>
      </c>
      <c r="I3478" s="1">
        <v>0.1</v>
      </c>
      <c r="J3478" s="1">
        <v>205298.1</v>
      </c>
      <c r="K3478" s="1">
        <v>46282.05</v>
      </c>
      <c r="L3478" s="1" t="s">
        <v>17</v>
      </c>
      <c r="M3478" s="1" t="str">
        <f>TEXT(Table1[[#This Row],[Order Date]],"mmm")</f>
        <v>May</v>
      </c>
      <c r="N3478" s="1">
        <f>YEAR(Table1[[#This Row],[Order Date]])</f>
        <v>2023</v>
      </c>
    </row>
    <row r="3479" spans="1:14" x14ac:dyDescent="0.35">
      <c r="A3479" s="1" t="s">
        <v>4274</v>
      </c>
      <c r="B3479" s="1" t="s">
        <v>2340</v>
      </c>
      <c r="C3479" s="1" t="s">
        <v>178</v>
      </c>
      <c r="D3479" s="1" t="s">
        <v>85</v>
      </c>
      <c r="E3479" s="1" t="s">
        <v>28</v>
      </c>
      <c r="F3479" s="1" t="s">
        <v>85</v>
      </c>
      <c r="G3479" s="1">
        <v>7</v>
      </c>
      <c r="H3479" s="1">
        <v>25787</v>
      </c>
      <c r="I3479" s="1">
        <v>0.1</v>
      </c>
      <c r="J3479" s="1">
        <v>162458.1</v>
      </c>
      <c r="K3479" s="1">
        <v>26374.080000000002</v>
      </c>
      <c r="L3479" s="1" t="s">
        <v>45</v>
      </c>
      <c r="M3479" s="1" t="str">
        <f>TEXT(Table1[[#This Row],[Order Date]],"mmm")</f>
        <v>Sep</v>
      </c>
      <c r="N3479" s="1">
        <f>YEAR(Table1[[#This Row],[Order Date]])</f>
        <v>2023</v>
      </c>
    </row>
    <row r="3480" spans="1:14" x14ac:dyDescent="0.35">
      <c r="A3480" s="1" t="s">
        <v>4275</v>
      </c>
      <c r="B3480" s="1" t="s">
        <v>299</v>
      </c>
      <c r="C3480" s="1" t="s">
        <v>120</v>
      </c>
      <c r="D3480" s="1" t="s">
        <v>27</v>
      </c>
      <c r="E3480" s="1" t="s">
        <v>28</v>
      </c>
      <c r="F3480" s="1" t="s">
        <v>27</v>
      </c>
      <c r="G3480" s="1">
        <v>7</v>
      </c>
      <c r="H3480" s="1">
        <v>46441</v>
      </c>
      <c r="I3480" s="1">
        <v>0.15</v>
      </c>
      <c r="J3480" s="1">
        <v>276323.95</v>
      </c>
      <c r="K3480" s="1">
        <v>37011.46</v>
      </c>
      <c r="L3480" s="1" t="s">
        <v>17</v>
      </c>
      <c r="M3480" s="1" t="str">
        <f>TEXT(Table1[[#This Row],[Order Date]],"mmm")</f>
        <v>May</v>
      </c>
      <c r="N3480" s="1">
        <f>YEAR(Table1[[#This Row],[Order Date]])</f>
        <v>2023</v>
      </c>
    </row>
    <row r="3481" spans="1:14" x14ac:dyDescent="0.35">
      <c r="A3481" s="1" t="s">
        <v>4276</v>
      </c>
      <c r="B3481" s="1" t="s">
        <v>1203</v>
      </c>
      <c r="C3481" s="1" t="s">
        <v>55</v>
      </c>
      <c r="D3481" s="1" t="s">
        <v>151</v>
      </c>
      <c r="E3481" s="1" t="s">
        <v>22</v>
      </c>
      <c r="F3481" s="1" t="s">
        <v>151</v>
      </c>
      <c r="G3481" s="1">
        <v>13</v>
      </c>
      <c r="H3481" s="1">
        <v>32711</v>
      </c>
      <c r="I3481" s="1">
        <v>0.05</v>
      </c>
      <c r="J3481" s="1">
        <v>403980.85</v>
      </c>
      <c r="K3481" s="1">
        <v>90777.87</v>
      </c>
      <c r="L3481" s="1" t="s">
        <v>17</v>
      </c>
      <c r="M3481" s="1" t="str">
        <f>TEXT(Table1[[#This Row],[Order Date]],"mmm")</f>
        <v>Apr</v>
      </c>
      <c r="N3481" s="1">
        <f>YEAR(Table1[[#This Row],[Order Date]])</f>
        <v>2024</v>
      </c>
    </row>
    <row r="3482" spans="1:14" x14ac:dyDescent="0.35">
      <c r="A3482" s="1" t="s">
        <v>4277</v>
      </c>
      <c r="B3482" s="1" t="s">
        <v>610</v>
      </c>
      <c r="C3482" s="1" t="s">
        <v>67</v>
      </c>
      <c r="D3482" s="1" t="s">
        <v>78</v>
      </c>
      <c r="E3482" s="1" t="s">
        <v>28</v>
      </c>
      <c r="F3482" s="1" t="s">
        <v>78</v>
      </c>
      <c r="G3482" s="1">
        <v>7</v>
      </c>
      <c r="H3482" s="1">
        <v>41335</v>
      </c>
      <c r="I3482" s="1">
        <v>0.2</v>
      </c>
      <c r="J3482" s="1">
        <v>231476</v>
      </c>
      <c r="K3482" s="1">
        <v>20985.43</v>
      </c>
      <c r="L3482" s="1" t="s">
        <v>45</v>
      </c>
      <c r="M3482" s="1" t="str">
        <f>TEXT(Table1[[#This Row],[Order Date]],"mmm")</f>
        <v>Dec</v>
      </c>
      <c r="N3482" s="1">
        <f>YEAR(Table1[[#This Row],[Order Date]])</f>
        <v>2023</v>
      </c>
    </row>
    <row r="3483" spans="1:14" x14ac:dyDescent="0.35">
      <c r="A3483" s="1" t="s">
        <v>4278</v>
      </c>
      <c r="B3483" s="1" t="s">
        <v>1113</v>
      </c>
      <c r="C3483" s="1" t="s">
        <v>125</v>
      </c>
      <c r="D3483" s="1" t="s">
        <v>108</v>
      </c>
      <c r="E3483" s="1" t="s">
        <v>22</v>
      </c>
      <c r="F3483" s="1" t="s">
        <v>108</v>
      </c>
      <c r="G3483" s="1">
        <v>13</v>
      </c>
      <c r="H3483" s="1">
        <v>31616</v>
      </c>
      <c r="I3483" s="1">
        <v>0.1</v>
      </c>
      <c r="J3483" s="1">
        <v>369907.20000000001</v>
      </c>
      <c r="K3483" s="1">
        <v>106350.13</v>
      </c>
      <c r="L3483" s="1" t="s">
        <v>45</v>
      </c>
      <c r="M3483" s="1" t="str">
        <f>TEXT(Table1[[#This Row],[Order Date]],"mmm")</f>
        <v>Feb</v>
      </c>
      <c r="N3483" s="1">
        <f>YEAR(Table1[[#This Row],[Order Date]])</f>
        <v>2023</v>
      </c>
    </row>
    <row r="3484" spans="1:14" x14ac:dyDescent="0.35">
      <c r="A3484" s="1" t="s">
        <v>4279</v>
      </c>
      <c r="B3484" s="1" t="s">
        <v>1218</v>
      </c>
      <c r="C3484" s="1" t="s">
        <v>117</v>
      </c>
      <c r="D3484" s="1" t="s">
        <v>60</v>
      </c>
      <c r="E3484" s="1" t="s">
        <v>33</v>
      </c>
      <c r="F3484" s="1" t="s">
        <v>60</v>
      </c>
      <c r="G3484" s="1">
        <v>7</v>
      </c>
      <c r="H3484" s="1">
        <v>46450</v>
      </c>
      <c r="I3484" s="1">
        <v>0.05</v>
      </c>
      <c r="J3484" s="1">
        <v>308892.5</v>
      </c>
      <c r="K3484" s="1">
        <v>64510.78</v>
      </c>
      <c r="L3484" s="1" t="s">
        <v>17</v>
      </c>
      <c r="M3484" s="1" t="str">
        <f>TEXT(Table1[[#This Row],[Order Date]],"mmm")</f>
        <v>May</v>
      </c>
      <c r="N3484" s="1">
        <f>YEAR(Table1[[#This Row],[Order Date]])</f>
        <v>2024</v>
      </c>
    </row>
    <row r="3485" spans="1:14" x14ac:dyDescent="0.35">
      <c r="A3485" s="1" t="s">
        <v>4280</v>
      </c>
      <c r="B3485" s="1" t="s">
        <v>2321</v>
      </c>
      <c r="C3485" s="1" t="s">
        <v>81</v>
      </c>
      <c r="D3485" s="1" t="s">
        <v>167</v>
      </c>
      <c r="E3485" s="1" t="s">
        <v>16</v>
      </c>
      <c r="F3485" s="1" t="s">
        <v>167</v>
      </c>
      <c r="G3485" s="1">
        <v>3</v>
      </c>
      <c r="H3485" s="1">
        <v>39607</v>
      </c>
      <c r="I3485" s="1">
        <v>0.1</v>
      </c>
      <c r="J3485" s="1">
        <v>106938.9</v>
      </c>
      <c r="K3485" s="1">
        <v>16517.45</v>
      </c>
      <c r="L3485" s="1" t="s">
        <v>45</v>
      </c>
      <c r="M3485" s="1" t="str">
        <f>TEXT(Table1[[#This Row],[Order Date]],"mmm")</f>
        <v>Feb</v>
      </c>
      <c r="N3485" s="1">
        <f>YEAR(Table1[[#This Row],[Order Date]])</f>
        <v>2023</v>
      </c>
    </row>
    <row r="3486" spans="1:14" x14ac:dyDescent="0.35">
      <c r="A3486" s="1" t="s">
        <v>4281</v>
      </c>
      <c r="B3486" s="1" t="s">
        <v>1153</v>
      </c>
      <c r="C3486" s="1" t="s">
        <v>370</v>
      </c>
      <c r="D3486" s="1" t="s">
        <v>323</v>
      </c>
      <c r="E3486" s="1" t="s">
        <v>33</v>
      </c>
      <c r="F3486" s="1" t="s">
        <v>323</v>
      </c>
      <c r="G3486" s="1">
        <v>15</v>
      </c>
      <c r="H3486" s="1">
        <v>3906</v>
      </c>
      <c r="I3486" s="1">
        <v>0.2</v>
      </c>
      <c r="J3486" s="1">
        <v>46872</v>
      </c>
      <c r="K3486" s="1">
        <v>4343.34</v>
      </c>
      <c r="L3486" s="1" t="s">
        <v>23</v>
      </c>
      <c r="M3486" s="1" t="str">
        <f>TEXT(Table1[[#This Row],[Order Date]],"mmm")</f>
        <v>Feb</v>
      </c>
      <c r="N3486" s="1">
        <f>YEAR(Table1[[#This Row],[Order Date]])</f>
        <v>2024</v>
      </c>
    </row>
    <row r="3487" spans="1:14" x14ac:dyDescent="0.35">
      <c r="A3487" s="1" t="s">
        <v>4282</v>
      </c>
      <c r="B3487" s="1" t="s">
        <v>1045</v>
      </c>
      <c r="C3487" s="1" t="s">
        <v>362</v>
      </c>
      <c r="D3487" s="1" t="s">
        <v>137</v>
      </c>
      <c r="E3487" s="1" t="s">
        <v>22</v>
      </c>
      <c r="F3487" s="1" t="s">
        <v>137</v>
      </c>
      <c r="G3487" s="1">
        <v>3</v>
      </c>
      <c r="H3487" s="1">
        <v>53663</v>
      </c>
      <c r="I3487" s="1">
        <v>0</v>
      </c>
      <c r="J3487" s="1">
        <v>160989</v>
      </c>
      <c r="K3487" s="1">
        <v>28230.21</v>
      </c>
      <c r="L3487" s="1" t="s">
        <v>17</v>
      </c>
      <c r="M3487" s="1" t="str">
        <f>TEXT(Table1[[#This Row],[Order Date]],"mmm")</f>
        <v>Feb</v>
      </c>
      <c r="N3487" s="1">
        <f>YEAR(Table1[[#This Row],[Order Date]])</f>
        <v>2023</v>
      </c>
    </row>
    <row r="3488" spans="1:14" x14ac:dyDescent="0.35">
      <c r="A3488" s="1" t="s">
        <v>4283</v>
      </c>
      <c r="B3488" s="1" t="s">
        <v>1915</v>
      </c>
      <c r="C3488" s="1" t="s">
        <v>146</v>
      </c>
      <c r="D3488" s="1" t="s">
        <v>137</v>
      </c>
      <c r="E3488" s="1" t="s">
        <v>22</v>
      </c>
      <c r="F3488" s="1" t="s">
        <v>137</v>
      </c>
      <c r="G3488" s="1">
        <v>7</v>
      </c>
      <c r="H3488" s="1">
        <v>46976</v>
      </c>
      <c r="I3488" s="1">
        <v>0.05</v>
      </c>
      <c r="J3488" s="1">
        <v>312390.40000000002</v>
      </c>
      <c r="K3488" s="1">
        <v>84176.91</v>
      </c>
      <c r="L3488" s="1" t="s">
        <v>70</v>
      </c>
      <c r="M3488" s="1" t="str">
        <f>TEXT(Table1[[#This Row],[Order Date]],"mmm")</f>
        <v>Apr</v>
      </c>
      <c r="N3488" s="1">
        <f>YEAR(Table1[[#This Row],[Order Date]])</f>
        <v>2023</v>
      </c>
    </row>
    <row r="3489" spans="1:14" x14ac:dyDescent="0.35">
      <c r="A3489" s="1" t="s">
        <v>4284</v>
      </c>
      <c r="B3489" s="1" t="s">
        <v>1048</v>
      </c>
      <c r="C3489" s="1" t="s">
        <v>203</v>
      </c>
      <c r="D3489" s="1" t="s">
        <v>37</v>
      </c>
      <c r="E3489" s="1" t="s">
        <v>16</v>
      </c>
      <c r="F3489" s="1" t="s">
        <v>37</v>
      </c>
      <c r="G3489" s="1">
        <v>12</v>
      </c>
      <c r="H3489" s="1">
        <v>32233</v>
      </c>
      <c r="I3489" s="1">
        <v>0</v>
      </c>
      <c r="J3489" s="1">
        <v>386796</v>
      </c>
      <c r="K3489" s="1">
        <v>85207.74</v>
      </c>
      <c r="L3489" s="1" t="s">
        <v>45</v>
      </c>
      <c r="M3489" s="1" t="str">
        <f>TEXT(Table1[[#This Row],[Order Date]],"mmm")</f>
        <v>May</v>
      </c>
      <c r="N3489" s="1">
        <f>YEAR(Table1[[#This Row],[Order Date]])</f>
        <v>2024</v>
      </c>
    </row>
    <row r="3490" spans="1:14" x14ac:dyDescent="0.35">
      <c r="A3490" s="1" t="s">
        <v>4285</v>
      </c>
      <c r="B3490" s="1" t="s">
        <v>130</v>
      </c>
      <c r="C3490" s="1" t="s">
        <v>178</v>
      </c>
      <c r="D3490" s="1" t="s">
        <v>133</v>
      </c>
      <c r="E3490" s="1" t="s">
        <v>22</v>
      </c>
      <c r="F3490" s="1" t="s">
        <v>133</v>
      </c>
      <c r="G3490" s="1">
        <v>5</v>
      </c>
      <c r="H3490" s="1">
        <v>11064</v>
      </c>
      <c r="I3490" s="1">
        <v>0</v>
      </c>
      <c r="J3490" s="1">
        <v>55320</v>
      </c>
      <c r="K3490" s="1">
        <v>14147.74</v>
      </c>
      <c r="L3490" s="1" t="s">
        <v>23</v>
      </c>
      <c r="M3490" s="1" t="str">
        <f>TEXT(Table1[[#This Row],[Order Date]],"mmm")</f>
        <v>May</v>
      </c>
      <c r="N3490" s="1">
        <f>YEAR(Table1[[#This Row],[Order Date]])</f>
        <v>2023</v>
      </c>
    </row>
    <row r="3491" spans="1:14" x14ac:dyDescent="0.35">
      <c r="A3491" s="1" t="s">
        <v>4286</v>
      </c>
      <c r="B3491" s="1" t="s">
        <v>469</v>
      </c>
      <c r="C3491" s="1" t="s">
        <v>362</v>
      </c>
      <c r="D3491" s="1" t="s">
        <v>27</v>
      </c>
      <c r="E3491" s="1" t="s">
        <v>28</v>
      </c>
      <c r="F3491" s="1" t="s">
        <v>27</v>
      </c>
      <c r="G3491" s="1">
        <v>6</v>
      </c>
      <c r="H3491" s="1">
        <v>58355</v>
      </c>
      <c r="I3491" s="1">
        <v>0</v>
      </c>
      <c r="J3491" s="1">
        <v>350130</v>
      </c>
      <c r="K3491" s="1">
        <v>31236.83</v>
      </c>
      <c r="L3491" s="1" t="s">
        <v>70</v>
      </c>
      <c r="M3491" s="1" t="str">
        <f>TEXT(Table1[[#This Row],[Order Date]],"mmm")</f>
        <v>Apr</v>
      </c>
      <c r="N3491" s="1">
        <f>YEAR(Table1[[#This Row],[Order Date]])</f>
        <v>2023</v>
      </c>
    </row>
    <row r="3492" spans="1:14" x14ac:dyDescent="0.35">
      <c r="A3492" s="1" t="s">
        <v>4287</v>
      </c>
      <c r="B3492" s="1" t="s">
        <v>2239</v>
      </c>
      <c r="C3492" s="1" t="s">
        <v>14</v>
      </c>
      <c r="D3492" s="1" t="s">
        <v>95</v>
      </c>
      <c r="E3492" s="1" t="s">
        <v>33</v>
      </c>
      <c r="F3492" s="1" t="s">
        <v>95</v>
      </c>
      <c r="G3492" s="1">
        <v>8</v>
      </c>
      <c r="H3492" s="1">
        <v>9287</v>
      </c>
      <c r="I3492" s="1">
        <v>0</v>
      </c>
      <c r="J3492" s="1">
        <v>74296</v>
      </c>
      <c r="K3492" s="1">
        <v>9405.65</v>
      </c>
      <c r="L3492" s="1" t="s">
        <v>70</v>
      </c>
      <c r="M3492" s="1" t="str">
        <f>TEXT(Table1[[#This Row],[Order Date]],"mmm")</f>
        <v>Oct</v>
      </c>
      <c r="N3492" s="1">
        <f>YEAR(Table1[[#This Row],[Order Date]])</f>
        <v>2023</v>
      </c>
    </row>
    <row r="3493" spans="1:14" x14ac:dyDescent="0.35">
      <c r="A3493" s="1" t="s">
        <v>4288</v>
      </c>
      <c r="B3493" s="1" t="s">
        <v>934</v>
      </c>
      <c r="C3493" s="1" t="s">
        <v>200</v>
      </c>
      <c r="D3493" s="1" t="s">
        <v>64</v>
      </c>
      <c r="E3493" s="1" t="s">
        <v>33</v>
      </c>
      <c r="F3493" s="1" t="s">
        <v>64</v>
      </c>
      <c r="G3493" s="1">
        <v>13</v>
      </c>
      <c r="H3493" s="1">
        <v>37397</v>
      </c>
      <c r="I3493" s="1">
        <v>0</v>
      </c>
      <c r="J3493" s="1">
        <v>486161</v>
      </c>
      <c r="K3493" s="1">
        <v>54405.72</v>
      </c>
      <c r="L3493" s="1" t="s">
        <v>23</v>
      </c>
      <c r="M3493" s="1" t="str">
        <f>TEXT(Table1[[#This Row],[Order Date]],"mmm")</f>
        <v>Jun</v>
      </c>
      <c r="N3493" s="1">
        <f>YEAR(Table1[[#This Row],[Order Date]])</f>
        <v>2023</v>
      </c>
    </row>
    <row r="3494" spans="1:14" x14ac:dyDescent="0.35">
      <c r="A3494" s="1" t="s">
        <v>4289</v>
      </c>
      <c r="B3494" s="1" t="s">
        <v>351</v>
      </c>
      <c r="C3494" s="1" t="s">
        <v>84</v>
      </c>
      <c r="D3494" s="1" t="s">
        <v>60</v>
      </c>
      <c r="E3494" s="1" t="s">
        <v>33</v>
      </c>
      <c r="F3494" s="1" t="s">
        <v>60</v>
      </c>
      <c r="G3494" s="1">
        <v>9</v>
      </c>
      <c r="H3494" s="1">
        <v>50601</v>
      </c>
      <c r="I3494" s="1">
        <v>0.15</v>
      </c>
      <c r="J3494" s="1">
        <v>387097.65</v>
      </c>
      <c r="K3494" s="1">
        <v>111516.86</v>
      </c>
      <c r="L3494" s="1" t="s">
        <v>45</v>
      </c>
      <c r="M3494" s="1" t="str">
        <f>TEXT(Table1[[#This Row],[Order Date]],"mmm")</f>
        <v>Apr</v>
      </c>
      <c r="N3494" s="1">
        <f>YEAR(Table1[[#This Row],[Order Date]])</f>
        <v>2023</v>
      </c>
    </row>
    <row r="3495" spans="1:14" x14ac:dyDescent="0.35">
      <c r="A3495" s="1" t="s">
        <v>4290</v>
      </c>
      <c r="B3495" s="1" t="s">
        <v>934</v>
      </c>
      <c r="C3495" s="1" t="s">
        <v>125</v>
      </c>
      <c r="D3495" s="1" t="s">
        <v>137</v>
      </c>
      <c r="E3495" s="1" t="s">
        <v>22</v>
      </c>
      <c r="F3495" s="1" t="s">
        <v>137</v>
      </c>
      <c r="G3495" s="1">
        <v>11</v>
      </c>
      <c r="H3495" s="1">
        <v>13233</v>
      </c>
      <c r="I3495" s="1">
        <v>0</v>
      </c>
      <c r="J3495" s="1">
        <v>145563</v>
      </c>
      <c r="K3495" s="1">
        <v>31294.39</v>
      </c>
      <c r="L3495" s="1" t="s">
        <v>17</v>
      </c>
      <c r="M3495" s="1" t="str">
        <f>TEXT(Table1[[#This Row],[Order Date]],"mmm")</f>
        <v>Jun</v>
      </c>
      <c r="N3495" s="1">
        <f>YEAR(Table1[[#This Row],[Order Date]])</f>
        <v>2023</v>
      </c>
    </row>
    <row r="3496" spans="1:14" x14ac:dyDescent="0.35">
      <c r="A3496" s="1" t="s">
        <v>4291</v>
      </c>
      <c r="B3496" s="1" t="s">
        <v>956</v>
      </c>
      <c r="C3496" s="1" t="s">
        <v>31</v>
      </c>
      <c r="D3496" s="1" t="s">
        <v>151</v>
      </c>
      <c r="E3496" s="1" t="s">
        <v>22</v>
      </c>
      <c r="F3496" s="1" t="s">
        <v>151</v>
      </c>
      <c r="G3496" s="1">
        <v>14</v>
      </c>
      <c r="H3496" s="1">
        <v>26681</v>
      </c>
      <c r="I3496" s="1">
        <v>0.1</v>
      </c>
      <c r="J3496" s="1">
        <v>336180.6</v>
      </c>
      <c r="K3496" s="1">
        <v>57493.85</v>
      </c>
      <c r="L3496" s="1" t="s">
        <v>45</v>
      </c>
      <c r="M3496" s="1" t="str">
        <f>TEXT(Table1[[#This Row],[Order Date]],"mmm")</f>
        <v>Aug</v>
      </c>
      <c r="N3496" s="1">
        <f>YEAR(Table1[[#This Row],[Order Date]])</f>
        <v>2024</v>
      </c>
    </row>
    <row r="3497" spans="1:14" x14ac:dyDescent="0.35">
      <c r="A3497" s="1" t="s">
        <v>4292</v>
      </c>
      <c r="B3497" s="1" t="s">
        <v>551</v>
      </c>
      <c r="C3497" s="1" t="s">
        <v>104</v>
      </c>
      <c r="D3497" s="1" t="s">
        <v>64</v>
      </c>
      <c r="E3497" s="1" t="s">
        <v>33</v>
      </c>
      <c r="F3497" s="1" t="s">
        <v>64</v>
      </c>
      <c r="G3497" s="1">
        <v>1</v>
      </c>
      <c r="H3497" s="1">
        <v>35140</v>
      </c>
      <c r="I3497" s="1">
        <v>0.05</v>
      </c>
      <c r="J3497" s="1">
        <v>33383</v>
      </c>
      <c r="K3497" s="1">
        <v>8387.2099999999991</v>
      </c>
      <c r="L3497" s="1" t="s">
        <v>70</v>
      </c>
      <c r="M3497" s="1" t="str">
        <f>TEXT(Table1[[#This Row],[Order Date]],"mmm")</f>
        <v>Apr</v>
      </c>
      <c r="N3497" s="1">
        <f>YEAR(Table1[[#This Row],[Order Date]])</f>
        <v>2024</v>
      </c>
    </row>
    <row r="3498" spans="1:14" x14ac:dyDescent="0.35">
      <c r="A3498" s="1" t="s">
        <v>4293</v>
      </c>
      <c r="B3498" s="1" t="s">
        <v>702</v>
      </c>
      <c r="C3498" s="1" t="s">
        <v>158</v>
      </c>
      <c r="D3498" s="1" t="s">
        <v>323</v>
      </c>
      <c r="E3498" s="1" t="s">
        <v>33</v>
      </c>
      <c r="F3498" s="1" t="s">
        <v>323</v>
      </c>
      <c r="G3498" s="1">
        <v>14</v>
      </c>
      <c r="H3498" s="1">
        <v>14975</v>
      </c>
      <c r="I3498" s="1">
        <v>0.05</v>
      </c>
      <c r="J3498" s="1">
        <v>199167.5</v>
      </c>
      <c r="K3498" s="1">
        <v>29950.77</v>
      </c>
      <c r="L3498" s="1" t="s">
        <v>45</v>
      </c>
      <c r="M3498" s="1" t="str">
        <f>TEXT(Table1[[#This Row],[Order Date]],"mmm")</f>
        <v>Aug</v>
      </c>
      <c r="N3498" s="1">
        <f>YEAR(Table1[[#This Row],[Order Date]])</f>
        <v>2023</v>
      </c>
    </row>
    <row r="3499" spans="1:14" x14ac:dyDescent="0.35">
      <c r="A3499" s="1" t="s">
        <v>4294</v>
      </c>
      <c r="B3499" s="1" t="s">
        <v>2654</v>
      </c>
      <c r="C3499" s="1" t="s">
        <v>146</v>
      </c>
      <c r="D3499" s="1" t="s">
        <v>137</v>
      </c>
      <c r="E3499" s="1" t="s">
        <v>22</v>
      </c>
      <c r="F3499" s="1" t="s">
        <v>137</v>
      </c>
      <c r="G3499" s="1">
        <v>8</v>
      </c>
      <c r="H3499" s="1">
        <v>19795</v>
      </c>
      <c r="I3499" s="1">
        <v>0.2</v>
      </c>
      <c r="J3499" s="1">
        <v>126688</v>
      </c>
      <c r="K3499" s="1">
        <v>20484.34</v>
      </c>
      <c r="L3499" s="1" t="s">
        <v>45</v>
      </c>
      <c r="M3499" s="1" t="str">
        <f>TEXT(Table1[[#This Row],[Order Date]],"mmm")</f>
        <v>Apr</v>
      </c>
      <c r="N3499" s="1">
        <f>YEAR(Table1[[#This Row],[Order Date]])</f>
        <v>2023</v>
      </c>
    </row>
    <row r="3500" spans="1:14" x14ac:dyDescent="0.35">
      <c r="A3500" s="1" t="s">
        <v>4295</v>
      </c>
      <c r="B3500" s="1" t="s">
        <v>1186</v>
      </c>
      <c r="C3500" s="1" t="s">
        <v>507</v>
      </c>
      <c r="D3500" s="1" t="s">
        <v>179</v>
      </c>
      <c r="E3500" s="1" t="s">
        <v>28</v>
      </c>
      <c r="F3500" s="1" t="s">
        <v>179</v>
      </c>
      <c r="G3500" s="1">
        <v>8</v>
      </c>
      <c r="H3500" s="1">
        <v>13006</v>
      </c>
      <c r="I3500" s="1">
        <v>0</v>
      </c>
      <c r="J3500" s="1">
        <v>104048</v>
      </c>
      <c r="K3500" s="1">
        <v>28393.84</v>
      </c>
      <c r="L3500" s="1" t="s">
        <v>70</v>
      </c>
      <c r="M3500" s="1" t="str">
        <f>TEXT(Table1[[#This Row],[Order Date]],"mmm")</f>
        <v>Mar</v>
      </c>
      <c r="N3500" s="1">
        <f>YEAR(Table1[[#This Row],[Order Date]])</f>
        <v>2023</v>
      </c>
    </row>
    <row r="3501" spans="1:14" x14ac:dyDescent="0.35">
      <c r="A3501" s="1" t="s">
        <v>4296</v>
      </c>
      <c r="B3501" s="1" t="s">
        <v>1095</v>
      </c>
      <c r="C3501" s="1" t="s">
        <v>125</v>
      </c>
      <c r="D3501" s="1" t="s">
        <v>60</v>
      </c>
      <c r="E3501" s="1" t="s">
        <v>33</v>
      </c>
      <c r="F3501" s="1" t="s">
        <v>60</v>
      </c>
      <c r="G3501" s="1">
        <v>1</v>
      </c>
      <c r="H3501" s="1">
        <v>21984</v>
      </c>
      <c r="I3501" s="1">
        <v>0.2</v>
      </c>
      <c r="J3501" s="1">
        <v>17587.2</v>
      </c>
      <c r="K3501" s="1">
        <v>3470.54</v>
      </c>
      <c r="L3501" s="1" t="s">
        <v>17</v>
      </c>
      <c r="M3501" s="1" t="str">
        <f>TEXT(Table1[[#This Row],[Order Date]],"mmm")</f>
        <v>Jun</v>
      </c>
      <c r="N3501" s="1">
        <f>YEAR(Table1[[#This Row],[Order Date]])</f>
        <v>2023</v>
      </c>
    </row>
    <row r="3502" spans="1:14" x14ac:dyDescent="0.35">
      <c r="A3502" s="1" t="s">
        <v>4297</v>
      </c>
      <c r="B3502" s="1" t="s">
        <v>1716</v>
      </c>
      <c r="C3502" s="1" t="s">
        <v>332</v>
      </c>
      <c r="D3502" s="1" t="s">
        <v>15</v>
      </c>
      <c r="E3502" s="1" t="s">
        <v>16</v>
      </c>
      <c r="F3502" s="1" t="s">
        <v>15</v>
      </c>
      <c r="G3502" s="1">
        <v>10</v>
      </c>
      <c r="H3502" s="1">
        <v>54814</v>
      </c>
      <c r="I3502" s="1">
        <v>0</v>
      </c>
      <c r="J3502" s="1">
        <v>548140</v>
      </c>
      <c r="K3502" s="1">
        <v>75570.710000000006</v>
      </c>
      <c r="L3502" s="1" t="s">
        <v>45</v>
      </c>
      <c r="M3502" s="1" t="str">
        <f>TEXT(Table1[[#This Row],[Order Date]],"mmm")</f>
        <v>Jul</v>
      </c>
      <c r="N3502" s="1">
        <f>YEAR(Table1[[#This Row],[Order Date]])</f>
        <v>2024</v>
      </c>
    </row>
    <row r="3503" spans="1:14" x14ac:dyDescent="0.35">
      <c r="A3503" s="1" t="s">
        <v>4298</v>
      </c>
      <c r="B3503" s="1" t="s">
        <v>1109</v>
      </c>
      <c r="C3503" s="1" t="s">
        <v>14</v>
      </c>
      <c r="D3503" s="1" t="s">
        <v>167</v>
      </c>
      <c r="E3503" s="1" t="s">
        <v>16</v>
      </c>
      <c r="F3503" s="1" t="s">
        <v>167</v>
      </c>
      <c r="G3503" s="1">
        <v>6</v>
      </c>
      <c r="H3503" s="1">
        <v>19437</v>
      </c>
      <c r="I3503" s="1">
        <v>0.05</v>
      </c>
      <c r="J3503" s="1">
        <v>110790.9</v>
      </c>
      <c r="K3503" s="1">
        <v>10633.66</v>
      </c>
      <c r="L3503" s="1" t="s">
        <v>70</v>
      </c>
      <c r="M3503" s="1" t="str">
        <f>TEXT(Table1[[#This Row],[Order Date]],"mmm")</f>
        <v>Nov</v>
      </c>
      <c r="N3503" s="1">
        <f>YEAR(Table1[[#This Row],[Order Date]])</f>
        <v>2023</v>
      </c>
    </row>
    <row r="3504" spans="1:14" x14ac:dyDescent="0.35">
      <c r="A3504" s="1" t="s">
        <v>4299</v>
      </c>
      <c r="B3504" s="1" t="s">
        <v>2017</v>
      </c>
      <c r="C3504" s="1" t="s">
        <v>20</v>
      </c>
      <c r="D3504" s="1" t="s">
        <v>224</v>
      </c>
      <c r="E3504" s="1" t="s">
        <v>33</v>
      </c>
      <c r="F3504" s="1" t="s">
        <v>224</v>
      </c>
      <c r="G3504" s="1">
        <v>10</v>
      </c>
      <c r="H3504" s="1">
        <v>19661</v>
      </c>
      <c r="I3504" s="1">
        <v>0.15</v>
      </c>
      <c r="J3504" s="1">
        <v>167118.5</v>
      </c>
      <c r="K3504" s="1">
        <v>19827.7</v>
      </c>
      <c r="L3504" s="1" t="s">
        <v>45</v>
      </c>
      <c r="M3504" s="1" t="str">
        <f>TEXT(Table1[[#This Row],[Order Date]],"mmm")</f>
        <v>Sep</v>
      </c>
      <c r="N3504" s="1">
        <f>YEAR(Table1[[#This Row],[Order Date]])</f>
        <v>2024</v>
      </c>
    </row>
    <row r="3505" spans="1:14" x14ac:dyDescent="0.35">
      <c r="A3505" s="1" t="s">
        <v>4300</v>
      </c>
      <c r="B3505" s="1" t="s">
        <v>2301</v>
      </c>
      <c r="C3505" s="1" t="s">
        <v>51</v>
      </c>
      <c r="D3505" s="1" t="s">
        <v>224</v>
      </c>
      <c r="E3505" s="1" t="s">
        <v>33</v>
      </c>
      <c r="F3505" s="1" t="s">
        <v>224</v>
      </c>
      <c r="G3505" s="1">
        <v>11</v>
      </c>
      <c r="H3505" s="1">
        <v>11196</v>
      </c>
      <c r="I3505" s="1">
        <v>0.05</v>
      </c>
      <c r="J3505" s="1">
        <v>116998.2</v>
      </c>
      <c r="K3505" s="1">
        <v>17377.61</v>
      </c>
      <c r="L3505" s="1" t="s">
        <v>23</v>
      </c>
      <c r="M3505" s="1" t="str">
        <f>TEXT(Table1[[#This Row],[Order Date]],"mmm")</f>
        <v>Jan</v>
      </c>
      <c r="N3505" s="1">
        <f>YEAR(Table1[[#This Row],[Order Date]])</f>
        <v>2023</v>
      </c>
    </row>
    <row r="3506" spans="1:14" x14ac:dyDescent="0.35">
      <c r="A3506" s="1" t="s">
        <v>4301</v>
      </c>
      <c r="B3506" s="1" t="s">
        <v>700</v>
      </c>
      <c r="C3506" s="1" t="s">
        <v>175</v>
      </c>
      <c r="D3506" s="1" t="s">
        <v>27</v>
      </c>
      <c r="E3506" s="1" t="s">
        <v>28</v>
      </c>
      <c r="F3506" s="1" t="s">
        <v>27</v>
      </c>
      <c r="G3506" s="1">
        <v>9</v>
      </c>
      <c r="H3506" s="1">
        <v>52099</v>
      </c>
      <c r="I3506" s="1">
        <v>0</v>
      </c>
      <c r="J3506" s="1">
        <v>468891</v>
      </c>
      <c r="K3506" s="1">
        <v>83104.22</v>
      </c>
      <c r="L3506" s="1" t="s">
        <v>45</v>
      </c>
      <c r="M3506" s="1" t="str">
        <f>TEXT(Table1[[#This Row],[Order Date]],"mmm")</f>
        <v>Feb</v>
      </c>
      <c r="N3506" s="1">
        <f>YEAR(Table1[[#This Row],[Order Date]])</f>
        <v>2024</v>
      </c>
    </row>
    <row r="3507" spans="1:14" x14ac:dyDescent="0.35">
      <c r="A3507" s="1" t="s">
        <v>4302</v>
      </c>
      <c r="B3507" s="1" t="s">
        <v>1427</v>
      </c>
      <c r="C3507" s="1" t="s">
        <v>84</v>
      </c>
      <c r="D3507" s="1" t="s">
        <v>137</v>
      </c>
      <c r="E3507" s="1" t="s">
        <v>22</v>
      </c>
      <c r="F3507" s="1" t="s">
        <v>137</v>
      </c>
      <c r="G3507" s="1">
        <v>6</v>
      </c>
      <c r="H3507" s="1">
        <v>1421</v>
      </c>
      <c r="I3507" s="1">
        <v>0.15</v>
      </c>
      <c r="J3507" s="1">
        <v>7247.1</v>
      </c>
      <c r="K3507" s="1">
        <v>741.91</v>
      </c>
      <c r="L3507" s="1" t="s">
        <v>17</v>
      </c>
      <c r="M3507" s="1" t="str">
        <f>TEXT(Table1[[#This Row],[Order Date]],"mmm")</f>
        <v>Oct</v>
      </c>
      <c r="N3507" s="1">
        <f>YEAR(Table1[[#This Row],[Order Date]])</f>
        <v>2024</v>
      </c>
    </row>
    <row r="3508" spans="1:14" x14ac:dyDescent="0.35">
      <c r="A3508" s="1" t="s">
        <v>4303</v>
      </c>
      <c r="B3508" s="1" t="s">
        <v>357</v>
      </c>
      <c r="C3508" s="1" t="s">
        <v>155</v>
      </c>
      <c r="D3508" s="1" t="s">
        <v>151</v>
      </c>
      <c r="E3508" s="1" t="s">
        <v>22</v>
      </c>
      <c r="F3508" s="1" t="s">
        <v>151</v>
      </c>
      <c r="G3508" s="1">
        <v>13</v>
      </c>
      <c r="H3508" s="1">
        <v>55086</v>
      </c>
      <c r="I3508" s="1">
        <v>0.05</v>
      </c>
      <c r="J3508" s="1">
        <v>680312.1</v>
      </c>
      <c r="K3508" s="1">
        <v>137444.16</v>
      </c>
      <c r="L3508" s="1" t="s">
        <v>23</v>
      </c>
      <c r="M3508" s="1" t="str">
        <f>TEXT(Table1[[#This Row],[Order Date]],"mmm")</f>
        <v>Apr</v>
      </c>
      <c r="N3508" s="1">
        <f>YEAR(Table1[[#This Row],[Order Date]])</f>
        <v>2023</v>
      </c>
    </row>
    <row r="3509" spans="1:14" x14ac:dyDescent="0.35">
      <c r="A3509" s="1" t="s">
        <v>4304</v>
      </c>
      <c r="B3509" s="1" t="s">
        <v>207</v>
      </c>
      <c r="C3509" s="1" t="s">
        <v>81</v>
      </c>
      <c r="D3509" s="1" t="s">
        <v>179</v>
      </c>
      <c r="E3509" s="1" t="s">
        <v>28</v>
      </c>
      <c r="F3509" s="1" t="s">
        <v>179</v>
      </c>
      <c r="G3509" s="1">
        <v>4</v>
      </c>
      <c r="H3509" s="1">
        <v>15034</v>
      </c>
      <c r="I3509" s="1">
        <v>0</v>
      </c>
      <c r="J3509" s="1">
        <v>60136</v>
      </c>
      <c r="K3509" s="1">
        <v>15684.07</v>
      </c>
      <c r="L3509" s="1" t="s">
        <v>70</v>
      </c>
      <c r="M3509" s="1" t="str">
        <f>TEXT(Table1[[#This Row],[Order Date]],"mmm")</f>
        <v>Jun</v>
      </c>
      <c r="N3509" s="1">
        <f>YEAR(Table1[[#This Row],[Order Date]])</f>
        <v>2024</v>
      </c>
    </row>
    <row r="3510" spans="1:14" x14ac:dyDescent="0.35">
      <c r="A3510" s="1" t="s">
        <v>4305</v>
      </c>
      <c r="B3510" s="1" t="s">
        <v>1090</v>
      </c>
      <c r="C3510" s="1" t="s">
        <v>67</v>
      </c>
      <c r="D3510" s="1" t="s">
        <v>74</v>
      </c>
      <c r="E3510" s="1" t="s">
        <v>22</v>
      </c>
      <c r="F3510" s="1" t="s">
        <v>74</v>
      </c>
      <c r="G3510" s="1">
        <v>15</v>
      </c>
      <c r="H3510" s="1">
        <v>53258</v>
      </c>
      <c r="I3510" s="1">
        <v>0.1</v>
      </c>
      <c r="J3510" s="1">
        <v>718983</v>
      </c>
      <c r="K3510" s="1">
        <v>145132.73000000001</v>
      </c>
      <c r="L3510" s="1" t="s">
        <v>45</v>
      </c>
      <c r="M3510" s="1" t="str">
        <f>TEXT(Table1[[#This Row],[Order Date]],"mmm")</f>
        <v>Feb</v>
      </c>
      <c r="N3510" s="1">
        <f>YEAR(Table1[[#This Row],[Order Date]])</f>
        <v>2024</v>
      </c>
    </row>
    <row r="3511" spans="1:14" x14ac:dyDescent="0.35">
      <c r="A3511" s="1" t="s">
        <v>4306</v>
      </c>
      <c r="B3511" s="1" t="s">
        <v>1629</v>
      </c>
      <c r="C3511" s="1" t="s">
        <v>175</v>
      </c>
      <c r="D3511" s="1" t="s">
        <v>27</v>
      </c>
      <c r="E3511" s="1" t="s">
        <v>28</v>
      </c>
      <c r="F3511" s="1" t="s">
        <v>27</v>
      </c>
      <c r="G3511" s="1">
        <v>3</v>
      </c>
      <c r="H3511" s="1">
        <v>39718</v>
      </c>
      <c r="I3511" s="1">
        <v>0.05</v>
      </c>
      <c r="J3511" s="1">
        <v>113196.3</v>
      </c>
      <c r="K3511" s="1">
        <v>24289.18</v>
      </c>
      <c r="L3511" s="1" t="s">
        <v>45</v>
      </c>
      <c r="M3511" s="1" t="str">
        <f>TEXT(Table1[[#This Row],[Order Date]],"mmm")</f>
        <v>Jan</v>
      </c>
      <c r="N3511" s="1">
        <f>YEAR(Table1[[#This Row],[Order Date]])</f>
        <v>2023</v>
      </c>
    </row>
    <row r="3512" spans="1:14" x14ac:dyDescent="0.35">
      <c r="A3512" s="1" t="s">
        <v>4307</v>
      </c>
      <c r="B3512" s="1" t="s">
        <v>1101</v>
      </c>
      <c r="C3512" s="1" t="s">
        <v>55</v>
      </c>
      <c r="D3512" s="1" t="s">
        <v>41</v>
      </c>
      <c r="E3512" s="1" t="s">
        <v>16</v>
      </c>
      <c r="F3512" s="1" t="s">
        <v>41</v>
      </c>
      <c r="G3512" s="1">
        <v>14</v>
      </c>
      <c r="H3512" s="1">
        <v>19799</v>
      </c>
      <c r="I3512" s="1">
        <v>0.05</v>
      </c>
      <c r="J3512" s="1">
        <v>263326.7</v>
      </c>
      <c r="K3512" s="1">
        <v>61131.64</v>
      </c>
      <c r="L3512" s="1" t="s">
        <v>70</v>
      </c>
      <c r="M3512" s="1" t="str">
        <f>TEXT(Table1[[#This Row],[Order Date]],"mmm")</f>
        <v>Jun</v>
      </c>
      <c r="N3512" s="1">
        <f>YEAR(Table1[[#This Row],[Order Date]])</f>
        <v>2024</v>
      </c>
    </row>
    <row r="3513" spans="1:14" x14ac:dyDescent="0.35">
      <c r="A3513" s="1" t="s">
        <v>4308</v>
      </c>
      <c r="B3513" s="1" t="s">
        <v>1438</v>
      </c>
      <c r="C3513" s="1" t="s">
        <v>51</v>
      </c>
      <c r="D3513" s="1" t="s">
        <v>32</v>
      </c>
      <c r="E3513" s="1" t="s">
        <v>33</v>
      </c>
      <c r="F3513" s="1" t="s">
        <v>32</v>
      </c>
      <c r="G3513" s="1">
        <v>15</v>
      </c>
      <c r="H3513" s="1">
        <v>51000</v>
      </c>
      <c r="I3513" s="1">
        <v>0</v>
      </c>
      <c r="J3513" s="1">
        <v>765000</v>
      </c>
      <c r="K3513" s="1">
        <v>94043.21</v>
      </c>
      <c r="L3513" s="1" t="s">
        <v>70</v>
      </c>
      <c r="M3513" s="1" t="str">
        <f>TEXT(Table1[[#This Row],[Order Date]],"mmm")</f>
        <v>Nov</v>
      </c>
      <c r="N3513" s="1">
        <f>YEAR(Table1[[#This Row],[Order Date]])</f>
        <v>2024</v>
      </c>
    </row>
    <row r="3514" spans="1:14" x14ac:dyDescent="0.35">
      <c r="A3514" s="1" t="s">
        <v>4309</v>
      </c>
      <c r="B3514" s="1" t="s">
        <v>696</v>
      </c>
      <c r="C3514" s="1" t="s">
        <v>128</v>
      </c>
      <c r="D3514" s="1" t="s">
        <v>41</v>
      </c>
      <c r="E3514" s="1" t="s">
        <v>16</v>
      </c>
      <c r="F3514" s="1" t="s">
        <v>41</v>
      </c>
      <c r="G3514" s="1">
        <v>1</v>
      </c>
      <c r="H3514" s="1">
        <v>4971</v>
      </c>
      <c r="I3514" s="1">
        <v>0.05</v>
      </c>
      <c r="J3514" s="1">
        <v>4722.45</v>
      </c>
      <c r="K3514" s="1">
        <v>965.74</v>
      </c>
      <c r="L3514" s="1" t="s">
        <v>17</v>
      </c>
      <c r="M3514" s="1" t="str">
        <f>TEXT(Table1[[#This Row],[Order Date]],"mmm")</f>
        <v>Apr</v>
      </c>
      <c r="N3514" s="1">
        <f>YEAR(Table1[[#This Row],[Order Date]])</f>
        <v>2023</v>
      </c>
    </row>
    <row r="3515" spans="1:14" x14ac:dyDescent="0.35">
      <c r="A3515" s="1" t="s">
        <v>4310</v>
      </c>
      <c r="B3515" s="1" t="s">
        <v>150</v>
      </c>
      <c r="C3515" s="1" t="s">
        <v>120</v>
      </c>
      <c r="D3515" s="1" t="s">
        <v>32</v>
      </c>
      <c r="E3515" s="1" t="s">
        <v>33</v>
      </c>
      <c r="F3515" s="1" t="s">
        <v>32</v>
      </c>
      <c r="G3515" s="1">
        <v>13</v>
      </c>
      <c r="H3515" s="1">
        <v>1425</v>
      </c>
      <c r="I3515" s="1">
        <v>0.1</v>
      </c>
      <c r="J3515" s="1">
        <v>16672.5</v>
      </c>
      <c r="K3515" s="1">
        <v>2142.88</v>
      </c>
      <c r="L3515" s="1" t="s">
        <v>45</v>
      </c>
      <c r="M3515" s="1" t="str">
        <f>TEXT(Table1[[#This Row],[Order Date]],"mmm")</f>
        <v>Aug</v>
      </c>
      <c r="N3515" s="1">
        <f>YEAR(Table1[[#This Row],[Order Date]])</f>
        <v>2023</v>
      </c>
    </row>
    <row r="3516" spans="1:14" x14ac:dyDescent="0.35">
      <c r="A3516" s="1" t="s">
        <v>4311</v>
      </c>
      <c r="B3516" s="1" t="s">
        <v>850</v>
      </c>
      <c r="C3516" s="1" t="s">
        <v>362</v>
      </c>
      <c r="D3516" s="1" t="s">
        <v>64</v>
      </c>
      <c r="E3516" s="1" t="s">
        <v>33</v>
      </c>
      <c r="F3516" s="1" t="s">
        <v>64</v>
      </c>
      <c r="G3516" s="1">
        <v>7</v>
      </c>
      <c r="H3516" s="1">
        <v>38249</v>
      </c>
      <c r="I3516" s="1">
        <v>0.15</v>
      </c>
      <c r="J3516" s="1">
        <v>227581.55</v>
      </c>
      <c r="K3516" s="1">
        <v>31627.33</v>
      </c>
      <c r="L3516" s="1" t="s">
        <v>17</v>
      </c>
      <c r="M3516" s="1" t="str">
        <f>TEXT(Table1[[#This Row],[Order Date]],"mmm")</f>
        <v>May</v>
      </c>
      <c r="N3516" s="1">
        <f>YEAR(Table1[[#This Row],[Order Date]])</f>
        <v>2024</v>
      </c>
    </row>
    <row r="3517" spans="1:14" x14ac:dyDescent="0.35">
      <c r="A3517" s="1" t="s">
        <v>4312</v>
      </c>
      <c r="B3517" s="1" t="s">
        <v>1492</v>
      </c>
      <c r="C3517" s="1" t="s">
        <v>63</v>
      </c>
      <c r="D3517" s="1" t="s">
        <v>21</v>
      </c>
      <c r="E3517" s="1" t="s">
        <v>22</v>
      </c>
      <c r="F3517" s="1" t="s">
        <v>21</v>
      </c>
      <c r="G3517" s="1">
        <v>3</v>
      </c>
      <c r="H3517" s="1">
        <v>47884</v>
      </c>
      <c r="I3517" s="1">
        <v>0.2</v>
      </c>
      <c r="J3517" s="1">
        <v>114921.60000000001</v>
      </c>
      <c r="K3517" s="1">
        <v>11028.76</v>
      </c>
      <c r="L3517" s="1" t="s">
        <v>45</v>
      </c>
      <c r="M3517" s="1" t="str">
        <f>TEXT(Table1[[#This Row],[Order Date]],"mmm")</f>
        <v>Mar</v>
      </c>
      <c r="N3517" s="1">
        <f>YEAR(Table1[[#This Row],[Order Date]])</f>
        <v>2024</v>
      </c>
    </row>
    <row r="3518" spans="1:14" x14ac:dyDescent="0.35">
      <c r="A3518" s="1" t="s">
        <v>4313</v>
      </c>
      <c r="B3518" s="1" t="s">
        <v>1140</v>
      </c>
      <c r="C3518" s="1" t="s">
        <v>36</v>
      </c>
      <c r="D3518" s="1" t="s">
        <v>52</v>
      </c>
      <c r="E3518" s="1" t="s">
        <v>28</v>
      </c>
      <c r="F3518" s="1" t="s">
        <v>52</v>
      </c>
      <c r="G3518" s="1">
        <v>1</v>
      </c>
      <c r="H3518" s="1">
        <v>40862</v>
      </c>
      <c r="I3518" s="1">
        <v>0.05</v>
      </c>
      <c r="J3518" s="1">
        <v>38818.9</v>
      </c>
      <c r="K3518" s="1">
        <v>3850.32</v>
      </c>
      <c r="L3518" s="1" t="s">
        <v>23</v>
      </c>
      <c r="M3518" s="1" t="str">
        <f>TEXT(Table1[[#This Row],[Order Date]],"mmm")</f>
        <v>May</v>
      </c>
      <c r="N3518" s="1">
        <f>YEAR(Table1[[#This Row],[Order Date]])</f>
        <v>2024</v>
      </c>
    </row>
    <row r="3519" spans="1:14" x14ac:dyDescent="0.35">
      <c r="A3519" s="1" t="s">
        <v>4314</v>
      </c>
      <c r="B3519" s="1" t="s">
        <v>1464</v>
      </c>
      <c r="C3519" s="1" t="s">
        <v>128</v>
      </c>
      <c r="D3519" s="1" t="s">
        <v>21</v>
      </c>
      <c r="E3519" s="1" t="s">
        <v>22</v>
      </c>
      <c r="F3519" s="1" t="s">
        <v>21</v>
      </c>
      <c r="G3519" s="1">
        <v>9</v>
      </c>
      <c r="H3519" s="1">
        <v>27194</v>
      </c>
      <c r="I3519" s="1">
        <v>0.1</v>
      </c>
      <c r="J3519" s="1">
        <v>220271.4</v>
      </c>
      <c r="K3519" s="1">
        <v>53302.38</v>
      </c>
      <c r="L3519" s="1" t="s">
        <v>70</v>
      </c>
      <c r="M3519" s="1" t="str">
        <f>TEXT(Table1[[#This Row],[Order Date]],"mmm")</f>
        <v>May</v>
      </c>
      <c r="N3519" s="1">
        <f>YEAR(Table1[[#This Row],[Order Date]])</f>
        <v>2023</v>
      </c>
    </row>
    <row r="3520" spans="1:14" x14ac:dyDescent="0.35">
      <c r="A3520" s="1" t="s">
        <v>4315</v>
      </c>
      <c r="B3520" s="1" t="s">
        <v>1573</v>
      </c>
      <c r="C3520" s="1" t="s">
        <v>94</v>
      </c>
      <c r="D3520" s="1" t="s">
        <v>167</v>
      </c>
      <c r="E3520" s="1" t="s">
        <v>16</v>
      </c>
      <c r="F3520" s="1" t="s">
        <v>167</v>
      </c>
      <c r="G3520" s="1">
        <v>9</v>
      </c>
      <c r="H3520" s="1">
        <v>24814</v>
      </c>
      <c r="I3520" s="1">
        <v>0.15</v>
      </c>
      <c r="J3520" s="1">
        <v>189827.1</v>
      </c>
      <c r="K3520" s="1">
        <v>18195.810000000001</v>
      </c>
      <c r="L3520" s="1" t="s">
        <v>17</v>
      </c>
      <c r="M3520" s="1" t="str">
        <f>TEXT(Table1[[#This Row],[Order Date]],"mmm")</f>
        <v>Aug</v>
      </c>
      <c r="N3520" s="1">
        <f>YEAR(Table1[[#This Row],[Order Date]])</f>
        <v>2024</v>
      </c>
    </row>
    <row r="3521" spans="1:14" x14ac:dyDescent="0.35">
      <c r="A3521" s="1" t="s">
        <v>4316</v>
      </c>
      <c r="B3521" s="1" t="s">
        <v>839</v>
      </c>
      <c r="C3521" s="1" t="s">
        <v>370</v>
      </c>
      <c r="D3521" s="1" t="s">
        <v>78</v>
      </c>
      <c r="E3521" s="1" t="s">
        <v>28</v>
      </c>
      <c r="F3521" s="1" t="s">
        <v>78</v>
      </c>
      <c r="G3521" s="1">
        <v>10</v>
      </c>
      <c r="H3521" s="1">
        <v>14029</v>
      </c>
      <c r="I3521" s="1">
        <v>0</v>
      </c>
      <c r="J3521" s="1">
        <v>140290</v>
      </c>
      <c r="K3521" s="1">
        <v>16515.57</v>
      </c>
      <c r="L3521" s="1" t="s">
        <v>23</v>
      </c>
      <c r="M3521" s="1" t="str">
        <f>TEXT(Table1[[#This Row],[Order Date]],"mmm")</f>
        <v>Aug</v>
      </c>
      <c r="N3521" s="1">
        <f>YEAR(Table1[[#This Row],[Order Date]])</f>
        <v>2024</v>
      </c>
    </row>
    <row r="3522" spans="1:14" x14ac:dyDescent="0.35">
      <c r="A3522" s="1" t="s">
        <v>4317</v>
      </c>
      <c r="B3522" s="1" t="s">
        <v>318</v>
      </c>
      <c r="C3522" s="1" t="s">
        <v>77</v>
      </c>
      <c r="D3522" s="1" t="s">
        <v>56</v>
      </c>
      <c r="E3522" s="1" t="s">
        <v>22</v>
      </c>
      <c r="F3522" s="1" t="s">
        <v>56</v>
      </c>
      <c r="G3522" s="1">
        <v>11</v>
      </c>
      <c r="H3522" s="1">
        <v>7103</v>
      </c>
      <c r="I3522" s="1">
        <v>0.15</v>
      </c>
      <c r="J3522" s="1">
        <v>66413.05</v>
      </c>
      <c r="K3522" s="1">
        <v>6597.39</v>
      </c>
      <c r="L3522" s="1" t="s">
        <v>70</v>
      </c>
      <c r="M3522" s="1" t="str">
        <f>TEXT(Table1[[#This Row],[Order Date]],"mmm")</f>
        <v>Aug</v>
      </c>
      <c r="N3522" s="1">
        <f>YEAR(Table1[[#This Row],[Order Date]])</f>
        <v>2023</v>
      </c>
    </row>
    <row r="3523" spans="1:14" x14ac:dyDescent="0.35">
      <c r="A3523" s="1" t="s">
        <v>4318</v>
      </c>
      <c r="B3523" s="1" t="s">
        <v>636</v>
      </c>
      <c r="C3523" s="1" t="s">
        <v>203</v>
      </c>
      <c r="D3523" s="1" t="s">
        <v>137</v>
      </c>
      <c r="E3523" s="1" t="s">
        <v>22</v>
      </c>
      <c r="F3523" s="1" t="s">
        <v>137</v>
      </c>
      <c r="G3523" s="1">
        <v>2</v>
      </c>
      <c r="H3523" s="1">
        <v>27228</v>
      </c>
      <c r="I3523" s="1">
        <v>0.05</v>
      </c>
      <c r="J3523" s="1">
        <v>51733.2</v>
      </c>
      <c r="K3523" s="1">
        <v>14747.23</v>
      </c>
      <c r="L3523" s="1" t="s">
        <v>45</v>
      </c>
      <c r="M3523" s="1" t="str">
        <f>TEXT(Table1[[#This Row],[Order Date]],"mmm")</f>
        <v>Nov</v>
      </c>
      <c r="N3523" s="1">
        <f>YEAR(Table1[[#This Row],[Order Date]])</f>
        <v>2023</v>
      </c>
    </row>
    <row r="3524" spans="1:14" x14ac:dyDescent="0.35">
      <c r="A3524" s="1" t="s">
        <v>4319</v>
      </c>
      <c r="B3524" s="1" t="s">
        <v>927</v>
      </c>
      <c r="C3524" s="1" t="s">
        <v>55</v>
      </c>
      <c r="D3524" s="1" t="s">
        <v>133</v>
      </c>
      <c r="E3524" s="1" t="s">
        <v>22</v>
      </c>
      <c r="F3524" s="1" t="s">
        <v>133</v>
      </c>
      <c r="G3524" s="1">
        <v>13</v>
      </c>
      <c r="H3524" s="1">
        <v>10750</v>
      </c>
      <c r="I3524" s="1">
        <v>0.15</v>
      </c>
      <c r="J3524" s="1">
        <v>118787.5</v>
      </c>
      <c r="K3524" s="1">
        <v>16361.32</v>
      </c>
      <c r="L3524" s="1" t="s">
        <v>23</v>
      </c>
      <c r="M3524" s="1" t="str">
        <f>TEXT(Table1[[#This Row],[Order Date]],"mmm")</f>
        <v>May</v>
      </c>
      <c r="N3524" s="1">
        <f>YEAR(Table1[[#This Row],[Order Date]])</f>
        <v>2024</v>
      </c>
    </row>
    <row r="3525" spans="1:14" x14ac:dyDescent="0.35">
      <c r="A3525" s="1" t="s">
        <v>4320</v>
      </c>
      <c r="B3525" s="1" t="s">
        <v>2169</v>
      </c>
      <c r="C3525" s="1" t="s">
        <v>67</v>
      </c>
      <c r="D3525" s="1" t="s">
        <v>27</v>
      </c>
      <c r="E3525" s="1" t="s">
        <v>28</v>
      </c>
      <c r="F3525" s="1" t="s">
        <v>27</v>
      </c>
      <c r="G3525" s="1">
        <v>3</v>
      </c>
      <c r="H3525" s="1">
        <v>19963</v>
      </c>
      <c r="I3525" s="1">
        <v>0</v>
      </c>
      <c r="J3525" s="1">
        <v>59889</v>
      </c>
      <c r="K3525" s="1">
        <v>11562.29</v>
      </c>
      <c r="L3525" s="1" t="s">
        <v>70</v>
      </c>
      <c r="M3525" s="1" t="str">
        <f>TEXT(Table1[[#This Row],[Order Date]],"mmm")</f>
        <v>Jul</v>
      </c>
      <c r="N3525" s="1">
        <f>YEAR(Table1[[#This Row],[Order Date]])</f>
        <v>2024</v>
      </c>
    </row>
    <row r="3526" spans="1:14" x14ac:dyDescent="0.35">
      <c r="A3526" s="1" t="s">
        <v>4321</v>
      </c>
      <c r="B3526" s="1" t="s">
        <v>1500</v>
      </c>
      <c r="C3526" s="1" t="s">
        <v>36</v>
      </c>
      <c r="D3526" s="1" t="s">
        <v>64</v>
      </c>
      <c r="E3526" s="1" t="s">
        <v>33</v>
      </c>
      <c r="F3526" s="1" t="s">
        <v>64</v>
      </c>
      <c r="G3526" s="1">
        <v>3</v>
      </c>
      <c r="H3526" s="1">
        <v>9307</v>
      </c>
      <c r="I3526" s="1">
        <v>0</v>
      </c>
      <c r="J3526" s="1">
        <v>27921</v>
      </c>
      <c r="K3526" s="1">
        <v>3906.34</v>
      </c>
      <c r="L3526" s="1" t="s">
        <v>70</v>
      </c>
      <c r="M3526" s="1" t="str">
        <f>TEXT(Table1[[#This Row],[Order Date]],"mmm")</f>
        <v>Jun</v>
      </c>
      <c r="N3526" s="1">
        <f>YEAR(Table1[[#This Row],[Order Date]])</f>
        <v>2023</v>
      </c>
    </row>
    <row r="3527" spans="1:14" x14ac:dyDescent="0.35">
      <c r="A3527" s="1" t="s">
        <v>4322</v>
      </c>
      <c r="B3527" s="1" t="s">
        <v>1585</v>
      </c>
      <c r="C3527" s="1" t="s">
        <v>507</v>
      </c>
      <c r="D3527" s="1" t="s">
        <v>52</v>
      </c>
      <c r="E3527" s="1" t="s">
        <v>28</v>
      </c>
      <c r="F3527" s="1" t="s">
        <v>52</v>
      </c>
      <c r="G3527" s="1">
        <v>3</v>
      </c>
      <c r="H3527" s="1">
        <v>27957</v>
      </c>
      <c r="I3527" s="1">
        <v>0</v>
      </c>
      <c r="J3527" s="1">
        <v>83871</v>
      </c>
      <c r="K3527" s="1">
        <v>10955.06</v>
      </c>
      <c r="L3527" s="1" t="s">
        <v>23</v>
      </c>
      <c r="M3527" s="1" t="str">
        <f>TEXT(Table1[[#This Row],[Order Date]],"mmm")</f>
        <v>Dec</v>
      </c>
      <c r="N3527" s="1">
        <f>YEAR(Table1[[#This Row],[Order Date]])</f>
        <v>2023</v>
      </c>
    </row>
    <row r="3528" spans="1:14" x14ac:dyDescent="0.35">
      <c r="A3528" s="1" t="s">
        <v>4323</v>
      </c>
      <c r="B3528" s="1" t="s">
        <v>833</v>
      </c>
      <c r="C3528" s="1" t="s">
        <v>188</v>
      </c>
      <c r="D3528" s="1" t="s">
        <v>44</v>
      </c>
      <c r="E3528" s="1" t="s">
        <v>28</v>
      </c>
      <c r="F3528" s="1" t="s">
        <v>44</v>
      </c>
      <c r="G3528" s="1">
        <v>4</v>
      </c>
      <c r="H3528" s="1">
        <v>57619</v>
      </c>
      <c r="I3528" s="1">
        <v>0.1</v>
      </c>
      <c r="J3528" s="1">
        <v>207428.4</v>
      </c>
      <c r="K3528" s="1">
        <v>23815.42</v>
      </c>
      <c r="L3528" s="1" t="s">
        <v>45</v>
      </c>
      <c r="M3528" s="1" t="str">
        <f>TEXT(Table1[[#This Row],[Order Date]],"mmm")</f>
        <v>Apr</v>
      </c>
      <c r="N3528" s="1">
        <f>YEAR(Table1[[#This Row],[Order Date]])</f>
        <v>2023</v>
      </c>
    </row>
    <row r="3529" spans="1:14" x14ac:dyDescent="0.35">
      <c r="A3529" s="1" t="s">
        <v>4324</v>
      </c>
      <c r="B3529" s="1" t="s">
        <v>916</v>
      </c>
      <c r="C3529" s="1" t="s">
        <v>63</v>
      </c>
      <c r="D3529" s="1" t="s">
        <v>41</v>
      </c>
      <c r="E3529" s="1" t="s">
        <v>16</v>
      </c>
      <c r="F3529" s="1" t="s">
        <v>41</v>
      </c>
      <c r="G3529" s="1">
        <v>9</v>
      </c>
      <c r="H3529" s="1">
        <v>19206</v>
      </c>
      <c r="I3529" s="1">
        <v>0</v>
      </c>
      <c r="J3529" s="1">
        <v>172854</v>
      </c>
      <c r="K3529" s="1">
        <v>22819.45</v>
      </c>
      <c r="L3529" s="1" t="s">
        <v>17</v>
      </c>
      <c r="M3529" s="1" t="str">
        <f>TEXT(Table1[[#This Row],[Order Date]],"mmm")</f>
        <v>Sep</v>
      </c>
      <c r="N3529" s="1">
        <f>YEAR(Table1[[#This Row],[Order Date]])</f>
        <v>2023</v>
      </c>
    </row>
    <row r="3530" spans="1:14" x14ac:dyDescent="0.35">
      <c r="A3530" s="1" t="s">
        <v>4325</v>
      </c>
      <c r="B3530" s="1" t="s">
        <v>1502</v>
      </c>
      <c r="C3530" s="1" t="s">
        <v>67</v>
      </c>
      <c r="D3530" s="1" t="s">
        <v>108</v>
      </c>
      <c r="E3530" s="1" t="s">
        <v>22</v>
      </c>
      <c r="F3530" s="1" t="s">
        <v>108</v>
      </c>
      <c r="G3530" s="1">
        <v>11</v>
      </c>
      <c r="H3530" s="1">
        <v>24810</v>
      </c>
      <c r="I3530" s="1">
        <v>0.05</v>
      </c>
      <c r="J3530" s="1">
        <v>259264.5</v>
      </c>
      <c r="K3530" s="1">
        <v>68751.350000000006</v>
      </c>
      <c r="L3530" s="1" t="s">
        <v>45</v>
      </c>
      <c r="M3530" s="1" t="str">
        <f>TEXT(Table1[[#This Row],[Order Date]],"mmm")</f>
        <v>Jul</v>
      </c>
      <c r="N3530" s="1">
        <f>YEAR(Table1[[#This Row],[Order Date]])</f>
        <v>2023</v>
      </c>
    </row>
    <row r="3531" spans="1:14" x14ac:dyDescent="0.35">
      <c r="A3531" s="1" t="s">
        <v>4326</v>
      </c>
      <c r="B3531" s="1" t="s">
        <v>599</v>
      </c>
      <c r="C3531" s="1" t="s">
        <v>81</v>
      </c>
      <c r="D3531" s="1" t="s">
        <v>151</v>
      </c>
      <c r="E3531" s="1" t="s">
        <v>22</v>
      </c>
      <c r="F3531" s="1" t="s">
        <v>151</v>
      </c>
      <c r="G3531" s="1">
        <v>9</v>
      </c>
      <c r="H3531" s="1">
        <v>26796</v>
      </c>
      <c r="I3531" s="1">
        <v>0.05</v>
      </c>
      <c r="J3531" s="1">
        <v>229105.8</v>
      </c>
      <c r="K3531" s="1">
        <v>52936.41</v>
      </c>
      <c r="L3531" s="1" t="s">
        <v>17</v>
      </c>
      <c r="M3531" s="1" t="str">
        <f>TEXT(Table1[[#This Row],[Order Date]],"mmm")</f>
        <v>May</v>
      </c>
      <c r="N3531" s="1">
        <f>YEAR(Table1[[#This Row],[Order Date]])</f>
        <v>2023</v>
      </c>
    </row>
    <row r="3532" spans="1:14" x14ac:dyDescent="0.35">
      <c r="A3532" s="1" t="s">
        <v>4327</v>
      </c>
      <c r="B3532" s="1" t="s">
        <v>272</v>
      </c>
      <c r="C3532" s="1" t="s">
        <v>117</v>
      </c>
      <c r="D3532" s="1" t="s">
        <v>37</v>
      </c>
      <c r="E3532" s="1" t="s">
        <v>16</v>
      </c>
      <c r="F3532" s="1" t="s">
        <v>37</v>
      </c>
      <c r="G3532" s="1">
        <v>5</v>
      </c>
      <c r="H3532" s="1">
        <v>28123</v>
      </c>
      <c r="I3532" s="1">
        <v>0.1</v>
      </c>
      <c r="J3532" s="1">
        <v>126553.5</v>
      </c>
      <c r="K3532" s="1">
        <v>33930.51</v>
      </c>
      <c r="L3532" s="1" t="s">
        <v>23</v>
      </c>
      <c r="M3532" s="1" t="str">
        <f>TEXT(Table1[[#This Row],[Order Date]],"mmm")</f>
        <v>Jun</v>
      </c>
      <c r="N3532" s="1">
        <f>YEAR(Table1[[#This Row],[Order Date]])</f>
        <v>2023</v>
      </c>
    </row>
    <row r="3533" spans="1:14" x14ac:dyDescent="0.35">
      <c r="A3533" s="1" t="s">
        <v>4328</v>
      </c>
      <c r="B3533" s="1" t="s">
        <v>528</v>
      </c>
      <c r="C3533" s="1" t="s">
        <v>136</v>
      </c>
      <c r="D3533" s="1" t="s">
        <v>133</v>
      </c>
      <c r="E3533" s="1" t="s">
        <v>22</v>
      </c>
      <c r="F3533" s="1" t="s">
        <v>133</v>
      </c>
      <c r="G3533" s="1">
        <v>8</v>
      </c>
      <c r="H3533" s="1">
        <v>28686</v>
      </c>
      <c r="I3533" s="1">
        <v>0.1</v>
      </c>
      <c r="J3533" s="1">
        <v>206539.2</v>
      </c>
      <c r="K3533" s="1">
        <v>40399.279999999999</v>
      </c>
      <c r="L3533" s="1" t="s">
        <v>70</v>
      </c>
      <c r="M3533" s="1" t="str">
        <f>TEXT(Table1[[#This Row],[Order Date]],"mmm")</f>
        <v>Feb</v>
      </c>
      <c r="N3533" s="1">
        <f>YEAR(Table1[[#This Row],[Order Date]])</f>
        <v>2024</v>
      </c>
    </row>
    <row r="3534" spans="1:14" x14ac:dyDescent="0.35">
      <c r="A3534" s="1" t="s">
        <v>4329</v>
      </c>
      <c r="B3534" s="1" t="s">
        <v>1048</v>
      </c>
      <c r="C3534" s="1" t="s">
        <v>188</v>
      </c>
      <c r="D3534" s="1" t="s">
        <v>141</v>
      </c>
      <c r="E3534" s="1" t="s">
        <v>22</v>
      </c>
      <c r="F3534" s="1" t="s">
        <v>141</v>
      </c>
      <c r="G3534" s="1">
        <v>11</v>
      </c>
      <c r="H3534" s="1">
        <v>41390</v>
      </c>
      <c r="I3534" s="1">
        <v>0.05</v>
      </c>
      <c r="J3534" s="1">
        <v>432525.5</v>
      </c>
      <c r="K3534" s="1">
        <v>38416.21</v>
      </c>
      <c r="L3534" s="1" t="s">
        <v>45</v>
      </c>
      <c r="M3534" s="1" t="str">
        <f>TEXT(Table1[[#This Row],[Order Date]],"mmm")</f>
        <v>May</v>
      </c>
      <c r="N3534" s="1">
        <f>YEAR(Table1[[#This Row],[Order Date]])</f>
        <v>2024</v>
      </c>
    </row>
    <row r="3535" spans="1:14" x14ac:dyDescent="0.35">
      <c r="A3535" s="1" t="s">
        <v>4330</v>
      </c>
      <c r="B3535" s="1" t="s">
        <v>47</v>
      </c>
      <c r="C3535" s="1" t="s">
        <v>208</v>
      </c>
      <c r="D3535" s="1" t="s">
        <v>137</v>
      </c>
      <c r="E3535" s="1" t="s">
        <v>22</v>
      </c>
      <c r="F3535" s="1" t="s">
        <v>137</v>
      </c>
      <c r="G3535" s="1">
        <v>11</v>
      </c>
      <c r="H3535" s="1">
        <v>30881</v>
      </c>
      <c r="I3535" s="1">
        <v>0.1</v>
      </c>
      <c r="J3535" s="1">
        <v>305721.90000000002</v>
      </c>
      <c r="K3535" s="1">
        <v>26300.69</v>
      </c>
      <c r="L3535" s="1" t="s">
        <v>45</v>
      </c>
      <c r="M3535" s="1" t="str">
        <f>TEXT(Table1[[#This Row],[Order Date]],"mmm")</f>
        <v>May</v>
      </c>
      <c r="N3535" s="1">
        <f>YEAR(Table1[[#This Row],[Order Date]])</f>
        <v>2023</v>
      </c>
    </row>
    <row r="3536" spans="1:14" x14ac:dyDescent="0.35">
      <c r="A3536" s="1" t="s">
        <v>4331</v>
      </c>
      <c r="B3536" s="1" t="s">
        <v>770</v>
      </c>
      <c r="C3536" s="1" t="s">
        <v>140</v>
      </c>
      <c r="D3536" s="1" t="s">
        <v>78</v>
      </c>
      <c r="E3536" s="1" t="s">
        <v>28</v>
      </c>
      <c r="F3536" s="1" t="s">
        <v>78</v>
      </c>
      <c r="G3536" s="1">
        <v>7</v>
      </c>
      <c r="H3536" s="1">
        <v>34028</v>
      </c>
      <c r="I3536" s="1">
        <v>0</v>
      </c>
      <c r="J3536" s="1">
        <v>238196</v>
      </c>
      <c r="K3536" s="1">
        <v>25200.03</v>
      </c>
      <c r="L3536" s="1" t="s">
        <v>17</v>
      </c>
      <c r="M3536" s="1" t="str">
        <f>TEXT(Table1[[#This Row],[Order Date]],"mmm")</f>
        <v>Feb</v>
      </c>
      <c r="N3536" s="1">
        <f>YEAR(Table1[[#This Row],[Order Date]])</f>
        <v>2024</v>
      </c>
    </row>
    <row r="3537" spans="1:14" x14ac:dyDescent="0.35">
      <c r="A3537" s="1" t="s">
        <v>4332</v>
      </c>
      <c r="B3537" s="1" t="s">
        <v>1188</v>
      </c>
      <c r="C3537" s="1" t="s">
        <v>98</v>
      </c>
      <c r="D3537" s="1" t="s">
        <v>44</v>
      </c>
      <c r="E3537" s="1" t="s">
        <v>28</v>
      </c>
      <c r="F3537" s="1" t="s">
        <v>44</v>
      </c>
      <c r="G3537" s="1">
        <v>3</v>
      </c>
      <c r="H3537" s="1">
        <v>3062</v>
      </c>
      <c r="I3537" s="1">
        <v>0.15</v>
      </c>
      <c r="J3537" s="1">
        <v>7808.1</v>
      </c>
      <c r="K3537" s="1">
        <v>1041.9100000000001</v>
      </c>
      <c r="L3537" s="1" t="s">
        <v>23</v>
      </c>
      <c r="M3537" s="1" t="str">
        <f>TEXT(Table1[[#This Row],[Order Date]],"mmm")</f>
        <v>Oct</v>
      </c>
      <c r="N3537" s="1">
        <f>YEAR(Table1[[#This Row],[Order Date]])</f>
        <v>2024</v>
      </c>
    </row>
    <row r="3538" spans="1:14" x14ac:dyDescent="0.35">
      <c r="A3538" s="1" t="s">
        <v>4333</v>
      </c>
      <c r="B3538" s="1" t="s">
        <v>2850</v>
      </c>
      <c r="C3538" s="1" t="s">
        <v>332</v>
      </c>
      <c r="D3538" s="1" t="s">
        <v>21</v>
      </c>
      <c r="E3538" s="1" t="s">
        <v>22</v>
      </c>
      <c r="F3538" s="1" t="s">
        <v>21</v>
      </c>
      <c r="G3538" s="1">
        <v>12</v>
      </c>
      <c r="H3538" s="1">
        <v>11101</v>
      </c>
      <c r="I3538" s="1">
        <v>0</v>
      </c>
      <c r="J3538" s="1">
        <v>133212</v>
      </c>
      <c r="K3538" s="1">
        <v>20886.48</v>
      </c>
      <c r="L3538" s="1" t="s">
        <v>23</v>
      </c>
      <c r="M3538" s="1" t="str">
        <f>TEXT(Table1[[#This Row],[Order Date]],"mmm")</f>
        <v>Dec</v>
      </c>
      <c r="N3538" s="1">
        <f>YEAR(Table1[[#This Row],[Order Date]])</f>
        <v>2023</v>
      </c>
    </row>
    <row r="3539" spans="1:14" x14ac:dyDescent="0.35">
      <c r="A3539" s="1" t="s">
        <v>4334</v>
      </c>
      <c r="B3539" s="1" t="s">
        <v>2045</v>
      </c>
      <c r="C3539" s="1" t="s">
        <v>128</v>
      </c>
      <c r="D3539" s="1" t="s">
        <v>133</v>
      </c>
      <c r="E3539" s="1" t="s">
        <v>22</v>
      </c>
      <c r="F3539" s="1" t="s">
        <v>133</v>
      </c>
      <c r="G3539" s="1">
        <v>11</v>
      </c>
      <c r="H3539" s="1">
        <v>57011</v>
      </c>
      <c r="I3539" s="1">
        <v>0.15</v>
      </c>
      <c r="J3539" s="1">
        <v>533052.85</v>
      </c>
      <c r="K3539" s="1">
        <v>90399.56</v>
      </c>
      <c r="L3539" s="1" t="s">
        <v>45</v>
      </c>
      <c r="M3539" s="1" t="str">
        <f>TEXT(Table1[[#This Row],[Order Date]],"mmm")</f>
        <v>Sep</v>
      </c>
      <c r="N3539" s="1">
        <f>YEAR(Table1[[#This Row],[Order Date]])</f>
        <v>2024</v>
      </c>
    </row>
    <row r="3540" spans="1:14" x14ac:dyDescent="0.35">
      <c r="A3540" s="1" t="s">
        <v>4335</v>
      </c>
      <c r="B3540" s="1" t="s">
        <v>1029</v>
      </c>
      <c r="C3540" s="1" t="s">
        <v>255</v>
      </c>
      <c r="D3540" s="1" t="s">
        <v>78</v>
      </c>
      <c r="E3540" s="1" t="s">
        <v>28</v>
      </c>
      <c r="F3540" s="1" t="s">
        <v>78</v>
      </c>
      <c r="G3540" s="1">
        <v>5</v>
      </c>
      <c r="H3540" s="1">
        <v>17096</v>
      </c>
      <c r="I3540" s="1">
        <v>0.05</v>
      </c>
      <c r="J3540" s="1">
        <v>81206</v>
      </c>
      <c r="K3540" s="1">
        <v>12883.23</v>
      </c>
      <c r="L3540" s="1" t="s">
        <v>17</v>
      </c>
      <c r="M3540" s="1" t="str">
        <f>TEXT(Table1[[#This Row],[Order Date]],"mmm")</f>
        <v>Nov</v>
      </c>
      <c r="N3540" s="1">
        <f>YEAR(Table1[[#This Row],[Order Date]])</f>
        <v>2024</v>
      </c>
    </row>
    <row r="3541" spans="1:14" x14ac:dyDescent="0.35">
      <c r="A3541" s="1" t="s">
        <v>4336</v>
      </c>
      <c r="B3541" s="1" t="s">
        <v>423</v>
      </c>
      <c r="C3541" s="1" t="s">
        <v>67</v>
      </c>
      <c r="D3541" s="1" t="s">
        <v>44</v>
      </c>
      <c r="E3541" s="1" t="s">
        <v>28</v>
      </c>
      <c r="F3541" s="1" t="s">
        <v>44</v>
      </c>
      <c r="G3541" s="1">
        <v>2</v>
      </c>
      <c r="H3541" s="1">
        <v>39552</v>
      </c>
      <c r="I3541" s="1">
        <v>0.05</v>
      </c>
      <c r="J3541" s="1">
        <v>75148.800000000003</v>
      </c>
      <c r="K3541" s="1">
        <v>17742.2</v>
      </c>
      <c r="L3541" s="1" t="s">
        <v>70</v>
      </c>
      <c r="M3541" s="1" t="str">
        <f>TEXT(Table1[[#This Row],[Order Date]],"mmm")</f>
        <v>May</v>
      </c>
      <c r="N3541" s="1">
        <f>YEAR(Table1[[#This Row],[Order Date]])</f>
        <v>2023</v>
      </c>
    </row>
    <row r="3542" spans="1:14" x14ac:dyDescent="0.35">
      <c r="A3542" s="1" t="s">
        <v>4337</v>
      </c>
      <c r="B3542" s="1" t="s">
        <v>457</v>
      </c>
      <c r="C3542" s="1" t="s">
        <v>14</v>
      </c>
      <c r="D3542" s="1" t="s">
        <v>44</v>
      </c>
      <c r="E3542" s="1" t="s">
        <v>28</v>
      </c>
      <c r="F3542" s="1" t="s">
        <v>44</v>
      </c>
      <c r="G3542" s="1">
        <v>5</v>
      </c>
      <c r="H3542" s="1">
        <v>49710</v>
      </c>
      <c r="I3542" s="1">
        <v>0.05</v>
      </c>
      <c r="J3542" s="1">
        <v>236122.5</v>
      </c>
      <c r="K3542" s="1">
        <v>64989.49</v>
      </c>
      <c r="L3542" s="1" t="s">
        <v>70</v>
      </c>
      <c r="M3542" s="1" t="str">
        <f>TEXT(Table1[[#This Row],[Order Date]],"mmm")</f>
        <v>Mar</v>
      </c>
      <c r="N3542" s="1">
        <f>YEAR(Table1[[#This Row],[Order Date]])</f>
        <v>2024</v>
      </c>
    </row>
    <row r="3543" spans="1:14" x14ac:dyDescent="0.35">
      <c r="A3543" s="1" t="s">
        <v>4338</v>
      </c>
      <c r="B3543" s="1" t="s">
        <v>1324</v>
      </c>
      <c r="C3543" s="1" t="s">
        <v>40</v>
      </c>
      <c r="D3543" s="1" t="s">
        <v>44</v>
      </c>
      <c r="E3543" s="1" t="s">
        <v>28</v>
      </c>
      <c r="F3543" s="1" t="s">
        <v>44</v>
      </c>
      <c r="G3543" s="1">
        <v>6</v>
      </c>
      <c r="H3543" s="1">
        <v>7304</v>
      </c>
      <c r="I3543" s="1">
        <v>0.15</v>
      </c>
      <c r="J3543" s="1">
        <v>37250.400000000001</v>
      </c>
      <c r="K3543" s="1">
        <v>9621.44</v>
      </c>
      <c r="L3543" s="1" t="s">
        <v>45</v>
      </c>
      <c r="M3543" s="1" t="str">
        <f>TEXT(Table1[[#This Row],[Order Date]],"mmm")</f>
        <v>Aug</v>
      </c>
      <c r="N3543" s="1">
        <f>YEAR(Table1[[#This Row],[Order Date]])</f>
        <v>2024</v>
      </c>
    </row>
    <row r="3544" spans="1:14" x14ac:dyDescent="0.35">
      <c r="A3544" s="1" t="s">
        <v>4339</v>
      </c>
      <c r="B3544" s="1" t="s">
        <v>1860</v>
      </c>
      <c r="C3544" s="1" t="s">
        <v>67</v>
      </c>
      <c r="D3544" s="1" t="s">
        <v>85</v>
      </c>
      <c r="E3544" s="1" t="s">
        <v>28</v>
      </c>
      <c r="F3544" s="1" t="s">
        <v>85</v>
      </c>
      <c r="G3544" s="1">
        <v>8</v>
      </c>
      <c r="H3544" s="1">
        <v>41468</v>
      </c>
      <c r="I3544" s="1">
        <v>0.2</v>
      </c>
      <c r="J3544" s="1">
        <v>265395.20000000001</v>
      </c>
      <c r="K3544" s="1">
        <v>76047.289999999994</v>
      </c>
      <c r="L3544" s="1" t="s">
        <v>70</v>
      </c>
      <c r="M3544" s="1" t="str">
        <f>TEXT(Table1[[#This Row],[Order Date]],"mmm")</f>
        <v>Jul</v>
      </c>
      <c r="N3544" s="1">
        <f>YEAR(Table1[[#This Row],[Order Date]])</f>
        <v>2023</v>
      </c>
    </row>
    <row r="3545" spans="1:14" x14ac:dyDescent="0.35">
      <c r="A3545" s="1" t="s">
        <v>4340</v>
      </c>
      <c r="B3545" s="1" t="s">
        <v>1842</v>
      </c>
      <c r="C3545" s="1" t="s">
        <v>101</v>
      </c>
      <c r="D3545" s="1" t="s">
        <v>27</v>
      </c>
      <c r="E3545" s="1" t="s">
        <v>28</v>
      </c>
      <c r="F3545" s="1" t="s">
        <v>27</v>
      </c>
      <c r="G3545" s="1">
        <v>2</v>
      </c>
      <c r="H3545" s="1">
        <v>32217</v>
      </c>
      <c r="I3545" s="1">
        <v>0.2</v>
      </c>
      <c r="J3545" s="1">
        <v>51547.199999999997</v>
      </c>
      <c r="K3545" s="1">
        <v>14435.23</v>
      </c>
      <c r="L3545" s="1" t="s">
        <v>70</v>
      </c>
      <c r="M3545" s="1" t="str">
        <f>TEXT(Table1[[#This Row],[Order Date]],"mmm")</f>
        <v>Oct</v>
      </c>
      <c r="N3545" s="1">
        <f>YEAR(Table1[[#This Row],[Order Date]])</f>
        <v>2023</v>
      </c>
    </row>
    <row r="3546" spans="1:14" x14ac:dyDescent="0.35">
      <c r="A3546" s="1" t="s">
        <v>4341</v>
      </c>
      <c r="B3546" s="1" t="s">
        <v>2460</v>
      </c>
      <c r="C3546" s="1" t="s">
        <v>140</v>
      </c>
      <c r="D3546" s="1" t="s">
        <v>224</v>
      </c>
      <c r="E3546" s="1" t="s">
        <v>33</v>
      </c>
      <c r="F3546" s="1" t="s">
        <v>224</v>
      </c>
      <c r="G3546" s="1">
        <v>10</v>
      </c>
      <c r="H3546" s="1">
        <v>9688</v>
      </c>
      <c r="I3546" s="1">
        <v>0.1</v>
      </c>
      <c r="J3546" s="1">
        <v>87192</v>
      </c>
      <c r="K3546" s="1">
        <v>13103.23</v>
      </c>
      <c r="L3546" s="1" t="s">
        <v>23</v>
      </c>
      <c r="M3546" s="1" t="str">
        <f>TEXT(Table1[[#This Row],[Order Date]],"mmm")</f>
        <v>Jan</v>
      </c>
      <c r="N3546" s="1">
        <f>YEAR(Table1[[#This Row],[Order Date]])</f>
        <v>2023</v>
      </c>
    </row>
    <row r="3547" spans="1:14" x14ac:dyDescent="0.35">
      <c r="A3547" s="1" t="s">
        <v>4342</v>
      </c>
      <c r="B3547" s="1" t="s">
        <v>1131</v>
      </c>
      <c r="C3547" s="1" t="s">
        <v>170</v>
      </c>
      <c r="D3547" s="1" t="s">
        <v>52</v>
      </c>
      <c r="E3547" s="1" t="s">
        <v>28</v>
      </c>
      <c r="F3547" s="1" t="s">
        <v>52</v>
      </c>
      <c r="G3547" s="1">
        <v>15</v>
      </c>
      <c r="H3547" s="1">
        <v>14141</v>
      </c>
      <c r="I3547" s="1">
        <v>0.1</v>
      </c>
      <c r="J3547" s="1">
        <v>190903.5</v>
      </c>
      <c r="K3547" s="1">
        <v>19210.740000000002</v>
      </c>
      <c r="L3547" s="1" t="s">
        <v>45</v>
      </c>
      <c r="M3547" s="1" t="str">
        <f>TEXT(Table1[[#This Row],[Order Date]],"mmm")</f>
        <v>Sep</v>
      </c>
      <c r="N3547" s="1">
        <f>YEAR(Table1[[#This Row],[Order Date]])</f>
        <v>2023</v>
      </c>
    </row>
    <row r="3548" spans="1:14" x14ac:dyDescent="0.35">
      <c r="A3548" s="1" t="s">
        <v>4343</v>
      </c>
      <c r="B3548" s="1" t="s">
        <v>248</v>
      </c>
      <c r="C3548" s="1" t="s">
        <v>117</v>
      </c>
      <c r="D3548" s="1" t="s">
        <v>27</v>
      </c>
      <c r="E3548" s="1" t="s">
        <v>28</v>
      </c>
      <c r="F3548" s="1" t="s">
        <v>27</v>
      </c>
      <c r="G3548" s="1">
        <v>12</v>
      </c>
      <c r="H3548" s="1">
        <v>35108</v>
      </c>
      <c r="I3548" s="1">
        <v>0.2</v>
      </c>
      <c r="J3548" s="1">
        <v>337036.79999999999</v>
      </c>
      <c r="K3548" s="1">
        <v>30873.85</v>
      </c>
      <c r="L3548" s="1" t="s">
        <v>70</v>
      </c>
      <c r="M3548" s="1" t="str">
        <f>TEXT(Table1[[#This Row],[Order Date]],"mmm")</f>
        <v>Oct</v>
      </c>
      <c r="N3548" s="1">
        <f>YEAR(Table1[[#This Row],[Order Date]])</f>
        <v>2024</v>
      </c>
    </row>
    <row r="3549" spans="1:14" x14ac:dyDescent="0.35">
      <c r="A3549" s="1" t="s">
        <v>4344</v>
      </c>
      <c r="B3549" s="1" t="s">
        <v>1337</v>
      </c>
      <c r="C3549" s="1" t="s">
        <v>640</v>
      </c>
      <c r="D3549" s="1" t="s">
        <v>37</v>
      </c>
      <c r="E3549" s="1" t="s">
        <v>16</v>
      </c>
      <c r="F3549" s="1" t="s">
        <v>37</v>
      </c>
      <c r="G3549" s="1">
        <v>4</v>
      </c>
      <c r="H3549" s="1">
        <v>14353</v>
      </c>
      <c r="I3549" s="1">
        <v>0.2</v>
      </c>
      <c r="J3549" s="1">
        <v>45929.599999999999</v>
      </c>
      <c r="K3549" s="1">
        <v>9428.9699999999993</v>
      </c>
      <c r="L3549" s="1" t="s">
        <v>17</v>
      </c>
      <c r="M3549" s="1" t="str">
        <f>TEXT(Table1[[#This Row],[Order Date]],"mmm")</f>
        <v>Dec</v>
      </c>
      <c r="N3549" s="1">
        <f>YEAR(Table1[[#This Row],[Order Date]])</f>
        <v>2024</v>
      </c>
    </row>
    <row r="3550" spans="1:14" x14ac:dyDescent="0.35">
      <c r="A3550" s="1" t="s">
        <v>4345</v>
      </c>
      <c r="B3550" s="1" t="s">
        <v>183</v>
      </c>
      <c r="C3550" s="1" t="s">
        <v>188</v>
      </c>
      <c r="D3550" s="1" t="s">
        <v>74</v>
      </c>
      <c r="E3550" s="1" t="s">
        <v>22</v>
      </c>
      <c r="F3550" s="1" t="s">
        <v>74</v>
      </c>
      <c r="G3550" s="1">
        <v>3</v>
      </c>
      <c r="H3550" s="1">
        <v>11472</v>
      </c>
      <c r="I3550" s="1">
        <v>0.2</v>
      </c>
      <c r="J3550" s="1">
        <v>27532.799999999999</v>
      </c>
      <c r="K3550" s="1">
        <v>7323.58</v>
      </c>
      <c r="L3550" s="1" t="s">
        <v>23</v>
      </c>
      <c r="M3550" s="1" t="str">
        <f>TEXT(Table1[[#This Row],[Order Date]],"mmm")</f>
        <v>Jul</v>
      </c>
      <c r="N3550" s="1">
        <f>YEAR(Table1[[#This Row],[Order Date]])</f>
        <v>2024</v>
      </c>
    </row>
    <row r="3551" spans="1:14" x14ac:dyDescent="0.35">
      <c r="A3551" s="1" t="s">
        <v>4346</v>
      </c>
      <c r="B3551" s="1" t="s">
        <v>1299</v>
      </c>
      <c r="C3551" s="1" t="s">
        <v>98</v>
      </c>
      <c r="D3551" s="1" t="s">
        <v>167</v>
      </c>
      <c r="E3551" s="1" t="s">
        <v>16</v>
      </c>
      <c r="F3551" s="1" t="s">
        <v>167</v>
      </c>
      <c r="G3551" s="1">
        <v>7</v>
      </c>
      <c r="H3551" s="1">
        <v>23837</v>
      </c>
      <c r="I3551" s="1">
        <v>0.05</v>
      </c>
      <c r="J3551" s="1">
        <v>158516.04999999999</v>
      </c>
      <c r="K3551" s="1">
        <v>22828.86</v>
      </c>
      <c r="L3551" s="1" t="s">
        <v>23</v>
      </c>
      <c r="M3551" s="1" t="str">
        <f>TEXT(Table1[[#This Row],[Order Date]],"mmm")</f>
        <v>Sep</v>
      </c>
      <c r="N3551" s="1">
        <f>YEAR(Table1[[#This Row],[Order Date]])</f>
        <v>2024</v>
      </c>
    </row>
    <row r="3552" spans="1:14" x14ac:dyDescent="0.35">
      <c r="A3552" s="1" t="s">
        <v>4347</v>
      </c>
      <c r="B3552" s="1" t="s">
        <v>774</v>
      </c>
      <c r="C3552" s="1" t="s">
        <v>188</v>
      </c>
      <c r="D3552" s="1" t="s">
        <v>179</v>
      </c>
      <c r="E3552" s="1" t="s">
        <v>28</v>
      </c>
      <c r="F3552" s="1" t="s">
        <v>179</v>
      </c>
      <c r="G3552" s="1">
        <v>11</v>
      </c>
      <c r="H3552" s="1">
        <v>40116</v>
      </c>
      <c r="I3552" s="1">
        <v>0.2</v>
      </c>
      <c r="J3552" s="1">
        <v>353020.8</v>
      </c>
      <c r="K3552" s="1">
        <v>98040.04</v>
      </c>
      <c r="L3552" s="1" t="s">
        <v>45</v>
      </c>
      <c r="M3552" s="1" t="str">
        <f>TEXT(Table1[[#This Row],[Order Date]],"mmm")</f>
        <v>Mar</v>
      </c>
      <c r="N3552" s="1">
        <f>YEAR(Table1[[#This Row],[Order Date]])</f>
        <v>2024</v>
      </c>
    </row>
    <row r="3553" spans="1:14" x14ac:dyDescent="0.35">
      <c r="A3553" s="1" t="s">
        <v>4348</v>
      </c>
      <c r="B3553" s="1" t="s">
        <v>396</v>
      </c>
      <c r="C3553" s="1" t="s">
        <v>101</v>
      </c>
      <c r="D3553" s="1" t="s">
        <v>52</v>
      </c>
      <c r="E3553" s="1" t="s">
        <v>28</v>
      </c>
      <c r="F3553" s="1" t="s">
        <v>52</v>
      </c>
      <c r="G3553" s="1">
        <v>1</v>
      </c>
      <c r="H3553" s="1">
        <v>14849</v>
      </c>
      <c r="I3553" s="1">
        <v>0.05</v>
      </c>
      <c r="J3553" s="1">
        <v>14106.55</v>
      </c>
      <c r="K3553" s="1">
        <v>2687.6</v>
      </c>
      <c r="L3553" s="1" t="s">
        <v>23</v>
      </c>
      <c r="M3553" s="1" t="str">
        <f>TEXT(Table1[[#This Row],[Order Date]],"mmm")</f>
        <v>Jul</v>
      </c>
      <c r="N3553" s="1">
        <f>YEAR(Table1[[#This Row],[Order Date]])</f>
        <v>2023</v>
      </c>
    </row>
    <row r="3554" spans="1:14" x14ac:dyDescent="0.35">
      <c r="A3554" s="1" t="s">
        <v>4349</v>
      </c>
      <c r="B3554" s="1" t="s">
        <v>226</v>
      </c>
      <c r="C3554" s="1" t="s">
        <v>155</v>
      </c>
      <c r="D3554" s="1" t="s">
        <v>52</v>
      </c>
      <c r="E3554" s="1" t="s">
        <v>28</v>
      </c>
      <c r="F3554" s="1" t="s">
        <v>52</v>
      </c>
      <c r="G3554" s="1">
        <v>15</v>
      </c>
      <c r="H3554" s="1">
        <v>3407</v>
      </c>
      <c r="I3554" s="1">
        <v>0</v>
      </c>
      <c r="J3554" s="1">
        <v>51105</v>
      </c>
      <c r="K3554" s="1">
        <v>10059.040000000001</v>
      </c>
      <c r="L3554" s="1" t="s">
        <v>70</v>
      </c>
      <c r="M3554" s="1" t="str">
        <f>TEXT(Table1[[#This Row],[Order Date]],"mmm")</f>
        <v>Oct</v>
      </c>
      <c r="N3554" s="1">
        <f>YEAR(Table1[[#This Row],[Order Date]])</f>
        <v>2024</v>
      </c>
    </row>
    <row r="3555" spans="1:14" x14ac:dyDescent="0.35">
      <c r="A3555" s="1" t="s">
        <v>4350</v>
      </c>
      <c r="B3555" s="1" t="s">
        <v>843</v>
      </c>
      <c r="C3555" s="1" t="s">
        <v>136</v>
      </c>
      <c r="D3555" s="1" t="s">
        <v>137</v>
      </c>
      <c r="E3555" s="1" t="s">
        <v>22</v>
      </c>
      <c r="F3555" s="1" t="s">
        <v>137</v>
      </c>
      <c r="G3555" s="1">
        <v>12</v>
      </c>
      <c r="H3555" s="1">
        <v>31963</v>
      </c>
      <c r="I3555" s="1">
        <v>0</v>
      </c>
      <c r="J3555" s="1">
        <v>383556</v>
      </c>
      <c r="K3555" s="1">
        <v>111020.83</v>
      </c>
      <c r="L3555" s="1" t="s">
        <v>17</v>
      </c>
      <c r="M3555" s="1" t="str">
        <f>TEXT(Table1[[#This Row],[Order Date]],"mmm")</f>
        <v>Feb</v>
      </c>
      <c r="N3555" s="1">
        <f>YEAR(Table1[[#This Row],[Order Date]])</f>
        <v>2023</v>
      </c>
    </row>
    <row r="3556" spans="1:14" x14ac:dyDescent="0.35">
      <c r="A3556" s="1" t="s">
        <v>4351</v>
      </c>
      <c r="B3556" s="1" t="s">
        <v>4099</v>
      </c>
      <c r="C3556" s="1" t="s">
        <v>208</v>
      </c>
      <c r="D3556" s="1" t="s">
        <v>91</v>
      </c>
      <c r="E3556" s="1" t="s">
        <v>16</v>
      </c>
      <c r="F3556" s="1" t="s">
        <v>91</v>
      </c>
      <c r="G3556" s="1">
        <v>10</v>
      </c>
      <c r="H3556" s="1">
        <v>46961</v>
      </c>
      <c r="I3556" s="1">
        <v>0.1</v>
      </c>
      <c r="J3556" s="1">
        <v>422649</v>
      </c>
      <c r="K3556" s="1">
        <v>61910.91</v>
      </c>
      <c r="L3556" s="1" t="s">
        <v>17</v>
      </c>
      <c r="M3556" s="1" t="str">
        <f>TEXT(Table1[[#This Row],[Order Date]],"mmm")</f>
        <v>Oct</v>
      </c>
      <c r="N3556" s="1">
        <f>YEAR(Table1[[#This Row],[Order Date]])</f>
        <v>2024</v>
      </c>
    </row>
    <row r="3557" spans="1:14" x14ac:dyDescent="0.35">
      <c r="A3557" s="1" t="s">
        <v>4352</v>
      </c>
      <c r="B3557" s="1" t="s">
        <v>1166</v>
      </c>
      <c r="C3557" s="1" t="s">
        <v>146</v>
      </c>
      <c r="D3557" s="1" t="s">
        <v>32</v>
      </c>
      <c r="E3557" s="1" t="s">
        <v>33</v>
      </c>
      <c r="F3557" s="1" t="s">
        <v>32</v>
      </c>
      <c r="G3557" s="1">
        <v>2</v>
      </c>
      <c r="H3557" s="1">
        <v>16460</v>
      </c>
      <c r="I3557" s="1">
        <v>0.05</v>
      </c>
      <c r="J3557" s="1">
        <v>31274</v>
      </c>
      <c r="K3557" s="1">
        <v>6376.69</v>
      </c>
      <c r="L3557" s="1" t="s">
        <v>70</v>
      </c>
      <c r="M3557" s="1" t="str">
        <f>TEXT(Table1[[#This Row],[Order Date]],"mmm")</f>
        <v>Oct</v>
      </c>
      <c r="N3557" s="1">
        <f>YEAR(Table1[[#This Row],[Order Date]])</f>
        <v>2024</v>
      </c>
    </row>
    <row r="3558" spans="1:14" x14ac:dyDescent="0.35">
      <c r="A3558" s="1" t="s">
        <v>4353</v>
      </c>
      <c r="B3558" s="1" t="s">
        <v>800</v>
      </c>
      <c r="C3558" s="1" t="s">
        <v>362</v>
      </c>
      <c r="D3558" s="1" t="s">
        <v>133</v>
      </c>
      <c r="E3558" s="1" t="s">
        <v>22</v>
      </c>
      <c r="F3558" s="1" t="s">
        <v>133</v>
      </c>
      <c r="G3558" s="1">
        <v>9</v>
      </c>
      <c r="H3558" s="1">
        <v>31575</v>
      </c>
      <c r="I3558" s="1">
        <v>0.15</v>
      </c>
      <c r="J3558" s="1">
        <v>241548.75</v>
      </c>
      <c r="K3558" s="1">
        <v>65106.46</v>
      </c>
      <c r="L3558" s="1" t="s">
        <v>17</v>
      </c>
      <c r="M3558" s="1" t="str">
        <f>TEXT(Table1[[#This Row],[Order Date]],"mmm")</f>
        <v>Oct</v>
      </c>
      <c r="N3558" s="1">
        <f>YEAR(Table1[[#This Row],[Order Date]])</f>
        <v>2023</v>
      </c>
    </row>
    <row r="3559" spans="1:14" x14ac:dyDescent="0.35">
      <c r="A3559" s="1" t="s">
        <v>4354</v>
      </c>
      <c r="B3559" s="1" t="s">
        <v>276</v>
      </c>
      <c r="C3559" s="1" t="s">
        <v>94</v>
      </c>
      <c r="D3559" s="1" t="s">
        <v>114</v>
      </c>
      <c r="E3559" s="1" t="s">
        <v>16</v>
      </c>
      <c r="F3559" s="1" t="s">
        <v>114</v>
      </c>
      <c r="G3559" s="1">
        <v>11</v>
      </c>
      <c r="H3559" s="1">
        <v>26957</v>
      </c>
      <c r="I3559" s="1">
        <v>0.2</v>
      </c>
      <c r="J3559" s="1">
        <v>237221.6</v>
      </c>
      <c r="K3559" s="1">
        <v>19859.38</v>
      </c>
      <c r="L3559" s="1" t="s">
        <v>45</v>
      </c>
      <c r="M3559" s="1" t="str">
        <f>TEXT(Table1[[#This Row],[Order Date]],"mmm")</f>
        <v>Apr</v>
      </c>
      <c r="N3559" s="1">
        <f>YEAR(Table1[[#This Row],[Order Date]])</f>
        <v>2024</v>
      </c>
    </row>
    <row r="3560" spans="1:14" x14ac:dyDescent="0.35">
      <c r="A3560" s="1" t="s">
        <v>4355</v>
      </c>
      <c r="B3560" s="1" t="s">
        <v>1297</v>
      </c>
      <c r="C3560" s="1" t="s">
        <v>332</v>
      </c>
      <c r="D3560" s="1" t="s">
        <v>85</v>
      </c>
      <c r="E3560" s="1" t="s">
        <v>28</v>
      </c>
      <c r="F3560" s="1" t="s">
        <v>85</v>
      </c>
      <c r="G3560" s="1">
        <v>7</v>
      </c>
      <c r="H3560" s="1">
        <v>49849</v>
      </c>
      <c r="I3560" s="1">
        <v>0.05</v>
      </c>
      <c r="J3560" s="1">
        <v>331495.84999999998</v>
      </c>
      <c r="K3560" s="1">
        <v>42598.66</v>
      </c>
      <c r="L3560" s="1" t="s">
        <v>45</v>
      </c>
      <c r="M3560" s="1" t="str">
        <f>TEXT(Table1[[#This Row],[Order Date]],"mmm")</f>
        <v>Jun</v>
      </c>
      <c r="N3560" s="1">
        <f>YEAR(Table1[[#This Row],[Order Date]])</f>
        <v>2024</v>
      </c>
    </row>
    <row r="3561" spans="1:14" x14ac:dyDescent="0.35">
      <c r="A3561" s="1" t="s">
        <v>4356</v>
      </c>
      <c r="B3561" s="1" t="s">
        <v>621</v>
      </c>
      <c r="C3561" s="1" t="s">
        <v>20</v>
      </c>
      <c r="D3561" s="1" t="s">
        <v>95</v>
      </c>
      <c r="E3561" s="1" t="s">
        <v>33</v>
      </c>
      <c r="F3561" s="1" t="s">
        <v>95</v>
      </c>
      <c r="G3561" s="1">
        <v>9</v>
      </c>
      <c r="H3561" s="1">
        <v>23605</v>
      </c>
      <c r="I3561" s="1">
        <v>0.2</v>
      </c>
      <c r="J3561" s="1">
        <v>169956</v>
      </c>
      <c r="K3561" s="1">
        <v>40850.019999999997</v>
      </c>
      <c r="L3561" s="1" t="s">
        <v>17</v>
      </c>
      <c r="M3561" s="1" t="str">
        <f>TEXT(Table1[[#This Row],[Order Date]],"mmm")</f>
        <v>Jan</v>
      </c>
      <c r="N3561" s="1">
        <f>YEAR(Table1[[#This Row],[Order Date]])</f>
        <v>2024</v>
      </c>
    </row>
    <row r="3562" spans="1:14" x14ac:dyDescent="0.35">
      <c r="A3562" s="1" t="s">
        <v>4357</v>
      </c>
      <c r="B3562" s="1" t="s">
        <v>1048</v>
      </c>
      <c r="C3562" s="1" t="s">
        <v>188</v>
      </c>
      <c r="D3562" s="1" t="s">
        <v>293</v>
      </c>
      <c r="E3562" s="1" t="s">
        <v>33</v>
      </c>
      <c r="F3562" s="1" t="s">
        <v>293</v>
      </c>
      <c r="G3562" s="1">
        <v>9</v>
      </c>
      <c r="H3562" s="1">
        <v>28366</v>
      </c>
      <c r="I3562" s="1">
        <v>0.1</v>
      </c>
      <c r="J3562" s="1">
        <v>229764.6</v>
      </c>
      <c r="K3562" s="1">
        <v>39864.400000000001</v>
      </c>
      <c r="L3562" s="1" t="s">
        <v>45</v>
      </c>
      <c r="M3562" s="1" t="str">
        <f>TEXT(Table1[[#This Row],[Order Date]],"mmm")</f>
        <v>May</v>
      </c>
      <c r="N3562" s="1">
        <f>YEAR(Table1[[#This Row],[Order Date]])</f>
        <v>2024</v>
      </c>
    </row>
    <row r="3563" spans="1:14" x14ac:dyDescent="0.35">
      <c r="A3563" s="1" t="s">
        <v>4358</v>
      </c>
      <c r="B3563" s="1" t="s">
        <v>1054</v>
      </c>
      <c r="C3563" s="1" t="s">
        <v>31</v>
      </c>
      <c r="D3563" s="1" t="s">
        <v>27</v>
      </c>
      <c r="E3563" s="1" t="s">
        <v>28</v>
      </c>
      <c r="F3563" s="1" t="s">
        <v>27</v>
      </c>
      <c r="G3563" s="1">
        <v>9</v>
      </c>
      <c r="H3563" s="1">
        <v>2564</v>
      </c>
      <c r="I3563" s="1">
        <v>0.05</v>
      </c>
      <c r="J3563" s="1">
        <v>21922.2</v>
      </c>
      <c r="K3563" s="1">
        <v>5210.8</v>
      </c>
      <c r="L3563" s="1" t="s">
        <v>45</v>
      </c>
      <c r="M3563" s="1" t="str">
        <f>TEXT(Table1[[#This Row],[Order Date]],"mmm")</f>
        <v>Nov</v>
      </c>
      <c r="N3563" s="1">
        <f>YEAR(Table1[[#This Row],[Order Date]])</f>
        <v>2023</v>
      </c>
    </row>
    <row r="3564" spans="1:14" x14ac:dyDescent="0.35">
      <c r="A3564" s="1" t="s">
        <v>4359</v>
      </c>
      <c r="B3564" s="1" t="s">
        <v>2953</v>
      </c>
      <c r="C3564" s="1" t="s">
        <v>170</v>
      </c>
      <c r="D3564" s="1" t="s">
        <v>114</v>
      </c>
      <c r="E3564" s="1" t="s">
        <v>16</v>
      </c>
      <c r="F3564" s="1" t="s">
        <v>114</v>
      </c>
      <c r="G3564" s="1">
        <v>15</v>
      </c>
      <c r="H3564" s="1">
        <v>20987</v>
      </c>
      <c r="I3564" s="1">
        <v>0</v>
      </c>
      <c r="J3564" s="1">
        <v>314805</v>
      </c>
      <c r="K3564" s="1">
        <v>31651.98</v>
      </c>
      <c r="L3564" s="1" t="s">
        <v>45</v>
      </c>
      <c r="M3564" s="1" t="str">
        <f>TEXT(Table1[[#This Row],[Order Date]],"mmm")</f>
        <v>Jun</v>
      </c>
      <c r="N3564" s="1">
        <f>YEAR(Table1[[#This Row],[Order Date]])</f>
        <v>2023</v>
      </c>
    </row>
    <row r="3565" spans="1:14" x14ac:dyDescent="0.35">
      <c r="A3565" s="1" t="s">
        <v>4360</v>
      </c>
      <c r="B3565" s="1" t="s">
        <v>1015</v>
      </c>
      <c r="C3565" s="1" t="s">
        <v>146</v>
      </c>
      <c r="D3565" s="1" t="s">
        <v>167</v>
      </c>
      <c r="E3565" s="1" t="s">
        <v>16</v>
      </c>
      <c r="F3565" s="1" t="s">
        <v>167</v>
      </c>
      <c r="G3565" s="1">
        <v>14</v>
      </c>
      <c r="H3565" s="1">
        <v>12987</v>
      </c>
      <c r="I3565" s="1">
        <v>0</v>
      </c>
      <c r="J3565" s="1">
        <v>181818</v>
      </c>
      <c r="K3565" s="1">
        <v>29233.56</v>
      </c>
      <c r="L3565" s="1" t="s">
        <v>17</v>
      </c>
      <c r="M3565" s="1" t="str">
        <f>TEXT(Table1[[#This Row],[Order Date]],"mmm")</f>
        <v>Aug</v>
      </c>
      <c r="N3565" s="1">
        <f>YEAR(Table1[[#This Row],[Order Date]])</f>
        <v>2023</v>
      </c>
    </row>
    <row r="3566" spans="1:14" x14ac:dyDescent="0.35">
      <c r="A3566" s="1" t="s">
        <v>4361</v>
      </c>
      <c r="B3566" s="1" t="s">
        <v>205</v>
      </c>
      <c r="C3566" s="1" t="s">
        <v>77</v>
      </c>
      <c r="D3566" s="1" t="s">
        <v>56</v>
      </c>
      <c r="E3566" s="1" t="s">
        <v>22</v>
      </c>
      <c r="F3566" s="1" t="s">
        <v>56</v>
      </c>
      <c r="G3566" s="1">
        <v>10</v>
      </c>
      <c r="H3566" s="1">
        <v>36018</v>
      </c>
      <c r="I3566" s="1">
        <v>0.05</v>
      </c>
      <c r="J3566" s="1">
        <v>342171</v>
      </c>
      <c r="K3566" s="1">
        <v>102374.6</v>
      </c>
      <c r="L3566" s="1" t="s">
        <v>23</v>
      </c>
      <c r="M3566" s="1" t="str">
        <f>TEXT(Table1[[#This Row],[Order Date]],"mmm")</f>
        <v>Feb</v>
      </c>
      <c r="N3566" s="1">
        <f>YEAR(Table1[[#This Row],[Order Date]])</f>
        <v>2023</v>
      </c>
    </row>
    <row r="3567" spans="1:14" x14ac:dyDescent="0.35">
      <c r="A3567" s="1" t="s">
        <v>4362</v>
      </c>
      <c r="B3567" s="1" t="s">
        <v>1755</v>
      </c>
      <c r="C3567" s="1" t="s">
        <v>349</v>
      </c>
      <c r="D3567" s="1" t="s">
        <v>151</v>
      </c>
      <c r="E3567" s="1" t="s">
        <v>22</v>
      </c>
      <c r="F3567" s="1" t="s">
        <v>151</v>
      </c>
      <c r="G3567" s="1">
        <v>4</v>
      </c>
      <c r="H3567" s="1">
        <v>31042</v>
      </c>
      <c r="I3567" s="1">
        <v>0.05</v>
      </c>
      <c r="J3567" s="1">
        <v>117959.6</v>
      </c>
      <c r="K3567" s="1">
        <v>26629.4</v>
      </c>
      <c r="L3567" s="1" t="s">
        <v>23</v>
      </c>
      <c r="M3567" s="1" t="str">
        <f>TEXT(Table1[[#This Row],[Order Date]],"mmm")</f>
        <v>May</v>
      </c>
      <c r="N3567" s="1">
        <f>YEAR(Table1[[#This Row],[Order Date]])</f>
        <v>2024</v>
      </c>
    </row>
    <row r="3568" spans="1:14" x14ac:dyDescent="0.35">
      <c r="A3568" s="1" t="s">
        <v>4363</v>
      </c>
      <c r="B3568" s="1" t="s">
        <v>423</v>
      </c>
      <c r="C3568" s="1" t="s">
        <v>255</v>
      </c>
      <c r="D3568" s="1" t="s">
        <v>27</v>
      </c>
      <c r="E3568" s="1" t="s">
        <v>28</v>
      </c>
      <c r="F3568" s="1" t="s">
        <v>27</v>
      </c>
      <c r="G3568" s="1">
        <v>12</v>
      </c>
      <c r="H3568" s="1">
        <v>38719</v>
      </c>
      <c r="I3568" s="1">
        <v>0</v>
      </c>
      <c r="J3568" s="1">
        <v>464628</v>
      </c>
      <c r="K3568" s="1">
        <v>86539.43</v>
      </c>
      <c r="L3568" s="1" t="s">
        <v>70</v>
      </c>
      <c r="M3568" s="1" t="str">
        <f>TEXT(Table1[[#This Row],[Order Date]],"mmm")</f>
        <v>May</v>
      </c>
      <c r="N3568" s="1">
        <f>YEAR(Table1[[#This Row],[Order Date]])</f>
        <v>2023</v>
      </c>
    </row>
    <row r="3569" spans="1:14" x14ac:dyDescent="0.35">
      <c r="A3569" s="1" t="s">
        <v>4364</v>
      </c>
      <c r="B3569" s="1" t="s">
        <v>374</v>
      </c>
      <c r="C3569" s="1" t="s">
        <v>111</v>
      </c>
      <c r="D3569" s="1" t="s">
        <v>60</v>
      </c>
      <c r="E3569" s="1" t="s">
        <v>33</v>
      </c>
      <c r="F3569" s="1" t="s">
        <v>60</v>
      </c>
      <c r="G3569" s="1">
        <v>8</v>
      </c>
      <c r="H3569" s="1">
        <v>15909</v>
      </c>
      <c r="I3569" s="1">
        <v>0.1</v>
      </c>
      <c r="J3569" s="1">
        <v>114544.8</v>
      </c>
      <c r="K3569" s="1">
        <v>9901.52</v>
      </c>
      <c r="L3569" s="1" t="s">
        <v>17</v>
      </c>
      <c r="M3569" s="1" t="str">
        <f>TEXT(Table1[[#This Row],[Order Date]],"mmm")</f>
        <v>Oct</v>
      </c>
      <c r="N3569" s="1">
        <f>YEAR(Table1[[#This Row],[Order Date]])</f>
        <v>2023</v>
      </c>
    </row>
    <row r="3570" spans="1:14" x14ac:dyDescent="0.35">
      <c r="A3570" s="1" t="s">
        <v>4365</v>
      </c>
      <c r="B3570" s="1" t="s">
        <v>879</v>
      </c>
      <c r="C3570" s="1" t="s">
        <v>81</v>
      </c>
      <c r="D3570" s="1" t="s">
        <v>74</v>
      </c>
      <c r="E3570" s="1" t="s">
        <v>22</v>
      </c>
      <c r="F3570" s="1" t="s">
        <v>74</v>
      </c>
      <c r="G3570" s="1">
        <v>13</v>
      </c>
      <c r="H3570" s="1">
        <v>14882</v>
      </c>
      <c r="I3570" s="1">
        <v>0.1</v>
      </c>
      <c r="J3570" s="1">
        <v>174119.4</v>
      </c>
      <c r="K3570" s="1">
        <v>17710.16</v>
      </c>
      <c r="L3570" s="1" t="s">
        <v>45</v>
      </c>
      <c r="M3570" s="1" t="str">
        <f>TEXT(Table1[[#This Row],[Order Date]],"mmm")</f>
        <v>Jul</v>
      </c>
      <c r="N3570" s="1">
        <f>YEAR(Table1[[#This Row],[Order Date]])</f>
        <v>2023</v>
      </c>
    </row>
    <row r="3571" spans="1:14" x14ac:dyDescent="0.35">
      <c r="A3571" s="1" t="s">
        <v>4366</v>
      </c>
      <c r="B3571" s="1" t="s">
        <v>1664</v>
      </c>
      <c r="C3571" s="1" t="s">
        <v>260</v>
      </c>
      <c r="D3571" s="1" t="s">
        <v>151</v>
      </c>
      <c r="E3571" s="1" t="s">
        <v>22</v>
      </c>
      <c r="F3571" s="1" t="s">
        <v>151</v>
      </c>
      <c r="G3571" s="1">
        <v>14</v>
      </c>
      <c r="H3571" s="1">
        <v>463</v>
      </c>
      <c r="I3571" s="1">
        <v>0</v>
      </c>
      <c r="J3571" s="1">
        <v>6482</v>
      </c>
      <c r="K3571" s="1">
        <v>943.99</v>
      </c>
      <c r="L3571" s="1" t="s">
        <v>17</v>
      </c>
      <c r="M3571" s="1" t="str">
        <f>TEXT(Table1[[#This Row],[Order Date]],"mmm")</f>
        <v>Mar</v>
      </c>
      <c r="N3571" s="1">
        <f>YEAR(Table1[[#This Row],[Order Date]])</f>
        <v>2024</v>
      </c>
    </row>
    <row r="3572" spans="1:14" x14ac:dyDescent="0.35">
      <c r="A3572" s="1" t="s">
        <v>4367</v>
      </c>
      <c r="B3572" s="1" t="s">
        <v>2460</v>
      </c>
      <c r="C3572" s="1" t="s">
        <v>20</v>
      </c>
      <c r="D3572" s="1" t="s">
        <v>167</v>
      </c>
      <c r="E3572" s="1" t="s">
        <v>16</v>
      </c>
      <c r="F3572" s="1" t="s">
        <v>167</v>
      </c>
      <c r="G3572" s="1">
        <v>8</v>
      </c>
      <c r="H3572" s="1">
        <v>28269</v>
      </c>
      <c r="I3572" s="1">
        <v>0.1</v>
      </c>
      <c r="J3572" s="1">
        <v>203536.8</v>
      </c>
      <c r="K3572" s="1">
        <v>55410.94</v>
      </c>
      <c r="L3572" s="1" t="s">
        <v>23</v>
      </c>
      <c r="M3572" s="1" t="str">
        <f>TEXT(Table1[[#This Row],[Order Date]],"mmm")</f>
        <v>Jan</v>
      </c>
      <c r="N3572" s="1">
        <f>YEAR(Table1[[#This Row],[Order Date]])</f>
        <v>2023</v>
      </c>
    </row>
    <row r="3573" spans="1:14" x14ac:dyDescent="0.35">
      <c r="A3573" s="1" t="s">
        <v>4368</v>
      </c>
      <c r="B3573" s="1" t="s">
        <v>707</v>
      </c>
      <c r="C3573" s="1" t="s">
        <v>20</v>
      </c>
      <c r="D3573" s="1" t="s">
        <v>85</v>
      </c>
      <c r="E3573" s="1" t="s">
        <v>28</v>
      </c>
      <c r="F3573" s="1" t="s">
        <v>85</v>
      </c>
      <c r="G3573" s="1">
        <v>11</v>
      </c>
      <c r="H3573" s="1">
        <v>56448</v>
      </c>
      <c r="I3573" s="1">
        <v>0</v>
      </c>
      <c r="J3573" s="1">
        <v>620928</v>
      </c>
      <c r="K3573" s="1">
        <v>116654.09</v>
      </c>
      <c r="L3573" s="1" t="s">
        <v>23</v>
      </c>
      <c r="M3573" s="1" t="str">
        <f>TEXT(Table1[[#This Row],[Order Date]],"mmm")</f>
        <v>Oct</v>
      </c>
      <c r="N3573" s="1">
        <f>YEAR(Table1[[#This Row],[Order Date]])</f>
        <v>2024</v>
      </c>
    </row>
    <row r="3574" spans="1:14" x14ac:dyDescent="0.35">
      <c r="A3574" s="1" t="s">
        <v>4369</v>
      </c>
      <c r="B3574" s="1" t="s">
        <v>735</v>
      </c>
      <c r="C3574" s="1" t="s">
        <v>188</v>
      </c>
      <c r="D3574" s="1" t="s">
        <v>179</v>
      </c>
      <c r="E3574" s="1" t="s">
        <v>28</v>
      </c>
      <c r="F3574" s="1" t="s">
        <v>179</v>
      </c>
      <c r="G3574" s="1">
        <v>1</v>
      </c>
      <c r="H3574" s="1">
        <v>48729</v>
      </c>
      <c r="I3574" s="1">
        <v>0</v>
      </c>
      <c r="J3574" s="1">
        <v>48729</v>
      </c>
      <c r="K3574" s="1">
        <v>12320.98</v>
      </c>
      <c r="L3574" s="1" t="s">
        <v>23</v>
      </c>
      <c r="M3574" s="1" t="str">
        <f>TEXT(Table1[[#This Row],[Order Date]],"mmm")</f>
        <v>Aug</v>
      </c>
      <c r="N3574" s="1">
        <f>YEAR(Table1[[#This Row],[Order Date]])</f>
        <v>2024</v>
      </c>
    </row>
    <row r="3575" spans="1:14" x14ac:dyDescent="0.35">
      <c r="A3575" s="1" t="s">
        <v>4370</v>
      </c>
      <c r="B3575" s="1" t="s">
        <v>2148</v>
      </c>
      <c r="C3575" s="1" t="s">
        <v>146</v>
      </c>
      <c r="D3575" s="1" t="s">
        <v>224</v>
      </c>
      <c r="E3575" s="1" t="s">
        <v>33</v>
      </c>
      <c r="F3575" s="1" t="s">
        <v>224</v>
      </c>
      <c r="G3575" s="1">
        <v>13</v>
      </c>
      <c r="H3575" s="1">
        <v>45131</v>
      </c>
      <c r="I3575" s="1">
        <v>0.15</v>
      </c>
      <c r="J3575" s="1">
        <v>498697.55</v>
      </c>
      <c r="K3575" s="1">
        <v>46772.97</v>
      </c>
      <c r="L3575" s="1" t="s">
        <v>45</v>
      </c>
      <c r="M3575" s="1" t="str">
        <f>TEXT(Table1[[#This Row],[Order Date]],"mmm")</f>
        <v>Aug</v>
      </c>
      <c r="N3575" s="1">
        <f>YEAR(Table1[[#This Row],[Order Date]])</f>
        <v>2024</v>
      </c>
    </row>
    <row r="3576" spans="1:14" x14ac:dyDescent="0.35">
      <c r="A3576" s="1" t="s">
        <v>4371</v>
      </c>
      <c r="B3576" s="1" t="s">
        <v>2375</v>
      </c>
      <c r="C3576" s="1" t="s">
        <v>349</v>
      </c>
      <c r="D3576" s="1" t="s">
        <v>15</v>
      </c>
      <c r="E3576" s="1" t="s">
        <v>16</v>
      </c>
      <c r="F3576" s="1" t="s">
        <v>15</v>
      </c>
      <c r="G3576" s="1">
        <v>12</v>
      </c>
      <c r="H3576" s="1">
        <v>38036</v>
      </c>
      <c r="I3576" s="1">
        <v>0.15</v>
      </c>
      <c r="J3576" s="1">
        <v>387967.2</v>
      </c>
      <c r="K3576" s="1">
        <v>100645.26</v>
      </c>
      <c r="L3576" s="1" t="s">
        <v>23</v>
      </c>
      <c r="M3576" s="1" t="str">
        <f>TEXT(Table1[[#This Row],[Order Date]],"mmm")</f>
        <v>Apr</v>
      </c>
      <c r="N3576" s="1">
        <f>YEAR(Table1[[#This Row],[Order Date]])</f>
        <v>2024</v>
      </c>
    </row>
    <row r="3577" spans="1:14" x14ac:dyDescent="0.35">
      <c r="A3577" s="1" t="s">
        <v>4372</v>
      </c>
      <c r="B3577" s="1" t="s">
        <v>1840</v>
      </c>
      <c r="C3577" s="1" t="s">
        <v>191</v>
      </c>
      <c r="D3577" s="1" t="s">
        <v>108</v>
      </c>
      <c r="E3577" s="1" t="s">
        <v>22</v>
      </c>
      <c r="F3577" s="1" t="s">
        <v>108</v>
      </c>
      <c r="G3577" s="1">
        <v>14</v>
      </c>
      <c r="H3577" s="1">
        <v>21696</v>
      </c>
      <c r="I3577" s="1">
        <v>0.05</v>
      </c>
      <c r="J3577" s="1">
        <v>288556.79999999999</v>
      </c>
      <c r="K3577" s="1">
        <v>68035.14</v>
      </c>
      <c r="L3577" s="1" t="s">
        <v>23</v>
      </c>
      <c r="M3577" s="1" t="str">
        <f>TEXT(Table1[[#This Row],[Order Date]],"mmm")</f>
        <v>Aug</v>
      </c>
      <c r="N3577" s="1">
        <f>YEAR(Table1[[#This Row],[Order Date]])</f>
        <v>2024</v>
      </c>
    </row>
    <row r="3578" spans="1:14" x14ac:dyDescent="0.35">
      <c r="A3578" s="1" t="s">
        <v>4373</v>
      </c>
      <c r="B3578" s="1" t="s">
        <v>499</v>
      </c>
      <c r="C3578" s="1" t="s">
        <v>107</v>
      </c>
      <c r="D3578" s="1" t="s">
        <v>179</v>
      </c>
      <c r="E3578" s="1" t="s">
        <v>28</v>
      </c>
      <c r="F3578" s="1" t="s">
        <v>179</v>
      </c>
      <c r="G3578" s="1">
        <v>11</v>
      </c>
      <c r="H3578" s="1">
        <v>32768</v>
      </c>
      <c r="I3578" s="1">
        <v>0</v>
      </c>
      <c r="J3578" s="1">
        <v>360448</v>
      </c>
      <c r="K3578" s="1">
        <v>86034.15</v>
      </c>
      <c r="L3578" s="1" t="s">
        <v>17</v>
      </c>
      <c r="M3578" s="1" t="str">
        <f>TEXT(Table1[[#This Row],[Order Date]],"mmm")</f>
        <v>May</v>
      </c>
      <c r="N3578" s="1">
        <f>YEAR(Table1[[#This Row],[Order Date]])</f>
        <v>2024</v>
      </c>
    </row>
    <row r="3579" spans="1:14" x14ac:dyDescent="0.35">
      <c r="A3579" s="1" t="s">
        <v>4374</v>
      </c>
      <c r="B3579" s="1" t="s">
        <v>2169</v>
      </c>
      <c r="C3579" s="1" t="s">
        <v>77</v>
      </c>
      <c r="D3579" s="1" t="s">
        <v>60</v>
      </c>
      <c r="E3579" s="1" t="s">
        <v>33</v>
      </c>
      <c r="F3579" s="1" t="s">
        <v>60</v>
      </c>
      <c r="G3579" s="1">
        <v>8</v>
      </c>
      <c r="H3579" s="1">
        <v>55762</v>
      </c>
      <c r="I3579" s="1">
        <v>0.15</v>
      </c>
      <c r="J3579" s="1">
        <v>379181.6</v>
      </c>
      <c r="K3579" s="1">
        <v>42771.69</v>
      </c>
      <c r="L3579" s="1" t="s">
        <v>45</v>
      </c>
      <c r="M3579" s="1" t="str">
        <f>TEXT(Table1[[#This Row],[Order Date]],"mmm")</f>
        <v>Jul</v>
      </c>
      <c r="N3579" s="1">
        <f>YEAR(Table1[[#This Row],[Order Date]])</f>
        <v>2024</v>
      </c>
    </row>
    <row r="3580" spans="1:14" x14ac:dyDescent="0.35">
      <c r="A3580" s="1" t="s">
        <v>4375</v>
      </c>
      <c r="B3580" s="1" t="s">
        <v>1735</v>
      </c>
      <c r="C3580" s="1" t="s">
        <v>227</v>
      </c>
      <c r="D3580" s="1" t="s">
        <v>41</v>
      </c>
      <c r="E3580" s="1" t="s">
        <v>16</v>
      </c>
      <c r="F3580" s="1" t="s">
        <v>41</v>
      </c>
      <c r="G3580" s="1">
        <v>7</v>
      </c>
      <c r="H3580" s="1">
        <v>50374</v>
      </c>
      <c r="I3580" s="1">
        <v>0.1</v>
      </c>
      <c r="J3580" s="1">
        <v>317356.2</v>
      </c>
      <c r="K3580" s="1">
        <v>87418.08</v>
      </c>
      <c r="L3580" s="1" t="s">
        <v>45</v>
      </c>
      <c r="M3580" s="1" t="str">
        <f>TEXT(Table1[[#This Row],[Order Date]],"mmm")</f>
        <v>Sep</v>
      </c>
      <c r="N3580" s="1">
        <f>YEAR(Table1[[#This Row],[Order Date]])</f>
        <v>2023</v>
      </c>
    </row>
    <row r="3581" spans="1:14" x14ac:dyDescent="0.35">
      <c r="A3581" s="1" t="s">
        <v>4376</v>
      </c>
      <c r="B3581" s="1" t="s">
        <v>716</v>
      </c>
      <c r="C3581" s="1" t="s">
        <v>146</v>
      </c>
      <c r="D3581" s="1" t="s">
        <v>74</v>
      </c>
      <c r="E3581" s="1" t="s">
        <v>22</v>
      </c>
      <c r="F3581" s="1" t="s">
        <v>74</v>
      </c>
      <c r="G3581" s="1">
        <v>8</v>
      </c>
      <c r="H3581" s="1">
        <v>11326</v>
      </c>
      <c r="I3581" s="1">
        <v>0.2</v>
      </c>
      <c r="J3581" s="1">
        <v>72486.399999999994</v>
      </c>
      <c r="K3581" s="1">
        <v>15294.89</v>
      </c>
      <c r="L3581" s="1" t="s">
        <v>23</v>
      </c>
      <c r="M3581" s="1" t="str">
        <f>TEXT(Table1[[#This Row],[Order Date]],"mmm")</f>
        <v>Apr</v>
      </c>
      <c r="N3581" s="1">
        <f>YEAR(Table1[[#This Row],[Order Date]])</f>
        <v>2023</v>
      </c>
    </row>
    <row r="3582" spans="1:14" x14ac:dyDescent="0.35">
      <c r="A3582" s="1" t="s">
        <v>4377</v>
      </c>
      <c r="B3582" s="1" t="s">
        <v>2911</v>
      </c>
      <c r="C3582" s="1" t="s">
        <v>101</v>
      </c>
      <c r="D3582" s="1" t="s">
        <v>137</v>
      </c>
      <c r="E3582" s="1" t="s">
        <v>22</v>
      </c>
      <c r="F3582" s="1" t="s">
        <v>137</v>
      </c>
      <c r="G3582" s="1">
        <v>3</v>
      </c>
      <c r="H3582" s="1">
        <v>56503</v>
      </c>
      <c r="I3582" s="1">
        <v>0.05</v>
      </c>
      <c r="J3582" s="1">
        <v>161033.54999999999</v>
      </c>
      <c r="K3582" s="1">
        <v>38310.19</v>
      </c>
      <c r="L3582" s="1" t="s">
        <v>45</v>
      </c>
      <c r="M3582" s="1" t="str">
        <f>TEXT(Table1[[#This Row],[Order Date]],"mmm")</f>
        <v>Nov</v>
      </c>
      <c r="N3582" s="1">
        <f>YEAR(Table1[[#This Row],[Order Date]])</f>
        <v>2023</v>
      </c>
    </row>
    <row r="3583" spans="1:14" x14ac:dyDescent="0.35">
      <c r="A3583" s="1" t="s">
        <v>4378</v>
      </c>
      <c r="B3583" s="1" t="s">
        <v>1099</v>
      </c>
      <c r="C3583" s="1" t="s">
        <v>101</v>
      </c>
      <c r="D3583" s="1" t="s">
        <v>179</v>
      </c>
      <c r="E3583" s="1" t="s">
        <v>28</v>
      </c>
      <c r="F3583" s="1" t="s">
        <v>179</v>
      </c>
      <c r="G3583" s="1">
        <v>5</v>
      </c>
      <c r="H3583" s="1">
        <v>42027</v>
      </c>
      <c r="I3583" s="1">
        <v>0</v>
      </c>
      <c r="J3583" s="1">
        <v>210135</v>
      </c>
      <c r="K3583" s="1">
        <v>62106.95</v>
      </c>
      <c r="L3583" s="1" t="s">
        <v>17</v>
      </c>
      <c r="M3583" s="1" t="str">
        <f>TEXT(Table1[[#This Row],[Order Date]],"mmm")</f>
        <v>Oct</v>
      </c>
      <c r="N3583" s="1">
        <f>YEAR(Table1[[#This Row],[Order Date]])</f>
        <v>2023</v>
      </c>
    </row>
    <row r="3584" spans="1:14" x14ac:dyDescent="0.35">
      <c r="A3584" s="1" t="s">
        <v>4379</v>
      </c>
      <c r="B3584" s="1" t="s">
        <v>2099</v>
      </c>
      <c r="C3584" s="1" t="s">
        <v>208</v>
      </c>
      <c r="D3584" s="1" t="s">
        <v>224</v>
      </c>
      <c r="E3584" s="1" t="s">
        <v>33</v>
      </c>
      <c r="F3584" s="1" t="s">
        <v>224</v>
      </c>
      <c r="G3584" s="1">
        <v>2</v>
      </c>
      <c r="H3584" s="1">
        <v>33342</v>
      </c>
      <c r="I3584" s="1">
        <v>0</v>
      </c>
      <c r="J3584" s="1">
        <v>66684</v>
      </c>
      <c r="K3584" s="1">
        <v>19082.990000000002</v>
      </c>
      <c r="L3584" s="1" t="s">
        <v>17</v>
      </c>
      <c r="M3584" s="1" t="str">
        <f>TEXT(Table1[[#This Row],[Order Date]],"mmm")</f>
        <v>Jan</v>
      </c>
      <c r="N3584" s="1">
        <f>YEAR(Table1[[#This Row],[Order Date]])</f>
        <v>2024</v>
      </c>
    </row>
    <row r="3585" spans="1:14" x14ac:dyDescent="0.35">
      <c r="A3585" s="1" t="s">
        <v>4380</v>
      </c>
      <c r="B3585" s="1" t="s">
        <v>776</v>
      </c>
      <c r="C3585" s="1" t="s">
        <v>26</v>
      </c>
      <c r="D3585" s="1" t="s">
        <v>37</v>
      </c>
      <c r="E3585" s="1" t="s">
        <v>16</v>
      </c>
      <c r="F3585" s="1" t="s">
        <v>37</v>
      </c>
      <c r="G3585" s="1">
        <v>8</v>
      </c>
      <c r="H3585" s="1">
        <v>57117</v>
      </c>
      <c r="I3585" s="1">
        <v>0.15</v>
      </c>
      <c r="J3585" s="1">
        <v>388395.6</v>
      </c>
      <c r="K3585" s="1">
        <v>43070.35</v>
      </c>
      <c r="L3585" s="1" t="s">
        <v>70</v>
      </c>
      <c r="M3585" s="1" t="str">
        <f>TEXT(Table1[[#This Row],[Order Date]],"mmm")</f>
        <v>Feb</v>
      </c>
      <c r="N3585" s="1">
        <f>YEAR(Table1[[#This Row],[Order Date]])</f>
        <v>2024</v>
      </c>
    </row>
    <row r="3586" spans="1:14" x14ac:dyDescent="0.35">
      <c r="A3586" s="1" t="s">
        <v>4381</v>
      </c>
      <c r="B3586" s="1" t="s">
        <v>1507</v>
      </c>
      <c r="C3586" s="1" t="s">
        <v>84</v>
      </c>
      <c r="D3586" s="1" t="s">
        <v>137</v>
      </c>
      <c r="E3586" s="1" t="s">
        <v>22</v>
      </c>
      <c r="F3586" s="1" t="s">
        <v>137</v>
      </c>
      <c r="G3586" s="1">
        <v>7</v>
      </c>
      <c r="H3586" s="1">
        <v>13551</v>
      </c>
      <c r="I3586" s="1">
        <v>0</v>
      </c>
      <c r="J3586" s="1">
        <v>94857</v>
      </c>
      <c r="K3586" s="1">
        <v>13571.43</v>
      </c>
      <c r="L3586" s="1" t="s">
        <v>17</v>
      </c>
      <c r="M3586" s="1" t="str">
        <f>TEXT(Table1[[#This Row],[Order Date]],"mmm")</f>
        <v>Nov</v>
      </c>
      <c r="N3586" s="1">
        <f>YEAR(Table1[[#This Row],[Order Date]])</f>
        <v>2023</v>
      </c>
    </row>
    <row r="3587" spans="1:14" x14ac:dyDescent="0.35">
      <c r="A3587" s="1" t="s">
        <v>4382</v>
      </c>
      <c r="B3587" s="1" t="s">
        <v>400</v>
      </c>
      <c r="C3587" s="1" t="s">
        <v>227</v>
      </c>
      <c r="D3587" s="1" t="s">
        <v>15</v>
      </c>
      <c r="E3587" s="1" t="s">
        <v>16</v>
      </c>
      <c r="F3587" s="1" t="s">
        <v>15</v>
      </c>
      <c r="G3587" s="1">
        <v>4</v>
      </c>
      <c r="H3587" s="1">
        <v>54674</v>
      </c>
      <c r="I3587" s="1">
        <v>0.2</v>
      </c>
      <c r="J3587" s="1">
        <v>174956.79999999999</v>
      </c>
      <c r="K3587" s="1">
        <v>19061.439999999999</v>
      </c>
      <c r="L3587" s="1" t="s">
        <v>70</v>
      </c>
      <c r="M3587" s="1" t="str">
        <f>TEXT(Table1[[#This Row],[Order Date]],"mmm")</f>
        <v>Aug</v>
      </c>
      <c r="N3587" s="1">
        <f>YEAR(Table1[[#This Row],[Order Date]])</f>
        <v>2023</v>
      </c>
    </row>
    <row r="3588" spans="1:14" x14ac:dyDescent="0.35">
      <c r="A3588" s="1" t="s">
        <v>4383</v>
      </c>
      <c r="B3588" s="1" t="s">
        <v>1673</v>
      </c>
      <c r="C3588" s="1" t="s">
        <v>162</v>
      </c>
      <c r="D3588" s="1" t="s">
        <v>108</v>
      </c>
      <c r="E3588" s="1" t="s">
        <v>22</v>
      </c>
      <c r="F3588" s="1" t="s">
        <v>108</v>
      </c>
      <c r="G3588" s="1">
        <v>1</v>
      </c>
      <c r="H3588" s="1">
        <v>25805</v>
      </c>
      <c r="I3588" s="1">
        <v>0.1</v>
      </c>
      <c r="J3588" s="1">
        <v>23224.5</v>
      </c>
      <c r="K3588" s="1">
        <v>3654.1</v>
      </c>
      <c r="L3588" s="1" t="s">
        <v>23</v>
      </c>
      <c r="M3588" s="1" t="str">
        <f>TEXT(Table1[[#This Row],[Order Date]],"mmm")</f>
        <v>Jan</v>
      </c>
      <c r="N3588" s="1">
        <f>YEAR(Table1[[#This Row],[Order Date]])</f>
        <v>2024</v>
      </c>
    </row>
    <row r="3589" spans="1:14" x14ac:dyDescent="0.35">
      <c r="A3589" s="1" t="s">
        <v>4384</v>
      </c>
      <c r="B3589" s="1" t="s">
        <v>327</v>
      </c>
      <c r="C3589" s="1" t="s">
        <v>73</v>
      </c>
      <c r="D3589" s="1" t="s">
        <v>114</v>
      </c>
      <c r="E3589" s="1" t="s">
        <v>16</v>
      </c>
      <c r="F3589" s="1" t="s">
        <v>114</v>
      </c>
      <c r="G3589" s="1">
        <v>8</v>
      </c>
      <c r="H3589" s="1">
        <v>20379</v>
      </c>
      <c r="I3589" s="1">
        <v>0.15</v>
      </c>
      <c r="J3589" s="1">
        <v>138577.20000000001</v>
      </c>
      <c r="K3589" s="1">
        <v>32554.720000000001</v>
      </c>
      <c r="L3589" s="1" t="s">
        <v>17</v>
      </c>
      <c r="M3589" s="1" t="str">
        <f>TEXT(Table1[[#This Row],[Order Date]],"mmm")</f>
        <v>Nov</v>
      </c>
      <c r="N3589" s="1">
        <f>YEAR(Table1[[#This Row],[Order Date]])</f>
        <v>2024</v>
      </c>
    </row>
    <row r="3590" spans="1:14" x14ac:dyDescent="0.35">
      <c r="A3590" s="1" t="s">
        <v>4385</v>
      </c>
      <c r="B3590" s="1" t="s">
        <v>453</v>
      </c>
      <c r="C3590" s="1" t="s">
        <v>178</v>
      </c>
      <c r="D3590" s="1" t="s">
        <v>56</v>
      </c>
      <c r="E3590" s="1" t="s">
        <v>22</v>
      </c>
      <c r="F3590" s="1" t="s">
        <v>56</v>
      </c>
      <c r="G3590" s="1">
        <v>6</v>
      </c>
      <c r="H3590" s="1">
        <v>26052</v>
      </c>
      <c r="I3590" s="1">
        <v>0</v>
      </c>
      <c r="J3590" s="1">
        <v>156312</v>
      </c>
      <c r="K3590" s="1">
        <v>24489.9</v>
      </c>
      <c r="L3590" s="1" t="s">
        <v>70</v>
      </c>
      <c r="M3590" s="1" t="str">
        <f>TEXT(Table1[[#This Row],[Order Date]],"mmm")</f>
        <v>Jul</v>
      </c>
      <c r="N3590" s="1">
        <f>YEAR(Table1[[#This Row],[Order Date]])</f>
        <v>2023</v>
      </c>
    </row>
    <row r="3591" spans="1:14" x14ac:dyDescent="0.35">
      <c r="A3591" s="1" t="s">
        <v>4386</v>
      </c>
      <c r="B3591" s="1" t="s">
        <v>157</v>
      </c>
      <c r="C3591" s="1" t="s">
        <v>349</v>
      </c>
      <c r="D3591" s="1" t="s">
        <v>37</v>
      </c>
      <c r="E3591" s="1" t="s">
        <v>16</v>
      </c>
      <c r="F3591" s="1" t="s">
        <v>37</v>
      </c>
      <c r="G3591" s="1">
        <v>4</v>
      </c>
      <c r="H3591" s="1">
        <v>51407</v>
      </c>
      <c r="I3591" s="1">
        <v>0.2</v>
      </c>
      <c r="J3591" s="1">
        <v>164502.39999999999</v>
      </c>
      <c r="K3591" s="1">
        <v>20155.849999999999</v>
      </c>
      <c r="L3591" s="1" t="s">
        <v>70</v>
      </c>
      <c r="M3591" s="1" t="str">
        <f>TEXT(Table1[[#This Row],[Order Date]],"mmm")</f>
        <v>Jan</v>
      </c>
      <c r="N3591" s="1">
        <f>YEAR(Table1[[#This Row],[Order Date]])</f>
        <v>2024</v>
      </c>
    </row>
    <row r="3592" spans="1:14" x14ac:dyDescent="0.35">
      <c r="A3592" s="1" t="s">
        <v>4387</v>
      </c>
      <c r="B3592" s="1" t="s">
        <v>253</v>
      </c>
      <c r="C3592" s="1" t="s">
        <v>26</v>
      </c>
      <c r="D3592" s="1" t="s">
        <v>78</v>
      </c>
      <c r="E3592" s="1" t="s">
        <v>28</v>
      </c>
      <c r="F3592" s="1" t="s">
        <v>78</v>
      </c>
      <c r="G3592" s="1">
        <v>11</v>
      </c>
      <c r="H3592" s="1">
        <v>42079</v>
      </c>
      <c r="I3592" s="1">
        <v>0.1</v>
      </c>
      <c r="J3592" s="1">
        <v>416582.1</v>
      </c>
      <c r="K3592" s="1">
        <v>41158.26</v>
      </c>
      <c r="L3592" s="1" t="s">
        <v>17</v>
      </c>
      <c r="M3592" s="1" t="str">
        <f>TEXT(Table1[[#This Row],[Order Date]],"mmm")</f>
        <v>Apr</v>
      </c>
      <c r="N3592" s="1">
        <f>YEAR(Table1[[#This Row],[Order Date]])</f>
        <v>2024</v>
      </c>
    </row>
    <row r="3593" spans="1:14" x14ac:dyDescent="0.35">
      <c r="A3593" s="1" t="s">
        <v>4388</v>
      </c>
      <c r="B3593" s="1" t="s">
        <v>1274</v>
      </c>
      <c r="C3593" s="1" t="s">
        <v>200</v>
      </c>
      <c r="D3593" s="1" t="s">
        <v>293</v>
      </c>
      <c r="E3593" s="1" t="s">
        <v>33</v>
      </c>
      <c r="F3593" s="1" t="s">
        <v>293</v>
      </c>
      <c r="G3593" s="1">
        <v>1</v>
      </c>
      <c r="H3593" s="1">
        <v>51217</v>
      </c>
      <c r="I3593" s="1">
        <v>0.2</v>
      </c>
      <c r="J3593" s="1">
        <v>40973.599999999999</v>
      </c>
      <c r="K3593" s="1">
        <v>7925.75</v>
      </c>
      <c r="L3593" s="1" t="s">
        <v>23</v>
      </c>
      <c r="M3593" s="1" t="str">
        <f>TEXT(Table1[[#This Row],[Order Date]],"mmm")</f>
        <v>Feb</v>
      </c>
      <c r="N3593" s="1">
        <f>YEAR(Table1[[#This Row],[Order Date]])</f>
        <v>2023</v>
      </c>
    </row>
    <row r="3594" spans="1:14" x14ac:dyDescent="0.35">
      <c r="A3594" s="1" t="s">
        <v>4389</v>
      </c>
      <c r="B3594" s="1" t="s">
        <v>1235</v>
      </c>
      <c r="C3594" s="1" t="s">
        <v>370</v>
      </c>
      <c r="D3594" s="1" t="s">
        <v>64</v>
      </c>
      <c r="E3594" s="1" t="s">
        <v>33</v>
      </c>
      <c r="F3594" s="1" t="s">
        <v>64</v>
      </c>
      <c r="G3594" s="1">
        <v>13</v>
      </c>
      <c r="H3594" s="1">
        <v>6968</v>
      </c>
      <c r="I3594" s="1">
        <v>0.05</v>
      </c>
      <c r="J3594" s="1">
        <v>86054.8</v>
      </c>
      <c r="K3594" s="1">
        <v>7644.32</v>
      </c>
      <c r="L3594" s="1" t="s">
        <v>17</v>
      </c>
      <c r="M3594" s="1" t="str">
        <f>TEXT(Table1[[#This Row],[Order Date]],"mmm")</f>
        <v>Oct</v>
      </c>
      <c r="N3594" s="1">
        <f>YEAR(Table1[[#This Row],[Order Date]])</f>
        <v>2024</v>
      </c>
    </row>
    <row r="3595" spans="1:14" x14ac:dyDescent="0.35">
      <c r="A3595" s="1" t="s">
        <v>4390</v>
      </c>
      <c r="B3595" s="1" t="s">
        <v>392</v>
      </c>
      <c r="C3595" s="1" t="s">
        <v>255</v>
      </c>
      <c r="D3595" s="1" t="s">
        <v>91</v>
      </c>
      <c r="E3595" s="1" t="s">
        <v>16</v>
      </c>
      <c r="F3595" s="1" t="s">
        <v>91</v>
      </c>
      <c r="G3595" s="1">
        <v>15</v>
      </c>
      <c r="H3595" s="1">
        <v>19604</v>
      </c>
      <c r="I3595" s="1">
        <v>0.05</v>
      </c>
      <c r="J3595" s="1">
        <v>279357</v>
      </c>
      <c r="K3595" s="1">
        <v>40897.69</v>
      </c>
      <c r="L3595" s="1" t="s">
        <v>23</v>
      </c>
      <c r="M3595" s="1" t="str">
        <f>TEXT(Table1[[#This Row],[Order Date]],"mmm")</f>
        <v>May</v>
      </c>
      <c r="N3595" s="1">
        <f>YEAR(Table1[[#This Row],[Order Date]])</f>
        <v>2024</v>
      </c>
    </row>
    <row r="3596" spans="1:14" x14ac:dyDescent="0.35">
      <c r="A3596" s="1" t="s">
        <v>4391</v>
      </c>
      <c r="B3596" s="1" t="s">
        <v>1374</v>
      </c>
      <c r="C3596" s="1" t="s">
        <v>260</v>
      </c>
      <c r="D3596" s="1" t="s">
        <v>78</v>
      </c>
      <c r="E3596" s="1" t="s">
        <v>28</v>
      </c>
      <c r="F3596" s="1" t="s">
        <v>78</v>
      </c>
      <c r="G3596" s="1">
        <v>5</v>
      </c>
      <c r="H3596" s="1">
        <v>23303</v>
      </c>
      <c r="I3596" s="1">
        <v>0</v>
      </c>
      <c r="J3596" s="1">
        <v>116515</v>
      </c>
      <c r="K3596" s="1">
        <v>11863.33</v>
      </c>
      <c r="L3596" s="1" t="s">
        <v>45</v>
      </c>
      <c r="M3596" s="1" t="str">
        <f>TEXT(Table1[[#This Row],[Order Date]],"mmm")</f>
        <v>May</v>
      </c>
      <c r="N3596" s="1">
        <f>YEAR(Table1[[#This Row],[Order Date]])</f>
        <v>2023</v>
      </c>
    </row>
    <row r="3597" spans="1:14" x14ac:dyDescent="0.35">
      <c r="A3597" s="1" t="s">
        <v>4392</v>
      </c>
      <c r="B3597" s="1" t="s">
        <v>653</v>
      </c>
      <c r="C3597" s="1" t="s">
        <v>77</v>
      </c>
      <c r="D3597" s="1" t="s">
        <v>323</v>
      </c>
      <c r="E3597" s="1" t="s">
        <v>33</v>
      </c>
      <c r="F3597" s="1" t="s">
        <v>323</v>
      </c>
      <c r="G3597" s="1">
        <v>6</v>
      </c>
      <c r="H3597" s="1">
        <v>53656</v>
      </c>
      <c r="I3597" s="1">
        <v>0.1</v>
      </c>
      <c r="J3597" s="1">
        <v>289742.40000000002</v>
      </c>
      <c r="K3597" s="1">
        <v>82263.100000000006</v>
      </c>
      <c r="L3597" s="1" t="s">
        <v>17</v>
      </c>
      <c r="M3597" s="1" t="str">
        <f>TEXT(Table1[[#This Row],[Order Date]],"mmm")</f>
        <v>Nov</v>
      </c>
      <c r="N3597" s="1">
        <f>YEAR(Table1[[#This Row],[Order Date]])</f>
        <v>2024</v>
      </c>
    </row>
    <row r="3598" spans="1:14" x14ac:dyDescent="0.35">
      <c r="A3598" s="1" t="s">
        <v>4393</v>
      </c>
      <c r="B3598" s="1" t="s">
        <v>1660</v>
      </c>
      <c r="C3598" s="1" t="s">
        <v>362</v>
      </c>
      <c r="D3598" s="1" t="s">
        <v>133</v>
      </c>
      <c r="E3598" s="1" t="s">
        <v>22</v>
      </c>
      <c r="F3598" s="1" t="s">
        <v>133</v>
      </c>
      <c r="G3598" s="1">
        <v>10</v>
      </c>
      <c r="H3598" s="1">
        <v>32676</v>
      </c>
      <c r="I3598" s="1">
        <v>0.05</v>
      </c>
      <c r="J3598" s="1">
        <v>310422</v>
      </c>
      <c r="K3598" s="1">
        <v>76458.52</v>
      </c>
      <c r="L3598" s="1" t="s">
        <v>45</v>
      </c>
      <c r="M3598" s="1" t="str">
        <f>TEXT(Table1[[#This Row],[Order Date]],"mmm")</f>
        <v>Jun</v>
      </c>
      <c r="N3598" s="1">
        <f>YEAR(Table1[[#This Row],[Order Date]])</f>
        <v>2023</v>
      </c>
    </row>
    <row r="3599" spans="1:14" x14ac:dyDescent="0.35">
      <c r="A3599" s="1" t="s">
        <v>4394</v>
      </c>
      <c r="B3599" s="1" t="s">
        <v>3040</v>
      </c>
      <c r="C3599" s="1" t="s">
        <v>335</v>
      </c>
      <c r="D3599" s="1" t="s">
        <v>224</v>
      </c>
      <c r="E3599" s="1" t="s">
        <v>33</v>
      </c>
      <c r="F3599" s="1" t="s">
        <v>224</v>
      </c>
      <c r="G3599" s="1">
        <v>2</v>
      </c>
      <c r="H3599" s="1">
        <v>37521</v>
      </c>
      <c r="I3599" s="1">
        <v>0.2</v>
      </c>
      <c r="J3599" s="1">
        <v>60033.599999999999</v>
      </c>
      <c r="K3599" s="1">
        <v>15818.01</v>
      </c>
      <c r="L3599" s="1" t="s">
        <v>45</v>
      </c>
      <c r="M3599" s="1" t="str">
        <f>TEXT(Table1[[#This Row],[Order Date]],"mmm")</f>
        <v>Jul</v>
      </c>
      <c r="N3599" s="1">
        <f>YEAR(Table1[[#This Row],[Order Date]])</f>
        <v>2023</v>
      </c>
    </row>
    <row r="3600" spans="1:14" x14ac:dyDescent="0.35">
      <c r="A3600" s="1" t="s">
        <v>4395</v>
      </c>
      <c r="B3600" s="1" t="s">
        <v>202</v>
      </c>
      <c r="C3600" s="1" t="s">
        <v>94</v>
      </c>
      <c r="D3600" s="1" t="s">
        <v>48</v>
      </c>
      <c r="E3600" s="1" t="s">
        <v>16</v>
      </c>
      <c r="F3600" s="1" t="s">
        <v>48</v>
      </c>
      <c r="G3600" s="1">
        <v>2</v>
      </c>
      <c r="H3600" s="1">
        <v>41377</v>
      </c>
      <c r="I3600" s="1">
        <v>0</v>
      </c>
      <c r="J3600" s="1">
        <v>82754</v>
      </c>
      <c r="K3600" s="1">
        <v>19433.490000000002</v>
      </c>
      <c r="L3600" s="1" t="s">
        <v>17</v>
      </c>
      <c r="M3600" s="1" t="str">
        <f>TEXT(Table1[[#This Row],[Order Date]],"mmm")</f>
        <v>Jun</v>
      </c>
      <c r="N3600" s="1">
        <f>YEAR(Table1[[#This Row],[Order Date]])</f>
        <v>2023</v>
      </c>
    </row>
    <row r="3601" spans="1:14" x14ac:dyDescent="0.35">
      <c r="A3601" s="1" t="s">
        <v>4396</v>
      </c>
      <c r="B3601" s="1" t="s">
        <v>2068</v>
      </c>
      <c r="C3601" s="1" t="s">
        <v>255</v>
      </c>
      <c r="D3601" s="1" t="s">
        <v>133</v>
      </c>
      <c r="E3601" s="1" t="s">
        <v>22</v>
      </c>
      <c r="F3601" s="1" t="s">
        <v>133</v>
      </c>
      <c r="G3601" s="1">
        <v>1</v>
      </c>
      <c r="H3601" s="1">
        <v>36344</v>
      </c>
      <c r="I3601" s="1">
        <v>0</v>
      </c>
      <c r="J3601" s="1">
        <v>36344</v>
      </c>
      <c r="K3601" s="1">
        <v>6064.52</v>
      </c>
      <c r="L3601" s="1" t="s">
        <v>23</v>
      </c>
      <c r="M3601" s="1" t="str">
        <f>TEXT(Table1[[#This Row],[Order Date]],"mmm")</f>
        <v>Oct</v>
      </c>
      <c r="N3601" s="1">
        <f>YEAR(Table1[[#This Row],[Order Date]])</f>
        <v>2023</v>
      </c>
    </row>
    <row r="3602" spans="1:14" x14ac:dyDescent="0.35">
      <c r="A3602" s="1" t="s">
        <v>4397</v>
      </c>
      <c r="B3602" s="1" t="s">
        <v>453</v>
      </c>
      <c r="C3602" s="1" t="s">
        <v>20</v>
      </c>
      <c r="D3602" s="1" t="s">
        <v>323</v>
      </c>
      <c r="E3602" s="1" t="s">
        <v>33</v>
      </c>
      <c r="F3602" s="1" t="s">
        <v>323</v>
      </c>
      <c r="G3602" s="1">
        <v>10</v>
      </c>
      <c r="H3602" s="1">
        <v>13815</v>
      </c>
      <c r="I3602" s="1">
        <v>0.1</v>
      </c>
      <c r="J3602" s="1">
        <v>124335</v>
      </c>
      <c r="K3602" s="1">
        <v>36972.58</v>
      </c>
      <c r="L3602" s="1" t="s">
        <v>45</v>
      </c>
      <c r="M3602" s="1" t="str">
        <f>TEXT(Table1[[#This Row],[Order Date]],"mmm")</f>
        <v>Jul</v>
      </c>
      <c r="N3602" s="1">
        <f>YEAR(Table1[[#This Row],[Order Date]])</f>
        <v>2023</v>
      </c>
    </row>
    <row r="3603" spans="1:14" x14ac:dyDescent="0.35">
      <c r="A3603" s="1" t="s">
        <v>4398</v>
      </c>
      <c r="B3603" s="1" t="s">
        <v>150</v>
      </c>
      <c r="C3603" s="1" t="s">
        <v>260</v>
      </c>
      <c r="D3603" s="1" t="s">
        <v>108</v>
      </c>
      <c r="E3603" s="1" t="s">
        <v>22</v>
      </c>
      <c r="F3603" s="1" t="s">
        <v>108</v>
      </c>
      <c r="G3603" s="1">
        <v>8</v>
      </c>
      <c r="H3603" s="1">
        <v>49437</v>
      </c>
      <c r="I3603" s="1">
        <v>0.1</v>
      </c>
      <c r="J3603" s="1">
        <v>355946.4</v>
      </c>
      <c r="K3603" s="1">
        <v>106731.37</v>
      </c>
      <c r="L3603" s="1" t="s">
        <v>23</v>
      </c>
      <c r="M3603" s="1" t="str">
        <f>TEXT(Table1[[#This Row],[Order Date]],"mmm")</f>
        <v>Aug</v>
      </c>
      <c r="N3603" s="1">
        <f>YEAR(Table1[[#This Row],[Order Date]])</f>
        <v>2023</v>
      </c>
    </row>
    <row r="3604" spans="1:14" x14ac:dyDescent="0.35">
      <c r="A3604" s="1" t="s">
        <v>4399</v>
      </c>
      <c r="B3604" s="1" t="s">
        <v>2752</v>
      </c>
      <c r="C3604" s="1" t="s">
        <v>136</v>
      </c>
      <c r="D3604" s="1" t="s">
        <v>91</v>
      </c>
      <c r="E3604" s="1" t="s">
        <v>16</v>
      </c>
      <c r="F3604" s="1" t="s">
        <v>91</v>
      </c>
      <c r="G3604" s="1">
        <v>10</v>
      </c>
      <c r="H3604" s="1">
        <v>32691</v>
      </c>
      <c r="I3604" s="1">
        <v>0.15</v>
      </c>
      <c r="J3604" s="1">
        <v>277873.5</v>
      </c>
      <c r="K3604" s="1">
        <v>72131.91</v>
      </c>
      <c r="L3604" s="1" t="s">
        <v>70</v>
      </c>
      <c r="M3604" s="1" t="str">
        <f>TEXT(Table1[[#This Row],[Order Date]],"mmm")</f>
        <v>Jan</v>
      </c>
      <c r="N3604" s="1">
        <f>YEAR(Table1[[#This Row],[Order Date]])</f>
        <v>2023</v>
      </c>
    </row>
    <row r="3605" spans="1:14" x14ac:dyDescent="0.35">
      <c r="A3605" s="1" t="s">
        <v>4400</v>
      </c>
      <c r="B3605" s="1" t="s">
        <v>329</v>
      </c>
      <c r="C3605" s="1" t="s">
        <v>227</v>
      </c>
      <c r="D3605" s="1" t="s">
        <v>151</v>
      </c>
      <c r="E3605" s="1" t="s">
        <v>22</v>
      </c>
      <c r="F3605" s="1" t="s">
        <v>151</v>
      </c>
      <c r="G3605" s="1">
        <v>6</v>
      </c>
      <c r="H3605" s="1">
        <v>32183</v>
      </c>
      <c r="I3605" s="1">
        <v>0</v>
      </c>
      <c r="J3605" s="1">
        <v>193098</v>
      </c>
      <c r="K3605" s="1">
        <v>35856.949999999997</v>
      </c>
      <c r="L3605" s="1" t="s">
        <v>23</v>
      </c>
      <c r="M3605" s="1" t="str">
        <f>TEXT(Table1[[#This Row],[Order Date]],"mmm")</f>
        <v>Aug</v>
      </c>
      <c r="N3605" s="1">
        <f>YEAR(Table1[[#This Row],[Order Date]])</f>
        <v>2024</v>
      </c>
    </row>
    <row r="3606" spans="1:14" x14ac:dyDescent="0.35">
      <c r="A3606" s="1" t="s">
        <v>4401</v>
      </c>
      <c r="B3606" s="1" t="s">
        <v>2002</v>
      </c>
      <c r="C3606" s="1" t="s">
        <v>128</v>
      </c>
      <c r="D3606" s="1" t="s">
        <v>32</v>
      </c>
      <c r="E3606" s="1" t="s">
        <v>33</v>
      </c>
      <c r="F3606" s="1" t="s">
        <v>32</v>
      </c>
      <c r="G3606" s="1">
        <v>7</v>
      </c>
      <c r="H3606" s="1">
        <v>42351</v>
      </c>
      <c r="I3606" s="1">
        <v>0.1</v>
      </c>
      <c r="J3606" s="1">
        <v>266811.3</v>
      </c>
      <c r="K3606" s="1">
        <v>72040</v>
      </c>
      <c r="L3606" s="1" t="s">
        <v>45</v>
      </c>
      <c r="M3606" s="1" t="str">
        <f>TEXT(Table1[[#This Row],[Order Date]],"mmm")</f>
        <v>Apr</v>
      </c>
      <c r="N3606" s="1">
        <f>YEAR(Table1[[#This Row],[Order Date]])</f>
        <v>2024</v>
      </c>
    </row>
    <row r="3607" spans="1:14" x14ac:dyDescent="0.35">
      <c r="A3607" s="1" t="s">
        <v>4402</v>
      </c>
      <c r="B3607" s="1" t="s">
        <v>2023</v>
      </c>
      <c r="C3607" s="1" t="s">
        <v>200</v>
      </c>
      <c r="D3607" s="1" t="s">
        <v>37</v>
      </c>
      <c r="E3607" s="1" t="s">
        <v>16</v>
      </c>
      <c r="F3607" s="1" t="s">
        <v>37</v>
      </c>
      <c r="G3607" s="1">
        <v>14</v>
      </c>
      <c r="H3607" s="1">
        <v>1934</v>
      </c>
      <c r="I3607" s="1">
        <v>0.05</v>
      </c>
      <c r="J3607" s="1">
        <v>25722.2</v>
      </c>
      <c r="K3607" s="1">
        <v>5762.89</v>
      </c>
      <c r="L3607" s="1" t="s">
        <v>17</v>
      </c>
      <c r="M3607" s="1" t="str">
        <f>TEXT(Table1[[#This Row],[Order Date]],"mmm")</f>
        <v>Jul</v>
      </c>
      <c r="N3607" s="1">
        <f>YEAR(Table1[[#This Row],[Order Date]])</f>
        <v>2023</v>
      </c>
    </row>
    <row r="3608" spans="1:14" x14ac:dyDescent="0.35">
      <c r="A3608" s="1" t="s">
        <v>4403</v>
      </c>
      <c r="B3608" s="1" t="s">
        <v>464</v>
      </c>
      <c r="C3608" s="1" t="s">
        <v>31</v>
      </c>
      <c r="D3608" s="1" t="s">
        <v>44</v>
      </c>
      <c r="E3608" s="1" t="s">
        <v>28</v>
      </c>
      <c r="F3608" s="1" t="s">
        <v>44</v>
      </c>
      <c r="G3608" s="1">
        <v>9</v>
      </c>
      <c r="H3608" s="1">
        <v>53096</v>
      </c>
      <c r="I3608" s="1">
        <v>0</v>
      </c>
      <c r="J3608" s="1">
        <v>477864</v>
      </c>
      <c r="K3608" s="1">
        <v>106772.73</v>
      </c>
      <c r="L3608" s="1" t="s">
        <v>23</v>
      </c>
      <c r="M3608" s="1" t="str">
        <f>TEXT(Table1[[#This Row],[Order Date]],"mmm")</f>
        <v>Mar</v>
      </c>
      <c r="N3608" s="1">
        <f>YEAR(Table1[[#This Row],[Order Date]])</f>
        <v>2024</v>
      </c>
    </row>
    <row r="3609" spans="1:14" x14ac:dyDescent="0.35">
      <c r="A3609" s="1" t="s">
        <v>4404</v>
      </c>
      <c r="B3609" s="1" t="s">
        <v>449</v>
      </c>
      <c r="C3609" s="1" t="s">
        <v>94</v>
      </c>
      <c r="D3609" s="1" t="s">
        <v>27</v>
      </c>
      <c r="E3609" s="1" t="s">
        <v>28</v>
      </c>
      <c r="F3609" s="1" t="s">
        <v>27</v>
      </c>
      <c r="G3609" s="1">
        <v>13</v>
      </c>
      <c r="H3609" s="1">
        <v>27010</v>
      </c>
      <c r="I3609" s="1">
        <v>0.15</v>
      </c>
      <c r="J3609" s="1">
        <v>298460.5</v>
      </c>
      <c r="K3609" s="1">
        <v>63293.18</v>
      </c>
      <c r="L3609" s="1" t="s">
        <v>23</v>
      </c>
      <c r="M3609" s="1" t="str">
        <f>TEXT(Table1[[#This Row],[Order Date]],"mmm")</f>
        <v>Jan</v>
      </c>
      <c r="N3609" s="1">
        <f>YEAR(Table1[[#This Row],[Order Date]])</f>
        <v>2024</v>
      </c>
    </row>
    <row r="3610" spans="1:14" x14ac:dyDescent="0.35">
      <c r="A3610" s="1" t="s">
        <v>4405</v>
      </c>
      <c r="B3610" s="1" t="s">
        <v>969</v>
      </c>
      <c r="C3610" s="1" t="s">
        <v>107</v>
      </c>
      <c r="D3610" s="1" t="s">
        <v>41</v>
      </c>
      <c r="E3610" s="1" t="s">
        <v>16</v>
      </c>
      <c r="F3610" s="1" t="s">
        <v>41</v>
      </c>
      <c r="G3610" s="1">
        <v>1</v>
      </c>
      <c r="H3610" s="1">
        <v>32022</v>
      </c>
      <c r="I3610" s="1">
        <v>0.2</v>
      </c>
      <c r="J3610" s="1">
        <v>25617.599999999999</v>
      </c>
      <c r="K3610" s="1">
        <v>5084.88</v>
      </c>
      <c r="L3610" s="1" t="s">
        <v>23</v>
      </c>
      <c r="M3610" s="1" t="str">
        <f>TEXT(Table1[[#This Row],[Order Date]],"mmm")</f>
        <v>Aug</v>
      </c>
      <c r="N3610" s="1">
        <f>YEAR(Table1[[#This Row],[Order Date]])</f>
        <v>2024</v>
      </c>
    </row>
    <row r="3611" spans="1:14" x14ac:dyDescent="0.35">
      <c r="A3611" s="1" t="s">
        <v>4406</v>
      </c>
      <c r="B3611" s="1" t="s">
        <v>106</v>
      </c>
      <c r="C3611" s="1" t="s">
        <v>640</v>
      </c>
      <c r="D3611" s="1" t="s">
        <v>37</v>
      </c>
      <c r="E3611" s="1" t="s">
        <v>16</v>
      </c>
      <c r="F3611" s="1" t="s">
        <v>37</v>
      </c>
      <c r="G3611" s="1">
        <v>7</v>
      </c>
      <c r="H3611" s="1">
        <v>16089</v>
      </c>
      <c r="I3611" s="1">
        <v>0.1</v>
      </c>
      <c r="J3611" s="1">
        <v>101360.7</v>
      </c>
      <c r="K3611" s="1">
        <v>8979.83</v>
      </c>
      <c r="L3611" s="1" t="s">
        <v>45</v>
      </c>
      <c r="M3611" s="1" t="str">
        <f>TEXT(Table1[[#This Row],[Order Date]],"mmm")</f>
        <v>Jun</v>
      </c>
      <c r="N3611" s="1">
        <f>YEAR(Table1[[#This Row],[Order Date]])</f>
        <v>2023</v>
      </c>
    </row>
    <row r="3612" spans="1:14" x14ac:dyDescent="0.35">
      <c r="A3612" s="1" t="s">
        <v>4407</v>
      </c>
      <c r="B3612" s="1" t="s">
        <v>522</v>
      </c>
      <c r="C3612" s="1" t="s">
        <v>111</v>
      </c>
      <c r="D3612" s="1" t="s">
        <v>95</v>
      </c>
      <c r="E3612" s="1" t="s">
        <v>33</v>
      </c>
      <c r="F3612" s="1" t="s">
        <v>95</v>
      </c>
      <c r="G3612" s="1">
        <v>9</v>
      </c>
      <c r="H3612" s="1">
        <v>2182</v>
      </c>
      <c r="I3612" s="1">
        <v>0</v>
      </c>
      <c r="J3612" s="1">
        <v>19638</v>
      </c>
      <c r="K3612" s="1">
        <v>4211.8100000000004</v>
      </c>
      <c r="L3612" s="1" t="s">
        <v>45</v>
      </c>
      <c r="M3612" s="1" t="str">
        <f>TEXT(Table1[[#This Row],[Order Date]],"mmm")</f>
        <v>Jan</v>
      </c>
      <c r="N3612" s="1">
        <f>YEAR(Table1[[#This Row],[Order Date]])</f>
        <v>2023</v>
      </c>
    </row>
    <row r="3613" spans="1:14" x14ac:dyDescent="0.35">
      <c r="A3613" s="1" t="s">
        <v>4408</v>
      </c>
      <c r="B3613" s="1" t="s">
        <v>1492</v>
      </c>
      <c r="C3613" s="1" t="s">
        <v>255</v>
      </c>
      <c r="D3613" s="1" t="s">
        <v>133</v>
      </c>
      <c r="E3613" s="1" t="s">
        <v>22</v>
      </c>
      <c r="F3613" s="1" t="s">
        <v>133</v>
      </c>
      <c r="G3613" s="1">
        <v>15</v>
      </c>
      <c r="H3613" s="1">
        <v>48919</v>
      </c>
      <c r="I3613" s="1">
        <v>0.05</v>
      </c>
      <c r="J3613" s="1">
        <v>697095.75</v>
      </c>
      <c r="K3613" s="1">
        <v>81948.539999999994</v>
      </c>
      <c r="L3613" s="1" t="s">
        <v>70</v>
      </c>
      <c r="M3613" s="1" t="str">
        <f>TEXT(Table1[[#This Row],[Order Date]],"mmm")</f>
        <v>Mar</v>
      </c>
      <c r="N3613" s="1">
        <f>YEAR(Table1[[#This Row],[Order Date]])</f>
        <v>2024</v>
      </c>
    </row>
    <row r="3614" spans="1:14" x14ac:dyDescent="0.35">
      <c r="A3614" s="1" t="s">
        <v>4409</v>
      </c>
      <c r="B3614" s="1" t="s">
        <v>301</v>
      </c>
      <c r="C3614" s="1" t="s">
        <v>14</v>
      </c>
      <c r="D3614" s="1" t="s">
        <v>44</v>
      </c>
      <c r="E3614" s="1" t="s">
        <v>28</v>
      </c>
      <c r="F3614" s="1" t="s">
        <v>44</v>
      </c>
      <c r="G3614" s="1">
        <v>6</v>
      </c>
      <c r="H3614" s="1">
        <v>22406</v>
      </c>
      <c r="I3614" s="1">
        <v>0.05</v>
      </c>
      <c r="J3614" s="1">
        <v>127714.2</v>
      </c>
      <c r="K3614" s="1">
        <v>15945.9</v>
      </c>
      <c r="L3614" s="1" t="s">
        <v>23</v>
      </c>
      <c r="M3614" s="1" t="str">
        <f>TEXT(Table1[[#This Row],[Order Date]],"mmm")</f>
        <v>Jul</v>
      </c>
      <c r="N3614" s="1">
        <f>YEAR(Table1[[#This Row],[Order Date]])</f>
        <v>2023</v>
      </c>
    </row>
    <row r="3615" spans="1:14" x14ac:dyDescent="0.35">
      <c r="A3615" s="1" t="s">
        <v>4410</v>
      </c>
      <c r="B3615" s="1" t="s">
        <v>1245</v>
      </c>
      <c r="C3615" s="1" t="s">
        <v>200</v>
      </c>
      <c r="D3615" s="1" t="s">
        <v>293</v>
      </c>
      <c r="E3615" s="1" t="s">
        <v>33</v>
      </c>
      <c r="F3615" s="1" t="s">
        <v>293</v>
      </c>
      <c r="G3615" s="1">
        <v>1</v>
      </c>
      <c r="H3615" s="1">
        <v>48487</v>
      </c>
      <c r="I3615" s="1">
        <v>0.1</v>
      </c>
      <c r="J3615" s="1">
        <v>43638.3</v>
      </c>
      <c r="K3615" s="1">
        <v>8516.86</v>
      </c>
      <c r="L3615" s="1" t="s">
        <v>70</v>
      </c>
      <c r="M3615" s="1" t="str">
        <f>TEXT(Table1[[#This Row],[Order Date]],"mmm")</f>
        <v>Nov</v>
      </c>
      <c r="N3615" s="1">
        <f>YEAR(Table1[[#This Row],[Order Date]])</f>
        <v>2024</v>
      </c>
    </row>
    <row r="3616" spans="1:14" x14ac:dyDescent="0.35">
      <c r="A3616" s="1" t="s">
        <v>4411</v>
      </c>
      <c r="B3616" s="1" t="s">
        <v>1918</v>
      </c>
      <c r="C3616" s="1" t="s">
        <v>158</v>
      </c>
      <c r="D3616" s="1" t="s">
        <v>48</v>
      </c>
      <c r="E3616" s="1" t="s">
        <v>16</v>
      </c>
      <c r="F3616" s="1" t="s">
        <v>48</v>
      </c>
      <c r="G3616" s="1">
        <v>1</v>
      </c>
      <c r="H3616" s="1">
        <v>11320</v>
      </c>
      <c r="I3616" s="1">
        <v>0.15</v>
      </c>
      <c r="J3616" s="1">
        <v>9622</v>
      </c>
      <c r="K3616" s="1">
        <v>1308.1400000000001</v>
      </c>
      <c r="L3616" s="1" t="s">
        <v>45</v>
      </c>
      <c r="M3616" s="1" t="str">
        <f>TEXT(Table1[[#This Row],[Order Date]],"mmm")</f>
        <v>Aug</v>
      </c>
      <c r="N3616" s="1">
        <f>YEAR(Table1[[#This Row],[Order Date]])</f>
        <v>2023</v>
      </c>
    </row>
    <row r="3617" spans="1:14" x14ac:dyDescent="0.35">
      <c r="A3617" s="1" t="s">
        <v>4412</v>
      </c>
      <c r="B3617" s="1" t="s">
        <v>1662</v>
      </c>
      <c r="C3617" s="1" t="s">
        <v>40</v>
      </c>
      <c r="D3617" s="1" t="s">
        <v>27</v>
      </c>
      <c r="E3617" s="1" t="s">
        <v>28</v>
      </c>
      <c r="F3617" s="1" t="s">
        <v>27</v>
      </c>
      <c r="G3617" s="1">
        <v>6</v>
      </c>
      <c r="H3617" s="1">
        <v>57313</v>
      </c>
      <c r="I3617" s="1">
        <v>0.15</v>
      </c>
      <c r="J3617" s="1">
        <v>292296.3</v>
      </c>
      <c r="K3617" s="1">
        <v>49059.65</v>
      </c>
      <c r="L3617" s="1" t="s">
        <v>70</v>
      </c>
      <c r="M3617" s="1" t="str">
        <f>TEXT(Table1[[#This Row],[Order Date]],"mmm")</f>
        <v>Aug</v>
      </c>
      <c r="N3617" s="1">
        <f>YEAR(Table1[[#This Row],[Order Date]])</f>
        <v>2024</v>
      </c>
    </row>
    <row r="3618" spans="1:14" x14ac:dyDescent="0.35">
      <c r="A3618" s="1" t="s">
        <v>4413</v>
      </c>
      <c r="B3618" s="1" t="s">
        <v>612</v>
      </c>
      <c r="C3618" s="1" t="s">
        <v>67</v>
      </c>
      <c r="D3618" s="1" t="s">
        <v>41</v>
      </c>
      <c r="E3618" s="1" t="s">
        <v>16</v>
      </c>
      <c r="F3618" s="1" t="s">
        <v>41</v>
      </c>
      <c r="G3618" s="1">
        <v>8</v>
      </c>
      <c r="H3618" s="1">
        <v>6689</v>
      </c>
      <c r="I3618" s="1">
        <v>0</v>
      </c>
      <c r="J3618" s="1">
        <v>53512</v>
      </c>
      <c r="K3618" s="1">
        <v>11102.45</v>
      </c>
      <c r="L3618" s="1" t="s">
        <v>17</v>
      </c>
      <c r="M3618" s="1" t="str">
        <f>TEXT(Table1[[#This Row],[Order Date]],"mmm")</f>
        <v>May</v>
      </c>
      <c r="N3618" s="1">
        <f>YEAR(Table1[[#This Row],[Order Date]])</f>
        <v>2024</v>
      </c>
    </row>
    <row r="3619" spans="1:14" x14ac:dyDescent="0.35">
      <c r="A3619" s="1" t="s">
        <v>4414</v>
      </c>
      <c r="B3619" s="1" t="s">
        <v>2076</v>
      </c>
      <c r="C3619" s="1" t="s">
        <v>63</v>
      </c>
      <c r="D3619" s="1" t="s">
        <v>114</v>
      </c>
      <c r="E3619" s="1" t="s">
        <v>16</v>
      </c>
      <c r="F3619" s="1" t="s">
        <v>114</v>
      </c>
      <c r="G3619" s="1">
        <v>4</v>
      </c>
      <c r="H3619" s="1">
        <v>55175</v>
      </c>
      <c r="I3619" s="1">
        <v>0.05</v>
      </c>
      <c r="J3619" s="1">
        <v>209665</v>
      </c>
      <c r="K3619" s="1">
        <v>45875.11</v>
      </c>
      <c r="L3619" s="1" t="s">
        <v>17</v>
      </c>
      <c r="M3619" s="1" t="str">
        <f>TEXT(Table1[[#This Row],[Order Date]],"mmm")</f>
        <v>Jun</v>
      </c>
      <c r="N3619" s="1">
        <f>YEAR(Table1[[#This Row],[Order Date]])</f>
        <v>2024</v>
      </c>
    </row>
    <row r="3620" spans="1:14" x14ac:dyDescent="0.35">
      <c r="A3620" s="1" t="s">
        <v>4415</v>
      </c>
      <c r="B3620" s="1" t="s">
        <v>909</v>
      </c>
      <c r="C3620" s="1" t="s">
        <v>191</v>
      </c>
      <c r="D3620" s="1" t="s">
        <v>179</v>
      </c>
      <c r="E3620" s="1" t="s">
        <v>28</v>
      </c>
      <c r="F3620" s="1" t="s">
        <v>179</v>
      </c>
      <c r="G3620" s="1">
        <v>5</v>
      </c>
      <c r="H3620" s="1">
        <v>4893</v>
      </c>
      <c r="I3620" s="1">
        <v>0.2</v>
      </c>
      <c r="J3620" s="1">
        <v>19572</v>
      </c>
      <c r="K3620" s="1">
        <v>5705.77</v>
      </c>
      <c r="L3620" s="1" t="s">
        <v>45</v>
      </c>
      <c r="M3620" s="1" t="str">
        <f>TEXT(Table1[[#This Row],[Order Date]],"mmm")</f>
        <v>Sep</v>
      </c>
      <c r="N3620" s="1">
        <f>YEAR(Table1[[#This Row],[Order Date]])</f>
        <v>2024</v>
      </c>
    </row>
    <row r="3621" spans="1:14" x14ac:dyDescent="0.35">
      <c r="A3621" s="1" t="s">
        <v>4416</v>
      </c>
      <c r="B3621" s="1" t="s">
        <v>921</v>
      </c>
      <c r="C3621" s="1" t="s">
        <v>36</v>
      </c>
      <c r="D3621" s="1" t="s">
        <v>293</v>
      </c>
      <c r="E3621" s="1" t="s">
        <v>33</v>
      </c>
      <c r="F3621" s="1" t="s">
        <v>293</v>
      </c>
      <c r="G3621" s="1">
        <v>10</v>
      </c>
      <c r="H3621" s="1">
        <v>58102</v>
      </c>
      <c r="I3621" s="1">
        <v>0</v>
      </c>
      <c r="J3621" s="1">
        <v>581020</v>
      </c>
      <c r="K3621" s="1">
        <v>64932.45</v>
      </c>
      <c r="L3621" s="1" t="s">
        <v>45</v>
      </c>
      <c r="M3621" s="1" t="str">
        <f>TEXT(Table1[[#This Row],[Order Date]],"mmm")</f>
        <v>Jul</v>
      </c>
      <c r="N3621" s="1">
        <f>YEAR(Table1[[#This Row],[Order Date]])</f>
        <v>2023</v>
      </c>
    </row>
    <row r="3622" spans="1:14" x14ac:dyDescent="0.35">
      <c r="A3622" s="1" t="s">
        <v>4417</v>
      </c>
      <c r="B3622" s="1" t="s">
        <v>2176</v>
      </c>
      <c r="C3622" s="1" t="s">
        <v>55</v>
      </c>
      <c r="D3622" s="1" t="s">
        <v>151</v>
      </c>
      <c r="E3622" s="1" t="s">
        <v>22</v>
      </c>
      <c r="F3622" s="1" t="s">
        <v>151</v>
      </c>
      <c r="G3622" s="1">
        <v>15</v>
      </c>
      <c r="H3622" s="1">
        <v>9211</v>
      </c>
      <c r="I3622" s="1">
        <v>0.05</v>
      </c>
      <c r="J3622" s="1">
        <v>131256.75</v>
      </c>
      <c r="K3622" s="1">
        <v>19076.939999999999</v>
      </c>
      <c r="L3622" s="1" t="s">
        <v>45</v>
      </c>
      <c r="M3622" s="1" t="str">
        <f>TEXT(Table1[[#This Row],[Order Date]],"mmm")</f>
        <v>Sep</v>
      </c>
      <c r="N3622" s="1">
        <f>YEAR(Table1[[#This Row],[Order Date]])</f>
        <v>2024</v>
      </c>
    </row>
    <row r="3623" spans="1:14" x14ac:dyDescent="0.35">
      <c r="A3623" s="1" t="s">
        <v>4418</v>
      </c>
      <c r="B3623" s="1" t="s">
        <v>3073</v>
      </c>
      <c r="C3623" s="1" t="s">
        <v>332</v>
      </c>
      <c r="D3623" s="1" t="s">
        <v>114</v>
      </c>
      <c r="E3623" s="1" t="s">
        <v>16</v>
      </c>
      <c r="F3623" s="1" t="s">
        <v>114</v>
      </c>
      <c r="G3623" s="1">
        <v>13</v>
      </c>
      <c r="H3623" s="1">
        <v>7611</v>
      </c>
      <c r="I3623" s="1">
        <v>0.1</v>
      </c>
      <c r="J3623" s="1">
        <v>89048.7</v>
      </c>
      <c r="K3623" s="1">
        <v>21581.040000000001</v>
      </c>
      <c r="L3623" s="1" t="s">
        <v>17</v>
      </c>
      <c r="M3623" s="1" t="str">
        <f>TEXT(Table1[[#This Row],[Order Date]],"mmm")</f>
        <v>Aug</v>
      </c>
      <c r="N3623" s="1">
        <f>YEAR(Table1[[#This Row],[Order Date]])</f>
        <v>2024</v>
      </c>
    </row>
    <row r="3624" spans="1:14" x14ac:dyDescent="0.35">
      <c r="A3624" s="1" t="s">
        <v>4419</v>
      </c>
      <c r="B3624" s="1" t="s">
        <v>1337</v>
      </c>
      <c r="C3624" s="1" t="s">
        <v>136</v>
      </c>
      <c r="D3624" s="1" t="s">
        <v>91</v>
      </c>
      <c r="E3624" s="1" t="s">
        <v>16</v>
      </c>
      <c r="F3624" s="1" t="s">
        <v>91</v>
      </c>
      <c r="G3624" s="1">
        <v>9</v>
      </c>
      <c r="H3624" s="1">
        <v>42018</v>
      </c>
      <c r="I3624" s="1">
        <v>0.15</v>
      </c>
      <c r="J3624" s="1">
        <v>321437.7</v>
      </c>
      <c r="K3624" s="1">
        <v>70623.69</v>
      </c>
      <c r="L3624" s="1" t="s">
        <v>17</v>
      </c>
      <c r="M3624" s="1" t="str">
        <f>TEXT(Table1[[#This Row],[Order Date]],"mmm")</f>
        <v>Dec</v>
      </c>
      <c r="N3624" s="1">
        <f>YEAR(Table1[[#This Row],[Order Date]])</f>
        <v>2024</v>
      </c>
    </row>
    <row r="3625" spans="1:14" x14ac:dyDescent="0.35">
      <c r="A3625" s="1" t="s">
        <v>4420</v>
      </c>
      <c r="B3625" s="1" t="s">
        <v>72</v>
      </c>
      <c r="C3625" s="1" t="s">
        <v>362</v>
      </c>
      <c r="D3625" s="1" t="s">
        <v>133</v>
      </c>
      <c r="E3625" s="1" t="s">
        <v>22</v>
      </c>
      <c r="F3625" s="1" t="s">
        <v>133</v>
      </c>
      <c r="G3625" s="1">
        <v>3</v>
      </c>
      <c r="H3625" s="1">
        <v>5478</v>
      </c>
      <c r="I3625" s="1">
        <v>0.05</v>
      </c>
      <c r="J3625" s="1">
        <v>15612.3</v>
      </c>
      <c r="K3625" s="1">
        <v>3310.24</v>
      </c>
      <c r="L3625" s="1" t="s">
        <v>45</v>
      </c>
      <c r="M3625" s="1" t="str">
        <f>TEXT(Table1[[#This Row],[Order Date]],"mmm")</f>
        <v>Aug</v>
      </c>
      <c r="N3625" s="1">
        <f>YEAR(Table1[[#This Row],[Order Date]])</f>
        <v>2023</v>
      </c>
    </row>
    <row r="3626" spans="1:14" x14ac:dyDescent="0.35">
      <c r="A3626" s="1" t="s">
        <v>4421</v>
      </c>
      <c r="B3626" s="1" t="s">
        <v>1121</v>
      </c>
      <c r="C3626" s="1" t="s">
        <v>107</v>
      </c>
      <c r="D3626" s="1" t="s">
        <v>37</v>
      </c>
      <c r="E3626" s="1" t="s">
        <v>16</v>
      </c>
      <c r="F3626" s="1" t="s">
        <v>37</v>
      </c>
      <c r="G3626" s="1">
        <v>9</v>
      </c>
      <c r="H3626" s="1">
        <v>38164</v>
      </c>
      <c r="I3626" s="1">
        <v>0</v>
      </c>
      <c r="J3626" s="1">
        <v>343476</v>
      </c>
      <c r="K3626" s="1">
        <v>79669.899999999994</v>
      </c>
      <c r="L3626" s="1" t="s">
        <v>17</v>
      </c>
      <c r="M3626" s="1" t="str">
        <f>TEXT(Table1[[#This Row],[Order Date]],"mmm")</f>
        <v>Nov</v>
      </c>
      <c r="N3626" s="1">
        <f>YEAR(Table1[[#This Row],[Order Date]])</f>
        <v>2024</v>
      </c>
    </row>
    <row r="3627" spans="1:14" x14ac:dyDescent="0.35">
      <c r="A3627" s="1" t="s">
        <v>4422</v>
      </c>
      <c r="B3627" s="1" t="s">
        <v>1155</v>
      </c>
      <c r="C3627" s="1" t="s">
        <v>117</v>
      </c>
      <c r="D3627" s="1" t="s">
        <v>44</v>
      </c>
      <c r="E3627" s="1" t="s">
        <v>28</v>
      </c>
      <c r="F3627" s="1" t="s">
        <v>44</v>
      </c>
      <c r="G3627" s="1">
        <v>14</v>
      </c>
      <c r="H3627" s="1">
        <v>48809</v>
      </c>
      <c r="I3627" s="1">
        <v>0.1</v>
      </c>
      <c r="J3627" s="1">
        <v>614993.4</v>
      </c>
      <c r="K3627" s="1">
        <v>167669.65</v>
      </c>
      <c r="L3627" s="1" t="s">
        <v>23</v>
      </c>
      <c r="M3627" s="1" t="str">
        <f>TEXT(Table1[[#This Row],[Order Date]],"mmm")</f>
        <v>May</v>
      </c>
      <c r="N3627" s="1">
        <f>YEAR(Table1[[#This Row],[Order Date]])</f>
        <v>2024</v>
      </c>
    </row>
    <row r="3628" spans="1:14" x14ac:dyDescent="0.35">
      <c r="A3628" s="1" t="s">
        <v>4423</v>
      </c>
      <c r="B3628" s="1" t="s">
        <v>1171</v>
      </c>
      <c r="C3628" s="1" t="s">
        <v>188</v>
      </c>
      <c r="D3628" s="1" t="s">
        <v>37</v>
      </c>
      <c r="E3628" s="1" t="s">
        <v>16</v>
      </c>
      <c r="F3628" s="1" t="s">
        <v>37</v>
      </c>
      <c r="G3628" s="1">
        <v>13</v>
      </c>
      <c r="H3628" s="1">
        <v>2829</v>
      </c>
      <c r="I3628" s="1">
        <v>0.15</v>
      </c>
      <c r="J3628" s="1">
        <v>31260.45</v>
      </c>
      <c r="K3628" s="1">
        <v>6480.53</v>
      </c>
      <c r="L3628" s="1" t="s">
        <v>17</v>
      </c>
      <c r="M3628" s="1" t="str">
        <f>TEXT(Table1[[#This Row],[Order Date]],"mmm")</f>
        <v>Aug</v>
      </c>
      <c r="N3628" s="1">
        <f>YEAR(Table1[[#This Row],[Order Date]])</f>
        <v>2024</v>
      </c>
    </row>
    <row r="3629" spans="1:14" x14ac:dyDescent="0.35">
      <c r="A3629" s="1" t="s">
        <v>4424</v>
      </c>
      <c r="B3629" s="1" t="s">
        <v>303</v>
      </c>
      <c r="C3629" s="1" t="s">
        <v>40</v>
      </c>
      <c r="D3629" s="1" t="s">
        <v>15</v>
      </c>
      <c r="E3629" s="1" t="s">
        <v>16</v>
      </c>
      <c r="F3629" s="1" t="s">
        <v>15</v>
      </c>
      <c r="G3629" s="1">
        <v>14</v>
      </c>
      <c r="H3629" s="1">
        <v>55978</v>
      </c>
      <c r="I3629" s="1">
        <v>0.15</v>
      </c>
      <c r="J3629" s="1">
        <v>666138.19999999995</v>
      </c>
      <c r="K3629" s="1">
        <v>169345.41</v>
      </c>
      <c r="L3629" s="1" t="s">
        <v>17</v>
      </c>
      <c r="M3629" s="1" t="str">
        <f>TEXT(Table1[[#This Row],[Order Date]],"mmm")</f>
        <v>Jun</v>
      </c>
      <c r="N3629" s="1">
        <f>YEAR(Table1[[#This Row],[Order Date]])</f>
        <v>2024</v>
      </c>
    </row>
    <row r="3630" spans="1:14" x14ac:dyDescent="0.35">
      <c r="A3630" s="1" t="s">
        <v>4425</v>
      </c>
      <c r="B3630" s="1" t="s">
        <v>692</v>
      </c>
      <c r="C3630" s="1" t="s">
        <v>191</v>
      </c>
      <c r="D3630" s="1" t="s">
        <v>114</v>
      </c>
      <c r="E3630" s="1" t="s">
        <v>16</v>
      </c>
      <c r="F3630" s="1" t="s">
        <v>114</v>
      </c>
      <c r="G3630" s="1">
        <v>11</v>
      </c>
      <c r="H3630" s="1">
        <v>43437</v>
      </c>
      <c r="I3630" s="1">
        <v>0</v>
      </c>
      <c r="J3630" s="1">
        <v>477807</v>
      </c>
      <c r="K3630" s="1">
        <v>134240.98000000001</v>
      </c>
      <c r="L3630" s="1" t="s">
        <v>45</v>
      </c>
      <c r="M3630" s="1" t="str">
        <f>TEXT(Table1[[#This Row],[Order Date]],"mmm")</f>
        <v>Nov</v>
      </c>
      <c r="N3630" s="1">
        <f>YEAR(Table1[[#This Row],[Order Date]])</f>
        <v>2023</v>
      </c>
    </row>
    <row r="3631" spans="1:14" x14ac:dyDescent="0.35">
      <c r="A3631" s="1" t="s">
        <v>4426</v>
      </c>
      <c r="B3631" s="1" t="s">
        <v>318</v>
      </c>
      <c r="C3631" s="1" t="s">
        <v>203</v>
      </c>
      <c r="D3631" s="1" t="s">
        <v>74</v>
      </c>
      <c r="E3631" s="1" t="s">
        <v>22</v>
      </c>
      <c r="F3631" s="1" t="s">
        <v>74</v>
      </c>
      <c r="G3631" s="1">
        <v>8</v>
      </c>
      <c r="H3631" s="1">
        <v>21300</v>
      </c>
      <c r="I3631" s="1">
        <v>0.15</v>
      </c>
      <c r="J3631" s="1">
        <v>144840</v>
      </c>
      <c r="K3631" s="1">
        <v>29953.84</v>
      </c>
      <c r="L3631" s="1" t="s">
        <v>70</v>
      </c>
      <c r="M3631" s="1" t="str">
        <f>TEXT(Table1[[#This Row],[Order Date]],"mmm")</f>
        <v>Aug</v>
      </c>
      <c r="N3631" s="1">
        <f>YEAR(Table1[[#This Row],[Order Date]])</f>
        <v>2023</v>
      </c>
    </row>
    <row r="3632" spans="1:14" x14ac:dyDescent="0.35">
      <c r="A3632" s="1" t="s">
        <v>4427</v>
      </c>
      <c r="B3632" s="1" t="s">
        <v>1420</v>
      </c>
      <c r="C3632" s="1" t="s">
        <v>335</v>
      </c>
      <c r="D3632" s="1" t="s">
        <v>114</v>
      </c>
      <c r="E3632" s="1" t="s">
        <v>16</v>
      </c>
      <c r="F3632" s="1" t="s">
        <v>114</v>
      </c>
      <c r="G3632" s="1">
        <v>6</v>
      </c>
      <c r="H3632" s="1">
        <v>40280</v>
      </c>
      <c r="I3632" s="1">
        <v>0.1</v>
      </c>
      <c r="J3632" s="1">
        <v>217512</v>
      </c>
      <c r="K3632" s="1">
        <v>60222.69</v>
      </c>
      <c r="L3632" s="1" t="s">
        <v>70</v>
      </c>
      <c r="M3632" s="1" t="str">
        <f>TEXT(Table1[[#This Row],[Order Date]],"mmm")</f>
        <v>Apr</v>
      </c>
      <c r="N3632" s="1">
        <f>YEAR(Table1[[#This Row],[Order Date]])</f>
        <v>2024</v>
      </c>
    </row>
    <row r="3633" spans="1:14" x14ac:dyDescent="0.35">
      <c r="A3633" s="1" t="s">
        <v>4428</v>
      </c>
      <c r="B3633" s="1" t="s">
        <v>103</v>
      </c>
      <c r="C3633" s="1" t="s">
        <v>640</v>
      </c>
      <c r="D3633" s="1" t="s">
        <v>323</v>
      </c>
      <c r="E3633" s="1" t="s">
        <v>33</v>
      </c>
      <c r="F3633" s="1" t="s">
        <v>323</v>
      </c>
      <c r="G3633" s="1">
        <v>4</v>
      </c>
      <c r="H3633" s="1">
        <v>2289</v>
      </c>
      <c r="I3633" s="1">
        <v>0.2</v>
      </c>
      <c r="J3633" s="1">
        <v>7324.8</v>
      </c>
      <c r="K3633" s="1">
        <v>848.66</v>
      </c>
      <c r="L3633" s="1" t="s">
        <v>17</v>
      </c>
      <c r="M3633" s="1" t="str">
        <f>TEXT(Table1[[#This Row],[Order Date]],"mmm")</f>
        <v>Nov</v>
      </c>
      <c r="N3633" s="1">
        <f>YEAR(Table1[[#This Row],[Order Date]])</f>
        <v>2023</v>
      </c>
    </row>
    <row r="3634" spans="1:14" x14ac:dyDescent="0.35">
      <c r="A3634" s="1" t="s">
        <v>4429</v>
      </c>
      <c r="B3634" s="1" t="s">
        <v>621</v>
      </c>
      <c r="C3634" s="1" t="s">
        <v>84</v>
      </c>
      <c r="D3634" s="1" t="s">
        <v>133</v>
      </c>
      <c r="E3634" s="1" t="s">
        <v>22</v>
      </c>
      <c r="F3634" s="1" t="s">
        <v>133</v>
      </c>
      <c r="G3634" s="1">
        <v>7</v>
      </c>
      <c r="H3634" s="1">
        <v>31102</v>
      </c>
      <c r="I3634" s="1">
        <v>0.1</v>
      </c>
      <c r="J3634" s="1">
        <v>195942.6</v>
      </c>
      <c r="K3634" s="1">
        <v>31668.080000000002</v>
      </c>
      <c r="L3634" s="1" t="s">
        <v>17</v>
      </c>
      <c r="M3634" s="1" t="str">
        <f>TEXT(Table1[[#This Row],[Order Date]],"mmm")</f>
        <v>Jan</v>
      </c>
      <c r="N3634" s="1">
        <f>YEAR(Table1[[#This Row],[Order Date]])</f>
        <v>2024</v>
      </c>
    </row>
    <row r="3635" spans="1:14" x14ac:dyDescent="0.35">
      <c r="A3635" s="1" t="s">
        <v>4430</v>
      </c>
      <c r="B3635" s="1" t="s">
        <v>543</v>
      </c>
      <c r="C3635" s="1" t="s">
        <v>88</v>
      </c>
      <c r="D3635" s="1" t="s">
        <v>78</v>
      </c>
      <c r="E3635" s="1" t="s">
        <v>28</v>
      </c>
      <c r="F3635" s="1" t="s">
        <v>78</v>
      </c>
      <c r="G3635" s="1">
        <v>9</v>
      </c>
      <c r="H3635" s="1">
        <v>32899</v>
      </c>
      <c r="I3635" s="1">
        <v>0.1</v>
      </c>
      <c r="J3635" s="1">
        <v>266481.90000000002</v>
      </c>
      <c r="K3635" s="1">
        <v>57438.239999999998</v>
      </c>
      <c r="L3635" s="1" t="s">
        <v>23</v>
      </c>
      <c r="M3635" s="1" t="str">
        <f>TEXT(Table1[[#This Row],[Order Date]],"mmm")</f>
        <v>Jun</v>
      </c>
      <c r="N3635" s="1">
        <f>YEAR(Table1[[#This Row],[Order Date]])</f>
        <v>2024</v>
      </c>
    </row>
    <row r="3636" spans="1:14" x14ac:dyDescent="0.35">
      <c r="A3636" s="1" t="s">
        <v>4431</v>
      </c>
      <c r="B3636" s="1" t="s">
        <v>2864</v>
      </c>
      <c r="C3636" s="1" t="s">
        <v>63</v>
      </c>
      <c r="D3636" s="1" t="s">
        <v>32</v>
      </c>
      <c r="E3636" s="1" t="s">
        <v>33</v>
      </c>
      <c r="F3636" s="1" t="s">
        <v>32</v>
      </c>
      <c r="G3636" s="1">
        <v>5</v>
      </c>
      <c r="H3636" s="1">
        <v>22459</v>
      </c>
      <c r="I3636" s="1">
        <v>0.1</v>
      </c>
      <c r="J3636" s="1">
        <v>101065.5</v>
      </c>
      <c r="K3636" s="1">
        <v>26840.51</v>
      </c>
      <c r="L3636" s="1" t="s">
        <v>23</v>
      </c>
      <c r="M3636" s="1" t="str">
        <f>TEXT(Table1[[#This Row],[Order Date]],"mmm")</f>
        <v>Dec</v>
      </c>
      <c r="N3636" s="1">
        <f>YEAR(Table1[[#This Row],[Order Date]])</f>
        <v>2023</v>
      </c>
    </row>
    <row r="3637" spans="1:14" x14ac:dyDescent="0.35">
      <c r="A3637" s="1" t="s">
        <v>4432</v>
      </c>
      <c r="B3637" s="1" t="s">
        <v>1151</v>
      </c>
      <c r="C3637" s="1" t="s">
        <v>55</v>
      </c>
      <c r="D3637" s="1" t="s">
        <v>21</v>
      </c>
      <c r="E3637" s="1" t="s">
        <v>22</v>
      </c>
      <c r="F3637" s="1" t="s">
        <v>21</v>
      </c>
      <c r="G3637" s="1">
        <v>11</v>
      </c>
      <c r="H3637" s="1">
        <v>53639</v>
      </c>
      <c r="I3637" s="1">
        <v>0.1</v>
      </c>
      <c r="J3637" s="1">
        <v>531026.1</v>
      </c>
      <c r="K3637" s="1">
        <v>67433.509999999995</v>
      </c>
      <c r="L3637" s="1" t="s">
        <v>23</v>
      </c>
      <c r="M3637" s="1" t="str">
        <f>TEXT(Table1[[#This Row],[Order Date]],"mmm")</f>
        <v>Jul</v>
      </c>
      <c r="N3637" s="1">
        <f>YEAR(Table1[[#This Row],[Order Date]])</f>
        <v>2023</v>
      </c>
    </row>
    <row r="3638" spans="1:14" x14ac:dyDescent="0.35">
      <c r="A3638" s="1" t="s">
        <v>4433</v>
      </c>
      <c r="B3638" s="1" t="s">
        <v>1391</v>
      </c>
      <c r="C3638" s="1" t="s">
        <v>175</v>
      </c>
      <c r="D3638" s="1" t="s">
        <v>48</v>
      </c>
      <c r="E3638" s="1" t="s">
        <v>16</v>
      </c>
      <c r="F3638" s="1" t="s">
        <v>48</v>
      </c>
      <c r="G3638" s="1">
        <v>10</v>
      </c>
      <c r="H3638" s="1">
        <v>5812</v>
      </c>
      <c r="I3638" s="1">
        <v>0</v>
      </c>
      <c r="J3638" s="1">
        <v>58120</v>
      </c>
      <c r="K3638" s="1">
        <v>4844.88</v>
      </c>
      <c r="L3638" s="1" t="s">
        <v>23</v>
      </c>
      <c r="M3638" s="1" t="str">
        <f>TEXT(Table1[[#This Row],[Order Date]],"mmm")</f>
        <v>Sep</v>
      </c>
      <c r="N3638" s="1">
        <f>YEAR(Table1[[#This Row],[Order Date]])</f>
        <v>2023</v>
      </c>
    </row>
    <row r="3639" spans="1:14" x14ac:dyDescent="0.35">
      <c r="A3639" s="1" t="s">
        <v>4434</v>
      </c>
      <c r="B3639" s="1" t="s">
        <v>1196</v>
      </c>
      <c r="C3639" s="1" t="s">
        <v>507</v>
      </c>
      <c r="D3639" s="1" t="s">
        <v>32</v>
      </c>
      <c r="E3639" s="1" t="s">
        <v>33</v>
      </c>
      <c r="F3639" s="1" t="s">
        <v>32</v>
      </c>
      <c r="G3639" s="1">
        <v>6</v>
      </c>
      <c r="H3639" s="1">
        <v>47851</v>
      </c>
      <c r="I3639" s="1">
        <v>0.05</v>
      </c>
      <c r="J3639" s="1">
        <v>272750.7</v>
      </c>
      <c r="K3639" s="1">
        <v>75012.850000000006</v>
      </c>
      <c r="L3639" s="1" t="s">
        <v>45</v>
      </c>
      <c r="M3639" s="1" t="str">
        <f>TEXT(Table1[[#This Row],[Order Date]],"mmm")</f>
        <v>May</v>
      </c>
      <c r="N3639" s="1">
        <f>YEAR(Table1[[#This Row],[Order Date]])</f>
        <v>2023</v>
      </c>
    </row>
    <row r="3640" spans="1:14" x14ac:dyDescent="0.35">
      <c r="A3640" s="1" t="s">
        <v>4435</v>
      </c>
      <c r="B3640" s="1" t="s">
        <v>87</v>
      </c>
      <c r="C3640" s="1" t="s">
        <v>81</v>
      </c>
      <c r="D3640" s="1" t="s">
        <v>167</v>
      </c>
      <c r="E3640" s="1" t="s">
        <v>16</v>
      </c>
      <c r="F3640" s="1" t="s">
        <v>167</v>
      </c>
      <c r="G3640" s="1">
        <v>15</v>
      </c>
      <c r="H3640" s="1">
        <v>31564</v>
      </c>
      <c r="I3640" s="1">
        <v>0.15</v>
      </c>
      <c r="J3640" s="1">
        <v>402441</v>
      </c>
      <c r="K3640" s="1">
        <v>93146.49</v>
      </c>
      <c r="L3640" s="1" t="s">
        <v>70</v>
      </c>
      <c r="M3640" s="1" t="str">
        <f>TEXT(Table1[[#This Row],[Order Date]],"mmm")</f>
        <v>Nov</v>
      </c>
      <c r="N3640" s="1">
        <f>YEAR(Table1[[#This Row],[Order Date]])</f>
        <v>2024</v>
      </c>
    </row>
    <row r="3641" spans="1:14" x14ac:dyDescent="0.35">
      <c r="A3641" s="1" t="s">
        <v>4436</v>
      </c>
      <c r="B3641" s="1" t="s">
        <v>1359</v>
      </c>
      <c r="C3641" s="1" t="s">
        <v>191</v>
      </c>
      <c r="D3641" s="1" t="s">
        <v>78</v>
      </c>
      <c r="E3641" s="1" t="s">
        <v>28</v>
      </c>
      <c r="F3641" s="1" t="s">
        <v>78</v>
      </c>
      <c r="G3641" s="1">
        <v>3</v>
      </c>
      <c r="H3641" s="1">
        <v>47326</v>
      </c>
      <c r="I3641" s="1">
        <v>0</v>
      </c>
      <c r="J3641" s="1">
        <v>141978</v>
      </c>
      <c r="K3641" s="1">
        <v>16290.11</v>
      </c>
      <c r="L3641" s="1" t="s">
        <v>45</v>
      </c>
      <c r="M3641" s="1" t="str">
        <f>TEXT(Table1[[#This Row],[Order Date]],"mmm")</f>
        <v>Jul</v>
      </c>
      <c r="N3641" s="1">
        <f>YEAR(Table1[[#This Row],[Order Date]])</f>
        <v>2023</v>
      </c>
    </row>
    <row r="3642" spans="1:14" x14ac:dyDescent="0.35">
      <c r="A3642" s="1" t="s">
        <v>4437</v>
      </c>
      <c r="B3642" s="1" t="s">
        <v>1163</v>
      </c>
      <c r="C3642" s="1" t="s">
        <v>640</v>
      </c>
      <c r="D3642" s="1" t="s">
        <v>78</v>
      </c>
      <c r="E3642" s="1" t="s">
        <v>28</v>
      </c>
      <c r="F3642" s="1" t="s">
        <v>78</v>
      </c>
      <c r="G3642" s="1">
        <v>7</v>
      </c>
      <c r="H3642" s="1">
        <v>37367</v>
      </c>
      <c r="I3642" s="1">
        <v>0.15</v>
      </c>
      <c r="J3642" s="1">
        <v>222333.65</v>
      </c>
      <c r="K3642" s="1">
        <v>46406.44</v>
      </c>
      <c r="L3642" s="1" t="s">
        <v>23</v>
      </c>
      <c r="M3642" s="1" t="str">
        <f>TEXT(Table1[[#This Row],[Order Date]],"mmm")</f>
        <v>Jun</v>
      </c>
      <c r="N3642" s="1">
        <f>YEAR(Table1[[#This Row],[Order Date]])</f>
        <v>2023</v>
      </c>
    </row>
    <row r="3643" spans="1:14" x14ac:dyDescent="0.35">
      <c r="A3643" s="1" t="s">
        <v>4438</v>
      </c>
      <c r="B3643" s="1" t="s">
        <v>322</v>
      </c>
      <c r="C3643" s="1" t="s">
        <v>73</v>
      </c>
      <c r="D3643" s="1" t="s">
        <v>323</v>
      </c>
      <c r="E3643" s="1" t="s">
        <v>33</v>
      </c>
      <c r="F3643" s="1" t="s">
        <v>323</v>
      </c>
      <c r="G3643" s="1">
        <v>2</v>
      </c>
      <c r="H3643" s="1">
        <v>57553</v>
      </c>
      <c r="I3643" s="1">
        <v>0</v>
      </c>
      <c r="J3643" s="1">
        <v>115106</v>
      </c>
      <c r="K3643" s="1">
        <v>24959.46</v>
      </c>
      <c r="L3643" s="1" t="s">
        <v>70</v>
      </c>
      <c r="M3643" s="1" t="str">
        <f>TEXT(Table1[[#This Row],[Order Date]],"mmm")</f>
        <v>Sep</v>
      </c>
      <c r="N3643" s="1">
        <f>YEAR(Table1[[#This Row],[Order Date]])</f>
        <v>2023</v>
      </c>
    </row>
    <row r="3644" spans="1:14" x14ac:dyDescent="0.35">
      <c r="A3644" s="1" t="s">
        <v>4439</v>
      </c>
      <c r="B3644" s="1" t="s">
        <v>513</v>
      </c>
      <c r="C3644" s="1" t="s">
        <v>104</v>
      </c>
      <c r="D3644" s="1" t="s">
        <v>133</v>
      </c>
      <c r="E3644" s="1" t="s">
        <v>22</v>
      </c>
      <c r="F3644" s="1" t="s">
        <v>133</v>
      </c>
      <c r="G3644" s="1">
        <v>10</v>
      </c>
      <c r="H3644" s="1">
        <v>43227</v>
      </c>
      <c r="I3644" s="1">
        <v>0.05</v>
      </c>
      <c r="J3644" s="1">
        <v>410656.5</v>
      </c>
      <c r="K3644" s="1">
        <v>108922.15</v>
      </c>
      <c r="L3644" s="1" t="s">
        <v>70</v>
      </c>
      <c r="M3644" s="1" t="str">
        <f>TEXT(Table1[[#This Row],[Order Date]],"mmm")</f>
        <v>Sep</v>
      </c>
      <c r="N3644" s="1">
        <f>YEAR(Table1[[#This Row],[Order Date]])</f>
        <v>2023</v>
      </c>
    </row>
    <row r="3645" spans="1:14" x14ac:dyDescent="0.35">
      <c r="A3645" s="1" t="s">
        <v>4440</v>
      </c>
      <c r="B3645" s="1" t="s">
        <v>250</v>
      </c>
      <c r="C3645" s="1" t="s">
        <v>77</v>
      </c>
      <c r="D3645" s="1" t="s">
        <v>44</v>
      </c>
      <c r="E3645" s="1" t="s">
        <v>28</v>
      </c>
      <c r="F3645" s="1" t="s">
        <v>44</v>
      </c>
      <c r="G3645" s="1">
        <v>2</v>
      </c>
      <c r="H3645" s="1">
        <v>15457</v>
      </c>
      <c r="I3645" s="1">
        <v>0.05</v>
      </c>
      <c r="J3645" s="1">
        <v>29368.3</v>
      </c>
      <c r="K3645" s="1">
        <v>4262.87</v>
      </c>
      <c r="L3645" s="1" t="s">
        <v>70</v>
      </c>
      <c r="M3645" s="1" t="str">
        <f>TEXT(Table1[[#This Row],[Order Date]],"mmm")</f>
        <v>Aug</v>
      </c>
      <c r="N3645" s="1">
        <f>YEAR(Table1[[#This Row],[Order Date]])</f>
        <v>2023</v>
      </c>
    </row>
    <row r="3646" spans="1:14" x14ac:dyDescent="0.35">
      <c r="A3646" s="1" t="s">
        <v>4441</v>
      </c>
      <c r="B3646" s="1" t="s">
        <v>318</v>
      </c>
      <c r="C3646" s="1" t="s">
        <v>101</v>
      </c>
      <c r="D3646" s="1" t="s">
        <v>293</v>
      </c>
      <c r="E3646" s="1" t="s">
        <v>33</v>
      </c>
      <c r="F3646" s="1" t="s">
        <v>293</v>
      </c>
      <c r="G3646" s="1">
        <v>10</v>
      </c>
      <c r="H3646" s="1">
        <v>44029</v>
      </c>
      <c r="I3646" s="1">
        <v>0.2</v>
      </c>
      <c r="J3646" s="1">
        <v>352232</v>
      </c>
      <c r="K3646" s="1">
        <v>98493.01</v>
      </c>
      <c r="L3646" s="1" t="s">
        <v>17</v>
      </c>
      <c r="M3646" s="1" t="str">
        <f>TEXT(Table1[[#This Row],[Order Date]],"mmm")</f>
        <v>Aug</v>
      </c>
      <c r="N3646" s="1">
        <f>YEAR(Table1[[#This Row],[Order Date]])</f>
        <v>2023</v>
      </c>
    </row>
    <row r="3647" spans="1:14" x14ac:dyDescent="0.35">
      <c r="A3647" s="1" t="s">
        <v>4442</v>
      </c>
      <c r="B3647" s="1" t="s">
        <v>124</v>
      </c>
      <c r="C3647" s="1" t="s">
        <v>77</v>
      </c>
      <c r="D3647" s="1" t="s">
        <v>323</v>
      </c>
      <c r="E3647" s="1" t="s">
        <v>33</v>
      </c>
      <c r="F3647" s="1" t="s">
        <v>323</v>
      </c>
      <c r="G3647" s="1">
        <v>6</v>
      </c>
      <c r="H3647" s="1">
        <v>10152</v>
      </c>
      <c r="I3647" s="1">
        <v>0.05</v>
      </c>
      <c r="J3647" s="1">
        <v>57866.400000000001</v>
      </c>
      <c r="K3647" s="1">
        <v>11628.84</v>
      </c>
      <c r="L3647" s="1" t="s">
        <v>70</v>
      </c>
      <c r="M3647" s="1" t="str">
        <f>TEXT(Table1[[#This Row],[Order Date]],"mmm")</f>
        <v>Apr</v>
      </c>
      <c r="N3647" s="1">
        <f>YEAR(Table1[[#This Row],[Order Date]])</f>
        <v>2024</v>
      </c>
    </row>
    <row r="3648" spans="1:14" x14ac:dyDescent="0.35">
      <c r="A3648" s="1" t="s">
        <v>4443</v>
      </c>
      <c r="B3648" s="1" t="s">
        <v>1915</v>
      </c>
      <c r="C3648" s="1" t="s">
        <v>208</v>
      </c>
      <c r="D3648" s="1" t="s">
        <v>91</v>
      </c>
      <c r="E3648" s="1" t="s">
        <v>16</v>
      </c>
      <c r="F3648" s="1" t="s">
        <v>91</v>
      </c>
      <c r="G3648" s="1">
        <v>10</v>
      </c>
      <c r="H3648" s="1">
        <v>18392</v>
      </c>
      <c r="I3648" s="1">
        <v>0.15</v>
      </c>
      <c r="J3648" s="1">
        <v>156332</v>
      </c>
      <c r="K3648" s="1">
        <v>14972.26</v>
      </c>
      <c r="L3648" s="1" t="s">
        <v>23</v>
      </c>
      <c r="M3648" s="1" t="str">
        <f>TEXT(Table1[[#This Row],[Order Date]],"mmm")</f>
        <v>Apr</v>
      </c>
      <c r="N3648" s="1">
        <f>YEAR(Table1[[#This Row],[Order Date]])</f>
        <v>2023</v>
      </c>
    </row>
    <row r="3649" spans="1:14" x14ac:dyDescent="0.35">
      <c r="A3649" s="1" t="s">
        <v>4444</v>
      </c>
      <c r="B3649" s="1" t="s">
        <v>1790</v>
      </c>
      <c r="C3649" s="1" t="s">
        <v>155</v>
      </c>
      <c r="D3649" s="1" t="s">
        <v>15</v>
      </c>
      <c r="E3649" s="1" t="s">
        <v>16</v>
      </c>
      <c r="F3649" s="1" t="s">
        <v>15</v>
      </c>
      <c r="G3649" s="1">
        <v>3</v>
      </c>
      <c r="H3649" s="1">
        <v>53585</v>
      </c>
      <c r="I3649" s="1">
        <v>0.05</v>
      </c>
      <c r="J3649" s="1">
        <v>152717.25</v>
      </c>
      <c r="K3649" s="1">
        <v>30979.51</v>
      </c>
      <c r="L3649" s="1" t="s">
        <v>70</v>
      </c>
      <c r="M3649" s="1" t="str">
        <f>TEXT(Table1[[#This Row],[Order Date]],"mmm")</f>
        <v>Jan</v>
      </c>
      <c r="N3649" s="1">
        <f>YEAR(Table1[[#This Row],[Order Date]])</f>
        <v>2023</v>
      </c>
    </row>
    <row r="3650" spans="1:14" x14ac:dyDescent="0.35">
      <c r="A3650" s="1" t="s">
        <v>4445</v>
      </c>
      <c r="B3650" s="1" t="s">
        <v>3512</v>
      </c>
      <c r="C3650" s="1" t="s">
        <v>178</v>
      </c>
      <c r="D3650" s="1" t="s">
        <v>44</v>
      </c>
      <c r="E3650" s="1" t="s">
        <v>28</v>
      </c>
      <c r="F3650" s="1" t="s">
        <v>44</v>
      </c>
      <c r="G3650" s="1">
        <v>14</v>
      </c>
      <c r="H3650" s="1">
        <v>30757</v>
      </c>
      <c r="I3650" s="1">
        <v>0.05</v>
      </c>
      <c r="J3650" s="1">
        <v>409068.1</v>
      </c>
      <c r="K3650" s="1">
        <v>34376.19</v>
      </c>
      <c r="L3650" s="1" t="s">
        <v>70</v>
      </c>
      <c r="M3650" s="1" t="str">
        <f>TEXT(Table1[[#This Row],[Order Date]],"mmm")</f>
        <v>Sep</v>
      </c>
      <c r="N3650" s="1">
        <f>YEAR(Table1[[#This Row],[Order Date]])</f>
        <v>2024</v>
      </c>
    </row>
    <row r="3651" spans="1:14" x14ac:dyDescent="0.35">
      <c r="A3651" s="1" t="s">
        <v>4446</v>
      </c>
      <c r="B3651" s="1" t="s">
        <v>1376</v>
      </c>
      <c r="C3651" s="1" t="s">
        <v>507</v>
      </c>
      <c r="D3651" s="1" t="s">
        <v>74</v>
      </c>
      <c r="E3651" s="1" t="s">
        <v>22</v>
      </c>
      <c r="F3651" s="1" t="s">
        <v>74</v>
      </c>
      <c r="G3651" s="1">
        <v>7</v>
      </c>
      <c r="H3651" s="1">
        <v>28671</v>
      </c>
      <c r="I3651" s="1">
        <v>0.15</v>
      </c>
      <c r="J3651" s="1">
        <v>170592.45</v>
      </c>
      <c r="K3651" s="1">
        <v>27778.98</v>
      </c>
      <c r="L3651" s="1" t="s">
        <v>45</v>
      </c>
      <c r="M3651" s="1" t="str">
        <f>TEXT(Table1[[#This Row],[Order Date]],"mmm")</f>
        <v>Jan</v>
      </c>
      <c r="N3651" s="1">
        <f>YEAR(Table1[[#This Row],[Order Date]])</f>
        <v>2024</v>
      </c>
    </row>
    <row r="3652" spans="1:14" x14ac:dyDescent="0.35">
      <c r="A3652" s="1" t="s">
        <v>4447</v>
      </c>
      <c r="B3652" s="1" t="s">
        <v>1318</v>
      </c>
      <c r="C3652" s="1" t="s">
        <v>117</v>
      </c>
      <c r="D3652" s="1" t="s">
        <v>224</v>
      </c>
      <c r="E3652" s="1" t="s">
        <v>33</v>
      </c>
      <c r="F3652" s="1" t="s">
        <v>224</v>
      </c>
      <c r="G3652" s="1">
        <v>1</v>
      </c>
      <c r="H3652" s="1">
        <v>36059</v>
      </c>
      <c r="I3652" s="1">
        <v>0</v>
      </c>
      <c r="J3652" s="1">
        <v>36059</v>
      </c>
      <c r="K3652" s="1">
        <v>9609.39</v>
      </c>
      <c r="L3652" s="1" t="s">
        <v>45</v>
      </c>
      <c r="M3652" s="1" t="str">
        <f>TEXT(Table1[[#This Row],[Order Date]],"mmm")</f>
        <v>Feb</v>
      </c>
      <c r="N3652" s="1">
        <f>YEAR(Table1[[#This Row],[Order Date]])</f>
        <v>2023</v>
      </c>
    </row>
    <row r="3653" spans="1:14" x14ac:dyDescent="0.35">
      <c r="A3653" s="1" t="s">
        <v>4448</v>
      </c>
      <c r="B3653" s="1" t="s">
        <v>217</v>
      </c>
      <c r="C3653" s="1" t="s">
        <v>125</v>
      </c>
      <c r="D3653" s="1" t="s">
        <v>41</v>
      </c>
      <c r="E3653" s="1" t="s">
        <v>16</v>
      </c>
      <c r="F3653" s="1" t="s">
        <v>41</v>
      </c>
      <c r="G3653" s="1">
        <v>2</v>
      </c>
      <c r="H3653" s="1">
        <v>10631</v>
      </c>
      <c r="I3653" s="1">
        <v>0.15</v>
      </c>
      <c r="J3653" s="1">
        <v>18072.7</v>
      </c>
      <c r="K3653" s="1">
        <v>3919.5</v>
      </c>
      <c r="L3653" s="1" t="s">
        <v>17</v>
      </c>
      <c r="M3653" s="1" t="str">
        <f>TEXT(Table1[[#This Row],[Order Date]],"mmm")</f>
        <v>Sep</v>
      </c>
      <c r="N3653" s="1">
        <f>YEAR(Table1[[#This Row],[Order Date]])</f>
        <v>2023</v>
      </c>
    </row>
    <row r="3654" spans="1:14" x14ac:dyDescent="0.35">
      <c r="A3654" s="1" t="s">
        <v>4449</v>
      </c>
      <c r="B3654" s="1" t="s">
        <v>1788</v>
      </c>
      <c r="C3654" s="1" t="s">
        <v>98</v>
      </c>
      <c r="D3654" s="1" t="s">
        <v>52</v>
      </c>
      <c r="E3654" s="1" t="s">
        <v>28</v>
      </c>
      <c r="F3654" s="1" t="s">
        <v>52</v>
      </c>
      <c r="G3654" s="1">
        <v>8</v>
      </c>
      <c r="H3654" s="1">
        <v>7296</v>
      </c>
      <c r="I3654" s="1">
        <v>0</v>
      </c>
      <c r="J3654" s="1">
        <v>58368</v>
      </c>
      <c r="K3654" s="1">
        <v>6845.9</v>
      </c>
      <c r="L3654" s="1" t="s">
        <v>70</v>
      </c>
      <c r="M3654" s="1" t="str">
        <f>TEXT(Table1[[#This Row],[Order Date]],"mmm")</f>
        <v>Jun</v>
      </c>
      <c r="N3654" s="1">
        <f>YEAR(Table1[[#This Row],[Order Date]])</f>
        <v>2023</v>
      </c>
    </row>
    <row r="3655" spans="1:14" x14ac:dyDescent="0.35">
      <c r="A3655" s="1" t="s">
        <v>4450</v>
      </c>
      <c r="B3655" s="1" t="s">
        <v>1788</v>
      </c>
      <c r="C3655" s="1" t="s">
        <v>77</v>
      </c>
      <c r="D3655" s="1" t="s">
        <v>151</v>
      </c>
      <c r="E3655" s="1" t="s">
        <v>22</v>
      </c>
      <c r="F3655" s="1" t="s">
        <v>151</v>
      </c>
      <c r="G3655" s="1">
        <v>12</v>
      </c>
      <c r="H3655" s="1">
        <v>49530</v>
      </c>
      <c r="I3655" s="1">
        <v>0.15</v>
      </c>
      <c r="J3655" s="1">
        <v>505206</v>
      </c>
      <c r="K3655" s="1">
        <v>53278.65</v>
      </c>
      <c r="L3655" s="1" t="s">
        <v>23</v>
      </c>
      <c r="M3655" s="1" t="str">
        <f>TEXT(Table1[[#This Row],[Order Date]],"mmm")</f>
        <v>Jun</v>
      </c>
      <c r="N3655" s="1">
        <f>YEAR(Table1[[#This Row],[Order Date]])</f>
        <v>2023</v>
      </c>
    </row>
    <row r="3656" spans="1:14" x14ac:dyDescent="0.35">
      <c r="A3656" s="1" t="s">
        <v>4451</v>
      </c>
      <c r="B3656" s="1" t="s">
        <v>87</v>
      </c>
      <c r="C3656" s="1" t="s">
        <v>111</v>
      </c>
      <c r="D3656" s="1" t="s">
        <v>293</v>
      </c>
      <c r="E3656" s="1" t="s">
        <v>33</v>
      </c>
      <c r="F3656" s="1" t="s">
        <v>293</v>
      </c>
      <c r="G3656" s="1">
        <v>7</v>
      </c>
      <c r="H3656" s="1">
        <v>27709</v>
      </c>
      <c r="I3656" s="1">
        <v>0.1</v>
      </c>
      <c r="J3656" s="1">
        <v>174566.7</v>
      </c>
      <c r="K3656" s="1">
        <v>48769.06</v>
      </c>
      <c r="L3656" s="1" t="s">
        <v>70</v>
      </c>
      <c r="M3656" s="1" t="str">
        <f>TEXT(Table1[[#This Row],[Order Date]],"mmm")</f>
        <v>Nov</v>
      </c>
      <c r="N3656" s="1">
        <f>YEAR(Table1[[#This Row],[Order Date]])</f>
        <v>2024</v>
      </c>
    </row>
    <row r="3657" spans="1:14" x14ac:dyDescent="0.35">
      <c r="A3657" s="1" t="s">
        <v>4452</v>
      </c>
      <c r="B3657" s="1" t="s">
        <v>1299</v>
      </c>
      <c r="C3657" s="1" t="s">
        <v>73</v>
      </c>
      <c r="D3657" s="1" t="s">
        <v>48</v>
      </c>
      <c r="E3657" s="1" t="s">
        <v>16</v>
      </c>
      <c r="F3657" s="1" t="s">
        <v>48</v>
      </c>
      <c r="G3657" s="1">
        <v>14</v>
      </c>
      <c r="H3657" s="1">
        <v>15952</v>
      </c>
      <c r="I3657" s="1">
        <v>0</v>
      </c>
      <c r="J3657" s="1">
        <v>223328</v>
      </c>
      <c r="K3657" s="1">
        <v>49025.89</v>
      </c>
      <c r="L3657" s="1" t="s">
        <v>70</v>
      </c>
      <c r="M3657" s="1" t="str">
        <f>TEXT(Table1[[#This Row],[Order Date]],"mmm")</f>
        <v>Sep</v>
      </c>
      <c r="N3657" s="1">
        <f>YEAR(Table1[[#This Row],[Order Date]])</f>
        <v>2024</v>
      </c>
    </row>
    <row r="3658" spans="1:14" x14ac:dyDescent="0.35">
      <c r="A3658" s="1" t="s">
        <v>4453</v>
      </c>
      <c r="B3658" s="1" t="s">
        <v>2355</v>
      </c>
      <c r="C3658" s="1" t="s">
        <v>362</v>
      </c>
      <c r="D3658" s="1" t="s">
        <v>179</v>
      </c>
      <c r="E3658" s="1" t="s">
        <v>28</v>
      </c>
      <c r="F3658" s="1" t="s">
        <v>179</v>
      </c>
      <c r="G3658" s="1">
        <v>15</v>
      </c>
      <c r="H3658" s="1">
        <v>53110</v>
      </c>
      <c r="I3658" s="1">
        <v>0</v>
      </c>
      <c r="J3658" s="1">
        <v>796650</v>
      </c>
      <c r="K3658" s="1">
        <v>211677.85</v>
      </c>
      <c r="L3658" s="1" t="s">
        <v>70</v>
      </c>
      <c r="M3658" s="1" t="str">
        <f>TEXT(Table1[[#This Row],[Order Date]],"mmm")</f>
        <v>Oct</v>
      </c>
      <c r="N3658" s="1">
        <f>YEAR(Table1[[#This Row],[Order Date]])</f>
        <v>2023</v>
      </c>
    </row>
    <row r="3659" spans="1:14" x14ac:dyDescent="0.35">
      <c r="A3659" s="1" t="s">
        <v>4454</v>
      </c>
      <c r="B3659" s="1" t="s">
        <v>1926</v>
      </c>
      <c r="C3659" s="1" t="s">
        <v>77</v>
      </c>
      <c r="D3659" s="1" t="s">
        <v>41</v>
      </c>
      <c r="E3659" s="1" t="s">
        <v>16</v>
      </c>
      <c r="F3659" s="1" t="s">
        <v>41</v>
      </c>
      <c r="G3659" s="1">
        <v>5</v>
      </c>
      <c r="H3659" s="1">
        <v>38489</v>
      </c>
      <c r="I3659" s="1">
        <v>0.05</v>
      </c>
      <c r="J3659" s="1">
        <v>182822.75</v>
      </c>
      <c r="K3659" s="1">
        <v>37744.78</v>
      </c>
      <c r="L3659" s="1" t="s">
        <v>17</v>
      </c>
      <c r="M3659" s="1" t="str">
        <f>TEXT(Table1[[#This Row],[Order Date]],"mmm")</f>
        <v>Oct</v>
      </c>
      <c r="N3659" s="1">
        <f>YEAR(Table1[[#This Row],[Order Date]])</f>
        <v>2023</v>
      </c>
    </row>
    <row r="3660" spans="1:14" x14ac:dyDescent="0.35">
      <c r="A3660" s="1" t="s">
        <v>4455</v>
      </c>
      <c r="B3660" s="1" t="s">
        <v>772</v>
      </c>
      <c r="C3660" s="1" t="s">
        <v>31</v>
      </c>
      <c r="D3660" s="1" t="s">
        <v>78</v>
      </c>
      <c r="E3660" s="1" t="s">
        <v>28</v>
      </c>
      <c r="F3660" s="1" t="s">
        <v>78</v>
      </c>
      <c r="G3660" s="1">
        <v>12</v>
      </c>
      <c r="H3660" s="1">
        <v>1764</v>
      </c>
      <c r="I3660" s="1">
        <v>0.15</v>
      </c>
      <c r="J3660" s="1">
        <v>17992.8</v>
      </c>
      <c r="K3660" s="1">
        <v>1745.16</v>
      </c>
      <c r="L3660" s="1" t="s">
        <v>17</v>
      </c>
      <c r="M3660" s="1" t="str">
        <f>TEXT(Table1[[#This Row],[Order Date]],"mmm")</f>
        <v>Nov</v>
      </c>
      <c r="N3660" s="1">
        <f>YEAR(Table1[[#This Row],[Order Date]])</f>
        <v>2023</v>
      </c>
    </row>
    <row r="3661" spans="1:14" x14ac:dyDescent="0.35">
      <c r="A3661" s="1" t="s">
        <v>4456</v>
      </c>
      <c r="B3661" s="1" t="s">
        <v>257</v>
      </c>
      <c r="C3661" s="1" t="s">
        <v>73</v>
      </c>
      <c r="D3661" s="1" t="s">
        <v>41</v>
      </c>
      <c r="E3661" s="1" t="s">
        <v>16</v>
      </c>
      <c r="F3661" s="1" t="s">
        <v>41</v>
      </c>
      <c r="G3661" s="1">
        <v>11</v>
      </c>
      <c r="H3661" s="1">
        <v>21982</v>
      </c>
      <c r="I3661" s="1">
        <v>0.2</v>
      </c>
      <c r="J3661" s="1">
        <v>193441.6</v>
      </c>
      <c r="K3661" s="1">
        <v>34175.230000000003</v>
      </c>
      <c r="L3661" s="1" t="s">
        <v>45</v>
      </c>
      <c r="M3661" s="1" t="str">
        <f>TEXT(Table1[[#This Row],[Order Date]],"mmm")</f>
        <v>Aug</v>
      </c>
      <c r="N3661" s="1">
        <f>YEAR(Table1[[#This Row],[Order Date]])</f>
        <v>2024</v>
      </c>
    </row>
    <row r="3662" spans="1:14" x14ac:dyDescent="0.35">
      <c r="A3662" s="1" t="s">
        <v>4457</v>
      </c>
      <c r="B3662" s="1" t="s">
        <v>296</v>
      </c>
      <c r="C3662" s="1" t="s">
        <v>128</v>
      </c>
      <c r="D3662" s="1" t="s">
        <v>133</v>
      </c>
      <c r="E3662" s="1" t="s">
        <v>22</v>
      </c>
      <c r="F3662" s="1" t="s">
        <v>133</v>
      </c>
      <c r="G3662" s="1">
        <v>14</v>
      </c>
      <c r="H3662" s="1">
        <v>49291</v>
      </c>
      <c r="I3662" s="1">
        <v>0.05</v>
      </c>
      <c r="J3662" s="1">
        <v>655570.30000000005</v>
      </c>
      <c r="K3662" s="1">
        <v>163064.10999999999</v>
      </c>
      <c r="L3662" s="1" t="s">
        <v>17</v>
      </c>
      <c r="M3662" s="1" t="str">
        <f>TEXT(Table1[[#This Row],[Order Date]],"mmm")</f>
        <v>Aug</v>
      </c>
      <c r="N3662" s="1">
        <f>YEAR(Table1[[#This Row],[Order Date]])</f>
        <v>2023</v>
      </c>
    </row>
    <row r="3663" spans="1:14" x14ac:dyDescent="0.35">
      <c r="A3663" s="1" t="s">
        <v>4458</v>
      </c>
      <c r="B3663" s="1" t="s">
        <v>1781</v>
      </c>
      <c r="C3663" s="1" t="s">
        <v>332</v>
      </c>
      <c r="D3663" s="1" t="s">
        <v>151</v>
      </c>
      <c r="E3663" s="1" t="s">
        <v>22</v>
      </c>
      <c r="F3663" s="1" t="s">
        <v>151</v>
      </c>
      <c r="G3663" s="1">
        <v>4</v>
      </c>
      <c r="H3663" s="1">
        <v>11450</v>
      </c>
      <c r="I3663" s="1">
        <v>0</v>
      </c>
      <c r="J3663" s="1">
        <v>45800</v>
      </c>
      <c r="K3663" s="1">
        <v>12749.54</v>
      </c>
      <c r="L3663" s="1" t="s">
        <v>70</v>
      </c>
      <c r="M3663" s="1" t="str">
        <f>TEXT(Table1[[#This Row],[Order Date]],"mmm")</f>
        <v>Sep</v>
      </c>
      <c r="N3663" s="1">
        <f>YEAR(Table1[[#This Row],[Order Date]])</f>
        <v>2024</v>
      </c>
    </row>
    <row r="3664" spans="1:14" x14ac:dyDescent="0.35">
      <c r="A3664" s="1" t="s">
        <v>4459</v>
      </c>
      <c r="B3664" s="1" t="s">
        <v>688</v>
      </c>
      <c r="C3664" s="1" t="s">
        <v>101</v>
      </c>
      <c r="D3664" s="1" t="s">
        <v>60</v>
      </c>
      <c r="E3664" s="1" t="s">
        <v>33</v>
      </c>
      <c r="F3664" s="1" t="s">
        <v>60</v>
      </c>
      <c r="G3664" s="1">
        <v>4</v>
      </c>
      <c r="H3664" s="1">
        <v>8153</v>
      </c>
      <c r="I3664" s="1">
        <v>0.1</v>
      </c>
      <c r="J3664" s="1">
        <v>29350.799999999999</v>
      </c>
      <c r="K3664" s="1">
        <v>6640.43</v>
      </c>
      <c r="L3664" s="1" t="s">
        <v>70</v>
      </c>
      <c r="M3664" s="1" t="str">
        <f>TEXT(Table1[[#This Row],[Order Date]],"mmm")</f>
        <v>Jul</v>
      </c>
      <c r="N3664" s="1">
        <f>YEAR(Table1[[#This Row],[Order Date]])</f>
        <v>2023</v>
      </c>
    </row>
    <row r="3665" spans="1:14" x14ac:dyDescent="0.35">
      <c r="A3665" s="1" t="s">
        <v>4460</v>
      </c>
      <c r="B3665" s="1" t="s">
        <v>374</v>
      </c>
      <c r="C3665" s="1" t="s">
        <v>20</v>
      </c>
      <c r="D3665" s="1" t="s">
        <v>15</v>
      </c>
      <c r="E3665" s="1" t="s">
        <v>16</v>
      </c>
      <c r="F3665" s="1" t="s">
        <v>15</v>
      </c>
      <c r="G3665" s="1">
        <v>7</v>
      </c>
      <c r="H3665" s="1">
        <v>39113</v>
      </c>
      <c r="I3665" s="1">
        <v>0.15</v>
      </c>
      <c r="J3665" s="1">
        <v>232722.35</v>
      </c>
      <c r="K3665" s="1">
        <v>50705.85</v>
      </c>
      <c r="L3665" s="1" t="s">
        <v>45</v>
      </c>
      <c r="M3665" s="1" t="str">
        <f>TEXT(Table1[[#This Row],[Order Date]],"mmm")</f>
        <v>Oct</v>
      </c>
      <c r="N3665" s="1">
        <f>YEAR(Table1[[#This Row],[Order Date]])</f>
        <v>2023</v>
      </c>
    </row>
    <row r="3666" spans="1:14" x14ac:dyDescent="0.35">
      <c r="A3666" s="1" t="s">
        <v>4461</v>
      </c>
      <c r="B3666" s="1" t="s">
        <v>875</v>
      </c>
      <c r="C3666" s="1" t="s">
        <v>67</v>
      </c>
      <c r="D3666" s="1" t="s">
        <v>15</v>
      </c>
      <c r="E3666" s="1" t="s">
        <v>16</v>
      </c>
      <c r="F3666" s="1" t="s">
        <v>15</v>
      </c>
      <c r="G3666" s="1">
        <v>11</v>
      </c>
      <c r="H3666" s="1">
        <v>47724</v>
      </c>
      <c r="I3666" s="1">
        <v>0.1</v>
      </c>
      <c r="J3666" s="1">
        <v>472467.6</v>
      </c>
      <c r="K3666" s="1">
        <v>58686.13</v>
      </c>
      <c r="L3666" s="1" t="s">
        <v>23</v>
      </c>
      <c r="M3666" s="1" t="str">
        <f>TEXT(Table1[[#This Row],[Order Date]],"mmm")</f>
        <v>Mar</v>
      </c>
      <c r="N3666" s="1">
        <f>YEAR(Table1[[#This Row],[Order Date]])</f>
        <v>2024</v>
      </c>
    </row>
    <row r="3667" spans="1:14" x14ac:dyDescent="0.35">
      <c r="A3667" s="1" t="s">
        <v>4462</v>
      </c>
      <c r="B3667" s="1" t="s">
        <v>2154</v>
      </c>
      <c r="C3667" s="1" t="s">
        <v>26</v>
      </c>
      <c r="D3667" s="1" t="s">
        <v>60</v>
      </c>
      <c r="E3667" s="1" t="s">
        <v>33</v>
      </c>
      <c r="F3667" s="1" t="s">
        <v>60</v>
      </c>
      <c r="G3667" s="1">
        <v>4</v>
      </c>
      <c r="H3667" s="1">
        <v>8190</v>
      </c>
      <c r="I3667" s="1">
        <v>0.2</v>
      </c>
      <c r="J3667" s="1">
        <v>26208</v>
      </c>
      <c r="K3667" s="1">
        <v>6221.45</v>
      </c>
      <c r="L3667" s="1" t="s">
        <v>23</v>
      </c>
      <c r="M3667" s="1" t="str">
        <f>TEXT(Table1[[#This Row],[Order Date]],"mmm")</f>
        <v>Oct</v>
      </c>
      <c r="N3667" s="1">
        <f>YEAR(Table1[[#This Row],[Order Date]])</f>
        <v>2024</v>
      </c>
    </row>
    <row r="3668" spans="1:14" x14ac:dyDescent="0.35">
      <c r="A3668" s="1" t="s">
        <v>4463</v>
      </c>
      <c r="B3668" s="1" t="s">
        <v>1218</v>
      </c>
      <c r="C3668" s="1" t="s">
        <v>507</v>
      </c>
      <c r="D3668" s="1" t="s">
        <v>56</v>
      </c>
      <c r="E3668" s="1" t="s">
        <v>22</v>
      </c>
      <c r="F3668" s="1" t="s">
        <v>56</v>
      </c>
      <c r="G3668" s="1">
        <v>13</v>
      </c>
      <c r="H3668" s="1">
        <v>49371</v>
      </c>
      <c r="I3668" s="1">
        <v>0.2</v>
      </c>
      <c r="J3668" s="1">
        <v>513458.4</v>
      </c>
      <c r="K3668" s="1">
        <v>150123.85</v>
      </c>
      <c r="L3668" s="1" t="s">
        <v>17</v>
      </c>
      <c r="M3668" s="1" t="str">
        <f>TEXT(Table1[[#This Row],[Order Date]],"mmm")</f>
        <v>May</v>
      </c>
      <c r="N3668" s="1">
        <f>YEAR(Table1[[#This Row],[Order Date]])</f>
        <v>2024</v>
      </c>
    </row>
    <row r="3669" spans="1:14" x14ac:dyDescent="0.35">
      <c r="A3669" s="1" t="s">
        <v>4464</v>
      </c>
      <c r="B3669" s="1" t="s">
        <v>1348</v>
      </c>
      <c r="C3669" s="1" t="s">
        <v>31</v>
      </c>
      <c r="D3669" s="1" t="s">
        <v>91</v>
      </c>
      <c r="E3669" s="1" t="s">
        <v>16</v>
      </c>
      <c r="F3669" s="1" t="s">
        <v>91</v>
      </c>
      <c r="G3669" s="1">
        <v>11</v>
      </c>
      <c r="H3669" s="1">
        <v>51142</v>
      </c>
      <c r="I3669" s="1">
        <v>0.1</v>
      </c>
      <c r="J3669" s="1">
        <v>506305.8</v>
      </c>
      <c r="K3669" s="1">
        <v>133194.07</v>
      </c>
      <c r="L3669" s="1" t="s">
        <v>23</v>
      </c>
      <c r="M3669" s="1" t="str">
        <f>TEXT(Table1[[#This Row],[Order Date]],"mmm")</f>
        <v>Dec</v>
      </c>
      <c r="N3669" s="1">
        <f>YEAR(Table1[[#This Row],[Order Date]])</f>
        <v>2023</v>
      </c>
    </row>
    <row r="3670" spans="1:14" x14ac:dyDescent="0.35">
      <c r="A3670" s="1" t="s">
        <v>4465</v>
      </c>
      <c r="B3670" s="1" t="s">
        <v>1788</v>
      </c>
      <c r="C3670" s="1" t="s">
        <v>191</v>
      </c>
      <c r="D3670" s="1" t="s">
        <v>224</v>
      </c>
      <c r="E3670" s="1" t="s">
        <v>33</v>
      </c>
      <c r="F3670" s="1" t="s">
        <v>224</v>
      </c>
      <c r="G3670" s="1">
        <v>6</v>
      </c>
      <c r="H3670" s="1">
        <v>25133</v>
      </c>
      <c r="I3670" s="1">
        <v>0.2</v>
      </c>
      <c r="J3670" s="1">
        <v>120638.39999999999</v>
      </c>
      <c r="K3670" s="1">
        <v>35455.839999999997</v>
      </c>
      <c r="L3670" s="1" t="s">
        <v>23</v>
      </c>
      <c r="M3670" s="1" t="str">
        <f>TEXT(Table1[[#This Row],[Order Date]],"mmm")</f>
        <v>Jun</v>
      </c>
      <c r="N3670" s="1">
        <f>YEAR(Table1[[#This Row],[Order Date]])</f>
        <v>2023</v>
      </c>
    </row>
    <row r="3671" spans="1:14" x14ac:dyDescent="0.35">
      <c r="A3671" s="1" t="s">
        <v>4466</v>
      </c>
      <c r="B3671" s="1" t="s">
        <v>1598</v>
      </c>
      <c r="C3671" s="1" t="s">
        <v>362</v>
      </c>
      <c r="D3671" s="1" t="s">
        <v>141</v>
      </c>
      <c r="E3671" s="1" t="s">
        <v>22</v>
      </c>
      <c r="F3671" s="1" t="s">
        <v>141</v>
      </c>
      <c r="G3671" s="1">
        <v>8</v>
      </c>
      <c r="H3671" s="1">
        <v>26891</v>
      </c>
      <c r="I3671" s="1">
        <v>0</v>
      </c>
      <c r="J3671" s="1">
        <v>215128</v>
      </c>
      <c r="K3671" s="1">
        <v>32541.48</v>
      </c>
      <c r="L3671" s="1" t="s">
        <v>23</v>
      </c>
      <c r="M3671" s="1" t="str">
        <f>TEXT(Table1[[#This Row],[Order Date]],"mmm")</f>
        <v>Sep</v>
      </c>
      <c r="N3671" s="1">
        <f>YEAR(Table1[[#This Row],[Order Date]])</f>
        <v>2023</v>
      </c>
    </row>
    <row r="3672" spans="1:14" x14ac:dyDescent="0.35">
      <c r="A3672" s="1" t="s">
        <v>4467</v>
      </c>
      <c r="B3672" s="1" t="s">
        <v>447</v>
      </c>
      <c r="C3672" s="1" t="s">
        <v>77</v>
      </c>
      <c r="D3672" s="1" t="s">
        <v>64</v>
      </c>
      <c r="E3672" s="1" t="s">
        <v>33</v>
      </c>
      <c r="F3672" s="1" t="s">
        <v>64</v>
      </c>
      <c r="G3672" s="1">
        <v>13</v>
      </c>
      <c r="H3672" s="1">
        <v>54686</v>
      </c>
      <c r="I3672" s="1">
        <v>0.2</v>
      </c>
      <c r="J3672" s="1">
        <v>568734.4</v>
      </c>
      <c r="K3672" s="1">
        <v>132685.22</v>
      </c>
      <c r="L3672" s="1" t="s">
        <v>70</v>
      </c>
      <c r="M3672" s="1" t="str">
        <f>TEXT(Table1[[#This Row],[Order Date]],"mmm")</f>
        <v>Dec</v>
      </c>
      <c r="N3672" s="1">
        <f>YEAR(Table1[[#This Row],[Order Date]])</f>
        <v>2023</v>
      </c>
    </row>
    <row r="3673" spans="1:14" x14ac:dyDescent="0.35">
      <c r="A3673" s="1" t="s">
        <v>4468</v>
      </c>
      <c r="B3673" s="1" t="s">
        <v>360</v>
      </c>
      <c r="C3673" s="1" t="s">
        <v>125</v>
      </c>
      <c r="D3673" s="1" t="s">
        <v>137</v>
      </c>
      <c r="E3673" s="1" t="s">
        <v>22</v>
      </c>
      <c r="F3673" s="1" t="s">
        <v>137</v>
      </c>
      <c r="G3673" s="1">
        <v>12</v>
      </c>
      <c r="H3673" s="1">
        <v>9537</v>
      </c>
      <c r="I3673" s="1">
        <v>0.1</v>
      </c>
      <c r="J3673" s="1">
        <v>102999.6</v>
      </c>
      <c r="K3673" s="1">
        <v>28457.68</v>
      </c>
      <c r="L3673" s="1" t="s">
        <v>17</v>
      </c>
      <c r="M3673" s="1" t="str">
        <f>TEXT(Table1[[#This Row],[Order Date]],"mmm")</f>
        <v>Jun</v>
      </c>
      <c r="N3673" s="1">
        <f>YEAR(Table1[[#This Row],[Order Date]])</f>
        <v>2023</v>
      </c>
    </row>
    <row r="3674" spans="1:14" x14ac:dyDescent="0.35">
      <c r="A3674" s="1" t="s">
        <v>4469</v>
      </c>
      <c r="B3674" s="1" t="s">
        <v>506</v>
      </c>
      <c r="C3674" s="1" t="s">
        <v>200</v>
      </c>
      <c r="D3674" s="1" t="s">
        <v>56</v>
      </c>
      <c r="E3674" s="1" t="s">
        <v>22</v>
      </c>
      <c r="F3674" s="1" t="s">
        <v>56</v>
      </c>
      <c r="G3674" s="1">
        <v>15</v>
      </c>
      <c r="H3674" s="1">
        <v>37174</v>
      </c>
      <c r="I3674" s="1">
        <v>0.05</v>
      </c>
      <c r="J3674" s="1">
        <v>529729.5</v>
      </c>
      <c r="K3674" s="1">
        <v>123530.63</v>
      </c>
      <c r="L3674" s="1" t="s">
        <v>45</v>
      </c>
      <c r="M3674" s="1" t="str">
        <f>TEXT(Table1[[#This Row],[Order Date]],"mmm")</f>
        <v>Jul</v>
      </c>
      <c r="N3674" s="1">
        <f>YEAR(Table1[[#This Row],[Order Date]])</f>
        <v>2024</v>
      </c>
    </row>
    <row r="3675" spans="1:14" x14ac:dyDescent="0.35">
      <c r="A3675" s="1" t="s">
        <v>4470</v>
      </c>
      <c r="B3675" s="1" t="s">
        <v>837</v>
      </c>
      <c r="C3675" s="1" t="s">
        <v>59</v>
      </c>
      <c r="D3675" s="1" t="s">
        <v>141</v>
      </c>
      <c r="E3675" s="1" t="s">
        <v>22</v>
      </c>
      <c r="F3675" s="1" t="s">
        <v>141</v>
      </c>
      <c r="G3675" s="1">
        <v>5</v>
      </c>
      <c r="H3675" s="1">
        <v>33960</v>
      </c>
      <c r="I3675" s="1">
        <v>0.05</v>
      </c>
      <c r="J3675" s="1">
        <v>161310</v>
      </c>
      <c r="K3675" s="1">
        <v>43995.3</v>
      </c>
      <c r="L3675" s="1" t="s">
        <v>17</v>
      </c>
      <c r="M3675" s="1" t="str">
        <f>TEXT(Table1[[#This Row],[Order Date]],"mmm")</f>
        <v>Feb</v>
      </c>
      <c r="N3675" s="1">
        <f>YEAR(Table1[[#This Row],[Order Date]])</f>
        <v>2024</v>
      </c>
    </row>
    <row r="3676" spans="1:14" x14ac:dyDescent="0.35">
      <c r="A3676" s="1" t="s">
        <v>4471</v>
      </c>
      <c r="B3676" s="1" t="s">
        <v>1675</v>
      </c>
      <c r="C3676" s="1" t="s">
        <v>370</v>
      </c>
      <c r="D3676" s="1" t="s">
        <v>133</v>
      </c>
      <c r="E3676" s="1" t="s">
        <v>22</v>
      </c>
      <c r="F3676" s="1" t="s">
        <v>133</v>
      </c>
      <c r="G3676" s="1">
        <v>4</v>
      </c>
      <c r="H3676" s="1">
        <v>21601</v>
      </c>
      <c r="I3676" s="1">
        <v>0.15</v>
      </c>
      <c r="J3676" s="1">
        <v>73443.399999999994</v>
      </c>
      <c r="K3676" s="1">
        <v>16484.009999999998</v>
      </c>
      <c r="L3676" s="1" t="s">
        <v>23</v>
      </c>
      <c r="M3676" s="1" t="str">
        <f>TEXT(Table1[[#This Row],[Order Date]],"mmm")</f>
        <v>Aug</v>
      </c>
      <c r="N3676" s="1">
        <f>YEAR(Table1[[#This Row],[Order Date]])</f>
        <v>2023</v>
      </c>
    </row>
    <row r="3677" spans="1:14" x14ac:dyDescent="0.35">
      <c r="A3677" s="1" t="s">
        <v>4472</v>
      </c>
      <c r="B3677" s="1" t="s">
        <v>1416</v>
      </c>
      <c r="C3677" s="1" t="s">
        <v>117</v>
      </c>
      <c r="D3677" s="1" t="s">
        <v>37</v>
      </c>
      <c r="E3677" s="1" t="s">
        <v>16</v>
      </c>
      <c r="F3677" s="1" t="s">
        <v>37</v>
      </c>
      <c r="G3677" s="1">
        <v>6</v>
      </c>
      <c r="H3677" s="1">
        <v>48766</v>
      </c>
      <c r="I3677" s="1">
        <v>0</v>
      </c>
      <c r="J3677" s="1">
        <v>292596</v>
      </c>
      <c r="K3677" s="1">
        <v>36731.21</v>
      </c>
      <c r="L3677" s="1" t="s">
        <v>45</v>
      </c>
      <c r="M3677" s="1" t="str">
        <f>TEXT(Table1[[#This Row],[Order Date]],"mmm")</f>
        <v>Jan</v>
      </c>
      <c r="N3677" s="1">
        <f>YEAR(Table1[[#This Row],[Order Date]])</f>
        <v>2023</v>
      </c>
    </row>
    <row r="3678" spans="1:14" x14ac:dyDescent="0.35">
      <c r="A3678" s="1" t="s">
        <v>4473</v>
      </c>
      <c r="B3678" s="1" t="s">
        <v>2059</v>
      </c>
      <c r="C3678" s="1" t="s">
        <v>40</v>
      </c>
      <c r="D3678" s="1" t="s">
        <v>224</v>
      </c>
      <c r="E3678" s="1" t="s">
        <v>33</v>
      </c>
      <c r="F3678" s="1" t="s">
        <v>224</v>
      </c>
      <c r="G3678" s="1">
        <v>8</v>
      </c>
      <c r="H3678" s="1">
        <v>1493</v>
      </c>
      <c r="I3678" s="1">
        <v>0.2</v>
      </c>
      <c r="J3678" s="1">
        <v>9555.2000000000007</v>
      </c>
      <c r="K3678" s="1">
        <v>2328.4</v>
      </c>
      <c r="L3678" s="1" t="s">
        <v>17</v>
      </c>
      <c r="M3678" s="1" t="str">
        <f>TEXT(Table1[[#This Row],[Order Date]],"mmm")</f>
        <v>Nov</v>
      </c>
      <c r="N3678" s="1">
        <f>YEAR(Table1[[#This Row],[Order Date]])</f>
        <v>2023</v>
      </c>
    </row>
    <row r="3679" spans="1:14" x14ac:dyDescent="0.35">
      <c r="A3679" s="1" t="s">
        <v>4474</v>
      </c>
      <c r="B3679" s="1" t="s">
        <v>1383</v>
      </c>
      <c r="C3679" s="1" t="s">
        <v>200</v>
      </c>
      <c r="D3679" s="1" t="s">
        <v>27</v>
      </c>
      <c r="E3679" s="1" t="s">
        <v>28</v>
      </c>
      <c r="F3679" s="1" t="s">
        <v>27</v>
      </c>
      <c r="G3679" s="1">
        <v>9</v>
      </c>
      <c r="H3679" s="1">
        <v>57314</v>
      </c>
      <c r="I3679" s="1">
        <v>0.15</v>
      </c>
      <c r="J3679" s="1">
        <v>438452.1</v>
      </c>
      <c r="K3679" s="1">
        <v>49118.89</v>
      </c>
      <c r="L3679" s="1" t="s">
        <v>70</v>
      </c>
      <c r="M3679" s="1" t="str">
        <f>TEXT(Table1[[#This Row],[Order Date]],"mmm")</f>
        <v>Apr</v>
      </c>
      <c r="N3679" s="1">
        <f>YEAR(Table1[[#This Row],[Order Date]])</f>
        <v>2024</v>
      </c>
    </row>
    <row r="3680" spans="1:14" x14ac:dyDescent="0.35">
      <c r="A3680" s="1" t="s">
        <v>4475</v>
      </c>
      <c r="B3680" s="1" t="s">
        <v>2089</v>
      </c>
      <c r="C3680" s="1" t="s">
        <v>200</v>
      </c>
      <c r="D3680" s="1" t="s">
        <v>52</v>
      </c>
      <c r="E3680" s="1" t="s">
        <v>28</v>
      </c>
      <c r="F3680" s="1" t="s">
        <v>52</v>
      </c>
      <c r="G3680" s="1">
        <v>6</v>
      </c>
      <c r="H3680" s="1">
        <v>40654</v>
      </c>
      <c r="I3680" s="1">
        <v>0</v>
      </c>
      <c r="J3680" s="1">
        <v>243924</v>
      </c>
      <c r="K3680" s="1">
        <v>70502.28</v>
      </c>
      <c r="L3680" s="1" t="s">
        <v>70</v>
      </c>
      <c r="M3680" s="1" t="str">
        <f>TEXT(Table1[[#This Row],[Order Date]],"mmm")</f>
        <v>Nov</v>
      </c>
      <c r="N3680" s="1">
        <f>YEAR(Table1[[#This Row],[Order Date]])</f>
        <v>2024</v>
      </c>
    </row>
    <row r="3681" spans="1:14" x14ac:dyDescent="0.35">
      <c r="A3681" s="1" t="s">
        <v>4476</v>
      </c>
      <c r="B3681" s="1" t="s">
        <v>660</v>
      </c>
      <c r="C3681" s="1" t="s">
        <v>349</v>
      </c>
      <c r="D3681" s="1" t="s">
        <v>137</v>
      </c>
      <c r="E3681" s="1" t="s">
        <v>22</v>
      </c>
      <c r="F3681" s="1" t="s">
        <v>137</v>
      </c>
      <c r="G3681" s="1">
        <v>9</v>
      </c>
      <c r="H3681" s="1">
        <v>52672</v>
      </c>
      <c r="I3681" s="1">
        <v>0.05</v>
      </c>
      <c r="J3681" s="1">
        <v>450345.6</v>
      </c>
      <c r="K3681" s="1">
        <v>128485.62</v>
      </c>
      <c r="L3681" s="1" t="s">
        <v>17</v>
      </c>
      <c r="M3681" s="1" t="str">
        <f>TEXT(Table1[[#This Row],[Order Date]],"mmm")</f>
        <v>May</v>
      </c>
      <c r="N3681" s="1">
        <f>YEAR(Table1[[#This Row],[Order Date]])</f>
        <v>2023</v>
      </c>
    </row>
    <row r="3682" spans="1:14" x14ac:dyDescent="0.35">
      <c r="A3682" s="1" t="s">
        <v>4477</v>
      </c>
      <c r="B3682" s="1" t="s">
        <v>534</v>
      </c>
      <c r="C3682" s="1" t="s">
        <v>370</v>
      </c>
      <c r="D3682" s="1" t="s">
        <v>95</v>
      </c>
      <c r="E3682" s="1" t="s">
        <v>33</v>
      </c>
      <c r="F3682" s="1" t="s">
        <v>95</v>
      </c>
      <c r="G3682" s="1">
        <v>2</v>
      </c>
      <c r="H3682" s="1">
        <v>43809</v>
      </c>
      <c r="I3682" s="1">
        <v>0</v>
      </c>
      <c r="J3682" s="1">
        <v>87618</v>
      </c>
      <c r="K3682" s="1">
        <v>8354.92</v>
      </c>
      <c r="L3682" s="1" t="s">
        <v>70</v>
      </c>
      <c r="M3682" s="1" t="str">
        <f>TEXT(Table1[[#This Row],[Order Date]],"mmm")</f>
        <v>Apr</v>
      </c>
      <c r="N3682" s="1">
        <f>YEAR(Table1[[#This Row],[Order Date]])</f>
        <v>2023</v>
      </c>
    </row>
    <row r="3683" spans="1:14" x14ac:dyDescent="0.35">
      <c r="A3683" s="1" t="s">
        <v>4478</v>
      </c>
      <c r="B3683" s="1" t="s">
        <v>601</v>
      </c>
      <c r="C3683" s="1" t="s">
        <v>158</v>
      </c>
      <c r="D3683" s="1" t="s">
        <v>137</v>
      </c>
      <c r="E3683" s="1" t="s">
        <v>22</v>
      </c>
      <c r="F3683" s="1" t="s">
        <v>137</v>
      </c>
      <c r="G3683" s="1">
        <v>6</v>
      </c>
      <c r="H3683" s="1">
        <v>12039</v>
      </c>
      <c r="I3683" s="1">
        <v>0</v>
      </c>
      <c r="J3683" s="1">
        <v>72234</v>
      </c>
      <c r="K3683" s="1">
        <v>10215.81</v>
      </c>
      <c r="L3683" s="1" t="s">
        <v>70</v>
      </c>
      <c r="M3683" s="1" t="str">
        <f>TEXT(Table1[[#This Row],[Order Date]],"mmm")</f>
        <v>Aug</v>
      </c>
      <c r="N3683" s="1">
        <f>YEAR(Table1[[#This Row],[Order Date]])</f>
        <v>2024</v>
      </c>
    </row>
    <row r="3684" spans="1:14" x14ac:dyDescent="0.35">
      <c r="A3684" s="1" t="s">
        <v>4479</v>
      </c>
      <c r="B3684" s="1" t="s">
        <v>663</v>
      </c>
      <c r="C3684" s="1" t="s">
        <v>40</v>
      </c>
      <c r="D3684" s="1" t="s">
        <v>91</v>
      </c>
      <c r="E3684" s="1" t="s">
        <v>16</v>
      </c>
      <c r="F3684" s="1" t="s">
        <v>91</v>
      </c>
      <c r="G3684" s="1">
        <v>7</v>
      </c>
      <c r="H3684" s="1">
        <v>58576</v>
      </c>
      <c r="I3684" s="1">
        <v>0.1</v>
      </c>
      <c r="J3684" s="1">
        <v>369028.8</v>
      </c>
      <c r="K3684" s="1">
        <v>64235.65</v>
      </c>
      <c r="L3684" s="1" t="s">
        <v>23</v>
      </c>
      <c r="M3684" s="1" t="str">
        <f>TEXT(Table1[[#This Row],[Order Date]],"mmm")</f>
        <v>Oct</v>
      </c>
      <c r="N3684" s="1">
        <f>YEAR(Table1[[#This Row],[Order Date]])</f>
        <v>2023</v>
      </c>
    </row>
    <row r="3685" spans="1:14" x14ac:dyDescent="0.35">
      <c r="A3685" s="1" t="s">
        <v>4480</v>
      </c>
      <c r="B3685" s="1" t="s">
        <v>13</v>
      </c>
      <c r="C3685" s="1" t="s">
        <v>77</v>
      </c>
      <c r="D3685" s="1" t="s">
        <v>91</v>
      </c>
      <c r="E3685" s="1" t="s">
        <v>16</v>
      </c>
      <c r="F3685" s="1" t="s">
        <v>91</v>
      </c>
      <c r="G3685" s="1">
        <v>9</v>
      </c>
      <c r="H3685" s="1">
        <v>54215</v>
      </c>
      <c r="I3685" s="1">
        <v>0.05</v>
      </c>
      <c r="J3685" s="1">
        <v>463538.25</v>
      </c>
      <c r="K3685" s="1">
        <v>96578.91</v>
      </c>
      <c r="L3685" s="1" t="s">
        <v>70</v>
      </c>
      <c r="M3685" s="1" t="str">
        <f>TEXT(Table1[[#This Row],[Order Date]],"mmm")</f>
        <v>Oct</v>
      </c>
      <c r="N3685" s="1">
        <f>YEAR(Table1[[#This Row],[Order Date]])</f>
        <v>2024</v>
      </c>
    </row>
    <row r="3686" spans="1:14" x14ac:dyDescent="0.35">
      <c r="A3686" s="1" t="s">
        <v>4481</v>
      </c>
      <c r="B3686" s="1" t="s">
        <v>445</v>
      </c>
      <c r="C3686" s="1" t="s">
        <v>146</v>
      </c>
      <c r="D3686" s="1" t="s">
        <v>78</v>
      </c>
      <c r="E3686" s="1" t="s">
        <v>28</v>
      </c>
      <c r="F3686" s="1" t="s">
        <v>78</v>
      </c>
      <c r="G3686" s="1">
        <v>2</v>
      </c>
      <c r="H3686" s="1">
        <v>12018</v>
      </c>
      <c r="I3686" s="1">
        <v>0.05</v>
      </c>
      <c r="J3686" s="1">
        <v>22834.2</v>
      </c>
      <c r="K3686" s="1">
        <v>3292.8</v>
      </c>
      <c r="L3686" s="1" t="s">
        <v>70</v>
      </c>
      <c r="M3686" s="1" t="str">
        <f>TEXT(Table1[[#This Row],[Order Date]],"mmm")</f>
        <v>Sep</v>
      </c>
      <c r="N3686" s="1">
        <f>YEAR(Table1[[#This Row],[Order Date]])</f>
        <v>2023</v>
      </c>
    </row>
    <row r="3687" spans="1:14" x14ac:dyDescent="0.35">
      <c r="A3687" s="1" t="s">
        <v>4482</v>
      </c>
      <c r="B3687" s="1" t="s">
        <v>1374</v>
      </c>
      <c r="C3687" s="1" t="s">
        <v>158</v>
      </c>
      <c r="D3687" s="1" t="s">
        <v>44</v>
      </c>
      <c r="E3687" s="1" t="s">
        <v>28</v>
      </c>
      <c r="F3687" s="1" t="s">
        <v>44</v>
      </c>
      <c r="G3687" s="1">
        <v>8</v>
      </c>
      <c r="H3687" s="1">
        <v>14459</v>
      </c>
      <c r="I3687" s="1">
        <v>0</v>
      </c>
      <c r="J3687" s="1">
        <v>115672</v>
      </c>
      <c r="K3687" s="1">
        <v>26550.83</v>
      </c>
      <c r="L3687" s="1" t="s">
        <v>17</v>
      </c>
      <c r="M3687" s="1" t="str">
        <f>TEXT(Table1[[#This Row],[Order Date]],"mmm")</f>
        <v>May</v>
      </c>
      <c r="N3687" s="1">
        <f>YEAR(Table1[[#This Row],[Order Date]])</f>
        <v>2023</v>
      </c>
    </row>
    <row r="3688" spans="1:14" x14ac:dyDescent="0.35">
      <c r="A3688" s="1" t="s">
        <v>4483</v>
      </c>
      <c r="B3688" s="1" t="s">
        <v>946</v>
      </c>
      <c r="C3688" s="1" t="s">
        <v>332</v>
      </c>
      <c r="D3688" s="1" t="s">
        <v>133</v>
      </c>
      <c r="E3688" s="1" t="s">
        <v>22</v>
      </c>
      <c r="F3688" s="1" t="s">
        <v>133</v>
      </c>
      <c r="G3688" s="1">
        <v>1</v>
      </c>
      <c r="H3688" s="1">
        <v>30792</v>
      </c>
      <c r="I3688" s="1">
        <v>0</v>
      </c>
      <c r="J3688" s="1">
        <v>30792</v>
      </c>
      <c r="K3688" s="1">
        <v>8221.41</v>
      </c>
      <c r="L3688" s="1" t="s">
        <v>70</v>
      </c>
      <c r="M3688" s="1" t="str">
        <f>TEXT(Table1[[#This Row],[Order Date]],"mmm")</f>
        <v>Jun</v>
      </c>
      <c r="N3688" s="1">
        <f>YEAR(Table1[[#This Row],[Order Date]])</f>
        <v>2024</v>
      </c>
    </row>
    <row r="3689" spans="1:14" x14ac:dyDescent="0.35">
      <c r="A3689" s="1" t="s">
        <v>4484</v>
      </c>
      <c r="B3689" s="1" t="s">
        <v>1184</v>
      </c>
      <c r="C3689" s="1" t="s">
        <v>73</v>
      </c>
      <c r="D3689" s="1" t="s">
        <v>293</v>
      </c>
      <c r="E3689" s="1" t="s">
        <v>33</v>
      </c>
      <c r="F3689" s="1" t="s">
        <v>293</v>
      </c>
      <c r="G3689" s="1">
        <v>6</v>
      </c>
      <c r="H3689" s="1">
        <v>31167</v>
      </c>
      <c r="I3689" s="1">
        <v>0.05</v>
      </c>
      <c r="J3689" s="1">
        <v>177651.9</v>
      </c>
      <c r="K3689" s="1">
        <v>48854.42</v>
      </c>
      <c r="L3689" s="1" t="s">
        <v>17</v>
      </c>
      <c r="M3689" s="1" t="str">
        <f>TEXT(Table1[[#This Row],[Order Date]],"mmm")</f>
        <v>Oct</v>
      </c>
      <c r="N3689" s="1">
        <f>YEAR(Table1[[#This Row],[Order Date]])</f>
        <v>2023</v>
      </c>
    </row>
    <row r="3690" spans="1:14" x14ac:dyDescent="0.35">
      <c r="A3690" s="1" t="s">
        <v>4485</v>
      </c>
      <c r="B3690" s="1" t="s">
        <v>2752</v>
      </c>
      <c r="C3690" s="1" t="s">
        <v>14</v>
      </c>
      <c r="D3690" s="1" t="s">
        <v>52</v>
      </c>
      <c r="E3690" s="1" t="s">
        <v>28</v>
      </c>
      <c r="F3690" s="1" t="s">
        <v>52</v>
      </c>
      <c r="G3690" s="1">
        <v>6</v>
      </c>
      <c r="H3690" s="1">
        <v>46800</v>
      </c>
      <c r="I3690" s="1">
        <v>0.15</v>
      </c>
      <c r="J3690" s="1">
        <v>238680</v>
      </c>
      <c r="K3690" s="1">
        <v>34244.5</v>
      </c>
      <c r="L3690" s="1" t="s">
        <v>17</v>
      </c>
      <c r="M3690" s="1" t="str">
        <f>TEXT(Table1[[#This Row],[Order Date]],"mmm")</f>
        <v>Jan</v>
      </c>
      <c r="N3690" s="1">
        <f>YEAR(Table1[[#This Row],[Order Date]])</f>
        <v>2023</v>
      </c>
    </row>
    <row r="3691" spans="1:14" x14ac:dyDescent="0.35">
      <c r="A3691" s="1" t="s">
        <v>4486</v>
      </c>
      <c r="B3691" s="1" t="s">
        <v>638</v>
      </c>
      <c r="C3691" s="1" t="s">
        <v>107</v>
      </c>
      <c r="D3691" s="1" t="s">
        <v>133</v>
      </c>
      <c r="E3691" s="1" t="s">
        <v>22</v>
      </c>
      <c r="F3691" s="1" t="s">
        <v>133</v>
      </c>
      <c r="G3691" s="1">
        <v>8</v>
      </c>
      <c r="H3691" s="1">
        <v>24141</v>
      </c>
      <c r="I3691" s="1">
        <v>0.05</v>
      </c>
      <c r="J3691" s="1">
        <v>183471.6</v>
      </c>
      <c r="K3691" s="1">
        <v>28464.69</v>
      </c>
      <c r="L3691" s="1" t="s">
        <v>70</v>
      </c>
      <c r="M3691" s="1" t="str">
        <f>TEXT(Table1[[#This Row],[Order Date]],"mmm")</f>
        <v>May</v>
      </c>
      <c r="N3691" s="1">
        <f>YEAR(Table1[[#This Row],[Order Date]])</f>
        <v>2023</v>
      </c>
    </row>
    <row r="3692" spans="1:14" x14ac:dyDescent="0.35">
      <c r="A3692" s="1" t="s">
        <v>4487</v>
      </c>
      <c r="B3692" s="1" t="s">
        <v>1063</v>
      </c>
      <c r="C3692" s="1" t="s">
        <v>362</v>
      </c>
      <c r="D3692" s="1" t="s">
        <v>37</v>
      </c>
      <c r="E3692" s="1" t="s">
        <v>16</v>
      </c>
      <c r="F3692" s="1" t="s">
        <v>37</v>
      </c>
      <c r="G3692" s="1">
        <v>14</v>
      </c>
      <c r="H3692" s="1">
        <v>5462</v>
      </c>
      <c r="I3692" s="1">
        <v>0.05</v>
      </c>
      <c r="J3692" s="1">
        <v>72644.600000000006</v>
      </c>
      <c r="K3692" s="1">
        <v>8558.4500000000007</v>
      </c>
      <c r="L3692" s="1" t="s">
        <v>17</v>
      </c>
      <c r="M3692" s="1" t="str">
        <f>TEXT(Table1[[#This Row],[Order Date]],"mmm")</f>
        <v>Apr</v>
      </c>
      <c r="N3692" s="1">
        <f>YEAR(Table1[[#This Row],[Order Date]])</f>
        <v>2024</v>
      </c>
    </row>
    <row r="3693" spans="1:14" x14ac:dyDescent="0.35">
      <c r="A3693" s="1" t="s">
        <v>4488</v>
      </c>
      <c r="B3693" s="1" t="s">
        <v>404</v>
      </c>
      <c r="C3693" s="1" t="s">
        <v>155</v>
      </c>
      <c r="D3693" s="1" t="s">
        <v>52</v>
      </c>
      <c r="E3693" s="1" t="s">
        <v>28</v>
      </c>
      <c r="F3693" s="1" t="s">
        <v>52</v>
      </c>
      <c r="G3693" s="1">
        <v>1</v>
      </c>
      <c r="H3693" s="1">
        <v>23762</v>
      </c>
      <c r="I3693" s="1">
        <v>0.15</v>
      </c>
      <c r="J3693" s="1">
        <v>20197.7</v>
      </c>
      <c r="K3693" s="1">
        <v>3155.83</v>
      </c>
      <c r="L3693" s="1" t="s">
        <v>45</v>
      </c>
      <c r="M3693" s="1" t="str">
        <f>TEXT(Table1[[#This Row],[Order Date]],"mmm")</f>
        <v>Jan</v>
      </c>
      <c r="N3693" s="1">
        <f>YEAR(Table1[[#This Row],[Order Date]])</f>
        <v>2023</v>
      </c>
    </row>
    <row r="3694" spans="1:14" x14ac:dyDescent="0.35">
      <c r="A3694" s="1" t="s">
        <v>4489</v>
      </c>
      <c r="B3694" s="1" t="s">
        <v>893</v>
      </c>
      <c r="C3694" s="1" t="s">
        <v>191</v>
      </c>
      <c r="D3694" s="1" t="s">
        <v>74</v>
      </c>
      <c r="E3694" s="1" t="s">
        <v>22</v>
      </c>
      <c r="F3694" s="1" t="s">
        <v>74</v>
      </c>
      <c r="G3694" s="1">
        <v>5</v>
      </c>
      <c r="H3694" s="1">
        <v>28260</v>
      </c>
      <c r="I3694" s="1">
        <v>0</v>
      </c>
      <c r="J3694" s="1">
        <v>141300</v>
      </c>
      <c r="K3694" s="1">
        <v>37718.620000000003</v>
      </c>
      <c r="L3694" s="1" t="s">
        <v>70</v>
      </c>
      <c r="M3694" s="1" t="str">
        <f>TEXT(Table1[[#This Row],[Order Date]],"mmm")</f>
        <v>Oct</v>
      </c>
      <c r="N3694" s="1">
        <f>YEAR(Table1[[#This Row],[Order Date]])</f>
        <v>2023</v>
      </c>
    </row>
    <row r="3695" spans="1:14" x14ac:dyDescent="0.35">
      <c r="A3695" s="1" t="s">
        <v>4490</v>
      </c>
      <c r="B3695" s="1" t="s">
        <v>3040</v>
      </c>
      <c r="C3695" s="1" t="s">
        <v>88</v>
      </c>
      <c r="D3695" s="1" t="s">
        <v>52</v>
      </c>
      <c r="E3695" s="1" t="s">
        <v>28</v>
      </c>
      <c r="F3695" s="1" t="s">
        <v>52</v>
      </c>
      <c r="G3695" s="1">
        <v>11</v>
      </c>
      <c r="H3695" s="1">
        <v>57380</v>
      </c>
      <c r="I3695" s="1">
        <v>0.05</v>
      </c>
      <c r="J3695" s="1">
        <v>599621</v>
      </c>
      <c r="K3695" s="1">
        <v>138252.07999999999</v>
      </c>
      <c r="L3695" s="1" t="s">
        <v>17</v>
      </c>
      <c r="M3695" s="1" t="str">
        <f>TEXT(Table1[[#This Row],[Order Date]],"mmm")</f>
        <v>Jul</v>
      </c>
      <c r="N3695" s="1">
        <f>YEAR(Table1[[#This Row],[Order Date]])</f>
        <v>2023</v>
      </c>
    </row>
    <row r="3696" spans="1:14" x14ac:dyDescent="0.35">
      <c r="A3696" s="1" t="s">
        <v>4491</v>
      </c>
      <c r="B3696" s="1" t="s">
        <v>1951</v>
      </c>
      <c r="C3696" s="1" t="s">
        <v>88</v>
      </c>
      <c r="D3696" s="1" t="s">
        <v>141</v>
      </c>
      <c r="E3696" s="1" t="s">
        <v>22</v>
      </c>
      <c r="F3696" s="1" t="s">
        <v>141</v>
      </c>
      <c r="G3696" s="1">
        <v>10</v>
      </c>
      <c r="H3696" s="1">
        <v>7544</v>
      </c>
      <c r="I3696" s="1">
        <v>0.1</v>
      </c>
      <c r="J3696" s="1">
        <v>67896</v>
      </c>
      <c r="K3696" s="1">
        <v>9739.52</v>
      </c>
      <c r="L3696" s="1" t="s">
        <v>45</v>
      </c>
      <c r="M3696" s="1" t="str">
        <f>TEXT(Table1[[#This Row],[Order Date]],"mmm")</f>
        <v>May</v>
      </c>
      <c r="N3696" s="1">
        <f>YEAR(Table1[[#This Row],[Order Date]])</f>
        <v>2024</v>
      </c>
    </row>
    <row r="3697" spans="1:14" x14ac:dyDescent="0.35">
      <c r="A3697" s="1" t="s">
        <v>4492</v>
      </c>
      <c r="B3697" s="1" t="s">
        <v>481</v>
      </c>
      <c r="C3697" s="1" t="s">
        <v>107</v>
      </c>
      <c r="D3697" s="1" t="s">
        <v>37</v>
      </c>
      <c r="E3697" s="1" t="s">
        <v>16</v>
      </c>
      <c r="F3697" s="1" t="s">
        <v>37</v>
      </c>
      <c r="G3697" s="1">
        <v>6</v>
      </c>
      <c r="H3697" s="1">
        <v>37437</v>
      </c>
      <c r="I3697" s="1">
        <v>0.15</v>
      </c>
      <c r="J3697" s="1">
        <v>190928.7</v>
      </c>
      <c r="K3697" s="1">
        <v>53580.07</v>
      </c>
      <c r="L3697" s="1" t="s">
        <v>45</v>
      </c>
      <c r="M3697" s="1" t="str">
        <f>TEXT(Table1[[#This Row],[Order Date]],"mmm")</f>
        <v>Oct</v>
      </c>
      <c r="N3697" s="1">
        <f>YEAR(Table1[[#This Row],[Order Date]])</f>
        <v>2024</v>
      </c>
    </row>
    <row r="3698" spans="1:14" x14ac:dyDescent="0.35">
      <c r="A3698" s="1" t="s">
        <v>4493</v>
      </c>
      <c r="B3698" s="1" t="s">
        <v>1781</v>
      </c>
      <c r="C3698" s="1" t="s">
        <v>362</v>
      </c>
      <c r="D3698" s="1" t="s">
        <v>108</v>
      </c>
      <c r="E3698" s="1" t="s">
        <v>22</v>
      </c>
      <c r="F3698" s="1" t="s">
        <v>108</v>
      </c>
      <c r="G3698" s="1">
        <v>9</v>
      </c>
      <c r="H3698" s="1">
        <v>49233</v>
      </c>
      <c r="I3698" s="1">
        <v>0.15</v>
      </c>
      <c r="J3698" s="1">
        <v>376632.45</v>
      </c>
      <c r="K3698" s="1">
        <v>103152.88</v>
      </c>
      <c r="L3698" s="1" t="s">
        <v>17</v>
      </c>
      <c r="M3698" s="1" t="str">
        <f>TEXT(Table1[[#This Row],[Order Date]],"mmm")</f>
        <v>Sep</v>
      </c>
      <c r="N3698" s="1">
        <f>YEAR(Table1[[#This Row],[Order Date]])</f>
        <v>2024</v>
      </c>
    </row>
    <row r="3699" spans="1:14" x14ac:dyDescent="0.35">
      <c r="A3699" s="1" t="s">
        <v>4494</v>
      </c>
      <c r="B3699" s="1" t="s">
        <v>3344</v>
      </c>
      <c r="C3699" s="1" t="s">
        <v>188</v>
      </c>
      <c r="D3699" s="1" t="s">
        <v>41</v>
      </c>
      <c r="E3699" s="1" t="s">
        <v>16</v>
      </c>
      <c r="F3699" s="1" t="s">
        <v>41</v>
      </c>
      <c r="G3699" s="1">
        <v>14</v>
      </c>
      <c r="H3699" s="1">
        <v>19664</v>
      </c>
      <c r="I3699" s="1">
        <v>0.05</v>
      </c>
      <c r="J3699" s="1">
        <v>261531.2</v>
      </c>
      <c r="K3699" s="1">
        <v>29208.67</v>
      </c>
      <c r="L3699" s="1" t="s">
        <v>17</v>
      </c>
      <c r="M3699" s="1" t="str">
        <f>TEXT(Table1[[#This Row],[Order Date]],"mmm")</f>
        <v>Apr</v>
      </c>
      <c r="N3699" s="1">
        <f>YEAR(Table1[[#This Row],[Order Date]])</f>
        <v>2023</v>
      </c>
    </row>
    <row r="3700" spans="1:14" x14ac:dyDescent="0.35">
      <c r="A3700" s="1" t="s">
        <v>4495</v>
      </c>
      <c r="B3700" s="1" t="s">
        <v>694</v>
      </c>
      <c r="C3700" s="1" t="s">
        <v>170</v>
      </c>
      <c r="D3700" s="1" t="s">
        <v>48</v>
      </c>
      <c r="E3700" s="1" t="s">
        <v>16</v>
      </c>
      <c r="F3700" s="1" t="s">
        <v>48</v>
      </c>
      <c r="G3700" s="1">
        <v>1</v>
      </c>
      <c r="H3700" s="1">
        <v>30494</v>
      </c>
      <c r="I3700" s="1">
        <v>0</v>
      </c>
      <c r="J3700" s="1">
        <v>30494</v>
      </c>
      <c r="K3700" s="1">
        <v>3338.78</v>
      </c>
      <c r="L3700" s="1" t="s">
        <v>23</v>
      </c>
      <c r="M3700" s="1" t="str">
        <f>TEXT(Table1[[#This Row],[Order Date]],"mmm")</f>
        <v>Aug</v>
      </c>
      <c r="N3700" s="1">
        <f>YEAR(Table1[[#This Row],[Order Date]])</f>
        <v>2023</v>
      </c>
    </row>
    <row r="3701" spans="1:14" x14ac:dyDescent="0.35">
      <c r="A3701" s="1" t="s">
        <v>4496</v>
      </c>
      <c r="B3701" s="1" t="s">
        <v>1161</v>
      </c>
      <c r="C3701" s="1" t="s">
        <v>175</v>
      </c>
      <c r="D3701" s="1" t="s">
        <v>167</v>
      </c>
      <c r="E3701" s="1" t="s">
        <v>16</v>
      </c>
      <c r="F3701" s="1" t="s">
        <v>167</v>
      </c>
      <c r="G3701" s="1">
        <v>5</v>
      </c>
      <c r="H3701" s="1">
        <v>57025</v>
      </c>
      <c r="I3701" s="1">
        <v>0</v>
      </c>
      <c r="J3701" s="1">
        <v>285125</v>
      </c>
      <c r="K3701" s="1">
        <v>36366.74</v>
      </c>
      <c r="L3701" s="1" t="s">
        <v>45</v>
      </c>
      <c r="M3701" s="1" t="str">
        <f>TEXT(Table1[[#This Row],[Order Date]],"mmm")</f>
        <v>Mar</v>
      </c>
      <c r="N3701" s="1">
        <f>YEAR(Table1[[#This Row],[Order Date]])</f>
        <v>2024</v>
      </c>
    </row>
    <row r="3702" spans="1:14" x14ac:dyDescent="0.35">
      <c r="A3702" s="1" t="s">
        <v>4497</v>
      </c>
      <c r="B3702" s="1" t="s">
        <v>478</v>
      </c>
      <c r="C3702" s="1" t="s">
        <v>227</v>
      </c>
      <c r="D3702" s="1" t="s">
        <v>167</v>
      </c>
      <c r="E3702" s="1" t="s">
        <v>16</v>
      </c>
      <c r="F3702" s="1" t="s">
        <v>167</v>
      </c>
      <c r="G3702" s="1">
        <v>5</v>
      </c>
      <c r="H3702" s="1">
        <v>31299</v>
      </c>
      <c r="I3702" s="1">
        <v>0</v>
      </c>
      <c r="J3702" s="1">
        <v>156495</v>
      </c>
      <c r="K3702" s="1">
        <v>39945.96</v>
      </c>
      <c r="L3702" s="1" t="s">
        <v>23</v>
      </c>
      <c r="M3702" s="1" t="str">
        <f>TEXT(Table1[[#This Row],[Order Date]],"mmm")</f>
        <v>May</v>
      </c>
      <c r="N3702" s="1">
        <f>YEAR(Table1[[#This Row],[Order Date]])</f>
        <v>2024</v>
      </c>
    </row>
    <row r="3703" spans="1:14" x14ac:dyDescent="0.35">
      <c r="A3703" s="1" t="s">
        <v>4498</v>
      </c>
      <c r="B3703" s="1" t="s">
        <v>1760</v>
      </c>
      <c r="C3703" s="1" t="s">
        <v>349</v>
      </c>
      <c r="D3703" s="1" t="s">
        <v>323</v>
      </c>
      <c r="E3703" s="1" t="s">
        <v>33</v>
      </c>
      <c r="F3703" s="1" t="s">
        <v>323</v>
      </c>
      <c r="G3703" s="1">
        <v>11</v>
      </c>
      <c r="H3703" s="1">
        <v>29088</v>
      </c>
      <c r="I3703" s="1">
        <v>0.15</v>
      </c>
      <c r="J3703" s="1">
        <v>271972.8</v>
      </c>
      <c r="K3703" s="1">
        <v>46443.28</v>
      </c>
      <c r="L3703" s="1" t="s">
        <v>23</v>
      </c>
      <c r="M3703" s="1" t="str">
        <f>TEXT(Table1[[#This Row],[Order Date]],"mmm")</f>
        <v>Aug</v>
      </c>
      <c r="N3703" s="1">
        <f>YEAR(Table1[[#This Row],[Order Date]])</f>
        <v>2024</v>
      </c>
    </row>
    <row r="3704" spans="1:14" x14ac:dyDescent="0.35">
      <c r="A3704" s="1" t="s">
        <v>4499</v>
      </c>
      <c r="B3704" s="1" t="s">
        <v>202</v>
      </c>
      <c r="C3704" s="1" t="s">
        <v>191</v>
      </c>
      <c r="D3704" s="1" t="s">
        <v>32</v>
      </c>
      <c r="E3704" s="1" t="s">
        <v>33</v>
      </c>
      <c r="F3704" s="1" t="s">
        <v>32</v>
      </c>
      <c r="G3704" s="1">
        <v>1</v>
      </c>
      <c r="H3704" s="1">
        <v>8190</v>
      </c>
      <c r="I3704" s="1">
        <v>0.1</v>
      </c>
      <c r="J3704" s="1">
        <v>7371</v>
      </c>
      <c r="K3704" s="1">
        <v>1540.46</v>
      </c>
      <c r="L3704" s="1" t="s">
        <v>23</v>
      </c>
      <c r="M3704" s="1" t="str">
        <f>TEXT(Table1[[#This Row],[Order Date]],"mmm")</f>
        <v>Jun</v>
      </c>
      <c r="N3704" s="1">
        <f>YEAR(Table1[[#This Row],[Order Date]])</f>
        <v>2023</v>
      </c>
    </row>
    <row r="3705" spans="1:14" x14ac:dyDescent="0.35">
      <c r="A3705" s="1" t="s">
        <v>4500</v>
      </c>
      <c r="B3705" s="1" t="s">
        <v>1261</v>
      </c>
      <c r="C3705" s="1" t="s">
        <v>117</v>
      </c>
      <c r="D3705" s="1" t="s">
        <v>78</v>
      </c>
      <c r="E3705" s="1" t="s">
        <v>28</v>
      </c>
      <c r="F3705" s="1" t="s">
        <v>78</v>
      </c>
      <c r="G3705" s="1">
        <v>11</v>
      </c>
      <c r="H3705" s="1">
        <v>7865</v>
      </c>
      <c r="I3705" s="1">
        <v>0.1</v>
      </c>
      <c r="J3705" s="1">
        <v>77863.5</v>
      </c>
      <c r="K3705" s="1">
        <v>9250.9699999999993</v>
      </c>
      <c r="L3705" s="1" t="s">
        <v>23</v>
      </c>
      <c r="M3705" s="1" t="str">
        <f>TEXT(Table1[[#This Row],[Order Date]],"mmm")</f>
        <v>Jul</v>
      </c>
      <c r="N3705" s="1">
        <f>YEAR(Table1[[#This Row],[Order Date]])</f>
        <v>2023</v>
      </c>
    </row>
    <row r="3706" spans="1:14" x14ac:dyDescent="0.35">
      <c r="A3706" s="1" t="s">
        <v>4501</v>
      </c>
      <c r="B3706" s="1" t="s">
        <v>2243</v>
      </c>
      <c r="C3706" s="1" t="s">
        <v>81</v>
      </c>
      <c r="D3706" s="1" t="s">
        <v>44</v>
      </c>
      <c r="E3706" s="1" t="s">
        <v>28</v>
      </c>
      <c r="F3706" s="1" t="s">
        <v>44</v>
      </c>
      <c r="G3706" s="1">
        <v>5</v>
      </c>
      <c r="H3706" s="1">
        <v>10330</v>
      </c>
      <c r="I3706" s="1">
        <v>0.2</v>
      </c>
      <c r="J3706" s="1">
        <v>41320</v>
      </c>
      <c r="K3706" s="1">
        <v>4173.8100000000004</v>
      </c>
      <c r="L3706" s="1" t="s">
        <v>23</v>
      </c>
      <c r="M3706" s="1" t="str">
        <f>TEXT(Table1[[#This Row],[Order Date]],"mmm")</f>
        <v>May</v>
      </c>
      <c r="N3706" s="1">
        <f>YEAR(Table1[[#This Row],[Order Date]])</f>
        <v>2023</v>
      </c>
    </row>
    <row r="3707" spans="1:14" x14ac:dyDescent="0.35">
      <c r="A3707" s="1" t="s">
        <v>4502</v>
      </c>
      <c r="B3707" s="1" t="s">
        <v>601</v>
      </c>
      <c r="C3707" s="1" t="s">
        <v>370</v>
      </c>
      <c r="D3707" s="1" t="s">
        <v>91</v>
      </c>
      <c r="E3707" s="1" t="s">
        <v>16</v>
      </c>
      <c r="F3707" s="1" t="s">
        <v>91</v>
      </c>
      <c r="G3707" s="1">
        <v>15</v>
      </c>
      <c r="H3707" s="1">
        <v>8490</v>
      </c>
      <c r="I3707" s="1">
        <v>0.1</v>
      </c>
      <c r="J3707" s="1">
        <v>114615</v>
      </c>
      <c r="K3707" s="1">
        <v>21462.16</v>
      </c>
      <c r="L3707" s="1" t="s">
        <v>23</v>
      </c>
      <c r="M3707" s="1" t="str">
        <f>TEXT(Table1[[#This Row],[Order Date]],"mmm")</f>
        <v>Aug</v>
      </c>
      <c r="N3707" s="1">
        <f>YEAR(Table1[[#This Row],[Order Date]])</f>
        <v>2024</v>
      </c>
    </row>
    <row r="3708" spans="1:14" x14ac:dyDescent="0.35">
      <c r="A3708" s="1" t="s">
        <v>4503</v>
      </c>
      <c r="B3708" s="1" t="s">
        <v>153</v>
      </c>
      <c r="C3708" s="1" t="s">
        <v>370</v>
      </c>
      <c r="D3708" s="1" t="s">
        <v>95</v>
      </c>
      <c r="E3708" s="1" t="s">
        <v>33</v>
      </c>
      <c r="F3708" s="1" t="s">
        <v>95</v>
      </c>
      <c r="G3708" s="1">
        <v>8</v>
      </c>
      <c r="H3708" s="1">
        <v>53662</v>
      </c>
      <c r="I3708" s="1">
        <v>0.1</v>
      </c>
      <c r="J3708" s="1">
        <v>386366.4</v>
      </c>
      <c r="K3708" s="1">
        <v>71019.55</v>
      </c>
      <c r="L3708" s="1" t="s">
        <v>45</v>
      </c>
      <c r="M3708" s="1" t="str">
        <f>TEXT(Table1[[#This Row],[Order Date]],"mmm")</f>
        <v>Feb</v>
      </c>
      <c r="N3708" s="1">
        <f>YEAR(Table1[[#This Row],[Order Date]])</f>
        <v>2024</v>
      </c>
    </row>
    <row r="3709" spans="1:14" x14ac:dyDescent="0.35">
      <c r="A3709" s="1" t="s">
        <v>4504</v>
      </c>
      <c r="B3709" s="1" t="s">
        <v>197</v>
      </c>
      <c r="C3709" s="1" t="s">
        <v>14</v>
      </c>
      <c r="D3709" s="1" t="s">
        <v>64</v>
      </c>
      <c r="E3709" s="1" t="s">
        <v>33</v>
      </c>
      <c r="F3709" s="1" t="s">
        <v>64</v>
      </c>
      <c r="G3709" s="1">
        <v>5</v>
      </c>
      <c r="H3709" s="1">
        <v>28237</v>
      </c>
      <c r="I3709" s="1">
        <v>0</v>
      </c>
      <c r="J3709" s="1">
        <v>141185</v>
      </c>
      <c r="K3709" s="1">
        <v>27915.73</v>
      </c>
      <c r="L3709" s="1" t="s">
        <v>23</v>
      </c>
      <c r="M3709" s="1" t="str">
        <f>TEXT(Table1[[#This Row],[Order Date]],"mmm")</f>
        <v>Feb</v>
      </c>
      <c r="N3709" s="1">
        <f>YEAR(Table1[[#This Row],[Order Date]])</f>
        <v>2024</v>
      </c>
    </row>
    <row r="3710" spans="1:14" x14ac:dyDescent="0.35">
      <c r="A3710" s="1" t="s">
        <v>4505</v>
      </c>
      <c r="B3710" s="1" t="s">
        <v>1023</v>
      </c>
      <c r="C3710" s="1" t="s">
        <v>94</v>
      </c>
      <c r="D3710" s="1" t="s">
        <v>167</v>
      </c>
      <c r="E3710" s="1" t="s">
        <v>16</v>
      </c>
      <c r="F3710" s="1" t="s">
        <v>167</v>
      </c>
      <c r="G3710" s="1">
        <v>4</v>
      </c>
      <c r="H3710" s="1">
        <v>34105</v>
      </c>
      <c r="I3710" s="1">
        <v>0.15</v>
      </c>
      <c r="J3710" s="1">
        <v>115957</v>
      </c>
      <c r="K3710" s="1">
        <v>33971.599999999999</v>
      </c>
      <c r="L3710" s="1" t="s">
        <v>45</v>
      </c>
      <c r="M3710" s="1" t="str">
        <f>TEXT(Table1[[#This Row],[Order Date]],"mmm")</f>
        <v>May</v>
      </c>
      <c r="N3710" s="1">
        <f>YEAR(Table1[[#This Row],[Order Date]])</f>
        <v>2023</v>
      </c>
    </row>
    <row r="3711" spans="1:14" x14ac:dyDescent="0.35">
      <c r="A3711" s="1" t="s">
        <v>4506</v>
      </c>
      <c r="B3711" s="1" t="s">
        <v>1604</v>
      </c>
      <c r="C3711" s="1" t="s">
        <v>94</v>
      </c>
      <c r="D3711" s="1" t="s">
        <v>52</v>
      </c>
      <c r="E3711" s="1" t="s">
        <v>28</v>
      </c>
      <c r="F3711" s="1" t="s">
        <v>52</v>
      </c>
      <c r="G3711" s="1">
        <v>2</v>
      </c>
      <c r="H3711" s="1">
        <v>34429</v>
      </c>
      <c r="I3711" s="1">
        <v>0.05</v>
      </c>
      <c r="J3711" s="1">
        <v>65415.1</v>
      </c>
      <c r="K3711" s="1">
        <v>15030.53</v>
      </c>
      <c r="L3711" s="1" t="s">
        <v>17</v>
      </c>
      <c r="M3711" s="1" t="str">
        <f>TEXT(Table1[[#This Row],[Order Date]],"mmm")</f>
        <v>May</v>
      </c>
      <c r="N3711" s="1">
        <f>YEAR(Table1[[#This Row],[Order Date]])</f>
        <v>2024</v>
      </c>
    </row>
    <row r="3712" spans="1:14" x14ac:dyDescent="0.35">
      <c r="A3712" s="1" t="s">
        <v>4507</v>
      </c>
      <c r="B3712" s="1" t="s">
        <v>1015</v>
      </c>
      <c r="C3712" s="1" t="s">
        <v>20</v>
      </c>
      <c r="D3712" s="1" t="s">
        <v>56</v>
      </c>
      <c r="E3712" s="1" t="s">
        <v>22</v>
      </c>
      <c r="F3712" s="1" t="s">
        <v>56</v>
      </c>
      <c r="G3712" s="1">
        <v>3</v>
      </c>
      <c r="H3712" s="1">
        <v>31916</v>
      </c>
      <c r="I3712" s="1">
        <v>0.05</v>
      </c>
      <c r="J3712" s="1">
        <v>90960.6</v>
      </c>
      <c r="K3712" s="1">
        <v>27265.81</v>
      </c>
      <c r="L3712" s="1" t="s">
        <v>17</v>
      </c>
      <c r="M3712" s="1" t="str">
        <f>TEXT(Table1[[#This Row],[Order Date]],"mmm")</f>
        <v>Aug</v>
      </c>
      <c r="N3712" s="1">
        <f>YEAR(Table1[[#This Row],[Order Date]])</f>
        <v>2023</v>
      </c>
    </row>
    <row r="3713" spans="1:14" x14ac:dyDescent="0.35">
      <c r="A3713" s="1" t="s">
        <v>4508</v>
      </c>
      <c r="B3713" s="1" t="s">
        <v>2850</v>
      </c>
      <c r="C3713" s="1" t="s">
        <v>349</v>
      </c>
      <c r="D3713" s="1" t="s">
        <v>21</v>
      </c>
      <c r="E3713" s="1" t="s">
        <v>22</v>
      </c>
      <c r="F3713" s="1" t="s">
        <v>21</v>
      </c>
      <c r="G3713" s="1">
        <v>13</v>
      </c>
      <c r="H3713" s="1">
        <v>50919</v>
      </c>
      <c r="I3713" s="1">
        <v>0.05</v>
      </c>
      <c r="J3713" s="1">
        <v>628849.65</v>
      </c>
      <c r="K3713" s="1">
        <v>52879.21</v>
      </c>
      <c r="L3713" s="1" t="s">
        <v>23</v>
      </c>
      <c r="M3713" s="1" t="str">
        <f>TEXT(Table1[[#This Row],[Order Date]],"mmm")</f>
        <v>Dec</v>
      </c>
      <c r="N3713" s="1">
        <f>YEAR(Table1[[#This Row],[Order Date]])</f>
        <v>2023</v>
      </c>
    </row>
    <row r="3714" spans="1:14" x14ac:dyDescent="0.35">
      <c r="A3714" s="1" t="s">
        <v>4509</v>
      </c>
      <c r="B3714" s="1" t="s">
        <v>202</v>
      </c>
      <c r="C3714" s="1" t="s">
        <v>128</v>
      </c>
      <c r="D3714" s="1" t="s">
        <v>15</v>
      </c>
      <c r="E3714" s="1" t="s">
        <v>16</v>
      </c>
      <c r="F3714" s="1" t="s">
        <v>15</v>
      </c>
      <c r="G3714" s="1">
        <v>5</v>
      </c>
      <c r="H3714" s="1">
        <v>42871</v>
      </c>
      <c r="I3714" s="1">
        <v>0.1</v>
      </c>
      <c r="J3714" s="1">
        <v>192919.5</v>
      </c>
      <c r="K3714" s="1">
        <v>40553.870000000003</v>
      </c>
      <c r="L3714" s="1" t="s">
        <v>70</v>
      </c>
      <c r="M3714" s="1" t="str">
        <f>TEXT(Table1[[#This Row],[Order Date]],"mmm")</f>
        <v>Jun</v>
      </c>
      <c r="N3714" s="1">
        <f>YEAR(Table1[[#This Row],[Order Date]])</f>
        <v>2023</v>
      </c>
    </row>
    <row r="3715" spans="1:14" x14ac:dyDescent="0.35">
      <c r="A3715" s="1" t="s">
        <v>4510</v>
      </c>
      <c r="B3715" s="1" t="s">
        <v>959</v>
      </c>
      <c r="C3715" s="1" t="s">
        <v>36</v>
      </c>
      <c r="D3715" s="1" t="s">
        <v>151</v>
      </c>
      <c r="E3715" s="1" t="s">
        <v>22</v>
      </c>
      <c r="F3715" s="1" t="s">
        <v>151</v>
      </c>
      <c r="G3715" s="1">
        <v>7</v>
      </c>
      <c r="H3715" s="1">
        <v>36457</v>
      </c>
      <c r="I3715" s="1">
        <v>0.05</v>
      </c>
      <c r="J3715" s="1">
        <v>242439.05</v>
      </c>
      <c r="K3715" s="1">
        <v>67735</v>
      </c>
      <c r="L3715" s="1" t="s">
        <v>23</v>
      </c>
      <c r="M3715" s="1" t="str">
        <f>TEXT(Table1[[#This Row],[Order Date]],"mmm")</f>
        <v>Oct</v>
      </c>
      <c r="N3715" s="1">
        <f>YEAR(Table1[[#This Row],[Order Date]])</f>
        <v>2023</v>
      </c>
    </row>
    <row r="3716" spans="1:14" x14ac:dyDescent="0.35">
      <c r="A3716" s="1" t="s">
        <v>4511</v>
      </c>
      <c r="B3716" s="1" t="s">
        <v>1059</v>
      </c>
      <c r="C3716" s="1" t="s">
        <v>117</v>
      </c>
      <c r="D3716" s="1" t="s">
        <v>21</v>
      </c>
      <c r="E3716" s="1" t="s">
        <v>22</v>
      </c>
      <c r="F3716" s="1" t="s">
        <v>21</v>
      </c>
      <c r="G3716" s="1">
        <v>8</v>
      </c>
      <c r="H3716" s="1">
        <v>41202</v>
      </c>
      <c r="I3716" s="1">
        <v>0.05</v>
      </c>
      <c r="J3716" s="1">
        <v>313135.2</v>
      </c>
      <c r="K3716" s="1">
        <v>26173.43</v>
      </c>
      <c r="L3716" s="1" t="s">
        <v>70</v>
      </c>
      <c r="M3716" s="1" t="str">
        <f>TEXT(Table1[[#This Row],[Order Date]],"mmm")</f>
        <v>Nov</v>
      </c>
      <c r="N3716" s="1">
        <f>YEAR(Table1[[#This Row],[Order Date]])</f>
        <v>2024</v>
      </c>
    </row>
    <row r="3717" spans="1:14" x14ac:dyDescent="0.35">
      <c r="A3717" s="1" t="s">
        <v>4512</v>
      </c>
      <c r="B3717" s="1" t="s">
        <v>181</v>
      </c>
      <c r="C3717" s="1" t="s">
        <v>31</v>
      </c>
      <c r="D3717" s="1" t="s">
        <v>137</v>
      </c>
      <c r="E3717" s="1" t="s">
        <v>22</v>
      </c>
      <c r="F3717" s="1" t="s">
        <v>137</v>
      </c>
      <c r="G3717" s="1">
        <v>13</v>
      </c>
      <c r="H3717" s="1">
        <v>6414</v>
      </c>
      <c r="I3717" s="1">
        <v>0.1</v>
      </c>
      <c r="J3717" s="1">
        <v>75043.8</v>
      </c>
      <c r="K3717" s="1">
        <v>16386.77</v>
      </c>
      <c r="L3717" s="1" t="s">
        <v>17</v>
      </c>
      <c r="M3717" s="1" t="str">
        <f>TEXT(Table1[[#This Row],[Order Date]],"mmm")</f>
        <v>May</v>
      </c>
      <c r="N3717" s="1">
        <f>YEAR(Table1[[#This Row],[Order Date]])</f>
        <v>2023</v>
      </c>
    </row>
    <row r="3718" spans="1:14" x14ac:dyDescent="0.35">
      <c r="A3718" s="1" t="s">
        <v>4513</v>
      </c>
      <c r="B3718" s="1" t="s">
        <v>1038</v>
      </c>
      <c r="C3718" s="1" t="s">
        <v>107</v>
      </c>
      <c r="D3718" s="1" t="s">
        <v>32</v>
      </c>
      <c r="E3718" s="1" t="s">
        <v>33</v>
      </c>
      <c r="F3718" s="1" t="s">
        <v>32</v>
      </c>
      <c r="G3718" s="1">
        <v>9</v>
      </c>
      <c r="H3718" s="1">
        <v>19931</v>
      </c>
      <c r="I3718" s="1">
        <v>0.2</v>
      </c>
      <c r="J3718" s="1">
        <v>143503.20000000001</v>
      </c>
      <c r="K3718" s="1">
        <v>22243.82</v>
      </c>
      <c r="L3718" s="1" t="s">
        <v>45</v>
      </c>
      <c r="M3718" s="1" t="str">
        <f>TEXT(Table1[[#This Row],[Order Date]],"mmm")</f>
        <v>Feb</v>
      </c>
      <c r="N3718" s="1">
        <f>YEAR(Table1[[#This Row],[Order Date]])</f>
        <v>2024</v>
      </c>
    </row>
    <row r="3719" spans="1:14" x14ac:dyDescent="0.35">
      <c r="A3719" s="1" t="s">
        <v>4514</v>
      </c>
      <c r="B3719" s="1" t="s">
        <v>2291</v>
      </c>
      <c r="C3719" s="1" t="s">
        <v>140</v>
      </c>
      <c r="D3719" s="1" t="s">
        <v>21</v>
      </c>
      <c r="E3719" s="1" t="s">
        <v>22</v>
      </c>
      <c r="F3719" s="1" t="s">
        <v>21</v>
      </c>
      <c r="G3719" s="1">
        <v>7</v>
      </c>
      <c r="H3719" s="1">
        <v>23538</v>
      </c>
      <c r="I3719" s="1">
        <v>0.1</v>
      </c>
      <c r="J3719" s="1">
        <v>148289.4</v>
      </c>
      <c r="K3719" s="1">
        <v>16634.23</v>
      </c>
      <c r="L3719" s="1" t="s">
        <v>23</v>
      </c>
      <c r="M3719" s="1" t="str">
        <f>TEXT(Table1[[#This Row],[Order Date]],"mmm")</f>
        <v>Sep</v>
      </c>
      <c r="N3719" s="1">
        <f>YEAR(Table1[[#This Row],[Order Date]])</f>
        <v>2023</v>
      </c>
    </row>
    <row r="3720" spans="1:14" x14ac:dyDescent="0.35">
      <c r="A3720" s="1" t="s">
        <v>4515</v>
      </c>
      <c r="B3720" s="1" t="s">
        <v>1005</v>
      </c>
      <c r="C3720" s="1" t="s">
        <v>51</v>
      </c>
      <c r="D3720" s="1" t="s">
        <v>44</v>
      </c>
      <c r="E3720" s="1" t="s">
        <v>28</v>
      </c>
      <c r="F3720" s="1" t="s">
        <v>44</v>
      </c>
      <c r="G3720" s="1">
        <v>15</v>
      </c>
      <c r="H3720" s="1">
        <v>34139</v>
      </c>
      <c r="I3720" s="1">
        <v>0</v>
      </c>
      <c r="J3720" s="1">
        <v>512085</v>
      </c>
      <c r="K3720" s="1">
        <v>116572.98</v>
      </c>
      <c r="L3720" s="1" t="s">
        <v>23</v>
      </c>
      <c r="M3720" s="1" t="str">
        <f>TEXT(Table1[[#This Row],[Order Date]],"mmm")</f>
        <v>Aug</v>
      </c>
      <c r="N3720" s="1">
        <f>YEAR(Table1[[#This Row],[Order Date]])</f>
        <v>2023</v>
      </c>
    </row>
    <row r="3721" spans="1:14" x14ac:dyDescent="0.35">
      <c r="A3721" s="1" t="s">
        <v>4516</v>
      </c>
      <c r="B3721" s="1" t="s">
        <v>2355</v>
      </c>
      <c r="C3721" s="1" t="s">
        <v>208</v>
      </c>
      <c r="D3721" s="1" t="s">
        <v>52</v>
      </c>
      <c r="E3721" s="1" t="s">
        <v>28</v>
      </c>
      <c r="F3721" s="1" t="s">
        <v>52</v>
      </c>
      <c r="G3721" s="1">
        <v>9</v>
      </c>
      <c r="H3721" s="1">
        <v>57062</v>
      </c>
      <c r="I3721" s="1">
        <v>0.05</v>
      </c>
      <c r="J3721" s="1">
        <v>487880.1</v>
      </c>
      <c r="K3721" s="1">
        <v>52081.31</v>
      </c>
      <c r="L3721" s="1" t="s">
        <v>17</v>
      </c>
      <c r="M3721" s="1" t="str">
        <f>TEXT(Table1[[#This Row],[Order Date]],"mmm")</f>
        <v>Oct</v>
      </c>
      <c r="N3721" s="1">
        <f>YEAR(Table1[[#This Row],[Order Date]])</f>
        <v>2023</v>
      </c>
    </row>
    <row r="3722" spans="1:14" x14ac:dyDescent="0.35">
      <c r="A3722" s="1" t="s">
        <v>4517</v>
      </c>
      <c r="B3722" s="1" t="s">
        <v>2068</v>
      </c>
      <c r="C3722" s="1" t="s">
        <v>20</v>
      </c>
      <c r="D3722" s="1" t="s">
        <v>141</v>
      </c>
      <c r="E3722" s="1" t="s">
        <v>22</v>
      </c>
      <c r="F3722" s="1" t="s">
        <v>141</v>
      </c>
      <c r="G3722" s="1">
        <v>8</v>
      </c>
      <c r="H3722" s="1">
        <v>14987</v>
      </c>
      <c r="I3722" s="1">
        <v>0.1</v>
      </c>
      <c r="J3722" s="1">
        <v>107906.4</v>
      </c>
      <c r="K3722" s="1">
        <v>23358.44</v>
      </c>
      <c r="L3722" s="1" t="s">
        <v>23</v>
      </c>
      <c r="M3722" s="1" t="str">
        <f>TEXT(Table1[[#This Row],[Order Date]],"mmm")</f>
        <v>Oct</v>
      </c>
      <c r="N3722" s="1">
        <f>YEAR(Table1[[#This Row],[Order Date]])</f>
        <v>2023</v>
      </c>
    </row>
    <row r="3723" spans="1:14" x14ac:dyDescent="0.35">
      <c r="A3723" s="1" t="s">
        <v>4518</v>
      </c>
      <c r="B3723" s="1" t="s">
        <v>327</v>
      </c>
      <c r="C3723" s="1" t="s">
        <v>77</v>
      </c>
      <c r="D3723" s="1" t="s">
        <v>78</v>
      </c>
      <c r="E3723" s="1" t="s">
        <v>28</v>
      </c>
      <c r="F3723" s="1" t="s">
        <v>78</v>
      </c>
      <c r="G3723" s="1">
        <v>10</v>
      </c>
      <c r="H3723" s="1">
        <v>23670</v>
      </c>
      <c r="I3723" s="1">
        <v>0.05</v>
      </c>
      <c r="J3723" s="1">
        <v>224865</v>
      </c>
      <c r="K3723" s="1">
        <v>23898.03</v>
      </c>
      <c r="L3723" s="1" t="s">
        <v>45</v>
      </c>
      <c r="M3723" s="1" t="str">
        <f>TEXT(Table1[[#This Row],[Order Date]],"mmm")</f>
        <v>Nov</v>
      </c>
      <c r="N3723" s="1">
        <f>YEAR(Table1[[#This Row],[Order Date]])</f>
        <v>2024</v>
      </c>
    </row>
    <row r="3724" spans="1:14" x14ac:dyDescent="0.35">
      <c r="A3724" s="1" t="s">
        <v>4519</v>
      </c>
      <c r="B3724" s="1" t="s">
        <v>1354</v>
      </c>
      <c r="C3724" s="1" t="s">
        <v>640</v>
      </c>
      <c r="D3724" s="1" t="s">
        <v>293</v>
      </c>
      <c r="E3724" s="1" t="s">
        <v>33</v>
      </c>
      <c r="F3724" s="1" t="s">
        <v>293</v>
      </c>
      <c r="G3724" s="1">
        <v>2</v>
      </c>
      <c r="H3724" s="1">
        <v>10753</v>
      </c>
      <c r="I3724" s="1">
        <v>0.2</v>
      </c>
      <c r="J3724" s="1">
        <v>17204.8</v>
      </c>
      <c r="K3724" s="1">
        <v>3788.52</v>
      </c>
      <c r="L3724" s="1" t="s">
        <v>17</v>
      </c>
      <c r="M3724" s="1" t="str">
        <f>TEXT(Table1[[#This Row],[Order Date]],"mmm")</f>
        <v>Aug</v>
      </c>
      <c r="N3724" s="1">
        <f>YEAR(Table1[[#This Row],[Order Date]])</f>
        <v>2024</v>
      </c>
    </row>
    <row r="3725" spans="1:14" x14ac:dyDescent="0.35">
      <c r="A3725" s="1" t="s">
        <v>4520</v>
      </c>
      <c r="B3725" s="1" t="s">
        <v>2066</v>
      </c>
      <c r="C3725" s="1" t="s">
        <v>349</v>
      </c>
      <c r="D3725" s="1" t="s">
        <v>91</v>
      </c>
      <c r="E3725" s="1" t="s">
        <v>16</v>
      </c>
      <c r="F3725" s="1" t="s">
        <v>91</v>
      </c>
      <c r="G3725" s="1">
        <v>11</v>
      </c>
      <c r="H3725" s="1">
        <v>42339</v>
      </c>
      <c r="I3725" s="1">
        <v>0</v>
      </c>
      <c r="J3725" s="1">
        <v>465729</v>
      </c>
      <c r="K3725" s="1">
        <v>80452.210000000006</v>
      </c>
      <c r="L3725" s="1" t="s">
        <v>17</v>
      </c>
      <c r="M3725" s="1" t="str">
        <f>TEXT(Table1[[#This Row],[Order Date]],"mmm")</f>
        <v>Sep</v>
      </c>
      <c r="N3725" s="1">
        <f>YEAR(Table1[[#This Row],[Order Date]])</f>
        <v>2024</v>
      </c>
    </row>
    <row r="3726" spans="1:14" x14ac:dyDescent="0.35">
      <c r="A3726" s="1" t="s">
        <v>4521</v>
      </c>
      <c r="B3726" s="1" t="s">
        <v>337</v>
      </c>
      <c r="C3726" s="1" t="s">
        <v>63</v>
      </c>
      <c r="D3726" s="1" t="s">
        <v>64</v>
      </c>
      <c r="E3726" s="1" t="s">
        <v>33</v>
      </c>
      <c r="F3726" s="1" t="s">
        <v>64</v>
      </c>
      <c r="G3726" s="1">
        <v>9</v>
      </c>
      <c r="H3726" s="1">
        <v>41051</v>
      </c>
      <c r="I3726" s="1">
        <v>0.05</v>
      </c>
      <c r="J3726" s="1">
        <v>350986.05</v>
      </c>
      <c r="K3726" s="1">
        <v>78928.33</v>
      </c>
      <c r="L3726" s="1" t="s">
        <v>70</v>
      </c>
      <c r="M3726" s="1" t="str">
        <f>TEXT(Table1[[#This Row],[Order Date]],"mmm")</f>
        <v>May</v>
      </c>
      <c r="N3726" s="1">
        <f>YEAR(Table1[[#This Row],[Order Date]])</f>
        <v>2024</v>
      </c>
    </row>
    <row r="3727" spans="1:14" x14ac:dyDescent="0.35">
      <c r="A3727" s="1" t="s">
        <v>4522</v>
      </c>
      <c r="B3727" s="1" t="s">
        <v>213</v>
      </c>
      <c r="C3727" s="1" t="s">
        <v>260</v>
      </c>
      <c r="D3727" s="1" t="s">
        <v>64</v>
      </c>
      <c r="E3727" s="1" t="s">
        <v>33</v>
      </c>
      <c r="F3727" s="1" t="s">
        <v>64</v>
      </c>
      <c r="G3727" s="1">
        <v>9</v>
      </c>
      <c r="H3727" s="1">
        <v>30237</v>
      </c>
      <c r="I3727" s="1">
        <v>0.1</v>
      </c>
      <c r="J3727" s="1">
        <v>244919.7</v>
      </c>
      <c r="K3727" s="1">
        <v>67735.22</v>
      </c>
      <c r="L3727" s="1" t="s">
        <v>17</v>
      </c>
      <c r="M3727" s="1" t="str">
        <f>TEXT(Table1[[#This Row],[Order Date]],"mmm")</f>
        <v>Sep</v>
      </c>
      <c r="N3727" s="1">
        <f>YEAR(Table1[[#This Row],[Order Date]])</f>
        <v>2024</v>
      </c>
    </row>
    <row r="3728" spans="1:14" x14ac:dyDescent="0.35">
      <c r="A3728" s="1" t="s">
        <v>4523</v>
      </c>
      <c r="B3728" s="1" t="s">
        <v>506</v>
      </c>
      <c r="C3728" s="1" t="s">
        <v>111</v>
      </c>
      <c r="D3728" s="1" t="s">
        <v>108</v>
      </c>
      <c r="E3728" s="1" t="s">
        <v>22</v>
      </c>
      <c r="F3728" s="1" t="s">
        <v>108</v>
      </c>
      <c r="G3728" s="1">
        <v>2</v>
      </c>
      <c r="H3728" s="1">
        <v>51642</v>
      </c>
      <c r="I3728" s="1">
        <v>0.15</v>
      </c>
      <c r="J3728" s="1">
        <v>87791.4</v>
      </c>
      <c r="K3728" s="1">
        <v>14232.02</v>
      </c>
      <c r="L3728" s="1" t="s">
        <v>45</v>
      </c>
      <c r="M3728" s="1" t="str">
        <f>TEXT(Table1[[#This Row],[Order Date]],"mmm")</f>
        <v>Jul</v>
      </c>
      <c r="N3728" s="1">
        <f>YEAR(Table1[[#This Row],[Order Date]])</f>
        <v>2024</v>
      </c>
    </row>
    <row r="3729" spans="1:14" x14ac:dyDescent="0.35">
      <c r="A3729" s="1" t="s">
        <v>4524</v>
      </c>
      <c r="B3729" s="1" t="s">
        <v>792</v>
      </c>
      <c r="C3729" s="1" t="s">
        <v>170</v>
      </c>
      <c r="D3729" s="1" t="s">
        <v>32</v>
      </c>
      <c r="E3729" s="1" t="s">
        <v>33</v>
      </c>
      <c r="F3729" s="1" t="s">
        <v>32</v>
      </c>
      <c r="G3729" s="1">
        <v>1</v>
      </c>
      <c r="H3729" s="1">
        <v>8648</v>
      </c>
      <c r="I3729" s="1">
        <v>0.2</v>
      </c>
      <c r="J3729" s="1">
        <v>6918.4</v>
      </c>
      <c r="K3729" s="1">
        <v>1617.39</v>
      </c>
      <c r="L3729" s="1" t="s">
        <v>17</v>
      </c>
      <c r="M3729" s="1" t="str">
        <f>TEXT(Table1[[#This Row],[Order Date]],"mmm")</f>
        <v>Aug</v>
      </c>
      <c r="N3729" s="1">
        <f>YEAR(Table1[[#This Row],[Order Date]])</f>
        <v>2023</v>
      </c>
    </row>
    <row r="3730" spans="1:14" x14ac:dyDescent="0.35">
      <c r="A3730" s="1" t="s">
        <v>4525</v>
      </c>
      <c r="B3730" s="1" t="s">
        <v>284</v>
      </c>
      <c r="C3730" s="1" t="s">
        <v>170</v>
      </c>
      <c r="D3730" s="1" t="s">
        <v>114</v>
      </c>
      <c r="E3730" s="1" t="s">
        <v>16</v>
      </c>
      <c r="F3730" s="1" t="s">
        <v>114</v>
      </c>
      <c r="G3730" s="1">
        <v>7</v>
      </c>
      <c r="H3730" s="1">
        <v>16324</v>
      </c>
      <c r="I3730" s="1">
        <v>0.05</v>
      </c>
      <c r="J3730" s="1">
        <v>108554.6</v>
      </c>
      <c r="K3730" s="1">
        <v>9753.67</v>
      </c>
      <c r="L3730" s="1" t="s">
        <v>23</v>
      </c>
      <c r="M3730" s="1" t="str">
        <f>TEXT(Table1[[#This Row],[Order Date]],"mmm")</f>
        <v>Nov</v>
      </c>
      <c r="N3730" s="1">
        <f>YEAR(Table1[[#This Row],[Order Date]])</f>
        <v>2023</v>
      </c>
    </row>
    <row r="3731" spans="1:14" x14ac:dyDescent="0.35">
      <c r="A3731" s="1" t="s">
        <v>4526</v>
      </c>
      <c r="B3731" s="1" t="s">
        <v>43</v>
      </c>
      <c r="C3731" s="1" t="s">
        <v>227</v>
      </c>
      <c r="D3731" s="1" t="s">
        <v>74</v>
      </c>
      <c r="E3731" s="1" t="s">
        <v>22</v>
      </c>
      <c r="F3731" s="1" t="s">
        <v>74</v>
      </c>
      <c r="G3731" s="1">
        <v>12</v>
      </c>
      <c r="H3731" s="1">
        <v>38972</v>
      </c>
      <c r="I3731" s="1">
        <v>0.2</v>
      </c>
      <c r="J3731" s="1">
        <v>374131.20000000001</v>
      </c>
      <c r="K3731" s="1">
        <v>82156.69</v>
      </c>
      <c r="L3731" s="1" t="s">
        <v>70</v>
      </c>
      <c r="M3731" s="1" t="str">
        <f>TEXT(Table1[[#This Row],[Order Date]],"mmm")</f>
        <v>Jun</v>
      </c>
      <c r="N3731" s="1">
        <f>YEAR(Table1[[#This Row],[Order Date]])</f>
        <v>2023</v>
      </c>
    </row>
    <row r="3732" spans="1:14" x14ac:dyDescent="0.35">
      <c r="A3732" s="1" t="s">
        <v>4527</v>
      </c>
      <c r="B3732" s="1" t="s">
        <v>1361</v>
      </c>
      <c r="C3732" s="1" t="s">
        <v>136</v>
      </c>
      <c r="D3732" s="1" t="s">
        <v>167</v>
      </c>
      <c r="E3732" s="1" t="s">
        <v>16</v>
      </c>
      <c r="F3732" s="1" t="s">
        <v>167</v>
      </c>
      <c r="G3732" s="1">
        <v>10</v>
      </c>
      <c r="H3732" s="1">
        <v>55187</v>
      </c>
      <c r="I3732" s="1">
        <v>0.2</v>
      </c>
      <c r="J3732" s="1">
        <v>441496</v>
      </c>
      <c r="K3732" s="1">
        <v>61364.94</v>
      </c>
      <c r="L3732" s="1" t="s">
        <v>45</v>
      </c>
      <c r="M3732" s="1" t="str">
        <f>TEXT(Table1[[#This Row],[Order Date]],"mmm")</f>
        <v>Apr</v>
      </c>
      <c r="N3732" s="1">
        <f>YEAR(Table1[[#This Row],[Order Date]])</f>
        <v>2023</v>
      </c>
    </row>
    <row r="3733" spans="1:14" x14ac:dyDescent="0.35">
      <c r="A3733" s="1" t="s">
        <v>4528</v>
      </c>
      <c r="B3733" s="1" t="s">
        <v>226</v>
      </c>
      <c r="C3733" s="1" t="s">
        <v>332</v>
      </c>
      <c r="D3733" s="1" t="s">
        <v>48</v>
      </c>
      <c r="E3733" s="1" t="s">
        <v>16</v>
      </c>
      <c r="F3733" s="1" t="s">
        <v>48</v>
      </c>
      <c r="G3733" s="1">
        <v>12</v>
      </c>
      <c r="H3733" s="1">
        <v>3060</v>
      </c>
      <c r="I3733" s="1">
        <v>0.05</v>
      </c>
      <c r="J3733" s="1">
        <v>34884</v>
      </c>
      <c r="K3733" s="1">
        <v>6708.97</v>
      </c>
      <c r="L3733" s="1" t="s">
        <v>17</v>
      </c>
      <c r="M3733" s="1" t="str">
        <f>TEXT(Table1[[#This Row],[Order Date]],"mmm")</f>
        <v>Oct</v>
      </c>
      <c r="N3733" s="1">
        <f>YEAR(Table1[[#This Row],[Order Date]])</f>
        <v>2024</v>
      </c>
    </row>
    <row r="3734" spans="1:14" x14ac:dyDescent="0.35">
      <c r="A3734" s="1" t="s">
        <v>4529</v>
      </c>
      <c r="B3734" s="1" t="s">
        <v>276</v>
      </c>
      <c r="C3734" s="1" t="s">
        <v>40</v>
      </c>
      <c r="D3734" s="1" t="s">
        <v>15</v>
      </c>
      <c r="E3734" s="1" t="s">
        <v>16</v>
      </c>
      <c r="F3734" s="1" t="s">
        <v>15</v>
      </c>
      <c r="G3734" s="1">
        <v>15</v>
      </c>
      <c r="H3734" s="1">
        <v>18149</v>
      </c>
      <c r="I3734" s="1">
        <v>0.15</v>
      </c>
      <c r="J3734" s="1">
        <v>231399.75</v>
      </c>
      <c r="K3734" s="1">
        <v>68886.63</v>
      </c>
      <c r="L3734" s="1" t="s">
        <v>17</v>
      </c>
      <c r="M3734" s="1" t="str">
        <f>TEXT(Table1[[#This Row],[Order Date]],"mmm")</f>
        <v>Apr</v>
      </c>
      <c r="N3734" s="1">
        <f>YEAR(Table1[[#This Row],[Order Date]])</f>
        <v>2024</v>
      </c>
    </row>
    <row r="3735" spans="1:14" x14ac:dyDescent="0.35">
      <c r="A3735" s="1" t="s">
        <v>4530</v>
      </c>
      <c r="B3735" s="1" t="s">
        <v>1705</v>
      </c>
      <c r="C3735" s="1" t="s">
        <v>136</v>
      </c>
      <c r="D3735" s="1" t="s">
        <v>56</v>
      </c>
      <c r="E3735" s="1" t="s">
        <v>22</v>
      </c>
      <c r="F3735" s="1" t="s">
        <v>56</v>
      </c>
      <c r="G3735" s="1">
        <v>8</v>
      </c>
      <c r="H3735" s="1">
        <v>5069</v>
      </c>
      <c r="I3735" s="1">
        <v>0</v>
      </c>
      <c r="J3735" s="1">
        <v>40552</v>
      </c>
      <c r="K3735" s="1">
        <v>9325.73</v>
      </c>
      <c r="L3735" s="1" t="s">
        <v>70</v>
      </c>
      <c r="M3735" s="1" t="str">
        <f>TEXT(Table1[[#This Row],[Order Date]],"mmm")</f>
        <v>Oct</v>
      </c>
      <c r="N3735" s="1">
        <f>YEAR(Table1[[#This Row],[Order Date]])</f>
        <v>2024</v>
      </c>
    </row>
    <row r="3736" spans="1:14" x14ac:dyDescent="0.35">
      <c r="A3736" s="1" t="s">
        <v>4531</v>
      </c>
      <c r="B3736" s="1" t="s">
        <v>455</v>
      </c>
      <c r="C3736" s="1" t="s">
        <v>104</v>
      </c>
      <c r="D3736" s="1" t="s">
        <v>78</v>
      </c>
      <c r="E3736" s="1" t="s">
        <v>28</v>
      </c>
      <c r="F3736" s="1" t="s">
        <v>78</v>
      </c>
      <c r="G3736" s="1">
        <v>5</v>
      </c>
      <c r="H3736" s="1">
        <v>46976</v>
      </c>
      <c r="I3736" s="1">
        <v>0.2</v>
      </c>
      <c r="J3736" s="1">
        <v>187904</v>
      </c>
      <c r="K3736" s="1">
        <v>51001.07</v>
      </c>
      <c r="L3736" s="1" t="s">
        <v>45</v>
      </c>
      <c r="M3736" s="1" t="str">
        <f>TEXT(Table1[[#This Row],[Order Date]],"mmm")</f>
        <v>Mar</v>
      </c>
      <c r="N3736" s="1">
        <f>YEAR(Table1[[#This Row],[Order Date]])</f>
        <v>2024</v>
      </c>
    </row>
    <row r="3737" spans="1:14" x14ac:dyDescent="0.35">
      <c r="A3737" s="1" t="s">
        <v>4532</v>
      </c>
      <c r="B3737" s="1" t="s">
        <v>1559</v>
      </c>
      <c r="C3737" s="1" t="s">
        <v>640</v>
      </c>
      <c r="D3737" s="1" t="s">
        <v>15</v>
      </c>
      <c r="E3737" s="1" t="s">
        <v>16</v>
      </c>
      <c r="F3737" s="1" t="s">
        <v>15</v>
      </c>
      <c r="G3737" s="1">
        <v>14</v>
      </c>
      <c r="H3737" s="1">
        <v>9049</v>
      </c>
      <c r="I3737" s="1">
        <v>0.05</v>
      </c>
      <c r="J3737" s="1">
        <v>120351.7</v>
      </c>
      <c r="K3737" s="1">
        <v>23647.1</v>
      </c>
      <c r="L3737" s="1" t="s">
        <v>23</v>
      </c>
      <c r="M3737" s="1" t="str">
        <f>TEXT(Table1[[#This Row],[Order Date]],"mmm")</f>
        <v>Jan</v>
      </c>
      <c r="N3737" s="1">
        <f>YEAR(Table1[[#This Row],[Order Date]])</f>
        <v>2023</v>
      </c>
    </row>
    <row r="3738" spans="1:14" x14ac:dyDescent="0.35">
      <c r="A3738" s="1" t="s">
        <v>4533</v>
      </c>
      <c r="B3738" s="1" t="s">
        <v>1496</v>
      </c>
      <c r="C3738" s="1" t="s">
        <v>370</v>
      </c>
      <c r="D3738" s="1" t="s">
        <v>167</v>
      </c>
      <c r="E3738" s="1" t="s">
        <v>16</v>
      </c>
      <c r="F3738" s="1" t="s">
        <v>167</v>
      </c>
      <c r="G3738" s="1">
        <v>8</v>
      </c>
      <c r="H3738" s="1">
        <v>16686</v>
      </c>
      <c r="I3738" s="1">
        <v>0.15</v>
      </c>
      <c r="J3738" s="1">
        <v>113464.8</v>
      </c>
      <c r="K3738" s="1">
        <v>15156.29</v>
      </c>
      <c r="L3738" s="1" t="s">
        <v>23</v>
      </c>
      <c r="M3738" s="1" t="str">
        <f>TEXT(Table1[[#This Row],[Order Date]],"mmm")</f>
        <v>Jan</v>
      </c>
      <c r="N3738" s="1">
        <f>YEAR(Table1[[#This Row],[Order Date]])</f>
        <v>2024</v>
      </c>
    </row>
    <row r="3739" spans="1:14" x14ac:dyDescent="0.35">
      <c r="A3739" s="1" t="s">
        <v>4534</v>
      </c>
      <c r="B3739" s="1" t="s">
        <v>886</v>
      </c>
      <c r="C3739" s="1" t="s">
        <v>335</v>
      </c>
      <c r="D3739" s="1" t="s">
        <v>74</v>
      </c>
      <c r="E3739" s="1" t="s">
        <v>22</v>
      </c>
      <c r="F3739" s="1" t="s">
        <v>74</v>
      </c>
      <c r="G3739" s="1">
        <v>14</v>
      </c>
      <c r="H3739" s="1">
        <v>17768</v>
      </c>
      <c r="I3739" s="1">
        <v>0.05</v>
      </c>
      <c r="J3739" s="1">
        <v>236314.4</v>
      </c>
      <c r="K3739" s="1">
        <v>42073.68</v>
      </c>
      <c r="L3739" s="1" t="s">
        <v>23</v>
      </c>
      <c r="M3739" s="1" t="str">
        <f>TEXT(Table1[[#This Row],[Order Date]],"mmm")</f>
        <v>Apr</v>
      </c>
      <c r="N3739" s="1">
        <f>YEAR(Table1[[#This Row],[Order Date]])</f>
        <v>2023</v>
      </c>
    </row>
    <row r="3740" spans="1:14" x14ac:dyDescent="0.35">
      <c r="A3740" s="1" t="s">
        <v>4535</v>
      </c>
      <c r="B3740" s="1" t="s">
        <v>462</v>
      </c>
      <c r="C3740" s="1" t="s">
        <v>31</v>
      </c>
      <c r="D3740" s="1" t="s">
        <v>32</v>
      </c>
      <c r="E3740" s="1" t="s">
        <v>33</v>
      </c>
      <c r="F3740" s="1" t="s">
        <v>32</v>
      </c>
      <c r="G3740" s="1">
        <v>10</v>
      </c>
      <c r="H3740" s="1">
        <v>46648</v>
      </c>
      <c r="I3740" s="1">
        <v>0.2</v>
      </c>
      <c r="J3740" s="1">
        <v>373184</v>
      </c>
      <c r="K3740" s="1">
        <v>50008.78</v>
      </c>
      <c r="L3740" s="1" t="s">
        <v>70</v>
      </c>
      <c r="M3740" s="1" t="str">
        <f>TEXT(Table1[[#This Row],[Order Date]],"mmm")</f>
        <v>Jul</v>
      </c>
      <c r="N3740" s="1">
        <f>YEAR(Table1[[#This Row],[Order Date]])</f>
        <v>2024</v>
      </c>
    </row>
    <row r="3741" spans="1:14" x14ac:dyDescent="0.35">
      <c r="A3741" s="1" t="s">
        <v>4536</v>
      </c>
      <c r="B3741" s="1" t="s">
        <v>1180</v>
      </c>
      <c r="C3741" s="1" t="s">
        <v>111</v>
      </c>
      <c r="D3741" s="1" t="s">
        <v>91</v>
      </c>
      <c r="E3741" s="1" t="s">
        <v>16</v>
      </c>
      <c r="F3741" s="1" t="s">
        <v>91</v>
      </c>
      <c r="G3741" s="1">
        <v>12</v>
      </c>
      <c r="H3741" s="1">
        <v>11385</v>
      </c>
      <c r="I3741" s="1">
        <v>0.15</v>
      </c>
      <c r="J3741" s="1">
        <v>116127</v>
      </c>
      <c r="K3741" s="1">
        <v>23858.86</v>
      </c>
      <c r="L3741" s="1" t="s">
        <v>70</v>
      </c>
      <c r="M3741" s="1" t="str">
        <f>TEXT(Table1[[#This Row],[Order Date]],"mmm")</f>
        <v>Oct</v>
      </c>
      <c r="N3741" s="1">
        <f>YEAR(Table1[[#This Row],[Order Date]])</f>
        <v>2023</v>
      </c>
    </row>
    <row r="3742" spans="1:14" x14ac:dyDescent="0.35">
      <c r="A3742" s="1" t="s">
        <v>4537</v>
      </c>
      <c r="B3742" s="1" t="s">
        <v>1092</v>
      </c>
      <c r="C3742" s="1" t="s">
        <v>200</v>
      </c>
      <c r="D3742" s="1" t="s">
        <v>52</v>
      </c>
      <c r="E3742" s="1" t="s">
        <v>28</v>
      </c>
      <c r="F3742" s="1" t="s">
        <v>52</v>
      </c>
      <c r="G3742" s="1">
        <v>9</v>
      </c>
      <c r="H3742" s="1">
        <v>37385</v>
      </c>
      <c r="I3742" s="1">
        <v>0.1</v>
      </c>
      <c r="J3742" s="1">
        <v>302818.5</v>
      </c>
      <c r="K3742" s="1">
        <v>35725.67</v>
      </c>
      <c r="L3742" s="1" t="s">
        <v>17</v>
      </c>
      <c r="M3742" s="1" t="str">
        <f>TEXT(Table1[[#This Row],[Order Date]],"mmm")</f>
        <v>Feb</v>
      </c>
      <c r="N3742" s="1">
        <f>YEAR(Table1[[#This Row],[Order Date]])</f>
        <v>2024</v>
      </c>
    </row>
    <row r="3743" spans="1:14" x14ac:dyDescent="0.35">
      <c r="A3743" s="1" t="s">
        <v>4538</v>
      </c>
      <c r="B3743" s="1" t="s">
        <v>1143</v>
      </c>
      <c r="C3743" s="1" t="s">
        <v>260</v>
      </c>
      <c r="D3743" s="1" t="s">
        <v>167</v>
      </c>
      <c r="E3743" s="1" t="s">
        <v>16</v>
      </c>
      <c r="F3743" s="1" t="s">
        <v>167</v>
      </c>
      <c r="G3743" s="1">
        <v>15</v>
      </c>
      <c r="H3743" s="1">
        <v>11133</v>
      </c>
      <c r="I3743" s="1">
        <v>0.15</v>
      </c>
      <c r="J3743" s="1">
        <v>141945.75</v>
      </c>
      <c r="K3743" s="1">
        <v>42227.44</v>
      </c>
      <c r="L3743" s="1" t="s">
        <v>70</v>
      </c>
      <c r="M3743" s="1" t="str">
        <f>TEXT(Table1[[#This Row],[Order Date]],"mmm")</f>
        <v>Feb</v>
      </c>
      <c r="N3743" s="1">
        <f>YEAR(Table1[[#This Row],[Order Date]])</f>
        <v>2024</v>
      </c>
    </row>
    <row r="3744" spans="1:14" x14ac:dyDescent="0.35">
      <c r="A3744" s="1" t="s">
        <v>4539</v>
      </c>
      <c r="B3744" s="1" t="s">
        <v>937</v>
      </c>
      <c r="C3744" s="1" t="s">
        <v>255</v>
      </c>
      <c r="D3744" s="1" t="s">
        <v>108</v>
      </c>
      <c r="E3744" s="1" t="s">
        <v>22</v>
      </c>
      <c r="F3744" s="1" t="s">
        <v>108</v>
      </c>
      <c r="G3744" s="1">
        <v>5</v>
      </c>
      <c r="H3744" s="1">
        <v>40195</v>
      </c>
      <c r="I3744" s="1">
        <v>0.1</v>
      </c>
      <c r="J3744" s="1">
        <v>180877.5</v>
      </c>
      <c r="K3744" s="1">
        <v>34709.39</v>
      </c>
      <c r="L3744" s="1" t="s">
        <v>17</v>
      </c>
      <c r="M3744" s="1" t="str">
        <f>TEXT(Table1[[#This Row],[Order Date]],"mmm")</f>
        <v>Oct</v>
      </c>
      <c r="N3744" s="1">
        <f>YEAR(Table1[[#This Row],[Order Date]])</f>
        <v>2023</v>
      </c>
    </row>
    <row r="3745" spans="1:14" x14ac:dyDescent="0.35">
      <c r="A3745" s="1" t="s">
        <v>4540</v>
      </c>
      <c r="B3745" s="1" t="s">
        <v>648</v>
      </c>
      <c r="C3745" s="1" t="s">
        <v>31</v>
      </c>
      <c r="D3745" s="1" t="s">
        <v>91</v>
      </c>
      <c r="E3745" s="1" t="s">
        <v>16</v>
      </c>
      <c r="F3745" s="1" t="s">
        <v>91</v>
      </c>
      <c r="G3745" s="1">
        <v>1</v>
      </c>
      <c r="H3745" s="1">
        <v>35048</v>
      </c>
      <c r="I3745" s="1">
        <v>0.15</v>
      </c>
      <c r="J3745" s="1">
        <v>29790.799999999999</v>
      </c>
      <c r="K3745" s="1">
        <v>2516.16</v>
      </c>
      <c r="L3745" s="1" t="s">
        <v>23</v>
      </c>
      <c r="M3745" s="1" t="str">
        <f>TEXT(Table1[[#This Row],[Order Date]],"mmm")</f>
        <v>Jan</v>
      </c>
      <c r="N3745" s="1">
        <f>YEAR(Table1[[#This Row],[Order Date]])</f>
        <v>2024</v>
      </c>
    </row>
    <row r="3746" spans="1:14" x14ac:dyDescent="0.35">
      <c r="A3746" s="1" t="s">
        <v>4541</v>
      </c>
      <c r="B3746" s="1" t="s">
        <v>937</v>
      </c>
      <c r="C3746" s="1" t="s">
        <v>158</v>
      </c>
      <c r="D3746" s="1" t="s">
        <v>293</v>
      </c>
      <c r="E3746" s="1" t="s">
        <v>33</v>
      </c>
      <c r="F3746" s="1" t="s">
        <v>293</v>
      </c>
      <c r="G3746" s="1">
        <v>12</v>
      </c>
      <c r="H3746" s="1">
        <v>1629</v>
      </c>
      <c r="I3746" s="1">
        <v>0.05</v>
      </c>
      <c r="J3746" s="1">
        <v>18570.599999999999</v>
      </c>
      <c r="K3746" s="1">
        <v>4211.42</v>
      </c>
      <c r="L3746" s="1" t="s">
        <v>45</v>
      </c>
      <c r="M3746" s="1" t="str">
        <f>TEXT(Table1[[#This Row],[Order Date]],"mmm")</f>
        <v>Oct</v>
      </c>
      <c r="N3746" s="1">
        <f>YEAR(Table1[[#This Row],[Order Date]])</f>
        <v>2023</v>
      </c>
    </row>
    <row r="3747" spans="1:14" x14ac:dyDescent="0.35">
      <c r="A3747" s="1" t="s">
        <v>4542</v>
      </c>
      <c r="B3747" s="1" t="s">
        <v>1356</v>
      </c>
      <c r="C3747" s="1" t="s">
        <v>370</v>
      </c>
      <c r="D3747" s="1" t="s">
        <v>167</v>
      </c>
      <c r="E3747" s="1" t="s">
        <v>16</v>
      </c>
      <c r="F3747" s="1" t="s">
        <v>167</v>
      </c>
      <c r="G3747" s="1">
        <v>6</v>
      </c>
      <c r="H3747" s="1">
        <v>22463</v>
      </c>
      <c r="I3747" s="1">
        <v>0.05</v>
      </c>
      <c r="J3747" s="1">
        <v>128039.1</v>
      </c>
      <c r="K3747" s="1">
        <v>33171.040000000001</v>
      </c>
      <c r="L3747" s="1" t="s">
        <v>45</v>
      </c>
      <c r="M3747" s="1" t="str">
        <f>TEXT(Table1[[#This Row],[Order Date]],"mmm")</f>
        <v>Jun</v>
      </c>
      <c r="N3747" s="1">
        <f>YEAR(Table1[[#This Row],[Order Date]])</f>
        <v>2023</v>
      </c>
    </row>
    <row r="3748" spans="1:14" x14ac:dyDescent="0.35">
      <c r="A3748" s="1" t="s">
        <v>4543</v>
      </c>
      <c r="B3748" s="1" t="s">
        <v>2340</v>
      </c>
      <c r="C3748" s="1" t="s">
        <v>63</v>
      </c>
      <c r="D3748" s="1" t="s">
        <v>95</v>
      </c>
      <c r="E3748" s="1" t="s">
        <v>33</v>
      </c>
      <c r="F3748" s="1" t="s">
        <v>95</v>
      </c>
      <c r="G3748" s="1">
        <v>7</v>
      </c>
      <c r="H3748" s="1">
        <v>28299</v>
      </c>
      <c r="I3748" s="1">
        <v>0.15</v>
      </c>
      <c r="J3748" s="1">
        <v>168379.05</v>
      </c>
      <c r="K3748" s="1">
        <v>37098.379999999997</v>
      </c>
      <c r="L3748" s="1" t="s">
        <v>23</v>
      </c>
      <c r="M3748" s="1" t="str">
        <f>TEXT(Table1[[#This Row],[Order Date]],"mmm")</f>
        <v>Sep</v>
      </c>
      <c r="N3748" s="1">
        <f>YEAR(Table1[[#This Row],[Order Date]])</f>
        <v>2023</v>
      </c>
    </row>
    <row r="3749" spans="1:14" x14ac:dyDescent="0.35">
      <c r="A3749" s="1" t="s">
        <v>4544</v>
      </c>
      <c r="B3749" s="1" t="s">
        <v>1232</v>
      </c>
      <c r="C3749" s="1" t="s">
        <v>55</v>
      </c>
      <c r="D3749" s="1" t="s">
        <v>224</v>
      </c>
      <c r="E3749" s="1" t="s">
        <v>33</v>
      </c>
      <c r="F3749" s="1" t="s">
        <v>224</v>
      </c>
      <c r="G3749" s="1">
        <v>5</v>
      </c>
      <c r="H3749" s="1">
        <v>57504</v>
      </c>
      <c r="I3749" s="1">
        <v>0</v>
      </c>
      <c r="J3749" s="1">
        <v>287520</v>
      </c>
      <c r="K3749" s="1">
        <v>37669.550000000003</v>
      </c>
      <c r="L3749" s="1" t="s">
        <v>23</v>
      </c>
      <c r="M3749" s="1" t="str">
        <f>TEXT(Table1[[#This Row],[Order Date]],"mmm")</f>
        <v>Sep</v>
      </c>
      <c r="N3749" s="1">
        <f>YEAR(Table1[[#This Row],[Order Date]])</f>
        <v>2023</v>
      </c>
    </row>
    <row r="3750" spans="1:14" x14ac:dyDescent="0.35">
      <c r="A3750" s="1" t="s">
        <v>4545</v>
      </c>
      <c r="B3750" s="1" t="s">
        <v>1238</v>
      </c>
      <c r="C3750" s="1" t="s">
        <v>507</v>
      </c>
      <c r="D3750" s="1" t="s">
        <v>85</v>
      </c>
      <c r="E3750" s="1" t="s">
        <v>28</v>
      </c>
      <c r="F3750" s="1" t="s">
        <v>85</v>
      </c>
      <c r="G3750" s="1">
        <v>3</v>
      </c>
      <c r="H3750" s="1">
        <v>32303</v>
      </c>
      <c r="I3750" s="1">
        <v>0.1</v>
      </c>
      <c r="J3750" s="1">
        <v>87218.1</v>
      </c>
      <c r="K3750" s="1">
        <v>25854.5</v>
      </c>
      <c r="L3750" s="1" t="s">
        <v>17</v>
      </c>
      <c r="M3750" s="1" t="str">
        <f>TEXT(Table1[[#This Row],[Order Date]],"mmm")</f>
        <v>Dec</v>
      </c>
      <c r="N3750" s="1">
        <f>YEAR(Table1[[#This Row],[Order Date]])</f>
        <v>2023</v>
      </c>
    </row>
    <row r="3751" spans="1:14" x14ac:dyDescent="0.35">
      <c r="A3751" s="1" t="s">
        <v>4546</v>
      </c>
      <c r="B3751" s="1" t="s">
        <v>1220</v>
      </c>
      <c r="C3751" s="1" t="s">
        <v>370</v>
      </c>
      <c r="D3751" s="1" t="s">
        <v>85</v>
      </c>
      <c r="E3751" s="1" t="s">
        <v>28</v>
      </c>
      <c r="F3751" s="1" t="s">
        <v>85</v>
      </c>
      <c r="G3751" s="1">
        <v>12</v>
      </c>
      <c r="H3751" s="1">
        <v>16358</v>
      </c>
      <c r="I3751" s="1">
        <v>0</v>
      </c>
      <c r="J3751" s="1">
        <v>196296</v>
      </c>
      <c r="K3751" s="1">
        <v>40381.949999999997</v>
      </c>
      <c r="L3751" s="1" t="s">
        <v>23</v>
      </c>
      <c r="M3751" s="1" t="str">
        <f>TEXT(Table1[[#This Row],[Order Date]],"mmm")</f>
        <v>Oct</v>
      </c>
      <c r="N3751" s="1">
        <f>YEAR(Table1[[#This Row],[Order Date]])</f>
        <v>2024</v>
      </c>
    </row>
    <row r="3752" spans="1:14" x14ac:dyDescent="0.35">
      <c r="A3752" s="1" t="s">
        <v>4547</v>
      </c>
      <c r="B3752" s="1" t="s">
        <v>455</v>
      </c>
      <c r="C3752" s="1" t="s">
        <v>59</v>
      </c>
      <c r="D3752" s="1" t="s">
        <v>78</v>
      </c>
      <c r="E3752" s="1" t="s">
        <v>28</v>
      </c>
      <c r="F3752" s="1" t="s">
        <v>78</v>
      </c>
      <c r="G3752" s="1">
        <v>3</v>
      </c>
      <c r="H3752" s="1">
        <v>27826</v>
      </c>
      <c r="I3752" s="1">
        <v>0.2</v>
      </c>
      <c r="J3752" s="1">
        <v>66782.399999999994</v>
      </c>
      <c r="K3752" s="1">
        <v>10509.12</v>
      </c>
      <c r="L3752" s="1" t="s">
        <v>45</v>
      </c>
      <c r="M3752" s="1" t="str">
        <f>TEXT(Table1[[#This Row],[Order Date]],"mmm")</f>
        <v>Mar</v>
      </c>
      <c r="N3752" s="1">
        <f>YEAR(Table1[[#This Row],[Order Date]])</f>
        <v>2024</v>
      </c>
    </row>
    <row r="3753" spans="1:14" x14ac:dyDescent="0.35">
      <c r="A3753" s="1" t="s">
        <v>4548</v>
      </c>
      <c r="B3753" s="1" t="s">
        <v>792</v>
      </c>
      <c r="C3753" s="1" t="s">
        <v>191</v>
      </c>
      <c r="D3753" s="1" t="s">
        <v>95</v>
      </c>
      <c r="E3753" s="1" t="s">
        <v>33</v>
      </c>
      <c r="F3753" s="1" t="s">
        <v>95</v>
      </c>
      <c r="G3753" s="1">
        <v>11</v>
      </c>
      <c r="H3753" s="1">
        <v>43945</v>
      </c>
      <c r="I3753" s="1">
        <v>0.2</v>
      </c>
      <c r="J3753" s="1">
        <v>386716</v>
      </c>
      <c r="K3753" s="1">
        <v>47981.73</v>
      </c>
      <c r="L3753" s="1" t="s">
        <v>70</v>
      </c>
      <c r="M3753" s="1" t="str">
        <f>TEXT(Table1[[#This Row],[Order Date]],"mmm")</f>
        <v>Aug</v>
      </c>
      <c r="N3753" s="1">
        <f>YEAR(Table1[[#This Row],[Order Date]])</f>
        <v>2023</v>
      </c>
    </row>
    <row r="3754" spans="1:14" x14ac:dyDescent="0.35">
      <c r="A3754" s="1" t="s">
        <v>4549</v>
      </c>
      <c r="B3754" s="1" t="s">
        <v>1418</v>
      </c>
      <c r="C3754" s="1" t="s">
        <v>88</v>
      </c>
      <c r="D3754" s="1" t="s">
        <v>95</v>
      </c>
      <c r="E3754" s="1" t="s">
        <v>33</v>
      </c>
      <c r="F3754" s="1" t="s">
        <v>95</v>
      </c>
      <c r="G3754" s="1">
        <v>8</v>
      </c>
      <c r="H3754" s="1">
        <v>56677</v>
      </c>
      <c r="I3754" s="1">
        <v>0.1</v>
      </c>
      <c r="J3754" s="1">
        <v>408074.4</v>
      </c>
      <c r="K3754" s="1">
        <v>81174.81</v>
      </c>
      <c r="L3754" s="1" t="s">
        <v>45</v>
      </c>
      <c r="M3754" s="1" t="str">
        <f>TEXT(Table1[[#This Row],[Order Date]],"mmm")</f>
        <v>Nov</v>
      </c>
      <c r="N3754" s="1">
        <f>YEAR(Table1[[#This Row],[Order Date]])</f>
        <v>2024</v>
      </c>
    </row>
    <row r="3755" spans="1:14" x14ac:dyDescent="0.35">
      <c r="A3755" s="1" t="s">
        <v>4550</v>
      </c>
      <c r="B3755" s="1" t="s">
        <v>2254</v>
      </c>
      <c r="C3755" s="1" t="s">
        <v>146</v>
      </c>
      <c r="D3755" s="1" t="s">
        <v>60</v>
      </c>
      <c r="E3755" s="1" t="s">
        <v>33</v>
      </c>
      <c r="F3755" s="1" t="s">
        <v>60</v>
      </c>
      <c r="G3755" s="1">
        <v>14</v>
      </c>
      <c r="H3755" s="1">
        <v>17700</v>
      </c>
      <c r="I3755" s="1">
        <v>0.05</v>
      </c>
      <c r="J3755" s="1">
        <v>235410</v>
      </c>
      <c r="K3755" s="1">
        <v>70219.58</v>
      </c>
      <c r="L3755" s="1" t="s">
        <v>70</v>
      </c>
      <c r="M3755" s="1" t="str">
        <f>TEXT(Table1[[#This Row],[Order Date]],"mmm")</f>
        <v>May</v>
      </c>
      <c r="N3755" s="1">
        <f>YEAR(Table1[[#This Row],[Order Date]])</f>
        <v>2024</v>
      </c>
    </row>
    <row r="3756" spans="1:14" x14ac:dyDescent="0.35">
      <c r="A3756" s="1" t="s">
        <v>4551</v>
      </c>
      <c r="B3756" s="1" t="s">
        <v>1010</v>
      </c>
      <c r="C3756" s="1" t="s">
        <v>349</v>
      </c>
      <c r="D3756" s="1" t="s">
        <v>114</v>
      </c>
      <c r="E3756" s="1" t="s">
        <v>16</v>
      </c>
      <c r="F3756" s="1" t="s">
        <v>114</v>
      </c>
      <c r="G3756" s="1">
        <v>1</v>
      </c>
      <c r="H3756" s="1">
        <v>19255</v>
      </c>
      <c r="I3756" s="1">
        <v>0</v>
      </c>
      <c r="J3756" s="1">
        <v>19255</v>
      </c>
      <c r="K3756" s="1">
        <v>2276.86</v>
      </c>
      <c r="L3756" s="1" t="s">
        <v>17</v>
      </c>
      <c r="M3756" s="1" t="str">
        <f>TEXT(Table1[[#This Row],[Order Date]],"mmm")</f>
        <v>May</v>
      </c>
      <c r="N3756" s="1">
        <f>YEAR(Table1[[#This Row],[Order Date]])</f>
        <v>2024</v>
      </c>
    </row>
    <row r="3757" spans="1:14" x14ac:dyDescent="0.35">
      <c r="A3757" s="1" t="s">
        <v>4552</v>
      </c>
      <c r="B3757" s="1" t="s">
        <v>276</v>
      </c>
      <c r="C3757" s="1" t="s">
        <v>255</v>
      </c>
      <c r="D3757" s="1" t="s">
        <v>179</v>
      </c>
      <c r="E3757" s="1" t="s">
        <v>28</v>
      </c>
      <c r="F3757" s="1" t="s">
        <v>179</v>
      </c>
      <c r="G3757" s="1">
        <v>1</v>
      </c>
      <c r="H3757" s="1">
        <v>33369</v>
      </c>
      <c r="I3757" s="1">
        <v>0</v>
      </c>
      <c r="J3757" s="1">
        <v>33369</v>
      </c>
      <c r="K3757" s="1">
        <v>5358.86</v>
      </c>
      <c r="L3757" s="1" t="s">
        <v>23</v>
      </c>
      <c r="M3757" s="1" t="str">
        <f>TEXT(Table1[[#This Row],[Order Date]],"mmm")</f>
        <v>Apr</v>
      </c>
      <c r="N3757" s="1">
        <f>YEAR(Table1[[#This Row],[Order Date]])</f>
        <v>2024</v>
      </c>
    </row>
    <row r="3758" spans="1:14" x14ac:dyDescent="0.35">
      <c r="A3758" s="1" t="s">
        <v>4553</v>
      </c>
      <c r="B3758" s="1" t="s">
        <v>1823</v>
      </c>
      <c r="C3758" s="1" t="s">
        <v>188</v>
      </c>
      <c r="D3758" s="1" t="s">
        <v>60</v>
      </c>
      <c r="E3758" s="1" t="s">
        <v>33</v>
      </c>
      <c r="F3758" s="1" t="s">
        <v>60</v>
      </c>
      <c r="G3758" s="1">
        <v>14</v>
      </c>
      <c r="H3758" s="1">
        <v>56558</v>
      </c>
      <c r="I3758" s="1">
        <v>0.1</v>
      </c>
      <c r="J3758" s="1">
        <v>712630.8</v>
      </c>
      <c r="K3758" s="1">
        <v>92761.99</v>
      </c>
      <c r="L3758" s="1" t="s">
        <v>23</v>
      </c>
      <c r="M3758" s="1" t="str">
        <f>TEXT(Table1[[#This Row],[Order Date]],"mmm")</f>
        <v>Feb</v>
      </c>
      <c r="N3758" s="1">
        <f>YEAR(Table1[[#This Row],[Order Date]])</f>
        <v>2023</v>
      </c>
    </row>
    <row r="3759" spans="1:14" x14ac:dyDescent="0.35">
      <c r="A3759" s="1" t="s">
        <v>4554</v>
      </c>
      <c r="B3759" s="1" t="s">
        <v>996</v>
      </c>
      <c r="C3759" s="1" t="s">
        <v>170</v>
      </c>
      <c r="D3759" s="1" t="s">
        <v>179</v>
      </c>
      <c r="E3759" s="1" t="s">
        <v>28</v>
      </c>
      <c r="F3759" s="1" t="s">
        <v>179</v>
      </c>
      <c r="G3759" s="1">
        <v>12</v>
      </c>
      <c r="H3759" s="1">
        <v>23913</v>
      </c>
      <c r="I3759" s="1">
        <v>0.1</v>
      </c>
      <c r="J3759" s="1">
        <v>258260.4</v>
      </c>
      <c r="K3759" s="1">
        <v>36281.22</v>
      </c>
      <c r="L3759" s="1" t="s">
        <v>17</v>
      </c>
      <c r="M3759" s="1" t="str">
        <f>TEXT(Table1[[#This Row],[Order Date]],"mmm")</f>
        <v>Feb</v>
      </c>
      <c r="N3759" s="1">
        <f>YEAR(Table1[[#This Row],[Order Date]])</f>
        <v>2024</v>
      </c>
    </row>
    <row r="3760" spans="1:14" x14ac:dyDescent="0.35">
      <c r="A3760" s="1" t="s">
        <v>4555</v>
      </c>
      <c r="B3760" s="1" t="s">
        <v>1478</v>
      </c>
      <c r="C3760" s="1" t="s">
        <v>94</v>
      </c>
      <c r="D3760" s="1" t="s">
        <v>52</v>
      </c>
      <c r="E3760" s="1" t="s">
        <v>28</v>
      </c>
      <c r="F3760" s="1" t="s">
        <v>52</v>
      </c>
      <c r="G3760" s="1">
        <v>13</v>
      </c>
      <c r="H3760" s="1">
        <v>31710</v>
      </c>
      <c r="I3760" s="1">
        <v>0.2</v>
      </c>
      <c r="J3760" s="1">
        <v>329784</v>
      </c>
      <c r="K3760" s="1">
        <v>28352.65</v>
      </c>
      <c r="L3760" s="1" t="s">
        <v>45</v>
      </c>
      <c r="M3760" s="1" t="str">
        <f>TEXT(Table1[[#This Row],[Order Date]],"mmm")</f>
        <v>Jan</v>
      </c>
      <c r="N3760" s="1">
        <f>YEAR(Table1[[#This Row],[Order Date]])</f>
        <v>2024</v>
      </c>
    </row>
    <row r="3761" spans="1:14" x14ac:dyDescent="0.35">
      <c r="A3761" s="1" t="s">
        <v>4556</v>
      </c>
      <c r="B3761" s="1" t="s">
        <v>280</v>
      </c>
      <c r="C3761" s="1" t="s">
        <v>26</v>
      </c>
      <c r="D3761" s="1" t="s">
        <v>44</v>
      </c>
      <c r="E3761" s="1" t="s">
        <v>28</v>
      </c>
      <c r="F3761" s="1" t="s">
        <v>44</v>
      </c>
      <c r="G3761" s="1">
        <v>10</v>
      </c>
      <c r="H3761" s="1">
        <v>4015</v>
      </c>
      <c r="I3761" s="1">
        <v>0.2</v>
      </c>
      <c r="J3761" s="1">
        <v>32120</v>
      </c>
      <c r="K3761" s="1">
        <v>3950.44</v>
      </c>
      <c r="L3761" s="1" t="s">
        <v>23</v>
      </c>
      <c r="M3761" s="1" t="str">
        <f>TEXT(Table1[[#This Row],[Order Date]],"mmm")</f>
        <v>Oct</v>
      </c>
      <c r="N3761" s="1">
        <f>YEAR(Table1[[#This Row],[Order Date]])</f>
        <v>2024</v>
      </c>
    </row>
    <row r="3762" spans="1:14" x14ac:dyDescent="0.35">
      <c r="A3762" s="1" t="s">
        <v>4557</v>
      </c>
      <c r="B3762" s="1" t="s">
        <v>1171</v>
      </c>
      <c r="C3762" s="1" t="s">
        <v>111</v>
      </c>
      <c r="D3762" s="1" t="s">
        <v>293</v>
      </c>
      <c r="E3762" s="1" t="s">
        <v>33</v>
      </c>
      <c r="F3762" s="1" t="s">
        <v>293</v>
      </c>
      <c r="G3762" s="1">
        <v>9</v>
      </c>
      <c r="H3762" s="1">
        <v>22550</v>
      </c>
      <c r="I3762" s="1">
        <v>0</v>
      </c>
      <c r="J3762" s="1">
        <v>202950</v>
      </c>
      <c r="K3762" s="1">
        <v>19112.900000000001</v>
      </c>
      <c r="L3762" s="1" t="s">
        <v>70</v>
      </c>
      <c r="M3762" s="1" t="str">
        <f>TEXT(Table1[[#This Row],[Order Date]],"mmm")</f>
        <v>Aug</v>
      </c>
      <c r="N3762" s="1">
        <f>YEAR(Table1[[#This Row],[Order Date]])</f>
        <v>2024</v>
      </c>
    </row>
    <row r="3763" spans="1:14" x14ac:dyDescent="0.35">
      <c r="A3763" s="1" t="s">
        <v>4558</v>
      </c>
      <c r="B3763" s="1" t="s">
        <v>481</v>
      </c>
      <c r="C3763" s="1" t="s">
        <v>101</v>
      </c>
      <c r="D3763" s="1" t="s">
        <v>27</v>
      </c>
      <c r="E3763" s="1" t="s">
        <v>28</v>
      </c>
      <c r="F3763" s="1" t="s">
        <v>27</v>
      </c>
      <c r="G3763" s="1">
        <v>15</v>
      </c>
      <c r="H3763" s="1">
        <v>55632</v>
      </c>
      <c r="I3763" s="1">
        <v>0.1</v>
      </c>
      <c r="J3763" s="1">
        <v>751032</v>
      </c>
      <c r="K3763" s="1">
        <v>183625.24</v>
      </c>
      <c r="L3763" s="1" t="s">
        <v>17</v>
      </c>
      <c r="M3763" s="1" t="str">
        <f>TEXT(Table1[[#This Row],[Order Date]],"mmm")</f>
        <v>Oct</v>
      </c>
      <c r="N3763" s="1">
        <f>YEAR(Table1[[#This Row],[Order Date]])</f>
        <v>2024</v>
      </c>
    </row>
    <row r="3764" spans="1:14" x14ac:dyDescent="0.35">
      <c r="A3764" s="1" t="s">
        <v>4559</v>
      </c>
      <c r="B3764" s="1" t="s">
        <v>1383</v>
      </c>
      <c r="C3764" s="1" t="s">
        <v>111</v>
      </c>
      <c r="D3764" s="1" t="s">
        <v>27</v>
      </c>
      <c r="E3764" s="1" t="s">
        <v>28</v>
      </c>
      <c r="F3764" s="1" t="s">
        <v>27</v>
      </c>
      <c r="G3764" s="1">
        <v>5</v>
      </c>
      <c r="H3764" s="1">
        <v>25749</v>
      </c>
      <c r="I3764" s="1">
        <v>0.05</v>
      </c>
      <c r="J3764" s="1">
        <v>122307.75</v>
      </c>
      <c r="K3764" s="1">
        <v>35243.33</v>
      </c>
      <c r="L3764" s="1" t="s">
        <v>45</v>
      </c>
      <c r="M3764" s="1" t="str">
        <f>TEXT(Table1[[#This Row],[Order Date]],"mmm")</f>
        <v>Apr</v>
      </c>
      <c r="N3764" s="1">
        <f>YEAR(Table1[[#This Row],[Order Date]])</f>
        <v>2024</v>
      </c>
    </row>
    <row r="3765" spans="1:14" x14ac:dyDescent="0.35">
      <c r="A3765" s="1" t="s">
        <v>4560</v>
      </c>
      <c r="B3765" s="1" t="s">
        <v>530</v>
      </c>
      <c r="C3765" s="1" t="s">
        <v>31</v>
      </c>
      <c r="D3765" s="1" t="s">
        <v>64</v>
      </c>
      <c r="E3765" s="1" t="s">
        <v>33</v>
      </c>
      <c r="F3765" s="1" t="s">
        <v>64</v>
      </c>
      <c r="G3765" s="1">
        <v>3</v>
      </c>
      <c r="H3765" s="1">
        <v>23848</v>
      </c>
      <c r="I3765" s="1">
        <v>0.15</v>
      </c>
      <c r="J3765" s="1">
        <v>60812.4</v>
      </c>
      <c r="K3765" s="1">
        <v>11732.04</v>
      </c>
      <c r="L3765" s="1" t="s">
        <v>17</v>
      </c>
      <c r="M3765" s="1" t="str">
        <f>TEXT(Table1[[#This Row],[Order Date]],"mmm")</f>
        <v>Jul</v>
      </c>
      <c r="N3765" s="1">
        <f>YEAR(Table1[[#This Row],[Order Date]])</f>
        <v>2024</v>
      </c>
    </row>
    <row r="3766" spans="1:14" x14ac:dyDescent="0.35">
      <c r="A3766" s="1" t="s">
        <v>4561</v>
      </c>
      <c r="B3766" s="1" t="s">
        <v>766</v>
      </c>
      <c r="C3766" s="1" t="s">
        <v>178</v>
      </c>
      <c r="D3766" s="1" t="s">
        <v>44</v>
      </c>
      <c r="E3766" s="1" t="s">
        <v>28</v>
      </c>
      <c r="F3766" s="1" t="s">
        <v>44</v>
      </c>
      <c r="G3766" s="1">
        <v>15</v>
      </c>
      <c r="H3766" s="1">
        <v>18735</v>
      </c>
      <c r="I3766" s="1">
        <v>0.2</v>
      </c>
      <c r="J3766" s="1">
        <v>224820</v>
      </c>
      <c r="K3766" s="1">
        <v>23379.71</v>
      </c>
      <c r="L3766" s="1" t="s">
        <v>45</v>
      </c>
      <c r="M3766" s="1" t="str">
        <f>TEXT(Table1[[#This Row],[Order Date]],"mmm")</f>
        <v>Feb</v>
      </c>
      <c r="N3766" s="1">
        <f>YEAR(Table1[[#This Row],[Order Date]])</f>
        <v>2023</v>
      </c>
    </row>
    <row r="3767" spans="1:14" x14ac:dyDescent="0.35">
      <c r="A3767" s="1" t="s">
        <v>4562</v>
      </c>
      <c r="B3767" s="1" t="s">
        <v>2002</v>
      </c>
      <c r="C3767" s="1" t="s">
        <v>507</v>
      </c>
      <c r="D3767" s="1" t="s">
        <v>85</v>
      </c>
      <c r="E3767" s="1" t="s">
        <v>28</v>
      </c>
      <c r="F3767" s="1" t="s">
        <v>85</v>
      </c>
      <c r="G3767" s="1">
        <v>1</v>
      </c>
      <c r="H3767" s="1">
        <v>49390</v>
      </c>
      <c r="I3767" s="1">
        <v>0.2</v>
      </c>
      <c r="J3767" s="1">
        <v>39512</v>
      </c>
      <c r="K3767" s="1">
        <v>9751.6</v>
      </c>
      <c r="L3767" s="1" t="s">
        <v>23</v>
      </c>
      <c r="M3767" s="1" t="str">
        <f>TEXT(Table1[[#This Row],[Order Date]],"mmm")</f>
        <v>Apr</v>
      </c>
      <c r="N3767" s="1">
        <f>YEAR(Table1[[#This Row],[Order Date]])</f>
        <v>2024</v>
      </c>
    </row>
    <row r="3768" spans="1:14" x14ac:dyDescent="0.35">
      <c r="A3768" s="1" t="s">
        <v>4563</v>
      </c>
      <c r="B3768" s="1" t="s">
        <v>2719</v>
      </c>
      <c r="C3768" s="1" t="s">
        <v>101</v>
      </c>
      <c r="D3768" s="1" t="s">
        <v>85</v>
      </c>
      <c r="E3768" s="1" t="s">
        <v>28</v>
      </c>
      <c r="F3768" s="1" t="s">
        <v>85</v>
      </c>
      <c r="G3768" s="1">
        <v>9</v>
      </c>
      <c r="H3768" s="1">
        <v>29282</v>
      </c>
      <c r="I3768" s="1">
        <v>0.1</v>
      </c>
      <c r="J3768" s="1">
        <v>237184.2</v>
      </c>
      <c r="K3768" s="1">
        <v>68759.13</v>
      </c>
      <c r="L3768" s="1" t="s">
        <v>23</v>
      </c>
      <c r="M3768" s="1" t="str">
        <f>TEXT(Table1[[#This Row],[Order Date]],"mmm")</f>
        <v>Apr</v>
      </c>
      <c r="N3768" s="1">
        <f>YEAR(Table1[[#This Row],[Order Date]])</f>
        <v>2023</v>
      </c>
    </row>
    <row r="3769" spans="1:14" x14ac:dyDescent="0.35">
      <c r="A3769" s="1" t="s">
        <v>4564</v>
      </c>
      <c r="B3769" s="1" t="s">
        <v>193</v>
      </c>
      <c r="C3769" s="1" t="s">
        <v>255</v>
      </c>
      <c r="D3769" s="1" t="s">
        <v>60</v>
      </c>
      <c r="E3769" s="1" t="s">
        <v>33</v>
      </c>
      <c r="F3769" s="1" t="s">
        <v>60</v>
      </c>
      <c r="G3769" s="1">
        <v>8</v>
      </c>
      <c r="H3769" s="1">
        <v>34607</v>
      </c>
      <c r="I3769" s="1">
        <v>0.2</v>
      </c>
      <c r="J3769" s="1">
        <v>221484.79999999999</v>
      </c>
      <c r="K3769" s="1">
        <v>41905.11</v>
      </c>
      <c r="L3769" s="1" t="s">
        <v>45</v>
      </c>
      <c r="M3769" s="1" t="str">
        <f>TEXT(Table1[[#This Row],[Order Date]],"mmm")</f>
        <v>Jun</v>
      </c>
      <c r="N3769" s="1">
        <f>YEAR(Table1[[#This Row],[Order Date]])</f>
        <v>2023</v>
      </c>
    </row>
    <row r="3770" spans="1:14" x14ac:dyDescent="0.35">
      <c r="A3770" s="1" t="s">
        <v>4565</v>
      </c>
      <c r="B3770" s="1" t="s">
        <v>322</v>
      </c>
      <c r="C3770" s="1" t="s">
        <v>51</v>
      </c>
      <c r="D3770" s="1" t="s">
        <v>179</v>
      </c>
      <c r="E3770" s="1" t="s">
        <v>28</v>
      </c>
      <c r="F3770" s="1" t="s">
        <v>179</v>
      </c>
      <c r="G3770" s="1">
        <v>14</v>
      </c>
      <c r="H3770" s="1">
        <v>22711</v>
      </c>
      <c r="I3770" s="1">
        <v>0.2</v>
      </c>
      <c r="J3770" s="1">
        <v>254363.2</v>
      </c>
      <c r="K3770" s="1">
        <v>32351.56</v>
      </c>
      <c r="L3770" s="1" t="s">
        <v>45</v>
      </c>
      <c r="M3770" s="1" t="str">
        <f>TEXT(Table1[[#This Row],[Order Date]],"mmm")</f>
        <v>Sep</v>
      </c>
      <c r="N3770" s="1">
        <f>YEAR(Table1[[#This Row],[Order Date]])</f>
        <v>2023</v>
      </c>
    </row>
    <row r="3771" spans="1:14" x14ac:dyDescent="0.35">
      <c r="A3771" s="1" t="s">
        <v>4566</v>
      </c>
      <c r="B3771" s="1" t="s">
        <v>1735</v>
      </c>
      <c r="C3771" s="1" t="s">
        <v>640</v>
      </c>
      <c r="D3771" s="1" t="s">
        <v>224</v>
      </c>
      <c r="E3771" s="1" t="s">
        <v>33</v>
      </c>
      <c r="F3771" s="1" t="s">
        <v>224</v>
      </c>
      <c r="G3771" s="1">
        <v>3</v>
      </c>
      <c r="H3771" s="1">
        <v>13866</v>
      </c>
      <c r="I3771" s="1">
        <v>0.05</v>
      </c>
      <c r="J3771" s="1">
        <v>39518.1</v>
      </c>
      <c r="K3771" s="1">
        <v>3218.19</v>
      </c>
      <c r="L3771" s="1" t="s">
        <v>70</v>
      </c>
      <c r="M3771" s="1" t="str">
        <f>TEXT(Table1[[#This Row],[Order Date]],"mmm")</f>
        <v>Sep</v>
      </c>
      <c r="N3771" s="1">
        <f>YEAR(Table1[[#This Row],[Order Date]])</f>
        <v>2023</v>
      </c>
    </row>
    <row r="3772" spans="1:14" x14ac:dyDescent="0.35">
      <c r="A3772" s="1" t="s">
        <v>4567</v>
      </c>
      <c r="B3772" s="1" t="s">
        <v>1113</v>
      </c>
      <c r="C3772" s="1" t="s">
        <v>349</v>
      </c>
      <c r="D3772" s="1" t="s">
        <v>85</v>
      </c>
      <c r="E3772" s="1" t="s">
        <v>28</v>
      </c>
      <c r="F3772" s="1" t="s">
        <v>85</v>
      </c>
      <c r="G3772" s="1">
        <v>5</v>
      </c>
      <c r="H3772" s="1">
        <v>2617</v>
      </c>
      <c r="I3772" s="1">
        <v>0.1</v>
      </c>
      <c r="J3772" s="1">
        <v>11776.5</v>
      </c>
      <c r="K3772" s="1">
        <v>1693.23</v>
      </c>
      <c r="L3772" s="1" t="s">
        <v>70</v>
      </c>
      <c r="M3772" s="1" t="str">
        <f>TEXT(Table1[[#This Row],[Order Date]],"mmm")</f>
        <v>Feb</v>
      </c>
      <c r="N3772" s="1">
        <f>YEAR(Table1[[#This Row],[Order Date]])</f>
        <v>2023</v>
      </c>
    </row>
    <row r="3773" spans="1:14" x14ac:dyDescent="0.35">
      <c r="A3773" s="1" t="s">
        <v>4568</v>
      </c>
      <c r="B3773" s="1" t="s">
        <v>2178</v>
      </c>
      <c r="C3773" s="1" t="s">
        <v>208</v>
      </c>
      <c r="D3773" s="1" t="s">
        <v>56</v>
      </c>
      <c r="E3773" s="1" t="s">
        <v>22</v>
      </c>
      <c r="F3773" s="1" t="s">
        <v>56</v>
      </c>
      <c r="G3773" s="1">
        <v>11</v>
      </c>
      <c r="H3773" s="1">
        <v>20479</v>
      </c>
      <c r="I3773" s="1">
        <v>0.1</v>
      </c>
      <c r="J3773" s="1">
        <v>202742.1</v>
      </c>
      <c r="K3773" s="1">
        <v>50158.73</v>
      </c>
      <c r="L3773" s="1" t="s">
        <v>70</v>
      </c>
      <c r="M3773" s="1" t="str">
        <f>TEXT(Table1[[#This Row],[Order Date]],"mmm")</f>
        <v>Jul</v>
      </c>
      <c r="N3773" s="1">
        <f>YEAR(Table1[[#This Row],[Order Date]])</f>
        <v>2023</v>
      </c>
    </row>
    <row r="3774" spans="1:14" x14ac:dyDescent="0.35">
      <c r="A3774" s="1" t="s">
        <v>4569</v>
      </c>
      <c r="B3774" s="1" t="s">
        <v>329</v>
      </c>
      <c r="C3774" s="1" t="s">
        <v>77</v>
      </c>
      <c r="D3774" s="1" t="s">
        <v>141</v>
      </c>
      <c r="E3774" s="1" t="s">
        <v>22</v>
      </c>
      <c r="F3774" s="1" t="s">
        <v>141</v>
      </c>
      <c r="G3774" s="1">
        <v>4</v>
      </c>
      <c r="H3774" s="1">
        <v>13690</v>
      </c>
      <c r="I3774" s="1">
        <v>0.2</v>
      </c>
      <c r="J3774" s="1">
        <v>43808</v>
      </c>
      <c r="K3774" s="1">
        <v>6840.29</v>
      </c>
      <c r="L3774" s="1" t="s">
        <v>17</v>
      </c>
      <c r="M3774" s="1" t="str">
        <f>TEXT(Table1[[#This Row],[Order Date]],"mmm")</f>
        <v>Aug</v>
      </c>
      <c r="N3774" s="1">
        <f>YEAR(Table1[[#This Row],[Order Date]])</f>
        <v>2024</v>
      </c>
    </row>
    <row r="3775" spans="1:14" x14ac:dyDescent="0.35">
      <c r="A3775" s="1" t="s">
        <v>4570</v>
      </c>
      <c r="B3775" s="1" t="s">
        <v>449</v>
      </c>
      <c r="C3775" s="1" t="s">
        <v>73</v>
      </c>
      <c r="D3775" s="1" t="s">
        <v>108</v>
      </c>
      <c r="E3775" s="1" t="s">
        <v>22</v>
      </c>
      <c r="F3775" s="1" t="s">
        <v>108</v>
      </c>
      <c r="G3775" s="1">
        <v>8</v>
      </c>
      <c r="H3775" s="1">
        <v>39165</v>
      </c>
      <c r="I3775" s="1">
        <v>0.1</v>
      </c>
      <c r="J3775" s="1">
        <v>281988</v>
      </c>
      <c r="K3775" s="1">
        <v>46480.34</v>
      </c>
      <c r="L3775" s="1" t="s">
        <v>70</v>
      </c>
      <c r="M3775" s="1" t="str">
        <f>TEXT(Table1[[#This Row],[Order Date]],"mmm")</f>
        <v>Jan</v>
      </c>
      <c r="N3775" s="1">
        <f>YEAR(Table1[[#This Row],[Order Date]])</f>
        <v>2024</v>
      </c>
    </row>
    <row r="3776" spans="1:14" x14ac:dyDescent="0.35">
      <c r="A3776" s="1" t="s">
        <v>4571</v>
      </c>
      <c r="B3776" s="1" t="s">
        <v>1019</v>
      </c>
      <c r="C3776" s="1" t="s">
        <v>255</v>
      </c>
      <c r="D3776" s="1" t="s">
        <v>141</v>
      </c>
      <c r="E3776" s="1" t="s">
        <v>22</v>
      </c>
      <c r="F3776" s="1" t="s">
        <v>141</v>
      </c>
      <c r="G3776" s="1">
        <v>10</v>
      </c>
      <c r="H3776" s="1">
        <v>36830</v>
      </c>
      <c r="I3776" s="1">
        <v>0.15</v>
      </c>
      <c r="J3776" s="1">
        <v>313055</v>
      </c>
      <c r="K3776" s="1">
        <v>88489.279999999999</v>
      </c>
      <c r="L3776" s="1" t="s">
        <v>70</v>
      </c>
      <c r="M3776" s="1" t="str">
        <f>TEXT(Table1[[#This Row],[Order Date]],"mmm")</f>
        <v>Jun</v>
      </c>
      <c r="N3776" s="1">
        <f>YEAR(Table1[[#This Row],[Order Date]])</f>
        <v>2024</v>
      </c>
    </row>
    <row r="3777" spans="1:14" x14ac:dyDescent="0.35">
      <c r="A3777" s="1" t="s">
        <v>4572</v>
      </c>
      <c r="B3777" s="1" t="s">
        <v>861</v>
      </c>
      <c r="C3777" s="1" t="s">
        <v>335</v>
      </c>
      <c r="D3777" s="1" t="s">
        <v>15</v>
      </c>
      <c r="E3777" s="1" t="s">
        <v>16</v>
      </c>
      <c r="F3777" s="1" t="s">
        <v>15</v>
      </c>
      <c r="G3777" s="1">
        <v>5</v>
      </c>
      <c r="H3777" s="1">
        <v>39550</v>
      </c>
      <c r="I3777" s="1">
        <v>0.1</v>
      </c>
      <c r="J3777" s="1">
        <v>177975</v>
      </c>
      <c r="K3777" s="1">
        <v>47828.99</v>
      </c>
      <c r="L3777" s="1" t="s">
        <v>17</v>
      </c>
      <c r="M3777" s="1" t="str">
        <f>TEXT(Table1[[#This Row],[Order Date]],"mmm")</f>
        <v>Oct</v>
      </c>
      <c r="N3777" s="1">
        <f>YEAR(Table1[[#This Row],[Order Date]])</f>
        <v>2023</v>
      </c>
    </row>
    <row r="3778" spans="1:14" x14ac:dyDescent="0.35">
      <c r="A3778" s="1" t="s">
        <v>4573</v>
      </c>
      <c r="B3778" s="1" t="s">
        <v>174</v>
      </c>
      <c r="C3778" s="1" t="s">
        <v>40</v>
      </c>
      <c r="D3778" s="1" t="s">
        <v>48</v>
      </c>
      <c r="E3778" s="1" t="s">
        <v>16</v>
      </c>
      <c r="F3778" s="1" t="s">
        <v>48</v>
      </c>
      <c r="G3778" s="1">
        <v>12</v>
      </c>
      <c r="H3778" s="1">
        <v>49551</v>
      </c>
      <c r="I3778" s="1">
        <v>0</v>
      </c>
      <c r="J3778" s="1">
        <v>594612</v>
      </c>
      <c r="K3778" s="1">
        <v>103151.27</v>
      </c>
      <c r="L3778" s="1" t="s">
        <v>70</v>
      </c>
      <c r="M3778" s="1" t="str">
        <f>TEXT(Table1[[#This Row],[Order Date]],"mmm")</f>
        <v>Jun</v>
      </c>
      <c r="N3778" s="1">
        <f>YEAR(Table1[[#This Row],[Order Date]])</f>
        <v>2024</v>
      </c>
    </row>
    <row r="3779" spans="1:14" x14ac:dyDescent="0.35">
      <c r="A3779" s="1" t="s">
        <v>4574</v>
      </c>
      <c r="B3779" s="1" t="s">
        <v>1027</v>
      </c>
      <c r="C3779" s="1" t="s">
        <v>67</v>
      </c>
      <c r="D3779" s="1" t="s">
        <v>32</v>
      </c>
      <c r="E3779" s="1" t="s">
        <v>33</v>
      </c>
      <c r="F3779" s="1" t="s">
        <v>32</v>
      </c>
      <c r="G3779" s="1">
        <v>13</v>
      </c>
      <c r="H3779" s="1">
        <v>14759</v>
      </c>
      <c r="I3779" s="1">
        <v>0</v>
      </c>
      <c r="J3779" s="1">
        <v>191867</v>
      </c>
      <c r="K3779" s="1">
        <v>53105.919999999998</v>
      </c>
      <c r="L3779" s="1" t="s">
        <v>17</v>
      </c>
      <c r="M3779" s="1" t="str">
        <f>TEXT(Table1[[#This Row],[Order Date]],"mmm")</f>
        <v>Nov</v>
      </c>
      <c r="N3779" s="1">
        <f>YEAR(Table1[[#This Row],[Order Date]])</f>
        <v>2023</v>
      </c>
    </row>
    <row r="3780" spans="1:14" x14ac:dyDescent="0.35">
      <c r="A3780" s="1" t="s">
        <v>4575</v>
      </c>
      <c r="B3780" s="1" t="s">
        <v>969</v>
      </c>
      <c r="C3780" s="1" t="s">
        <v>332</v>
      </c>
      <c r="D3780" s="1" t="s">
        <v>179</v>
      </c>
      <c r="E3780" s="1" t="s">
        <v>28</v>
      </c>
      <c r="F3780" s="1" t="s">
        <v>179</v>
      </c>
      <c r="G3780" s="1">
        <v>14</v>
      </c>
      <c r="H3780" s="1">
        <v>5591</v>
      </c>
      <c r="I3780" s="1">
        <v>0.1</v>
      </c>
      <c r="J3780" s="1">
        <v>70446.600000000006</v>
      </c>
      <c r="K3780" s="1">
        <v>8427.98</v>
      </c>
      <c r="L3780" s="1" t="s">
        <v>45</v>
      </c>
      <c r="M3780" s="1" t="str">
        <f>TEXT(Table1[[#This Row],[Order Date]],"mmm")</f>
        <v>Aug</v>
      </c>
      <c r="N3780" s="1">
        <f>YEAR(Table1[[#This Row],[Order Date]])</f>
        <v>2024</v>
      </c>
    </row>
    <row r="3781" spans="1:14" x14ac:dyDescent="0.35">
      <c r="A3781" s="1" t="s">
        <v>4576</v>
      </c>
      <c r="B3781" s="1" t="s">
        <v>921</v>
      </c>
      <c r="C3781" s="1" t="s">
        <v>507</v>
      </c>
      <c r="D3781" s="1" t="s">
        <v>141</v>
      </c>
      <c r="E3781" s="1" t="s">
        <v>22</v>
      </c>
      <c r="F3781" s="1" t="s">
        <v>141</v>
      </c>
      <c r="G3781" s="1">
        <v>8</v>
      </c>
      <c r="H3781" s="1">
        <v>11084</v>
      </c>
      <c r="I3781" s="1">
        <v>0.2</v>
      </c>
      <c r="J3781" s="1">
        <v>70937.600000000006</v>
      </c>
      <c r="K3781" s="1">
        <v>8178.71</v>
      </c>
      <c r="L3781" s="1" t="s">
        <v>17</v>
      </c>
      <c r="M3781" s="1" t="str">
        <f>TEXT(Table1[[#This Row],[Order Date]],"mmm")</f>
        <v>Jul</v>
      </c>
      <c r="N3781" s="1">
        <f>YEAR(Table1[[#This Row],[Order Date]])</f>
        <v>2023</v>
      </c>
    </row>
    <row r="3782" spans="1:14" x14ac:dyDescent="0.35">
      <c r="A3782" s="1" t="s">
        <v>4577</v>
      </c>
      <c r="B3782" s="1" t="s">
        <v>1379</v>
      </c>
      <c r="C3782" s="1" t="s">
        <v>640</v>
      </c>
      <c r="D3782" s="1" t="s">
        <v>179</v>
      </c>
      <c r="E3782" s="1" t="s">
        <v>28</v>
      </c>
      <c r="F3782" s="1" t="s">
        <v>179</v>
      </c>
      <c r="G3782" s="1">
        <v>7</v>
      </c>
      <c r="H3782" s="1">
        <v>12285</v>
      </c>
      <c r="I3782" s="1">
        <v>0</v>
      </c>
      <c r="J3782" s="1">
        <v>85995</v>
      </c>
      <c r="K3782" s="1">
        <v>9541.3799999999992</v>
      </c>
      <c r="L3782" s="1" t="s">
        <v>45</v>
      </c>
      <c r="M3782" s="1" t="str">
        <f>TEXT(Table1[[#This Row],[Order Date]],"mmm")</f>
        <v>Mar</v>
      </c>
      <c r="N3782" s="1">
        <f>YEAR(Table1[[#This Row],[Order Date]])</f>
        <v>2023</v>
      </c>
    </row>
    <row r="3783" spans="1:14" x14ac:dyDescent="0.35">
      <c r="A3783" s="1" t="s">
        <v>4578</v>
      </c>
      <c r="B3783" s="1" t="s">
        <v>381</v>
      </c>
      <c r="C3783" s="1" t="s">
        <v>170</v>
      </c>
      <c r="D3783" s="1" t="s">
        <v>179</v>
      </c>
      <c r="E3783" s="1" t="s">
        <v>28</v>
      </c>
      <c r="F3783" s="1" t="s">
        <v>179</v>
      </c>
      <c r="G3783" s="1">
        <v>3</v>
      </c>
      <c r="H3783" s="1">
        <v>47957</v>
      </c>
      <c r="I3783" s="1">
        <v>0.1</v>
      </c>
      <c r="J3783" s="1">
        <v>129483.9</v>
      </c>
      <c r="K3783" s="1">
        <v>21138.47</v>
      </c>
      <c r="L3783" s="1" t="s">
        <v>17</v>
      </c>
      <c r="M3783" s="1" t="str">
        <f>TEXT(Table1[[#This Row],[Order Date]],"mmm")</f>
        <v>Dec</v>
      </c>
      <c r="N3783" s="1">
        <f>YEAR(Table1[[#This Row],[Order Date]])</f>
        <v>2023</v>
      </c>
    </row>
    <row r="3784" spans="1:14" x14ac:dyDescent="0.35">
      <c r="A3784" s="1" t="s">
        <v>4579</v>
      </c>
      <c r="B3784" s="1" t="s">
        <v>833</v>
      </c>
      <c r="C3784" s="1" t="s">
        <v>146</v>
      </c>
      <c r="D3784" s="1" t="s">
        <v>151</v>
      </c>
      <c r="E3784" s="1" t="s">
        <v>22</v>
      </c>
      <c r="F3784" s="1" t="s">
        <v>151</v>
      </c>
      <c r="G3784" s="1">
        <v>10</v>
      </c>
      <c r="H3784" s="1">
        <v>14839</v>
      </c>
      <c r="I3784" s="1">
        <v>0</v>
      </c>
      <c r="J3784" s="1">
        <v>148390</v>
      </c>
      <c r="K3784" s="1">
        <v>33189.68</v>
      </c>
      <c r="L3784" s="1" t="s">
        <v>23</v>
      </c>
      <c r="M3784" s="1" t="str">
        <f>TEXT(Table1[[#This Row],[Order Date]],"mmm")</f>
        <v>Apr</v>
      </c>
      <c r="N3784" s="1">
        <f>YEAR(Table1[[#This Row],[Order Date]])</f>
        <v>2023</v>
      </c>
    </row>
    <row r="3785" spans="1:14" x14ac:dyDescent="0.35">
      <c r="A3785" s="1" t="s">
        <v>4580</v>
      </c>
      <c r="B3785" s="1" t="s">
        <v>1418</v>
      </c>
      <c r="C3785" s="1" t="s">
        <v>81</v>
      </c>
      <c r="D3785" s="1" t="s">
        <v>141</v>
      </c>
      <c r="E3785" s="1" t="s">
        <v>22</v>
      </c>
      <c r="F3785" s="1" t="s">
        <v>141</v>
      </c>
      <c r="G3785" s="1">
        <v>14</v>
      </c>
      <c r="H3785" s="1">
        <v>43095</v>
      </c>
      <c r="I3785" s="1">
        <v>0</v>
      </c>
      <c r="J3785" s="1">
        <v>603330</v>
      </c>
      <c r="K3785" s="1">
        <v>146619.46</v>
      </c>
      <c r="L3785" s="1" t="s">
        <v>17</v>
      </c>
      <c r="M3785" s="1" t="str">
        <f>TEXT(Table1[[#This Row],[Order Date]],"mmm")</f>
        <v>Nov</v>
      </c>
      <c r="N3785" s="1">
        <f>YEAR(Table1[[#This Row],[Order Date]])</f>
        <v>2024</v>
      </c>
    </row>
    <row r="3786" spans="1:14" x14ac:dyDescent="0.35">
      <c r="A3786" s="1" t="s">
        <v>4581</v>
      </c>
      <c r="B3786" s="1" t="s">
        <v>1220</v>
      </c>
      <c r="C3786" s="1" t="s">
        <v>125</v>
      </c>
      <c r="D3786" s="1" t="s">
        <v>15</v>
      </c>
      <c r="E3786" s="1" t="s">
        <v>16</v>
      </c>
      <c r="F3786" s="1" t="s">
        <v>15</v>
      </c>
      <c r="G3786" s="1">
        <v>6</v>
      </c>
      <c r="H3786" s="1">
        <v>42632</v>
      </c>
      <c r="I3786" s="1">
        <v>0</v>
      </c>
      <c r="J3786" s="1">
        <v>255792</v>
      </c>
      <c r="K3786" s="1">
        <v>64026.15</v>
      </c>
      <c r="L3786" s="1" t="s">
        <v>45</v>
      </c>
      <c r="M3786" s="1" t="str">
        <f>TEXT(Table1[[#This Row],[Order Date]],"mmm")</f>
        <v>Oct</v>
      </c>
      <c r="N3786" s="1">
        <f>YEAR(Table1[[#This Row],[Order Date]])</f>
        <v>2024</v>
      </c>
    </row>
    <row r="3787" spans="1:14" x14ac:dyDescent="0.35">
      <c r="A3787" s="1" t="s">
        <v>4582</v>
      </c>
      <c r="B3787" s="1" t="s">
        <v>797</v>
      </c>
      <c r="C3787" s="1" t="s">
        <v>111</v>
      </c>
      <c r="D3787" s="1" t="s">
        <v>78</v>
      </c>
      <c r="E3787" s="1" t="s">
        <v>28</v>
      </c>
      <c r="F3787" s="1" t="s">
        <v>78</v>
      </c>
      <c r="G3787" s="1">
        <v>10</v>
      </c>
      <c r="H3787" s="1">
        <v>31997</v>
      </c>
      <c r="I3787" s="1">
        <v>0.05</v>
      </c>
      <c r="J3787" s="1">
        <v>303971.5</v>
      </c>
      <c r="K3787" s="1">
        <v>45269.05</v>
      </c>
      <c r="L3787" s="1" t="s">
        <v>70</v>
      </c>
      <c r="M3787" s="1" t="str">
        <f>TEXT(Table1[[#This Row],[Order Date]],"mmm")</f>
        <v>Nov</v>
      </c>
      <c r="N3787" s="1">
        <f>YEAR(Table1[[#This Row],[Order Date]])</f>
        <v>2023</v>
      </c>
    </row>
    <row r="3788" spans="1:14" x14ac:dyDescent="0.35">
      <c r="A3788" s="1" t="s">
        <v>4583</v>
      </c>
      <c r="B3788" s="1" t="s">
        <v>1133</v>
      </c>
      <c r="C3788" s="1" t="s">
        <v>155</v>
      </c>
      <c r="D3788" s="1" t="s">
        <v>15</v>
      </c>
      <c r="E3788" s="1" t="s">
        <v>16</v>
      </c>
      <c r="F3788" s="1" t="s">
        <v>15</v>
      </c>
      <c r="G3788" s="1">
        <v>5</v>
      </c>
      <c r="H3788" s="1">
        <v>47188</v>
      </c>
      <c r="I3788" s="1">
        <v>0.15</v>
      </c>
      <c r="J3788" s="1">
        <v>200549</v>
      </c>
      <c r="K3788" s="1">
        <v>51916.6</v>
      </c>
      <c r="L3788" s="1" t="s">
        <v>45</v>
      </c>
      <c r="M3788" s="1" t="str">
        <f>TEXT(Table1[[#This Row],[Order Date]],"mmm")</f>
        <v>Nov</v>
      </c>
      <c r="N3788" s="1">
        <f>YEAR(Table1[[#This Row],[Order Date]])</f>
        <v>2024</v>
      </c>
    </row>
    <row r="3789" spans="1:14" x14ac:dyDescent="0.35">
      <c r="A3789" s="1" t="s">
        <v>4584</v>
      </c>
      <c r="B3789" s="1" t="s">
        <v>1443</v>
      </c>
      <c r="C3789" s="1" t="s">
        <v>208</v>
      </c>
      <c r="D3789" s="1" t="s">
        <v>44</v>
      </c>
      <c r="E3789" s="1" t="s">
        <v>28</v>
      </c>
      <c r="F3789" s="1" t="s">
        <v>44</v>
      </c>
      <c r="G3789" s="1">
        <v>5</v>
      </c>
      <c r="H3789" s="1">
        <v>12155</v>
      </c>
      <c r="I3789" s="1">
        <v>0.1</v>
      </c>
      <c r="J3789" s="1">
        <v>54697.5</v>
      </c>
      <c r="K3789" s="1">
        <v>4841.34</v>
      </c>
      <c r="L3789" s="1" t="s">
        <v>17</v>
      </c>
      <c r="M3789" s="1" t="str">
        <f>TEXT(Table1[[#This Row],[Order Date]],"mmm")</f>
        <v>Aug</v>
      </c>
      <c r="N3789" s="1">
        <f>YEAR(Table1[[#This Row],[Order Date]])</f>
        <v>2023</v>
      </c>
    </row>
    <row r="3790" spans="1:14" x14ac:dyDescent="0.35">
      <c r="A3790" s="1" t="s">
        <v>4585</v>
      </c>
      <c r="B3790" s="1" t="s">
        <v>19</v>
      </c>
      <c r="C3790" s="1" t="s">
        <v>332</v>
      </c>
      <c r="D3790" s="1" t="s">
        <v>95</v>
      </c>
      <c r="E3790" s="1" t="s">
        <v>33</v>
      </c>
      <c r="F3790" s="1" t="s">
        <v>95</v>
      </c>
      <c r="G3790" s="1">
        <v>5</v>
      </c>
      <c r="H3790" s="1">
        <v>53762</v>
      </c>
      <c r="I3790" s="1">
        <v>0.1</v>
      </c>
      <c r="J3790" s="1">
        <v>241929</v>
      </c>
      <c r="K3790" s="1">
        <v>37369.85</v>
      </c>
      <c r="L3790" s="1" t="s">
        <v>70</v>
      </c>
      <c r="M3790" s="1" t="str">
        <f>TEXT(Table1[[#This Row],[Order Date]],"mmm")</f>
        <v>Jul</v>
      </c>
      <c r="N3790" s="1">
        <f>YEAR(Table1[[#This Row],[Order Date]])</f>
        <v>2023</v>
      </c>
    </row>
    <row r="3791" spans="1:14" x14ac:dyDescent="0.35">
      <c r="A3791" s="1" t="s">
        <v>4586</v>
      </c>
      <c r="B3791" s="1" t="s">
        <v>145</v>
      </c>
      <c r="C3791" s="1" t="s">
        <v>59</v>
      </c>
      <c r="D3791" s="1" t="s">
        <v>108</v>
      </c>
      <c r="E3791" s="1" t="s">
        <v>22</v>
      </c>
      <c r="F3791" s="1" t="s">
        <v>108</v>
      </c>
      <c r="G3791" s="1">
        <v>13</v>
      </c>
      <c r="H3791" s="1">
        <v>6076</v>
      </c>
      <c r="I3791" s="1">
        <v>0.1</v>
      </c>
      <c r="J3791" s="1">
        <v>71089.2</v>
      </c>
      <c r="K3791" s="1">
        <v>11942.06</v>
      </c>
      <c r="L3791" s="1" t="s">
        <v>23</v>
      </c>
      <c r="M3791" s="1" t="str">
        <f>TEXT(Table1[[#This Row],[Order Date]],"mmm")</f>
        <v>Sep</v>
      </c>
      <c r="N3791" s="1">
        <f>YEAR(Table1[[#This Row],[Order Date]])</f>
        <v>2024</v>
      </c>
    </row>
    <row r="3792" spans="1:14" x14ac:dyDescent="0.35">
      <c r="A3792" s="1" t="s">
        <v>4587</v>
      </c>
      <c r="B3792" s="1" t="s">
        <v>427</v>
      </c>
      <c r="C3792" s="1" t="s">
        <v>117</v>
      </c>
      <c r="D3792" s="1" t="s">
        <v>151</v>
      </c>
      <c r="E3792" s="1" t="s">
        <v>22</v>
      </c>
      <c r="F3792" s="1" t="s">
        <v>151</v>
      </c>
      <c r="G3792" s="1">
        <v>4</v>
      </c>
      <c r="H3792" s="1">
        <v>58773</v>
      </c>
      <c r="I3792" s="1">
        <v>0.1</v>
      </c>
      <c r="J3792" s="1">
        <v>211582.8</v>
      </c>
      <c r="K3792" s="1">
        <v>55963.66</v>
      </c>
      <c r="L3792" s="1" t="s">
        <v>45</v>
      </c>
      <c r="M3792" s="1" t="str">
        <f>TEXT(Table1[[#This Row],[Order Date]],"mmm")</f>
        <v>Jan</v>
      </c>
      <c r="N3792" s="1">
        <f>YEAR(Table1[[#This Row],[Order Date]])</f>
        <v>2023</v>
      </c>
    </row>
    <row r="3793" spans="1:14" x14ac:dyDescent="0.35">
      <c r="A3793" s="1" t="s">
        <v>4588</v>
      </c>
      <c r="B3793" s="1" t="s">
        <v>829</v>
      </c>
      <c r="C3793" s="1" t="s">
        <v>104</v>
      </c>
      <c r="D3793" s="1" t="s">
        <v>167</v>
      </c>
      <c r="E3793" s="1" t="s">
        <v>16</v>
      </c>
      <c r="F3793" s="1" t="s">
        <v>167</v>
      </c>
      <c r="G3793" s="1">
        <v>10</v>
      </c>
      <c r="H3793" s="1">
        <v>45201</v>
      </c>
      <c r="I3793" s="1">
        <v>0.05</v>
      </c>
      <c r="J3793" s="1">
        <v>429409.5</v>
      </c>
      <c r="K3793" s="1">
        <v>56459.31</v>
      </c>
      <c r="L3793" s="1" t="s">
        <v>45</v>
      </c>
      <c r="M3793" s="1" t="str">
        <f>TEXT(Table1[[#This Row],[Order Date]],"mmm")</f>
        <v>Aug</v>
      </c>
      <c r="N3793" s="1">
        <f>YEAR(Table1[[#This Row],[Order Date]])</f>
        <v>2024</v>
      </c>
    </row>
    <row r="3794" spans="1:14" x14ac:dyDescent="0.35">
      <c r="A3794" s="1" t="s">
        <v>4589</v>
      </c>
      <c r="B3794" s="1" t="s">
        <v>1099</v>
      </c>
      <c r="C3794" s="1" t="s">
        <v>170</v>
      </c>
      <c r="D3794" s="1" t="s">
        <v>32</v>
      </c>
      <c r="E3794" s="1" t="s">
        <v>33</v>
      </c>
      <c r="F3794" s="1" t="s">
        <v>32</v>
      </c>
      <c r="G3794" s="1">
        <v>14</v>
      </c>
      <c r="H3794" s="1">
        <v>6784</v>
      </c>
      <c r="I3794" s="1">
        <v>0.05</v>
      </c>
      <c r="J3794" s="1">
        <v>90227.199999999997</v>
      </c>
      <c r="K3794" s="1">
        <v>19032.93</v>
      </c>
      <c r="L3794" s="1" t="s">
        <v>17</v>
      </c>
      <c r="M3794" s="1" t="str">
        <f>TEXT(Table1[[#This Row],[Order Date]],"mmm")</f>
        <v>Oct</v>
      </c>
      <c r="N3794" s="1">
        <f>YEAR(Table1[[#This Row],[Order Date]])</f>
        <v>2023</v>
      </c>
    </row>
    <row r="3795" spans="1:14" x14ac:dyDescent="0.35">
      <c r="A3795" s="1" t="s">
        <v>4590</v>
      </c>
      <c r="B3795" s="1" t="s">
        <v>3040</v>
      </c>
      <c r="C3795" s="1" t="s">
        <v>227</v>
      </c>
      <c r="D3795" s="1" t="s">
        <v>52</v>
      </c>
      <c r="E3795" s="1" t="s">
        <v>28</v>
      </c>
      <c r="F3795" s="1" t="s">
        <v>52</v>
      </c>
      <c r="G3795" s="1">
        <v>7</v>
      </c>
      <c r="H3795" s="1">
        <v>38774</v>
      </c>
      <c r="I3795" s="1">
        <v>0.15</v>
      </c>
      <c r="J3795" s="1">
        <v>230705.3</v>
      </c>
      <c r="K3795" s="1">
        <v>65488.9</v>
      </c>
      <c r="L3795" s="1" t="s">
        <v>45</v>
      </c>
      <c r="M3795" s="1" t="str">
        <f>TEXT(Table1[[#This Row],[Order Date]],"mmm")</f>
        <v>Jul</v>
      </c>
      <c r="N3795" s="1">
        <f>YEAR(Table1[[#This Row],[Order Date]])</f>
        <v>2023</v>
      </c>
    </row>
    <row r="3796" spans="1:14" x14ac:dyDescent="0.35">
      <c r="A3796" s="1" t="s">
        <v>4591</v>
      </c>
      <c r="B3796" s="1" t="s">
        <v>423</v>
      </c>
      <c r="C3796" s="1" t="s">
        <v>104</v>
      </c>
      <c r="D3796" s="1" t="s">
        <v>15</v>
      </c>
      <c r="E3796" s="1" t="s">
        <v>16</v>
      </c>
      <c r="F3796" s="1" t="s">
        <v>15</v>
      </c>
      <c r="G3796" s="1">
        <v>9</v>
      </c>
      <c r="H3796" s="1">
        <v>54788</v>
      </c>
      <c r="I3796" s="1">
        <v>0</v>
      </c>
      <c r="J3796" s="1">
        <v>493092</v>
      </c>
      <c r="K3796" s="1">
        <v>66494.62</v>
      </c>
      <c r="L3796" s="1" t="s">
        <v>45</v>
      </c>
      <c r="M3796" s="1" t="str">
        <f>TEXT(Table1[[#This Row],[Order Date]],"mmm")</f>
        <v>May</v>
      </c>
      <c r="N3796" s="1">
        <f>YEAR(Table1[[#This Row],[Order Date]])</f>
        <v>2023</v>
      </c>
    </row>
    <row r="3797" spans="1:14" x14ac:dyDescent="0.35">
      <c r="A3797" s="1" t="s">
        <v>4592</v>
      </c>
      <c r="B3797" s="1" t="s">
        <v>415</v>
      </c>
      <c r="C3797" s="1" t="s">
        <v>59</v>
      </c>
      <c r="D3797" s="1" t="s">
        <v>60</v>
      </c>
      <c r="E3797" s="1" t="s">
        <v>33</v>
      </c>
      <c r="F3797" s="1" t="s">
        <v>60</v>
      </c>
      <c r="G3797" s="1">
        <v>11</v>
      </c>
      <c r="H3797" s="1">
        <v>15588</v>
      </c>
      <c r="I3797" s="1">
        <v>0.15</v>
      </c>
      <c r="J3797" s="1">
        <v>145747.79999999999</v>
      </c>
      <c r="K3797" s="1">
        <v>38816.36</v>
      </c>
      <c r="L3797" s="1" t="s">
        <v>23</v>
      </c>
      <c r="M3797" s="1" t="str">
        <f>TEXT(Table1[[#This Row],[Order Date]],"mmm")</f>
        <v>Jan</v>
      </c>
      <c r="N3797" s="1">
        <f>YEAR(Table1[[#This Row],[Order Date]])</f>
        <v>2024</v>
      </c>
    </row>
    <row r="3798" spans="1:14" x14ac:dyDescent="0.35">
      <c r="A3798" s="1" t="s">
        <v>4593</v>
      </c>
      <c r="B3798" s="1" t="s">
        <v>2070</v>
      </c>
      <c r="C3798" s="1" t="s">
        <v>158</v>
      </c>
      <c r="D3798" s="1" t="s">
        <v>114</v>
      </c>
      <c r="E3798" s="1" t="s">
        <v>16</v>
      </c>
      <c r="F3798" s="1" t="s">
        <v>114</v>
      </c>
      <c r="G3798" s="1">
        <v>11</v>
      </c>
      <c r="H3798" s="1">
        <v>48043</v>
      </c>
      <c r="I3798" s="1">
        <v>0</v>
      </c>
      <c r="J3798" s="1">
        <v>528473</v>
      </c>
      <c r="K3798" s="1">
        <v>59241.71</v>
      </c>
      <c r="L3798" s="1" t="s">
        <v>45</v>
      </c>
      <c r="M3798" s="1" t="str">
        <f>TEXT(Table1[[#This Row],[Order Date]],"mmm")</f>
        <v>Apr</v>
      </c>
      <c r="N3798" s="1">
        <f>YEAR(Table1[[#This Row],[Order Date]])</f>
        <v>2024</v>
      </c>
    </row>
    <row r="3799" spans="1:14" x14ac:dyDescent="0.35">
      <c r="A3799" s="1" t="s">
        <v>4594</v>
      </c>
      <c r="B3799" s="1" t="s">
        <v>804</v>
      </c>
      <c r="C3799" s="1" t="s">
        <v>200</v>
      </c>
      <c r="D3799" s="1" t="s">
        <v>78</v>
      </c>
      <c r="E3799" s="1" t="s">
        <v>28</v>
      </c>
      <c r="F3799" s="1" t="s">
        <v>78</v>
      </c>
      <c r="G3799" s="1">
        <v>13</v>
      </c>
      <c r="H3799" s="1">
        <v>38926</v>
      </c>
      <c r="I3799" s="1">
        <v>0.05</v>
      </c>
      <c r="J3799" s="1">
        <v>480736.1</v>
      </c>
      <c r="K3799" s="1">
        <v>63983.44</v>
      </c>
      <c r="L3799" s="1" t="s">
        <v>17</v>
      </c>
      <c r="M3799" s="1" t="str">
        <f>TEXT(Table1[[#This Row],[Order Date]],"mmm")</f>
        <v>Apr</v>
      </c>
      <c r="N3799" s="1">
        <f>YEAR(Table1[[#This Row],[Order Date]])</f>
        <v>2023</v>
      </c>
    </row>
    <row r="3800" spans="1:14" x14ac:dyDescent="0.35">
      <c r="A3800" s="1" t="s">
        <v>4595</v>
      </c>
      <c r="B3800" s="1" t="s">
        <v>1489</v>
      </c>
      <c r="C3800" s="1" t="s">
        <v>170</v>
      </c>
      <c r="D3800" s="1" t="s">
        <v>179</v>
      </c>
      <c r="E3800" s="1" t="s">
        <v>28</v>
      </c>
      <c r="F3800" s="1" t="s">
        <v>179</v>
      </c>
      <c r="G3800" s="1">
        <v>6</v>
      </c>
      <c r="H3800" s="1">
        <v>14772</v>
      </c>
      <c r="I3800" s="1">
        <v>0.05</v>
      </c>
      <c r="J3800" s="1">
        <v>84200.4</v>
      </c>
      <c r="K3800" s="1">
        <v>23604.35</v>
      </c>
      <c r="L3800" s="1" t="s">
        <v>17</v>
      </c>
      <c r="M3800" s="1" t="str">
        <f>TEXT(Table1[[#This Row],[Order Date]],"mmm")</f>
        <v>Mar</v>
      </c>
      <c r="N3800" s="1">
        <f>YEAR(Table1[[#This Row],[Order Date]])</f>
        <v>2023</v>
      </c>
    </row>
    <row r="3801" spans="1:14" x14ac:dyDescent="0.35">
      <c r="A3801" s="1" t="s">
        <v>4596</v>
      </c>
      <c r="B3801" s="1" t="s">
        <v>1151</v>
      </c>
      <c r="C3801" s="1" t="s">
        <v>67</v>
      </c>
      <c r="D3801" s="1" t="s">
        <v>95</v>
      </c>
      <c r="E3801" s="1" t="s">
        <v>33</v>
      </c>
      <c r="F3801" s="1" t="s">
        <v>95</v>
      </c>
      <c r="G3801" s="1">
        <v>4</v>
      </c>
      <c r="H3801" s="1">
        <v>11745</v>
      </c>
      <c r="I3801" s="1">
        <v>0.15</v>
      </c>
      <c r="J3801" s="1">
        <v>39933</v>
      </c>
      <c r="K3801" s="1">
        <v>8469.11</v>
      </c>
      <c r="L3801" s="1" t="s">
        <v>45</v>
      </c>
      <c r="M3801" s="1" t="str">
        <f>TEXT(Table1[[#This Row],[Order Date]],"mmm")</f>
        <v>Jul</v>
      </c>
      <c r="N3801" s="1">
        <f>YEAR(Table1[[#This Row],[Order Date]])</f>
        <v>2023</v>
      </c>
    </row>
    <row r="3802" spans="1:14" x14ac:dyDescent="0.35">
      <c r="A3802" s="1" t="s">
        <v>4597</v>
      </c>
      <c r="B3802" s="1" t="s">
        <v>1500</v>
      </c>
      <c r="C3802" s="1" t="s">
        <v>146</v>
      </c>
      <c r="D3802" s="1" t="s">
        <v>37</v>
      </c>
      <c r="E3802" s="1" t="s">
        <v>16</v>
      </c>
      <c r="F3802" s="1" t="s">
        <v>37</v>
      </c>
      <c r="G3802" s="1">
        <v>9</v>
      </c>
      <c r="H3802" s="1">
        <v>40883</v>
      </c>
      <c r="I3802" s="1">
        <v>0.15</v>
      </c>
      <c r="J3802" s="1">
        <v>312754.95</v>
      </c>
      <c r="K3802" s="1">
        <v>69388.820000000007</v>
      </c>
      <c r="L3802" s="1" t="s">
        <v>70</v>
      </c>
      <c r="M3802" s="1" t="str">
        <f>TEXT(Table1[[#This Row],[Order Date]],"mmm")</f>
        <v>Jun</v>
      </c>
      <c r="N3802" s="1">
        <f>YEAR(Table1[[#This Row],[Order Date]])</f>
        <v>2023</v>
      </c>
    </row>
    <row r="3803" spans="1:14" x14ac:dyDescent="0.35">
      <c r="A3803" s="1" t="s">
        <v>4598</v>
      </c>
      <c r="B3803" s="1" t="s">
        <v>1452</v>
      </c>
      <c r="C3803" s="1" t="s">
        <v>125</v>
      </c>
      <c r="D3803" s="1" t="s">
        <v>133</v>
      </c>
      <c r="E3803" s="1" t="s">
        <v>22</v>
      </c>
      <c r="F3803" s="1" t="s">
        <v>133</v>
      </c>
      <c r="G3803" s="1">
        <v>8</v>
      </c>
      <c r="H3803" s="1">
        <v>35227</v>
      </c>
      <c r="I3803" s="1">
        <v>0.15</v>
      </c>
      <c r="J3803" s="1">
        <v>239543.6</v>
      </c>
      <c r="K3803" s="1">
        <v>36959.089999999997</v>
      </c>
      <c r="L3803" s="1" t="s">
        <v>45</v>
      </c>
      <c r="M3803" s="1" t="str">
        <f>TEXT(Table1[[#This Row],[Order Date]],"mmm")</f>
        <v>Apr</v>
      </c>
      <c r="N3803" s="1">
        <f>YEAR(Table1[[#This Row],[Order Date]])</f>
        <v>2024</v>
      </c>
    </row>
    <row r="3804" spans="1:14" x14ac:dyDescent="0.35">
      <c r="A3804" s="1" t="s">
        <v>4599</v>
      </c>
      <c r="B3804" s="1" t="s">
        <v>2619</v>
      </c>
      <c r="C3804" s="1" t="s">
        <v>63</v>
      </c>
      <c r="D3804" s="1" t="s">
        <v>41</v>
      </c>
      <c r="E3804" s="1" t="s">
        <v>16</v>
      </c>
      <c r="F3804" s="1" t="s">
        <v>41</v>
      </c>
      <c r="G3804" s="1">
        <v>10</v>
      </c>
      <c r="H3804" s="1">
        <v>11220</v>
      </c>
      <c r="I3804" s="1">
        <v>0</v>
      </c>
      <c r="J3804" s="1">
        <v>112200</v>
      </c>
      <c r="K3804" s="1">
        <v>18997.12</v>
      </c>
      <c r="L3804" s="1" t="s">
        <v>23</v>
      </c>
      <c r="M3804" s="1" t="str">
        <f>TEXT(Table1[[#This Row],[Order Date]],"mmm")</f>
        <v>Mar</v>
      </c>
      <c r="N3804" s="1">
        <f>YEAR(Table1[[#This Row],[Order Date]])</f>
        <v>2024</v>
      </c>
    </row>
    <row r="3805" spans="1:14" x14ac:dyDescent="0.35">
      <c r="A3805" s="1" t="s">
        <v>4600</v>
      </c>
      <c r="B3805" s="1" t="s">
        <v>2123</v>
      </c>
      <c r="C3805" s="1" t="s">
        <v>200</v>
      </c>
      <c r="D3805" s="1" t="s">
        <v>15</v>
      </c>
      <c r="E3805" s="1" t="s">
        <v>16</v>
      </c>
      <c r="F3805" s="1" t="s">
        <v>15</v>
      </c>
      <c r="G3805" s="1">
        <v>6</v>
      </c>
      <c r="H3805" s="1">
        <v>16594</v>
      </c>
      <c r="I3805" s="1">
        <v>0</v>
      </c>
      <c r="J3805" s="1">
        <v>99564</v>
      </c>
      <c r="K3805" s="1">
        <v>8862.6</v>
      </c>
      <c r="L3805" s="1" t="s">
        <v>45</v>
      </c>
      <c r="M3805" s="1" t="str">
        <f>TEXT(Table1[[#This Row],[Order Date]],"mmm")</f>
        <v>Oct</v>
      </c>
      <c r="N3805" s="1">
        <f>YEAR(Table1[[#This Row],[Order Date]])</f>
        <v>2023</v>
      </c>
    </row>
    <row r="3806" spans="1:14" x14ac:dyDescent="0.35">
      <c r="A3806" s="1" t="s">
        <v>4601</v>
      </c>
      <c r="B3806" s="1" t="s">
        <v>1276</v>
      </c>
      <c r="C3806" s="1" t="s">
        <v>88</v>
      </c>
      <c r="D3806" s="1" t="s">
        <v>41</v>
      </c>
      <c r="E3806" s="1" t="s">
        <v>16</v>
      </c>
      <c r="F3806" s="1" t="s">
        <v>41</v>
      </c>
      <c r="G3806" s="1">
        <v>7</v>
      </c>
      <c r="H3806" s="1">
        <v>42919</v>
      </c>
      <c r="I3806" s="1">
        <v>0</v>
      </c>
      <c r="J3806" s="1">
        <v>300433</v>
      </c>
      <c r="K3806" s="1">
        <v>62681.25</v>
      </c>
      <c r="L3806" s="1" t="s">
        <v>23</v>
      </c>
      <c r="M3806" s="1" t="str">
        <f>TEXT(Table1[[#This Row],[Order Date]],"mmm")</f>
        <v>Apr</v>
      </c>
      <c r="N3806" s="1">
        <f>YEAR(Table1[[#This Row],[Order Date]])</f>
        <v>2023</v>
      </c>
    </row>
    <row r="3807" spans="1:14" x14ac:dyDescent="0.35">
      <c r="A3807" s="1" t="s">
        <v>4602</v>
      </c>
      <c r="B3807" s="1" t="s">
        <v>766</v>
      </c>
      <c r="C3807" s="1" t="s">
        <v>67</v>
      </c>
      <c r="D3807" s="1" t="s">
        <v>37</v>
      </c>
      <c r="E3807" s="1" t="s">
        <v>16</v>
      </c>
      <c r="F3807" s="1" t="s">
        <v>37</v>
      </c>
      <c r="G3807" s="1">
        <v>4</v>
      </c>
      <c r="H3807" s="1">
        <v>35751</v>
      </c>
      <c r="I3807" s="1">
        <v>0</v>
      </c>
      <c r="J3807" s="1">
        <v>143004</v>
      </c>
      <c r="K3807" s="1">
        <v>20295.75</v>
      </c>
      <c r="L3807" s="1" t="s">
        <v>45</v>
      </c>
      <c r="M3807" s="1" t="str">
        <f>TEXT(Table1[[#This Row],[Order Date]],"mmm")</f>
        <v>Feb</v>
      </c>
      <c r="N3807" s="1">
        <f>YEAR(Table1[[#This Row],[Order Date]])</f>
        <v>2023</v>
      </c>
    </row>
    <row r="3808" spans="1:14" x14ac:dyDescent="0.35">
      <c r="A3808" s="1" t="s">
        <v>4603</v>
      </c>
      <c r="B3808" s="1" t="s">
        <v>1166</v>
      </c>
      <c r="C3808" s="1" t="s">
        <v>120</v>
      </c>
      <c r="D3808" s="1" t="s">
        <v>85</v>
      </c>
      <c r="E3808" s="1" t="s">
        <v>28</v>
      </c>
      <c r="F3808" s="1" t="s">
        <v>85</v>
      </c>
      <c r="G3808" s="1">
        <v>3</v>
      </c>
      <c r="H3808" s="1">
        <v>40650</v>
      </c>
      <c r="I3808" s="1">
        <v>0</v>
      </c>
      <c r="J3808" s="1">
        <v>121950</v>
      </c>
      <c r="K3808" s="1">
        <v>9836.2900000000009</v>
      </c>
      <c r="L3808" s="1" t="s">
        <v>45</v>
      </c>
      <c r="M3808" s="1" t="str">
        <f>TEXT(Table1[[#This Row],[Order Date]],"mmm")</f>
        <v>Oct</v>
      </c>
      <c r="N3808" s="1">
        <f>YEAR(Table1[[#This Row],[Order Date]])</f>
        <v>2024</v>
      </c>
    </row>
    <row r="3809" spans="1:14" x14ac:dyDescent="0.35">
      <c r="A3809" s="1" t="s">
        <v>4604</v>
      </c>
      <c r="B3809" s="1" t="s">
        <v>1341</v>
      </c>
      <c r="C3809" s="1" t="s">
        <v>349</v>
      </c>
      <c r="D3809" s="1" t="s">
        <v>37</v>
      </c>
      <c r="E3809" s="1" t="s">
        <v>16</v>
      </c>
      <c r="F3809" s="1" t="s">
        <v>37</v>
      </c>
      <c r="G3809" s="1">
        <v>7</v>
      </c>
      <c r="H3809" s="1">
        <v>58171</v>
      </c>
      <c r="I3809" s="1">
        <v>0.15</v>
      </c>
      <c r="J3809" s="1">
        <v>346117.45</v>
      </c>
      <c r="K3809" s="1">
        <v>74411.899999999994</v>
      </c>
      <c r="L3809" s="1" t="s">
        <v>23</v>
      </c>
      <c r="M3809" s="1" t="str">
        <f>TEXT(Table1[[#This Row],[Order Date]],"mmm")</f>
        <v>Oct</v>
      </c>
      <c r="N3809" s="1">
        <f>YEAR(Table1[[#This Row],[Order Date]])</f>
        <v>2024</v>
      </c>
    </row>
    <row r="3810" spans="1:14" x14ac:dyDescent="0.35">
      <c r="A3810" s="1" t="s">
        <v>4605</v>
      </c>
      <c r="B3810" s="1" t="s">
        <v>927</v>
      </c>
      <c r="C3810" s="1" t="s">
        <v>208</v>
      </c>
      <c r="D3810" s="1" t="s">
        <v>52</v>
      </c>
      <c r="E3810" s="1" t="s">
        <v>28</v>
      </c>
      <c r="F3810" s="1" t="s">
        <v>52</v>
      </c>
      <c r="G3810" s="1">
        <v>15</v>
      </c>
      <c r="H3810" s="1">
        <v>7954</v>
      </c>
      <c r="I3810" s="1">
        <v>0.05</v>
      </c>
      <c r="J3810" s="1">
        <v>113344.5</v>
      </c>
      <c r="K3810" s="1">
        <v>11841.7</v>
      </c>
      <c r="L3810" s="1" t="s">
        <v>45</v>
      </c>
      <c r="M3810" s="1" t="str">
        <f>TEXT(Table1[[#This Row],[Order Date]],"mmm")</f>
        <v>May</v>
      </c>
      <c r="N3810" s="1">
        <f>YEAR(Table1[[#This Row],[Order Date]])</f>
        <v>2024</v>
      </c>
    </row>
    <row r="3811" spans="1:14" x14ac:dyDescent="0.35">
      <c r="A3811" s="1" t="s">
        <v>4606</v>
      </c>
      <c r="B3811" s="1" t="s">
        <v>93</v>
      </c>
      <c r="C3811" s="1" t="s">
        <v>117</v>
      </c>
      <c r="D3811" s="1" t="s">
        <v>32</v>
      </c>
      <c r="E3811" s="1" t="s">
        <v>33</v>
      </c>
      <c r="F3811" s="1" t="s">
        <v>32</v>
      </c>
      <c r="G3811" s="1">
        <v>11</v>
      </c>
      <c r="H3811" s="1">
        <v>48887</v>
      </c>
      <c r="I3811" s="1">
        <v>0.05</v>
      </c>
      <c r="J3811" s="1">
        <v>510869.15</v>
      </c>
      <c r="K3811" s="1">
        <v>109294.86</v>
      </c>
      <c r="L3811" s="1" t="s">
        <v>17</v>
      </c>
      <c r="M3811" s="1" t="str">
        <f>TEXT(Table1[[#This Row],[Order Date]],"mmm")</f>
        <v>Mar</v>
      </c>
      <c r="N3811" s="1">
        <f>YEAR(Table1[[#This Row],[Order Date]])</f>
        <v>2024</v>
      </c>
    </row>
    <row r="3812" spans="1:14" x14ac:dyDescent="0.35">
      <c r="A3812" s="1" t="s">
        <v>4607</v>
      </c>
      <c r="B3812" s="1" t="s">
        <v>425</v>
      </c>
      <c r="C3812" s="1" t="s">
        <v>120</v>
      </c>
      <c r="D3812" s="1" t="s">
        <v>141</v>
      </c>
      <c r="E3812" s="1" t="s">
        <v>22</v>
      </c>
      <c r="F3812" s="1" t="s">
        <v>141</v>
      </c>
      <c r="G3812" s="1">
        <v>7</v>
      </c>
      <c r="H3812" s="1">
        <v>13017</v>
      </c>
      <c r="I3812" s="1">
        <v>0.05</v>
      </c>
      <c r="J3812" s="1">
        <v>86563.05</v>
      </c>
      <c r="K3812" s="1">
        <v>17905.939999999999</v>
      </c>
      <c r="L3812" s="1" t="s">
        <v>17</v>
      </c>
      <c r="M3812" s="1" t="str">
        <f>TEXT(Table1[[#This Row],[Order Date]],"mmm")</f>
        <v>Oct</v>
      </c>
      <c r="N3812" s="1">
        <f>YEAR(Table1[[#This Row],[Order Date]])</f>
        <v>2024</v>
      </c>
    </row>
    <row r="3813" spans="1:14" x14ac:dyDescent="0.35">
      <c r="A3813" s="1" t="s">
        <v>4608</v>
      </c>
      <c r="B3813" s="1" t="s">
        <v>369</v>
      </c>
      <c r="C3813" s="1" t="s">
        <v>84</v>
      </c>
      <c r="D3813" s="1" t="s">
        <v>224</v>
      </c>
      <c r="E3813" s="1" t="s">
        <v>33</v>
      </c>
      <c r="F3813" s="1" t="s">
        <v>224</v>
      </c>
      <c r="G3813" s="1">
        <v>4</v>
      </c>
      <c r="H3813" s="1">
        <v>49002</v>
      </c>
      <c r="I3813" s="1">
        <v>0.15</v>
      </c>
      <c r="J3813" s="1">
        <v>166606.79999999999</v>
      </c>
      <c r="K3813" s="1">
        <v>31315.22</v>
      </c>
      <c r="L3813" s="1" t="s">
        <v>45</v>
      </c>
      <c r="M3813" s="1" t="str">
        <f>TEXT(Table1[[#This Row],[Order Date]],"mmm")</f>
        <v>Sep</v>
      </c>
      <c r="N3813" s="1">
        <f>YEAR(Table1[[#This Row],[Order Date]])</f>
        <v>2024</v>
      </c>
    </row>
    <row r="3814" spans="1:14" x14ac:dyDescent="0.35">
      <c r="A3814" s="1" t="s">
        <v>4609</v>
      </c>
      <c r="B3814" s="1" t="s">
        <v>660</v>
      </c>
      <c r="C3814" s="1" t="s">
        <v>26</v>
      </c>
      <c r="D3814" s="1" t="s">
        <v>137</v>
      </c>
      <c r="E3814" s="1" t="s">
        <v>22</v>
      </c>
      <c r="F3814" s="1" t="s">
        <v>137</v>
      </c>
      <c r="G3814" s="1">
        <v>8</v>
      </c>
      <c r="H3814" s="1">
        <v>12733</v>
      </c>
      <c r="I3814" s="1">
        <v>0.1</v>
      </c>
      <c r="J3814" s="1">
        <v>91677.6</v>
      </c>
      <c r="K3814" s="1">
        <v>23202.01</v>
      </c>
      <c r="L3814" s="1" t="s">
        <v>23</v>
      </c>
      <c r="M3814" s="1" t="str">
        <f>TEXT(Table1[[#This Row],[Order Date]],"mmm")</f>
        <v>May</v>
      </c>
      <c r="N3814" s="1">
        <f>YEAR(Table1[[#This Row],[Order Date]])</f>
        <v>2023</v>
      </c>
    </row>
    <row r="3815" spans="1:14" x14ac:dyDescent="0.35">
      <c r="A3815" s="1" t="s">
        <v>4610</v>
      </c>
      <c r="B3815" s="1" t="s">
        <v>937</v>
      </c>
      <c r="C3815" s="1" t="s">
        <v>40</v>
      </c>
      <c r="D3815" s="1" t="s">
        <v>56</v>
      </c>
      <c r="E3815" s="1" t="s">
        <v>22</v>
      </c>
      <c r="F3815" s="1" t="s">
        <v>56</v>
      </c>
      <c r="G3815" s="1">
        <v>8</v>
      </c>
      <c r="H3815" s="1">
        <v>7094</v>
      </c>
      <c r="I3815" s="1">
        <v>0.15</v>
      </c>
      <c r="J3815" s="1">
        <v>48239.199999999997</v>
      </c>
      <c r="K3815" s="1">
        <v>5740.71</v>
      </c>
      <c r="L3815" s="1" t="s">
        <v>70</v>
      </c>
      <c r="M3815" s="1" t="str">
        <f>TEXT(Table1[[#This Row],[Order Date]],"mmm")</f>
        <v>Oct</v>
      </c>
      <c r="N3815" s="1">
        <f>YEAR(Table1[[#This Row],[Order Date]])</f>
        <v>2023</v>
      </c>
    </row>
    <row r="3816" spans="1:14" x14ac:dyDescent="0.35">
      <c r="A3816" s="1" t="s">
        <v>4611</v>
      </c>
      <c r="B3816" s="1" t="s">
        <v>2167</v>
      </c>
      <c r="C3816" s="1" t="s">
        <v>191</v>
      </c>
      <c r="D3816" s="1" t="s">
        <v>179</v>
      </c>
      <c r="E3816" s="1" t="s">
        <v>28</v>
      </c>
      <c r="F3816" s="1" t="s">
        <v>179</v>
      </c>
      <c r="G3816" s="1">
        <v>9</v>
      </c>
      <c r="H3816" s="1">
        <v>46618</v>
      </c>
      <c r="I3816" s="1">
        <v>0.2</v>
      </c>
      <c r="J3816" s="1">
        <v>335649.6</v>
      </c>
      <c r="K3816" s="1">
        <v>92731.69</v>
      </c>
      <c r="L3816" s="1" t="s">
        <v>70</v>
      </c>
      <c r="M3816" s="1" t="str">
        <f>TEXT(Table1[[#This Row],[Order Date]],"mmm")</f>
        <v>Aug</v>
      </c>
      <c r="N3816" s="1">
        <f>YEAR(Table1[[#This Row],[Order Date]])</f>
        <v>2024</v>
      </c>
    </row>
    <row r="3817" spans="1:14" x14ac:dyDescent="0.35">
      <c r="A3817" s="1" t="s">
        <v>4612</v>
      </c>
      <c r="B3817" s="1" t="s">
        <v>181</v>
      </c>
      <c r="C3817" s="1" t="s">
        <v>125</v>
      </c>
      <c r="D3817" s="1" t="s">
        <v>48</v>
      </c>
      <c r="E3817" s="1" t="s">
        <v>16</v>
      </c>
      <c r="F3817" s="1" t="s">
        <v>48</v>
      </c>
      <c r="G3817" s="1">
        <v>11</v>
      </c>
      <c r="H3817" s="1">
        <v>44752</v>
      </c>
      <c r="I3817" s="1">
        <v>0</v>
      </c>
      <c r="J3817" s="1">
        <v>492272</v>
      </c>
      <c r="K3817" s="1">
        <v>62682.720000000001</v>
      </c>
      <c r="L3817" s="1" t="s">
        <v>23</v>
      </c>
      <c r="M3817" s="1" t="str">
        <f>TEXT(Table1[[#This Row],[Order Date]],"mmm")</f>
        <v>May</v>
      </c>
      <c r="N3817" s="1">
        <f>YEAR(Table1[[#This Row],[Order Date]])</f>
        <v>2023</v>
      </c>
    </row>
    <row r="3818" spans="1:14" x14ac:dyDescent="0.35">
      <c r="A3818" s="1" t="s">
        <v>4613</v>
      </c>
      <c r="B3818" s="1" t="s">
        <v>181</v>
      </c>
      <c r="C3818" s="1" t="s">
        <v>128</v>
      </c>
      <c r="D3818" s="1" t="s">
        <v>32</v>
      </c>
      <c r="E3818" s="1" t="s">
        <v>33</v>
      </c>
      <c r="F3818" s="1" t="s">
        <v>32</v>
      </c>
      <c r="G3818" s="1">
        <v>13</v>
      </c>
      <c r="H3818" s="1">
        <v>3095</v>
      </c>
      <c r="I3818" s="1">
        <v>0.1</v>
      </c>
      <c r="J3818" s="1">
        <v>36211.5</v>
      </c>
      <c r="K3818" s="1">
        <v>5730.12</v>
      </c>
      <c r="L3818" s="1" t="s">
        <v>17</v>
      </c>
      <c r="M3818" s="1" t="str">
        <f>TEXT(Table1[[#This Row],[Order Date]],"mmm")</f>
        <v>May</v>
      </c>
      <c r="N3818" s="1">
        <f>YEAR(Table1[[#This Row],[Order Date]])</f>
        <v>2023</v>
      </c>
    </row>
    <row r="3819" spans="1:14" x14ac:dyDescent="0.35">
      <c r="A3819" s="1" t="s">
        <v>4614</v>
      </c>
      <c r="B3819" s="1" t="s">
        <v>989</v>
      </c>
      <c r="C3819" s="1" t="s">
        <v>140</v>
      </c>
      <c r="D3819" s="1" t="s">
        <v>56</v>
      </c>
      <c r="E3819" s="1" t="s">
        <v>22</v>
      </c>
      <c r="F3819" s="1" t="s">
        <v>56</v>
      </c>
      <c r="G3819" s="1">
        <v>15</v>
      </c>
      <c r="H3819" s="1">
        <v>40100</v>
      </c>
      <c r="I3819" s="1">
        <v>0</v>
      </c>
      <c r="J3819" s="1">
        <v>601500</v>
      </c>
      <c r="K3819" s="1">
        <v>90774.71</v>
      </c>
      <c r="L3819" s="1" t="s">
        <v>45</v>
      </c>
      <c r="M3819" s="1" t="str">
        <f>TEXT(Table1[[#This Row],[Order Date]],"mmm")</f>
        <v>Oct</v>
      </c>
      <c r="N3819" s="1">
        <f>YEAR(Table1[[#This Row],[Order Date]])</f>
        <v>2024</v>
      </c>
    </row>
    <row r="3820" spans="1:14" x14ac:dyDescent="0.35">
      <c r="A3820" s="1" t="s">
        <v>4615</v>
      </c>
      <c r="B3820" s="1" t="s">
        <v>1718</v>
      </c>
      <c r="C3820" s="1" t="s">
        <v>81</v>
      </c>
      <c r="D3820" s="1" t="s">
        <v>85</v>
      </c>
      <c r="E3820" s="1" t="s">
        <v>28</v>
      </c>
      <c r="F3820" s="1" t="s">
        <v>85</v>
      </c>
      <c r="G3820" s="1">
        <v>7</v>
      </c>
      <c r="H3820" s="1">
        <v>51401</v>
      </c>
      <c r="I3820" s="1">
        <v>0.1</v>
      </c>
      <c r="J3820" s="1">
        <v>323826.3</v>
      </c>
      <c r="K3820" s="1">
        <v>66697.47</v>
      </c>
      <c r="L3820" s="1" t="s">
        <v>17</v>
      </c>
      <c r="M3820" s="1" t="str">
        <f>TEXT(Table1[[#This Row],[Order Date]],"mmm")</f>
        <v>Nov</v>
      </c>
      <c r="N3820" s="1">
        <f>YEAR(Table1[[#This Row],[Order Date]])</f>
        <v>2024</v>
      </c>
    </row>
    <row r="3821" spans="1:14" x14ac:dyDescent="0.35">
      <c r="A3821" s="1" t="s">
        <v>4616</v>
      </c>
      <c r="B3821" s="1" t="s">
        <v>2243</v>
      </c>
      <c r="C3821" s="1" t="s">
        <v>188</v>
      </c>
      <c r="D3821" s="1" t="s">
        <v>133</v>
      </c>
      <c r="E3821" s="1" t="s">
        <v>22</v>
      </c>
      <c r="F3821" s="1" t="s">
        <v>133</v>
      </c>
      <c r="G3821" s="1">
        <v>10</v>
      </c>
      <c r="H3821" s="1">
        <v>10459</v>
      </c>
      <c r="I3821" s="1">
        <v>0.05</v>
      </c>
      <c r="J3821" s="1">
        <v>99360.5</v>
      </c>
      <c r="K3821" s="1">
        <v>15553.46</v>
      </c>
      <c r="L3821" s="1" t="s">
        <v>70</v>
      </c>
      <c r="M3821" s="1" t="str">
        <f>TEXT(Table1[[#This Row],[Order Date]],"mmm")</f>
        <v>May</v>
      </c>
      <c r="N3821" s="1">
        <f>YEAR(Table1[[#This Row],[Order Date]])</f>
        <v>2023</v>
      </c>
    </row>
    <row r="3822" spans="1:14" x14ac:dyDescent="0.35">
      <c r="A3822" s="1" t="s">
        <v>4617</v>
      </c>
      <c r="B3822" s="1" t="s">
        <v>3353</v>
      </c>
      <c r="C3822" s="1" t="s">
        <v>349</v>
      </c>
      <c r="D3822" s="1" t="s">
        <v>44</v>
      </c>
      <c r="E3822" s="1" t="s">
        <v>28</v>
      </c>
      <c r="F3822" s="1" t="s">
        <v>44</v>
      </c>
      <c r="G3822" s="1">
        <v>7</v>
      </c>
      <c r="H3822" s="1">
        <v>34615</v>
      </c>
      <c r="I3822" s="1">
        <v>0.2</v>
      </c>
      <c r="J3822" s="1">
        <v>193844</v>
      </c>
      <c r="K3822" s="1">
        <v>40384.400000000001</v>
      </c>
      <c r="L3822" s="1" t="s">
        <v>23</v>
      </c>
      <c r="M3822" s="1" t="str">
        <f>TEXT(Table1[[#This Row],[Order Date]],"mmm")</f>
        <v>Sep</v>
      </c>
      <c r="N3822" s="1">
        <f>YEAR(Table1[[#This Row],[Order Date]])</f>
        <v>2023</v>
      </c>
    </row>
    <row r="3823" spans="1:14" x14ac:dyDescent="0.35">
      <c r="A3823" s="1" t="s">
        <v>4618</v>
      </c>
      <c r="B3823" s="1" t="s">
        <v>3263</v>
      </c>
      <c r="C3823" s="1" t="s">
        <v>162</v>
      </c>
      <c r="D3823" s="1" t="s">
        <v>95</v>
      </c>
      <c r="E3823" s="1" t="s">
        <v>33</v>
      </c>
      <c r="F3823" s="1" t="s">
        <v>95</v>
      </c>
      <c r="G3823" s="1">
        <v>8</v>
      </c>
      <c r="H3823" s="1">
        <v>50773</v>
      </c>
      <c r="I3823" s="1">
        <v>0.2</v>
      </c>
      <c r="J3823" s="1">
        <v>324947.20000000001</v>
      </c>
      <c r="K3823" s="1">
        <v>56056.25</v>
      </c>
      <c r="L3823" s="1" t="s">
        <v>45</v>
      </c>
      <c r="M3823" s="1" t="str">
        <f>TEXT(Table1[[#This Row],[Order Date]],"mmm")</f>
        <v>May</v>
      </c>
      <c r="N3823" s="1">
        <f>YEAR(Table1[[#This Row],[Order Date]])</f>
        <v>2023</v>
      </c>
    </row>
    <row r="3824" spans="1:14" x14ac:dyDescent="0.35">
      <c r="A3824" s="1" t="s">
        <v>4619</v>
      </c>
      <c r="B3824" s="1" t="s">
        <v>1168</v>
      </c>
      <c r="C3824" s="1" t="s">
        <v>67</v>
      </c>
      <c r="D3824" s="1" t="s">
        <v>85</v>
      </c>
      <c r="E3824" s="1" t="s">
        <v>28</v>
      </c>
      <c r="F3824" s="1" t="s">
        <v>85</v>
      </c>
      <c r="G3824" s="1">
        <v>1</v>
      </c>
      <c r="H3824" s="1">
        <v>10502</v>
      </c>
      <c r="I3824" s="1">
        <v>0.05</v>
      </c>
      <c r="J3824" s="1">
        <v>9976.9</v>
      </c>
      <c r="K3824" s="1">
        <v>1082.74</v>
      </c>
      <c r="L3824" s="1" t="s">
        <v>45</v>
      </c>
      <c r="M3824" s="1" t="str">
        <f>TEXT(Table1[[#This Row],[Order Date]],"mmm")</f>
        <v>Sep</v>
      </c>
      <c r="N3824" s="1">
        <f>YEAR(Table1[[#This Row],[Order Date]])</f>
        <v>2024</v>
      </c>
    </row>
    <row r="3825" spans="1:14" x14ac:dyDescent="0.35">
      <c r="A3825" s="1" t="s">
        <v>4620</v>
      </c>
      <c r="B3825" s="1" t="s">
        <v>62</v>
      </c>
      <c r="C3825" s="1" t="s">
        <v>188</v>
      </c>
      <c r="D3825" s="1" t="s">
        <v>323</v>
      </c>
      <c r="E3825" s="1" t="s">
        <v>33</v>
      </c>
      <c r="F3825" s="1" t="s">
        <v>323</v>
      </c>
      <c r="G3825" s="1">
        <v>13</v>
      </c>
      <c r="H3825" s="1">
        <v>42653</v>
      </c>
      <c r="I3825" s="1">
        <v>0.2</v>
      </c>
      <c r="J3825" s="1">
        <v>443591.2</v>
      </c>
      <c r="K3825" s="1">
        <v>67105.05</v>
      </c>
      <c r="L3825" s="1" t="s">
        <v>23</v>
      </c>
      <c r="M3825" s="1" t="str">
        <f>TEXT(Table1[[#This Row],[Order Date]],"mmm")</f>
        <v>Dec</v>
      </c>
      <c r="N3825" s="1">
        <f>YEAR(Table1[[#This Row],[Order Date]])</f>
        <v>2023</v>
      </c>
    </row>
    <row r="3826" spans="1:14" x14ac:dyDescent="0.35">
      <c r="A3826" s="1" t="s">
        <v>4621</v>
      </c>
      <c r="B3826" s="1" t="s">
        <v>2850</v>
      </c>
      <c r="C3826" s="1" t="s">
        <v>362</v>
      </c>
      <c r="D3826" s="1" t="s">
        <v>48</v>
      </c>
      <c r="E3826" s="1" t="s">
        <v>16</v>
      </c>
      <c r="F3826" s="1" t="s">
        <v>48</v>
      </c>
      <c r="G3826" s="1">
        <v>4</v>
      </c>
      <c r="H3826" s="1">
        <v>46175</v>
      </c>
      <c r="I3826" s="1">
        <v>0.05</v>
      </c>
      <c r="J3826" s="1">
        <v>175465</v>
      </c>
      <c r="K3826" s="1">
        <v>24616.74</v>
      </c>
      <c r="L3826" s="1" t="s">
        <v>70</v>
      </c>
      <c r="M3826" s="1" t="str">
        <f>TEXT(Table1[[#This Row],[Order Date]],"mmm")</f>
        <v>Dec</v>
      </c>
      <c r="N3826" s="1">
        <f>YEAR(Table1[[#This Row],[Order Date]])</f>
        <v>2023</v>
      </c>
    </row>
    <row r="3827" spans="1:14" x14ac:dyDescent="0.35">
      <c r="A3827" s="1" t="s">
        <v>4622</v>
      </c>
      <c r="B3827" s="1" t="s">
        <v>429</v>
      </c>
      <c r="C3827" s="1" t="s">
        <v>59</v>
      </c>
      <c r="D3827" s="1" t="s">
        <v>91</v>
      </c>
      <c r="E3827" s="1" t="s">
        <v>16</v>
      </c>
      <c r="F3827" s="1" t="s">
        <v>91</v>
      </c>
      <c r="G3827" s="1">
        <v>15</v>
      </c>
      <c r="H3827" s="1">
        <v>720</v>
      </c>
      <c r="I3827" s="1">
        <v>0.1</v>
      </c>
      <c r="J3827" s="1">
        <v>9720</v>
      </c>
      <c r="K3827" s="1">
        <v>1660.23</v>
      </c>
      <c r="L3827" s="1" t="s">
        <v>17</v>
      </c>
      <c r="M3827" s="1" t="str">
        <f>TEXT(Table1[[#This Row],[Order Date]],"mmm")</f>
        <v>Apr</v>
      </c>
      <c r="N3827" s="1">
        <f>YEAR(Table1[[#This Row],[Order Date]])</f>
        <v>2024</v>
      </c>
    </row>
    <row r="3828" spans="1:14" x14ac:dyDescent="0.35">
      <c r="A3828" s="1" t="s">
        <v>4623</v>
      </c>
      <c r="B3828" s="1" t="s">
        <v>1427</v>
      </c>
      <c r="C3828" s="1" t="s">
        <v>640</v>
      </c>
      <c r="D3828" s="1" t="s">
        <v>167</v>
      </c>
      <c r="E3828" s="1" t="s">
        <v>16</v>
      </c>
      <c r="F3828" s="1" t="s">
        <v>167</v>
      </c>
      <c r="G3828" s="1">
        <v>14</v>
      </c>
      <c r="H3828" s="1">
        <v>15306</v>
      </c>
      <c r="I3828" s="1">
        <v>0.05</v>
      </c>
      <c r="J3828" s="1">
        <v>203569.8</v>
      </c>
      <c r="K3828" s="1">
        <v>57641.34</v>
      </c>
      <c r="L3828" s="1" t="s">
        <v>17</v>
      </c>
      <c r="M3828" s="1" t="str">
        <f>TEXT(Table1[[#This Row],[Order Date]],"mmm")</f>
        <v>Oct</v>
      </c>
      <c r="N3828" s="1">
        <f>YEAR(Table1[[#This Row],[Order Date]])</f>
        <v>2024</v>
      </c>
    </row>
    <row r="3829" spans="1:14" x14ac:dyDescent="0.35">
      <c r="A3829" s="1" t="s">
        <v>4624</v>
      </c>
      <c r="B3829" s="1" t="s">
        <v>377</v>
      </c>
      <c r="C3829" s="1" t="s">
        <v>203</v>
      </c>
      <c r="D3829" s="1" t="s">
        <v>167</v>
      </c>
      <c r="E3829" s="1" t="s">
        <v>16</v>
      </c>
      <c r="F3829" s="1" t="s">
        <v>167</v>
      </c>
      <c r="G3829" s="1">
        <v>12</v>
      </c>
      <c r="H3829" s="1">
        <v>4993</v>
      </c>
      <c r="I3829" s="1">
        <v>0.05</v>
      </c>
      <c r="J3829" s="1">
        <v>56920.2</v>
      </c>
      <c r="K3829" s="1">
        <v>4877.9799999999996</v>
      </c>
      <c r="L3829" s="1" t="s">
        <v>70</v>
      </c>
      <c r="M3829" s="1" t="str">
        <f>TEXT(Table1[[#This Row],[Order Date]],"mmm")</f>
        <v>Jul</v>
      </c>
      <c r="N3829" s="1">
        <f>YEAR(Table1[[#This Row],[Order Date]])</f>
        <v>2024</v>
      </c>
    </row>
    <row r="3830" spans="1:14" x14ac:dyDescent="0.35">
      <c r="A3830" s="1" t="s">
        <v>4625</v>
      </c>
      <c r="B3830" s="1" t="s">
        <v>343</v>
      </c>
      <c r="C3830" s="1" t="s">
        <v>63</v>
      </c>
      <c r="D3830" s="1" t="s">
        <v>27</v>
      </c>
      <c r="E3830" s="1" t="s">
        <v>28</v>
      </c>
      <c r="F3830" s="1" t="s">
        <v>27</v>
      </c>
      <c r="G3830" s="1">
        <v>11</v>
      </c>
      <c r="H3830" s="1">
        <v>43779</v>
      </c>
      <c r="I3830" s="1">
        <v>0.15</v>
      </c>
      <c r="J3830" s="1">
        <v>409333.65</v>
      </c>
      <c r="K3830" s="1">
        <v>58945.08</v>
      </c>
      <c r="L3830" s="1" t="s">
        <v>23</v>
      </c>
      <c r="M3830" s="1" t="str">
        <f>TEXT(Table1[[#This Row],[Order Date]],"mmm")</f>
        <v>Feb</v>
      </c>
      <c r="N3830" s="1">
        <f>YEAR(Table1[[#This Row],[Order Date]])</f>
        <v>2024</v>
      </c>
    </row>
    <row r="3831" spans="1:14" x14ac:dyDescent="0.35">
      <c r="A3831" s="1" t="s">
        <v>4626</v>
      </c>
      <c r="B3831" s="1" t="s">
        <v>959</v>
      </c>
      <c r="C3831" s="1" t="s">
        <v>362</v>
      </c>
      <c r="D3831" s="1" t="s">
        <v>151</v>
      </c>
      <c r="E3831" s="1" t="s">
        <v>22</v>
      </c>
      <c r="F3831" s="1" t="s">
        <v>151</v>
      </c>
      <c r="G3831" s="1">
        <v>8</v>
      </c>
      <c r="H3831" s="1">
        <v>37233</v>
      </c>
      <c r="I3831" s="1">
        <v>0</v>
      </c>
      <c r="J3831" s="1">
        <v>297864</v>
      </c>
      <c r="K3831" s="1">
        <v>71310.03</v>
      </c>
      <c r="L3831" s="1" t="s">
        <v>23</v>
      </c>
      <c r="M3831" s="1" t="str">
        <f>TEXT(Table1[[#This Row],[Order Date]],"mmm")</f>
        <v>Oct</v>
      </c>
      <c r="N3831" s="1">
        <f>YEAR(Table1[[#This Row],[Order Date]])</f>
        <v>2023</v>
      </c>
    </row>
    <row r="3832" spans="1:14" x14ac:dyDescent="0.35">
      <c r="A3832" s="1" t="s">
        <v>4627</v>
      </c>
      <c r="B3832" s="1" t="s">
        <v>429</v>
      </c>
      <c r="C3832" s="1" t="s">
        <v>73</v>
      </c>
      <c r="D3832" s="1" t="s">
        <v>224</v>
      </c>
      <c r="E3832" s="1" t="s">
        <v>33</v>
      </c>
      <c r="F3832" s="1" t="s">
        <v>224</v>
      </c>
      <c r="G3832" s="1">
        <v>3</v>
      </c>
      <c r="H3832" s="1">
        <v>54940</v>
      </c>
      <c r="I3832" s="1">
        <v>0.05</v>
      </c>
      <c r="J3832" s="1">
        <v>156579</v>
      </c>
      <c r="K3832" s="1">
        <v>28053.73</v>
      </c>
      <c r="L3832" s="1" t="s">
        <v>23</v>
      </c>
      <c r="M3832" s="1" t="str">
        <f>TEXT(Table1[[#This Row],[Order Date]],"mmm")</f>
        <v>Apr</v>
      </c>
      <c r="N3832" s="1">
        <f>YEAR(Table1[[#This Row],[Order Date]])</f>
        <v>2024</v>
      </c>
    </row>
    <row r="3833" spans="1:14" x14ac:dyDescent="0.35">
      <c r="A3833" s="1" t="s">
        <v>4628</v>
      </c>
      <c r="B3833" s="1" t="s">
        <v>800</v>
      </c>
      <c r="C3833" s="1" t="s">
        <v>26</v>
      </c>
      <c r="D3833" s="1" t="s">
        <v>133</v>
      </c>
      <c r="E3833" s="1" t="s">
        <v>22</v>
      </c>
      <c r="F3833" s="1" t="s">
        <v>133</v>
      </c>
      <c r="G3833" s="1">
        <v>10</v>
      </c>
      <c r="H3833" s="1">
        <v>32391</v>
      </c>
      <c r="I3833" s="1">
        <v>0.2</v>
      </c>
      <c r="J3833" s="1">
        <v>259128</v>
      </c>
      <c r="K3833" s="1">
        <v>45805.81</v>
      </c>
      <c r="L3833" s="1" t="s">
        <v>17</v>
      </c>
      <c r="M3833" s="1" t="str">
        <f>TEXT(Table1[[#This Row],[Order Date]],"mmm")</f>
        <v>Oct</v>
      </c>
      <c r="N3833" s="1">
        <f>YEAR(Table1[[#This Row],[Order Date]])</f>
        <v>2023</v>
      </c>
    </row>
    <row r="3834" spans="1:14" x14ac:dyDescent="0.35">
      <c r="A3834" s="1" t="s">
        <v>4629</v>
      </c>
      <c r="B3834" s="1" t="s">
        <v>1765</v>
      </c>
      <c r="C3834" s="1" t="s">
        <v>158</v>
      </c>
      <c r="D3834" s="1" t="s">
        <v>41</v>
      </c>
      <c r="E3834" s="1" t="s">
        <v>16</v>
      </c>
      <c r="F3834" s="1" t="s">
        <v>41</v>
      </c>
      <c r="G3834" s="1">
        <v>8</v>
      </c>
      <c r="H3834" s="1">
        <v>11262</v>
      </c>
      <c r="I3834" s="1">
        <v>0.05</v>
      </c>
      <c r="J3834" s="1">
        <v>85591.2</v>
      </c>
      <c r="K3834" s="1">
        <v>15050.19</v>
      </c>
      <c r="L3834" s="1" t="s">
        <v>17</v>
      </c>
      <c r="M3834" s="1" t="str">
        <f>TEXT(Table1[[#This Row],[Order Date]],"mmm")</f>
        <v>May</v>
      </c>
      <c r="N3834" s="1">
        <f>YEAR(Table1[[#This Row],[Order Date]])</f>
        <v>2023</v>
      </c>
    </row>
    <row r="3835" spans="1:14" x14ac:dyDescent="0.35">
      <c r="A3835" s="1" t="s">
        <v>4630</v>
      </c>
      <c r="B3835" s="1" t="s">
        <v>1951</v>
      </c>
      <c r="C3835" s="1" t="s">
        <v>640</v>
      </c>
      <c r="D3835" s="1" t="s">
        <v>44</v>
      </c>
      <c r="E3835" s="1" t="s">
        <v>28</v>
      </c>
      <c r="F3835" s="1" t="s">
        <v>44</v>
      </c>
      <c r="G3835" s="1">
        <v>2</v>
      </c>
      <c r="H3835" s="1">
        <v>25428</v>
      </c>
      <c r="I3835" s="1">
        <v>0.2</v>
      </c>
      <c r="J3835" s="1">
        <v>40684.800000000003</v>
      </c>
      <c r="K3835" s="1">
        <v>11287.1</v>
      </c>
      <c r="L3835" s="1" t="s">
        <v>70</v>
      </c>
      <c r="M3835" s="1" t="str">
        <f>TEXT(Table1[[#This Row],[Order Date]],"mmm")</f>
        <v>May</v>
      </c>
      <c r="N3835" s="1">
        <f>YEAR(Table1[[#This Row],[Order Date]])</f>
        <v>2024</v>
      </c>
    </row>
    <row r="3836" spans="1:14" x14ac:dyDescent="0.35">
      <c r="A3836" s="1" t="s">
        <v>4631</v>
      </c>
      <c r="B3836" s="1" t="s">
        <v>282</v>
      </c>
      <c r="C3836" s="1" t="s">
        <v>349</v>
      </c>
      <c r="D3836" s="1" t="s">
        <v>78</v>
      </c>
      <c r="E3836" s="1" t="s">
        <v>28</v>
      </c>
      <c r="F3836" s="1" t="s">
        <v>78</v>
      </c>
      <c r="G3836" s="1">
        <v>10</v>
      </c>
      <c r="H3836" s="1">
        <v>32494</v>
      </c>
      <c r="I3836" s="1">
        <v>0</v>
      </c>
      <c r="J3836" s="1">
        <v>324940</v>
      </c>
      <c r="K3836" s="1">
        <v>80176.320000000007</v>
      </c>
      <c r="L3836" s="1" t="s">
        <v>70</v>
      </c>
      <c r="M3836" s="1" t="str">
        <f>TEXT(Table1[[#This Row],[Order Date]],"mmm")</f>
        <v>Nov</v>
      </c>
      <c r="N3836" s="1">
        <f>YEAR(Table1[[#This Row],[Order Date]])</f>
        <v>2024</v>
      </c>
    </row>
    <row r="3837" spans="1:14" x14ac:dyDescent="0.35">
      <c r="A3837" s="1" t="s">
        <v>4632</v>
      </c>
      <c r="B3837" s="1" t="s">
        <v>231</v>
      </c>
      <c r="C3837" s="1" t="s">
        <v>640</v>
      </c>
      <c r="D3837" s="1" t="s">
        <v>78</v>
      </c>
      <c r="E3837" s="1" t="s">
        <v>28</v>
      </c>
      <c r="F3837" s="1" t="s">
        <v>78</v>
      </c>
      <c r="G3837" s="1">
        <v>3</v>
      </c>
      <c r="H3837" s="1">
        <v>27120</v>
      </c>
      <c r="I3837" s="1">
        <v>0.2</v>
      </c>
      <c r="J3837" s="1">
        <v>65088</v>
      </c>
      <c r="K3837" s="1">
        <v>9304.68</v>
      </c>
      <c r="L3837" s="1" t="s">
        <v>17</v>
      </c>
      <c r="M3837" s="1" t="str">
        <f>TEXT(Table1[[#This Row],[Order Date]],"mmm")</f>
        <v>Sep</v>
      </c>
      <c r="N3837" s="1">
        <f>YEAR(Table1[[#This Row],[Order Date]])</f>
        <v>2024</v>
      </c>
    </row>
    <row r="3838" spans="1:14" x14ac:dyDescent="0.35">
      <c r="A3838" s="1" t="s">
        <v>4633</v>
      </c>
      <c r="B3838" s="1" t="s">
        <v>582</v>
      </c>
      <c r="C3838" s="1" t="s">
        <v>191</v>
      </c>
      <c r="D3838" s="1" t="s">
        <v>78</v>
      </c>
      <c r="E3838" s="1" t="s">
        <v>28</v>
      </c>
      <c r="F3838" s="1" t="s">
        <v>78</v>
      </c>
      <c r="G3838" s="1">
        <v>4</v>
      </c>
      <c r="H3838" s="1">
        <v>53172</v>
      </c>
      <c r="I3838" s="1">
        <v>0.2</v>
      </c>
      <c r="J3838" s="1">
        <v>170150.39999999999</v>
      </c>
      <c r="K3838" s="1">
        <v>49792.56</v>
      </c>
      <c r="L3838" s="1" t="s">
        <v>45</v>
      </c>
      <c r="M3838" s="1" t="str">
        <f>TEXT(Table1[[#This Row],[Order Date]],"mmm")</f>
        <v>Apr</v>
      </c>
      <c r="N3838" s="1">
        <f>YEAR(Table1[[#This Row],[Order Date]])</f>
        <v>2024</v>
      </c>
    </row>
    <row r="3839" spans="1:14" x14ac:dyDescent="0.35">
      <c r="A3839" s="1" t="s">
        <v>4634</v>
      </c>
      <c r="B3839" s="1" t="s">
        <v>3395</v>
      </c>
      <c r="C3839" s="1" t="s">
        <v>84</v>
      </c>
      <c r="D3839" s="1" t="s">
        <v>37</v>
      </c>
      <c r="E3839" s="1" t="s">
        <v>16</v>
      </c>
      <c r="F3839" s="1" t="s">
        <v>37</v>
      </c>
      <c r="G3839" s="1">
        <v>15</v>
      </c>
      <c r="H3839" s="1">
        <v>36556</v>
      </c>
      <c r="I3839" s="1">
        <v>0</v>
      </c>
      <c r="J3839" s="1">
        <v>548340</v>
      </c>
      <c r="K3839" s="1">
        <v>110409.96</v>
      </c>
      <c r="L3839" s="1" t="s">
        <v>23</v>
      </c>
      <c r="M3839" s="1" t="str">
        <f>TEXT(Table1[[#This Row],[Order Date]],"mmm")</f>
        <v>Feb</v>
      </c>
      <c r="N3839" s="1">
        <f>YEAR(Table1[[#This Row],[Order Date]])</f>
        <v>2023</v>
      </c>
    </row>
    <row r="3840" spans="1:14" x14ac:dyDescent="0.35">
      <c r="A3840" s="1" t="s">
        <v>4635</v>
      </c>
      <c r="B3840" s="1" t="s">
        <v>19</v>
      </c>
      <c r="C3840" s="1" t="s">
        <v>59</v>
      </c>
      <c r="D3840" s="1" t="s">
        <v>224</v>
      </c>
      <c r="E3840" s="1" t="s">
        <v>33</v>
      </c>
      <c r="F3840" s="1" t="s">
        <v>224</v>
      </c>
      <c r="G3840" s="1">
        <v>4</v>
      </c>
      <c r="H3840" s="1">
        <v>35345</v>
      </c>
      <c r="I3840" s="1">
        <v>0</v>
      </c>
      <c r="J3840" s="1">
        <v>141380</v>
      </c>
      <c r="K3840" s="1">
        <v>17188.740000000002</v>
      </c>
      <c r="L3840" s="1" t="s">
        <v>23</v>
      </c>
      <c r="M3840" s="1" t="str">
        <f>TEXT(Table1[[#This Row],[Order Date]],"mmm")</f>
        <v>Jul</v>
      </c>
      <c r="N3840" s="1">
        <f>YEAR(Table1[[#This Row],[Order Date]])</f>
        <v>2023</v>
      </c>
    </row>
    <row r="3841" spans="1:14" x14ac:dyDescent="0.35">
      <c r="A3841" s="1" t="s">
        <v>4636</v>
      </c>
      <c r="B3841" s="1" t="s">
        <v>688</v>
      </c>
      <c r="C3841" s="1" t="s">
        <v>20</v>
      </c>
      <c r="D3841" s="1" t="s">
        <v>141</v>
      </c>
      <c r="E3841" s="1" t="s">
        <v>22</v>
      </c>
      <c r="F3841" s="1" t="s">
        <v>141</v>
      </c>
      <c r="G3841" s="1">
        <v>13</v>
      </c>
      <c r="H3841" s="1">
        <v>55878</v>
      </c>
      <c r="I3841" s="1">
        <v>0.15</v>
      </c>
      <c r="J3841" s="1">
        <v>617451.9</v>
      </c>
      <c r="K3841" s="1">
        <v>55679.71</v>
      </c>
      <c r="L3841" s="1" t="s">
        <v>45</v>
      </c>
      <c r="M3841" s="1" t="str">
        <f>TEXT(Table1[[#This Row],[Order Date]],"mmm")</f>
        <v>Jul</v>
      </c>
      <c r="N3841" s="1">
        <f>YEAR(Table1[[#This Row],[Order Date]])</f>
        <v>2023</v>
      </c>
    </row>
    <row r="3842" spans="1:14" x14ac:dyDescent="0.35">
      <c r="A3842" s="1" t="s">
        <v>4637</v>
      </c>
      <c r="B3842" s="1" t="s">
        <v>2667</v>
      </c>
      <c r="C3842" s="1" t="s">
        <v>59</v>
      </c>
      <c r="D3842" s="1" t="s">
        <v>91</v>
      </c>
      <c r="E3842" s="1" t="s">
        <v>16</v>
      </c>
      <c r="F3842" s="1" t="s">
        <v>91</v>
      </c>
      <c r="G3842" s="1">
        <v>12</v>
      </c>
      <c r="H3842" s="1">
        <v>48464</v>
      </c>
      <c r="I3842" s="1">
        <v>0.2</v>
      </c>
      <c r="J3842" s="1">
        <v>465254.40000000002</v>
      </c>
      <c r="K3842" s="1">
        <v>77551.02</v>
      </c>
      <c r="L3842" s="1" t="s">
        <v>70</v>
      </c>
      <c r="M3842" s="1" t="str">
        <f>TEXT(Table1[[#This Row],[Order Date]],"mmm")</f>
        <v>Jul</v>
      </c>
      <c r="N3842" s="1">
        <f>YEAR(Table1[[#This Row],[Order Date]])</f>
        <v>2023</v>
      </c>
    </row>
    <row r="3843" spans="1:14" x14ac:dyDescent="0.35">
      <c r="A3843" s="1" t="s">
        <v>4638</v>
      </c>
      <c r="B3843" s="1" t="s">
        <v>684</v>
      </c>
      <c r="C3843" s="1" t="s">
        <v>200</v>
      </c>
      <c r="D3843" s="1" t="s">
        <v>78</v>
      </c>
      <c r="E3843" s="1" t="s">
        <v>28</v>
      </c>
      <c r="F3843" s="1" t="s">
        <v>78</v>
      </c>
      <c r="G3843" s="1">
        <v>11</v>
      </c>
      <c r="H3843" s="1">
        <v>3156</v>
      </c>
      <c r="I3843" s="1">
        <v>0.2</v>
      </c>
      <c r="J3843" s="1">
        <v>27772.799999999999</v>
      </c>
      <c r="K3843" s="1">
        <v>8022.15</v>
      </c>
      <c r="L3843" s="1" t="s">
        <v>17</v>
      </c>
      <c r="M3843" s="1" t="str">
        <f>TEXT(Table1[[#This Row],[Order Date]],"mmm")</f>
        <v>May</v>
      </c>
      <c r="N3843" s="1">
        <f>YEAR(Table1[[#This Row],[Order Date]])</f>
        <v>2024</v>
      </c>
    </row>
    <row r="3844" spans="1:14" x14ac:dyDescent="0.35">
      <c r="A3844" s="1" t="s">
        <v>4639</v>
      </c>
      <c r="B3844" s="1" t="s">
        <v>93</v>
      </c>
      <c r="C3844" s="1" t="s">
        <v>88</v>
      </c>
      <c r="D3844" s="1" t="s">
        <v>48</v>
      </c>
      <c r="E3844" s="1" t="s">
        <v>16</v>
      </c>
      <c r="F3844" s="1" t="s">
        <v>48</v>
      </c>
      <c r="G3844" s="1">
        <v>2</v>
      </c>
      <c r="H3844" s="1">
        <v>30127</v>
      </c>
      <c r="I3844" s="1">
        <v>0.2</v>
      </c>
      <c r="J3844" s="1">
        <v>48203.199999999997</v>
      </c>
      <c r="K3844" s="1">
        <v>5086.4399999999996</v>
      </c>
      <c r="L3844" s="1" t="s">
        <v>45</v>
      </c>
      <c r="M3844" s="1" t="str">
        <f>TEXT(Table1[[#This Row],[Order Date]],"mmm")</f>
        <v>Mar</v>
      </c>
      <c r="N3844" s="1">
        <f>YEAR(Table1[[#This Row],[Order Date]])</f>
        <v>2024</v>
      </c>
    </row>
    <row r="3845" spans="1:14" x14ac:dyDescent="0.35">
      <c r="A3845" s="1" t="s">
        <v>4640</v>
      </c>
      <c r="B3845" s="1" t="s">
        <v>501</v>
      </c>
      <c r="C3845" s="1" t="s">
        <v>55</v>
      </c>
      <c r="D3845" s="1" t="s">
        <v>114</v>
      </c>
      <c r="E3845" s="1" t="s">
        <v>16</v>
      </c>
      <c r="F3845" s="1" t="s">
        <v>114</v>
      </c>
      <c r="G3845" s="1">
        <v>13</v>
      </c>
      <c r="H3845" s="1">
        <v>1617</v>
      </c>
      <c r="I3845" s="1">
        <v>0.1</v>
      </c>
      <c r="J3845" s="1">
        <v>18918.900000000001</v>
      </c>
      <c r="K3845" s="1">
        <v>2964.62</v>
      </c>
      <c r="L3845" s="1" t="s">
        <v>45</v>
      </c>
      <c r="M3845" s="1" t="str">
        <f>TEXT(Table1[[#This Row],[Order Date]],"mmm")</f>
        <v>Nov</v>
      </c>
      <c r="N3845" s="1">
        <f>YEAR(Table1[[#This Row],[Order Date]])</f>
        <v>2024</v>
      </c>
    </row>
    <row r="3846" spans="1:14" x14ac:dyDescent="0.35">
      <c r="A3846" s="1" t="s">
        <v>4641</v>
      </c>
      <c r="B3846" s="1" t="s">
        <v>1282</v>
      </c>
      <c r="C3846" s="1" t="s">
        <v>67</v>
      </c>
      <c r="D3846" s="1" t="s">
        <v>64</v>
      </c>
      <c r="E3846" s="1" t="s">
        <v>33</v>
      </c>
      <c r="F3846" s="1" t="s">
        <v>64</v>
      </c>
      <c r="G3846" s="1">
        <v>1</v>
      </c>
      <c r="H3846" s="1">
        <v>35655</v>
      </c>
      <c r="I3846" s="1">
        <v>0.15</v>
      </c>
      <c r="J3846" s="1">
        <v>30306.75</v>
      </c>
      <c r="K3846" s="1">
        <v>2679.67</v>
      </c>
      <c r="L3846" s="1" t="s">
        <v>17</v>
      </c>
      <c r="M3846" s="1" t="str">
        <f>TEXT(Table1[[#This Row],[Order Date]],"mmm")</f>
        <v>Sep</v>
      </c>
      <c r="N3846" s="1">
        <f>YEAR(Table1[[#This Row],[Order Date]])</f>
        <v>2023</v>
      </c>
    </row>
    <row r="3847" spans="1:14" x14ac:dyDescent="0.35">
      <c r="A3847" s="1" t="s">
        <v>4642</v>
      </c>
      <c r="B3847" s="1" t="s">
        <v>282</v>
      </c>
      <c r="C3847" s="1" t="s">
        <v>178</v>
      </c>
      <c r="D3847" s="1" t="s">
        <v>85</v>
      </c>
      <c r="E3847" s="1" t="s">
        <v>28</v>
      </c>
      <c r="F3847" s="1" t="s">
        <v>85</v>
      </c>
      <c r="G3847" s="1">
        <v>12</v>
      </c>
      <c r="H3847" s="1">
        <v>42574</v>
      </c>
      <c r="I3847" s="1">
        <v>0.2</v>
      </c>
      <c r="J3847" s="1">
        <v>408710.40000000002</v>
      </c>
      <c r="K3847" s="1">
        <v>94836.64</v>
      </c>
      <c r="L3847" s="1" t="s">
        <v>23</v>
      </c>
      <c r="M3847" s="1" t="str">
        <f>TEXT(Table1[[#This Row],[Order Date]],"mmm")</f>
        <v>Nov</v>
      </c>
      <c r="N3847" s="1">
        <f>YEAR(Table1[[#This Row],[Order Date]])</f>
        <v>2024</v>
      </c>
    </row>
    <row r="3848" spans="1:14" x14ac:dyDescent="0.35">
      <c r="A3848" s="1" t="s">
        <v>4643</v>
      </c>
      <c r="B3848" s="1" t="s">
        <v>875</v>
      </c>
      <c r="C3848" s="1" t="s">
        <v>101</v>
      </c>
      <c r="D3848" s="1" t="s">
        <v>21</v>
      </c>
      <c r="E3848" s="1" t="s">
        <v>22</v>
      </c>
      <c r="F3848" s="1" t="s">
        <v>21</v>
      </c>
      <c r="G3848" s="1">
        <v>15</v>
      </c>
      <c r="H3848" s="1">
        <v>6261</v>
      </c>
      <c r="I3848" s="1">
        <v>0.15</v>
      </c>
      <c r="J3848" s="1">
        <v>79827.75</v>
      </c>
      <c r="K3848" s="1">
        <v>7274.04</v>
      </c>
      <c r="L3848" s="1" t="s">
        <v>23</v>
      </c>
      <c r="M3848" s="1" t="str">
        <f>TEXT(Table1[[#This Row],[Order Date]],"mmm")</f>
        <v>Mar</v>
      </c>
      <c r="N3848" s="1">
        <f>YEAR(Table1[[#This Row],[Order Date]])</f>
        <v>2024</v>
      </c>
    </row>
    <row r="3849" spans="1:14" x14ac:dyDescent="0.35">
      <c r="A3849" s="1" t="s">
        <v>4644</v>
      </c>
      <c r="B3849" s="1" t="s">
        <v>331</v>
      </c>
      <c r="C3849" s="1" t="s">
        <v>63</v>
      </c>
      <c r="D3849" s="1" t="s">
        <v>44</v>
      </c>
      <c r="E3849" s="1" t="s">
        <v>28</v>
      </c>
      <c r="F3849" s="1" t="s">
        <v>44</v>
      </c>
      <c r="G3849" s="1">
        <v>11</v>
      </c>
      <c r="H3849" s="1">
        <v>57613</v>
      </c>
      <c r="I3849" s="1">
        <v>0.1</v>
      </c>
      <c r="J3849" s="1">
        <v>570368.69999999995</v>
      </c>
      <c r="K3849" s="1">
        <v>105295.83</v>
      </c>
      <c r="L3849" s="1" t="s">
        <v>45</v>
      </c>
      <c r="M3849" s="1" t="str">
        <f>TEXT(Table1[[#This Row],[Order Date]],"mmm")</f>
        <v>Oct</v>
      </c>
      <c r="N3849" s="1">
        <f>YEAR(Table1[[#This Row],[Order Date]])</f>
        <v>2024</v>
      </c>
    </row>
    <row r="3850" spans="1:14" x14ac:dyDescent="0.35">
      <c r="A3850" s="1" t="s">
        <v>4645</v>
      </c>
      <c r="B3850" s="1" t="s">
        <v>2009</v>
      </c>
      <c r="C3850" s="1" t="s">
        <v>94</v>
      </c>
      <c r="D3850" s="1" t="s">
        <v>137</v>
      </c>
      <c r="E3850" s="1" t="s">
        <v>22</v>
      </c>
      <c r="F3850" s="1" t="s">
        <v>137</v>
      </c>
      <c r="G3850" s="1">
        <v>1</v>
      </c>
      <c r="H3850" s="1">
        <v>25208</v>
      </c>
      <c r="I3850" s="1">
        <v>0.1</v>
      </c>
      <c r="J3850" s="1">
        <v>22687.200000000001</v>
      </c>
      <c r="K3850" s="1">
        <v>4523.25</v>
      </c>
      <c r="L3850" s="1" t="s">
        <v>70</v>
      </c>
      <c r="M3850" s="1" t="str">
        <f>TEXT(Table1[[#This Row],[Order Date]],"mmm")</f>
        <v>Jun</v>
      </c>
      <c r="N3850" s="1">
        <f>YEAR(Table1[[#This Row],[Order Date]])</f>
        <v>2024</v>
      </c>
    </row>
    <row r="3851" spans="1:14" x14ac:dyDescent="0.35">
      <c r="A3851" s="1" t="s">
        <v>4646</v>
      </c>
      <c r="B3851" s="1" t="s">
        <v>760</v>
      </c>
      <c r="C3851" s="1" t="s">
        <v>155</v>
      </c>
      <c r="D3851" s="1" t="s">
        <v>323</v>
      </c>
      <c r="E3851" s="1" t="s">
        <v>33</v>
      </c>
      <c r="F3851" s="1" t="s">
        <v>323</v>
      </c>
      <c r="G3851" s="1">
        <v>8</v>
      </c>
      <c r="H3851" s="1">
        <v>26938</v>
      </c>
      <c r="I3851" s="1">
        <v>0.05</v>
      </c>
      <c r="J3851" s="1">
        <v>204728.8</v>
      </c>
      <c r="K3851" s="1">
        <v>28816.080000000002</v>
      </c>
      <c r="L3851" s="1" t="s">
        <v>23</v>
      </c>
      <c r="M3851" s="1" t="str">
        <f>TEXT(Table1[[#This Row],[Order Date]],"mmm")</f>
        <v>Jan</v>
      </c>
      <c r="N3851" s="1">
        <f>YEAR(Table1[[#This Row],[Order Date]])</f>
        <v>2023</v>
      </c>
    </row>
    <row r="3852" spans="1:14" x14ac:dyDescent="0.35">
      <c r="A3852" s="1" t="s">
        <v>4647</v>
      </c>
      <c r="B3852" s="1" t="s">
        <v>1389</v>
      </c>
      <c r="C3852" s="1" t="s">
        <v>36</v>
      </c>
      <c r="D3852" s="1" t="s">
        <v>44</v>
      </c>
      <c r="E3852" s="1" t="s">
        <v>28</v>
      </c>
      <c r="F3852" s="1" t="s">
        <v>44</v>
      </c>
      <c r="G3852" s="1">
        <v>4</v>
      </c>
      <c r="H3852" s="1">
        <v>34854</v>
      </c>
      <c r="I3852" s="1">
        <v>0.05</v>
      </c>
      <c r="J3852" s="1">
        <v>132445.20000000001</v>
      </c>
      <c r="K3852" s="1">
        <v>37772.230000000003</v>
      </c>
      <c r="L3852" s="1" t="s">
        <v>45</v>
      </c>
      <c r="M3852" s="1" t="str">
        <f>TEXT(Table1[[#This Row],[Order Date]],"mmm")</f>
        <v>Apr</v>
      </c>
      <c r="N3852" s="1">
        <f>YEAR(Table1[[#This Row],[Order Date]])</f>
        <v>2023</v>
      </c>
    </row>
    <row r="3853" spans="1:14" x14ac:dyDescent="0.35">
      <c r="A3853" s="1" t="s">
        <v>4648</v>
      </c>
      <c r="B3853" s="1" t="s">
        <v>996</v>
      </c>
      <c r="C3853" s="1" t="s">
        <v>59</v>
      </c>
      <c r="D3853" s="1" t="s">
        <v>141</v>
      </c>
      <c r="E3853" s="1" t="s">
        <v>22</v>
      </c>
      <c r="F3853" s="1" t="s">
        <v>141</v>
      </c>
      <c r="G3853" s="1">
        <v>4</v>
      </c>
      <c r="H3853" s="1">
        <v>57284</v>
      </c>
      <c r="I3853" s="1">
        <v>0</v>
      </c>
      <c r="J3853" s="1">
        <v>229136</v>
      </c>
      <c r="K3853" s="1">
        <v>22826.82</v>
      </c>
      <c r="L3853" s="1" t="s">
        <v>70</v>
      </c>
      <c r="M3853" s="1" t="str">
        <f>TEXT(Table1[[#This Row],[Order Date]],"mmm")</f>
        <v>Feb</v>
      </c>
      <c r="N3853" s="1">
        <f>YEAR(Table1[[#This Row],[Order Date]])</f>
        <v>2024</v>
      </c>
    </row>
    <row r="3854" spans="1:14" x14ac:dyDescent="0.35">
      <c r="A3854" s="1" t="s">
        <v>4649</v>
      </c>
      <c r="B3854" s="1" t="s">
        <v>901</v>
      </c>
      <c r="C3854" s="1" t="s">
        <v>59</v>
      </c>
      <c r="D3854" s="1" t="s">
        <v>91</v>
      </c>
      <c r="E3854" s="1" t="s">
        <v>16</v>
      </c>
      <c r="F3854" s="1" t="s">
        <v>91</v>
      </c>
      <c r="G3854" s="1">
        <v>7</v>
      </c>
      <c r="H3854" s="1">
        <v>26940</v>
      </c>
      <c r="I3854" s="1">
        <v>0.2</v>
      </c>
      <c r="J3854" s="1">
        <v>150864</v>
      </c>
      <c r="K3854" s="1">
        <v>23894.27</v>
      </c>
      <c r="L3854" s="1" t="s">
        <v>23</v>
      </c>
      <c r="M3854" s="1" t="str">
        <f>TEXT(Table1[[#This Row],[Order Date]],"mmm")</f>
        <v>May</v>
      </c>
      <c r="N3854" s="1">
        <f>YEAR(Table1[[#This Row],[Order Date]])</f>
        <v>2023</v>
      </c>
    </row>
    <row r="3855" spans="1:14" x14ac:dyDescent="0.35">
      <c r="A3855" s="1" t="s">
        <v>4650</v>
      </c>
      <c r="B3855" s="1" t="s">
        <v>650</v>
      </c>
      <c r="C3855" s="1" t="s">
        <v>208</v>
      </c>
      <c r="D3855" s="1" t="s">
        <v>137</v>
      </c>
      <c r="E3855" s="1" t="s">
        <v>22</v>
      </c>
      <c r="F3855" s="1" t="s">
        <v>137</v>
      </c>
      <c r="G3855" s="1">
        <v>3</v>
      </c>
      <c r="H3855" s="1">
        <v>20832</v>
      </c>
      <c r="I3855" s="1">
        <v>0</v>
      </c>
      <c r="J3855" s="1">
        <v>62496</v>
      </c>
      <c r="K3855" s="1">
        <v>10365.280000000001</v>
      </c>
      <c r="L3855" s="1" t="s">
        <v>23</v>
      </c>
      <c r="M3855" s="1" t="str">
        <f>TEXT(Table1[[#This Row],[Order Date]],"mmm")</f>
        <v>Jun</v>
      </c>
      <c r="N3855" s="1">
        <f>YEAR(Table1[[#This Row],[Order Date]])</f>
        <v>2023</v>
      </c>
    </row>
    <row r="3856" spans="1:14" x14ac:dyDescent="0.35">
      <c r="A3856" s="1" t="s">
        <v>4651</v>
      </c>
      <c r="B3856" s="1" t="s">
        <v>1427</v>
      </c>
      <c r="C3856" s="1" t="s">
        <v>88</v>
      </c>
      <c r="D3856" s="1" t="s">
        <v>27</v>
      </c>
      <c r="E3856" s="1" t="s">
        <v>28</v>
      </c>
      <c r="F3856" s="1" t="s">
        <v>27</v>
      </c>
      <c r="G3856" s="1">
        <v>11</v>
      </c>
      <c r="H3856" s="1">
        <v>28630</v>
      </c>
      <c r="I3856" s="1">
        <v>0.05</v>
      </c>
      <c r="J3856" s="1">
        <v>299183.5</v>
      </c>
      <c r="K3856" s="1">
        <v>52015.34</v>
      </c>
      <c r="L3856" s="1" t="s">
        <v>17</v>
      </c>
      <c r="M3856" s="1" t="str">
        <f>TEXT(Table1[[#This Row],[Order Date]],"mmm")</f>
        <v>Oct</v>
      </c>
      <c r="N3856" s="1">
        <f>YEAR(Table1[[#This Row],[Order Date]])</f>
        <v>2024</v>
      </c>
    </row>
    <row r="3857" spans="1:14" x14ac:dyDescent="0.35">
      <c r="A3857" s="1" t="s">
        <v>4652</v>
      </c>
      <c r="B3857" s="1" t="s">
        <v>1109</v>
      </c>
      <c r="C3857" s="1" t="s">
        <v>332</v>
      </c>
      <c r="D3857" s="1" t="s">
        <v>32</v>
      </c>
      <c r="E3857" s="1" t="s">
        <v>33</v>
      </c>
      <c r="F3857" s="1" t="s">
        <v>32</v>
      </c>
      <c r="G3857" s="1">
        <v>3</v>
      </c>
      <c r="H3857" s="1">
        <v>916</v>
      </c>
      <c r="I3857" s="1">
        <v>0.2</v>
      </c>
      <c r="J3857" s="1">
        <v>2198.4</v>
      </c>
      <c r="K3857" s="1">
        <v>315.27999999999997</v>
      </c>
      <c r="L3857" s="1" t="s">
        <v>17</v>
      </c>
      <c r="M3857" s="1" t="str">
        <f>TEXT(Table1[[#This Row],[Order Date]],"mmm")</f>
        <v>Nov</v>
      </c>
      <c r="N3857" s="1">
        <f>YEAR(Table1[[#This Row],[Order Date]])</f>
        <v>2023</v>
      </c>
    </row>
    <row r="3858" spans="1:14" x14ac:dyDescent="0.35">
      <c r="A3858" s="1" t="s">
        <v>4653</v>
      </c>
      <c r="B3858" s="1" t="s">
        <v>916</v>
      </c>
      <c r="C3858" s="1" t="s">
        <v>67</v>
      </c>
      <c r="D3858" s="1" t="s">
        <v>48</v>
      </c>
      <c r="E3858" s="1" t="s">
        <v>16</v>
      </c>
      <c r="F3858" s="1" t="s">
        <v>48</v>
      </c>
      <c r="G3858" s="1">
        <v>1</v>
      </c>
      <c r="H3858" s="1">
        <v>1623</v>
      </c>
      <c r="I3858" s="1">
        <v>0.15</v>
      </c>
      <c r="J3858" s="1">
        <v>1379.55</v>
      </c>
      <c r="K3858" s="1">
        <v>352.45</v>
      </c>
      <c r="L3858" s="1" t="s">
        <v>45</v>
      </c>
      <c r="M3858" s="1" t="str">
        <f>TEXT(Table1[[#This Row],[Order Date]],"mmm")</f>
        <v>Sep</v>
      </c>
      <c r="N3858" s="1">
        <f>YEAR(Table1[[#This Row],[Order Date]])</f>
        <v>2023</v>
      </c>
    </row>
    <row r="3859" spans="1:14" x14ac:dyDescent="0.35">
      <c r="A3859" s="1" t="s">
        <v>4654</v>
      </c>
      <c r="B3859" s="1" t="s">
        <v>1598</v>
      </c>
      <c r="C3859" s="1" t="s">
        <v>117</v>
      </c>
      <c r="D3859" s="1" t="s">
        <v>74</v>
      </c>
      <c r="E3859" s="1" t="s">
        <v>22</v>
      </c>
      <c r="F3859" s="1" t="s">
        <v>74</v>
      </c>
      <c r="G3859" s="1">
        <v>8</v>
      </c>
      <c r="H3859" s="1">
        <v>3782</v>
      </c>
      <c r="I3859" s="1">
        <v>0.05</v>
      </c>
      <c r="J3859" s="1">
        <v>28743.200000000001</v>
      </c>
      <c r="K3859" s="1">
        <v>8405.51</v>
      </c>
      <c r="L3859" s="1" t="s">
        <v>23</v>
      </c>
      <c r="M3859" s="1" t="str">
        <f>TEXT(Table1[[#This Row],[Order Date]],"mmm")</f>
        <v>Sep</v>
      </c>
      <c r="N3859" s="1">
        <f>YEAR(Table1[[#This Row],[Order Date]])</f>
        <v>2023</v>
      </c>
    </row>
    <row r="3860" spans="1:14" x14ac:dyDescent="0.35">
      <c r="A3860" s="1" t="s">
        <v>4655</v>
      </c>
      <c r="B3860" s="1" t="s">
        <v>952</v>
      </c>
      <c r="C3860" s="1" t="s">
        <v>370</v>
      </c>
      <c r="D3860" s="1" t="s">
        <v>78</v>
      </c>
      <c r="E3860" s="1" t="s">
        <v>28</v>
      </c>
      <c r="F3860" s="1" t="s">
        <v>78</v>
      </c>
      <c r="G3860" s="1">
        <v>9</v>
      </c>
      <c r="H3860" s="1">
        <v>35323</v>
      </c>
      <c r="I3860" s="1">
        <v>0.15</v>
      </c>
      <c r="J3860" s="1">
        <v>270220.95</v>
      </c>
      <c r="K3860" s="1">
        <v>23527.279999999999</v>
      </c>
      <c r="L3860" s="1" t="s">
        <v>17</v>
      </c>
      <c r="M3860" s="1" t="str">
        <f>TEXT(Table1[[#This Row],[Order Date]],"mmm")</f>
        <v>Oct</v>
      </c>
      <c r="N3860" s="1">
        <f>YEAR(Table1[[#This Row],[Order Date]])</f>
        <v>2023</v>
      </c>
    </row>
    <row r="3861" spans="1:14" x14ac:dyDescent="0.35">
      <c r="A3861" s="1" t="s">
        <v>4656</v>
      </c>
      <c r="B3861" s="1" t="s">
        <v>1354</v>
      </c>
      <c r="C3861" s="1" t="s">
        <v>208</v>
      </c>
      <c r="D3861" s="1" t="s">
        <v>15</v>
      </c>
      <c r="E3861" s="1" t="s">
        <v>16</v>
      </c>
      <c r="F3861" s="1" t="s">
        <v>15</v>
      </c>
      <c r="G3861" s="1">
        <v>15</v>
      </c>
      <c r="H3861" s="1">
        <v>19694</v>
      </c>
      <c r="I3861" s="1">
        <v>0.1</v>
      </c>
      <c r="J3861" s="1">
        <v>265869</v>
      </c>
      <c r="K3861" s="1">
        <v>64272.15</v>
      </c>
      <c r="L3861" s="1" t="s">
        <v>23</v>
      </c>
      <c r="M3861" s="1" t="str">
        <f>TEXT(Table1[[#This Row],[Order Date]],"mmm")</f>
        <v>Aug</v>
      </c>
      <c r="N3861" s="1">
        <f>YEAR(Table1[[#This Row],[Order Date]])</f>
        <v>2024</v>
      </c>
    </row>
    <row r="3862" spans="1:14" x14ac:dyDescent="0.35">
      <c r="A3862" s="1" t="s">
        <v>4657</v>
      </c>
      <c r="B3862" s="1" t="s">
        <v>3119</v>
      </c>
      <c r="C3862" s="1" t="s">
        <v>128</v>
      </c>
      <c r="D3862" s="1" t="s">
        <v>167</v>
      </c>
      <c r="E3862" s="1" t="s">
        <v>16</v>
      </c>
      <c r="F3862" s="1" t="s">
        <v>167</v>
      </c>
      <c r="G3862" s="1">
        <v>4</v>
      </c>
      <c r="H3862" s="1">
        <v>39526</v>
      </c>
      <c r="I3862" s="1">
        <v>0</v>
      </c>
      <c r="J3862" s="1">
        <v>158104</v>
      </c>
      <c r="K3862" s="1">
        <v>23804.73</v>
      </c>
      <c r="L3862" s="1" t="s">
        <v>70</v>
      </c>
      <c r="M3862" s="1" t="str">
        <f>TEXT(Table1[[#This Row],[Order Date]],"mmm")</f>
        <v>Apr</v>
      </c>
      <c r="N3862" s="1">
        <f>YEAR(Table1[[#This Row],[Order Date]])</f>
        <v>2024</v>
      </c>
    </row>
    <row r="3863" spans="1:14" x14ac:dyDescent="0.35">
      <c r="A3863" s="1" t="s">
        <v>4658</v>
      </c>
      <c r="B3863" s="1" t="s">
        <v>829</v>
      </c>
      <c r="C3863" s="1" t="s">
        <v>162</v>
      </c>
      <c r="D3863" s="1" t="s">
        <v>95</v>
      </c>
      <c r="E3863" s="1" t="s">
        <v>33</v>
      </c>
      <c r="F3863" s="1" t="s">
        <v>95</v>
      </c>
      <c r="G3863" s="1">
        <v>15</v>
      </c>
      <c r="H3863" s="1">
        <v>42818</v>
      </c>
      <c r="I3863" s="1">
        <v>0.2</v>
      </c>
      <c r="J3863" s="1">
        <v>513816</v>
      </c>
      <c r="K3863" s="1">
        <v>81166.52</v>
      </c>
      <c r="L3863" s="1" t="s">
        <v>23</v>
      </c>
      <c r="M3863" s="1" t="str">
        <f>TEXT(Table1[[#This Row],[Order Date]],"mmm")</f>
        <v>Aug</v>
      </c>
      <c r="N3863" s="1">
        <f>YEAR(Table1[[#This Row],[Order Date]])</f>
        <v>2024</v>
      </c>
    </row>
    <row r="3864" spans="1:14" x14ac:dyDescent="0.35">
      <c r="A3864" s="1" t="s">
        <v>4659</v>
      </c>
      <c r="B3864" s="1" t="s">
        <v>1907</v>
      </c>
      <c r="C3864" s="1" t="s">
        <v>370</v>
      </c>
      <c r="D3864" s="1" t="s">
        <v>64</v>
      </c>
      <c r="E3864" s="1" t="s">
        <v>33</v>
      </c>
      <c r="F3864" s="1" t="s">
        <v>64</v>
      </c>
      <c r="G3864" s="1">
        <v>14</v>
      </c>
      <c r="H3864" s="1">
        <v>4538</v>
      </c>
      <c r="I3864" s="1">
        <v>0.15</v>
      </c>
      <c r="J3864" s="1">
        <v>54002.2</v>
      </c>
      <c r="K3864" s="1">
        <v>11685.35</v>
      </c>
      <c r="L3864" s="1" t="s">
        <v>23</v>
      </c>
      <c r="M3864" s="1" t="str">
        <f>TEXT(Table1[[#This Row],[Order Date]],"mmm")</f>
        <v>Jan</v>
      </c>
      <c r="N3864" s="1">
        <f>YEAR(Table1[[#This Row],[Order Date]])</f>
        <v>2024</v>
      </c>
    </row>
    <row r="3865" spans="1:14" x14ac:dyDescent="0.35">
      <c r="A3865" s="1" t="s">
        <v>4660</v>
      </c>
      <c r="B3865" s="1" t="s">
        <v>272</v>
      </c>
      <c r="C3865" s="1" t="s">
        <v>332</v>
      </c>
      <c r="D3865" s="1" t="s">
        <v>293</v>
      </c>
      <c r="E3865" s="1" t="s">
        <v>33</v>
      </c>
      <c r="F3865" s="1" t="s">
        <v>293</v>
      </c>
      <c r="G3865" s="1">
        <v>1</v>
      </c>
      <c r="H3865" s="1">
        <v>26951</v>
      </c>
      <c r="I3865" s="1">
        <v>0.15</v>
      </c>
      <c r="J3865" s="1">
        <v>22908.35</v>
      </c>
      <c r="K3865" s="1">
        <v>3827.89</v>
      </c>
      <c r="L3865" s="1" t="s">
        <v>70</v>
      </c>
      <c r="M3865" s="1" t="str">
        <f>TEXT(Table1[[#This Row],[Order Date]],"mmm")</f>
        <v>Jun</v>
      </c>
      <c r="N3865" s="1">
        <f>YEAR(Table1[[#This Row],[Order Date]])</f>
        <v>2023</v>
      </c>
    </row>
    <row r="3866" spans="1:14" x14ac:dyDescent="0.35">
      <c r="A3866" s="1" t="s">
        <v>4661</v>
      </c>
      <c r="B3866" s="1" t="s">
        <v>989</v>
      </c>
      <c r="C3866" s="1" t="s">
        <v>77</v>
      </c>
      <c r="D3866" s="1" t="s">
        <v>323</v>
      </c>
      <c r="E3866" s="1" t="s">
        <v>33</v>
      </c>
      <c r="F3866" s="1" t="s">
        <v>323</v>
      </c>
      <c r="G3866" s="1">
        <v>4</v>
      </c>
      <c r="H3866" s="1">
        <v>9400</v>
      </c>
      <c r="I3866" s="1">
        <v>0.05</v>
      </c>
      <c r="J3866" s="1">
        <v>35720</v>
      </c>
      <c r="K3866" s="1">
        <v>2857.95</v>
      </c>
      <c r="L3866" s="1" t="s">
        <v>17</v>
      </c>
      <c r="M3866" s="1" t="str">
        <f>TEXT(Table1[[#This Row],[Order Date]],"mmm")</f>
        <v>Oct</v>
      </c>
      <c r="N3866" s="1">
        <f>YEAR(Table1[[#This Row],[Order Date]])</f>
        <v>2024</v>
      </c>
    </row>
    <row r="3867" spans="1:14" x14ac:dyDescent="0.35">
      <c r="A3867" s="1" t="s">
        <v>4662</v>
      </c>
      <c r="B3867" s="1" t="s">
        <v>217</v>
      </c>
      <c r="C3867" s="1" t="s">
        <v>332</v>
      </c>
      <c r="D3867" s="1" t="s">
        <v>32</v>
      </c>
      <c r="E3867" s="1" t="s">
        <v>33</v>
      </c>
      <c r="F3867" s="1" t="s">
        <v>32</v>
      </c>
      <c r="G3867" s="1">
        <v>9</v>
      </c>
      <c r="H3867" s="1">
        <v>7352</v>
      </c>
      <c r="I3867" s="1">
        <v>0</v>
      </c>
      <c r="J3867" s="1">
        <v>66168</v>
      </c>
      <c r="K3867" s="1">
        <v>14347.4</v>
      </c>
      <c r="L3867" s="1" t="s">
        <v>17</v>
      </c>
      <c r="M3867" s="1" t="str">
        <f>TEXT(Table1[[#This Row],[Order Date]],"mmm")</f>
        <v>Sep</v>
      </c>
      <c r="N3867" s="1">
        <f>YEAR(Table1[[#This Row],[Order Date]])</f>
        <v>2023</v>
      </c>
    </row>
    <row r="3868" spans="1:14" x14ac:dyDescent="0.35">
      <c r="A3868" s="1" t="s">
        <v>4663</v>
      </c>
      <c r="B3868" s="1" t="s">
        <v>413</v>
      </c>
      <c r="C3868" s="1" t="s">
        <v>120</v>
      </c>
      <c r="D3868" s="1" t="s">
        <v>37</v>
      </c>
      <c r="E3868" s="1" t="s">
        <v>16</v>
      </c>
      <c r="F3868" s="1" t="s">
        <v>37</v>
      </c>
      <c r="G3868" s="1">
        <v>9</v>
      </c>
      <c r="H3868" s="1">
        <v>14404</v>
      </c>
      <c r="I3868" s="1">
        <v>0.2</v>
      </c>
      <c r="J3868" s="1">
        <v>103708.8</v>
      </c>
      <c r="K3868" s="1">
        <v>14506.61</v>
      </c>
      <c r="L3868" s="1" t="s">
        <v>23</v>
      </c>
      <c r="M3868" s="1" t="str">
        <f>TEXT(Table1[[#This Row],[Order Date]],"mmm")</f>
        <v>May</v>
      </c>
      <c r="N3868" s="1">
        <f>YEAR(Table1[[#This Row],[Order Date]])</f>
        <v>2024</v>
      </c>
    </row>
    <row r="3869" spans="1:14" x14ac:dyDescent="0.35">
      <c r="A3869" s="1" t="s">
        <v>4664</v>
      </c>
      <c r="B3869" s="1" t="s">
        <v>1629</v>
      </c>
      <c r="C3869" s="1" t="s">
        <v>175</v>
      </c>
      <c r="D3869" s="1" t="s">
        <v>179</v>
      </c>
      <c r="E3869" s="1" t="s">
        <v>28</v>
      </c>
      <c r="F3869" s="1" t="s">
        <v>179</v>
      </c>
      <c r="G3869" s="1">
        <v>7</v>
      </c>
      <c r="H3869" s="1">
        <v>27650</v>
      </c>
      <c r="I3869" s="1">
        <v>0.1</v>
      </c>
      <c r="J3869" s="1">
        <v>174195</v>
      </c>
      <c r="K3869" s="1">
        <v>29414.13</v>
      </c>
      <c r="L3869" s="1" t="s">
        <v>70</v>
      </c>
      <c r="M3869" s="1" t="str">
        <f>TEXT(Table1[[#This Row],[Order Date]],"mmm")</f>
        <v>Jan</v>
      </c>
      <c r="N3869" s="1">
        <f>YEAR(Table1[[#This Row],[Order Date]])</f>
        <v>2023</v>
      </c>
    </row>
    <row r="3870" spans="1:14" x14ac:dyDescent="0.35">
      <c r="A3870" s="1" t="s">
        <v>4665</v>
      </c>
      <c r="B3870" s="1" t="s">
        <v>135</v>
      </c>
      <c r="C3870" s="1" t="s">
        <v>175</v>
      </c>
      <c r="D3870" s="1" t="s">
        <v>78</v>
      </c>
      <c r="E3870" s="1" t="s">
        <v>28</v>
      </c>
      <c r="F3870" s="1" t="s">
        <v>78</v>
      </c>
      <c r="G3870" s="1">
        <v>10</v>
      </c>
      <c r="H3870" s="1">
        <v>55260</v>
      </c>
      <c r="I3870" s="1">
        <v>0</v>
      </c>
      <c r="J3870" s="1">
        <v>552600</v>
      </c>
      <c r="K3870" s="1">
        <v>103787.72</v>
      </c>
      <c r="L3870" s="1" t="s">
        <v>45</v>
      </c>
      <c r="M3870" s="1" t="str">
        <f>TEXT(Table1[[#This Row],[Order Date]],"mmm")</f>
        <v>Sep</v>
      </c>
      <c r="N3870" s="1">
        <f>YEAR(Table1[[#This Row],[Order Date]])</f>
        <v>2024</v>
      </c>
    </row>
    <row r="3871" spans="1:14" x14ac:dyDescent="0.35">
      <c r="A3871" s="1" t="s">
        <v>4666</v>
      </c>
      <c r="B3871" s="1" t="s">
        <v>558</v>
      </c>
      <c r="C3871" s="1" t="s">
        <v>40</v>
      </c>
      <c r="D3871" s="1" t="s">
        <v>133</v>
      </c>
      <c r="E3871" s="1" t="s">
        <v>22</v>
      </c>
      <c r="F3871" s="1" t="s">
        <v>133</v>
      </c>
      <c r="G3871" s="1">
        <v>9</v>
      </c>
      <c r="H3871" s="1">
        <v>42705</v>
      </c>
      <c r="I3871" s="1">
        <v>0.1</v>
      </c>
      <c r="J3871" s="1">
        <v>345910.5</v>
      </c>
      <c r="K3871" s="1">
        <v>76813.73</v>
      </c>
      <c r="L3871" s="1" t="s">
        <v>17</v>
      </c>
      <c r="M3871" s="1" t="str">
        <f>TEXT(Table1[[#This Row],[Order Date]],"mmm")</f>
        <v>Nov</v>
      </c>
      <c r="N3871" s="1">
        <f>YEAR(Table1[[#This Row],[Order Date]])</f>
        <v>2023</v>
      </c>
    </row>
    <row r="3872" spans="1:14" x14ac:dyDescent="0.35">
      <c r="A3872" s="1" t="s">
        <v>4667</v>
      </c>
      <c r="B3872" s="1" t="s">
        <v>215</v>
      </c>
      <c r="C3872" s="1" t="s">
        <v>170</v>
      </c>
      <c r="D3872" s="1" t="s">
        <v>95</v>
      </c>
      <c r="E3872" s="1" t="s">
        <v>33</v>
      </c>
      <c r="F3872" s="1" t="s">
        <v>95</v>
      </c>
      <c r="G3872" s="1">
        <v>8</v>
      </c>
      <c r="H3872" s="1">
        <v>49175</v>
      </c>
      <c r="I3872" s="1">
        <v>0.2</v>
      </c>
      <c r="J3872" s="1">
        <v>314720</v>
      </c>
      <c r="K3872" s="1">
        <v>64962.15</v>
      </c>
      <c r="L3872" s="1" t="s">
        <v>45</v>
      </c>
      <c r="M3872" s="1" t="str">
        <f>TEXT(Table1[[#This Row],[Order Date]],"mmm")</f>
        <v>Jul</v>
      </c>
      <c r="N3872" s="1">
        <f>YEAR(Table1[[#This Row],[Order Date]])</f>
        <v>2024</v>
      </c>
    </row>
    <row r="3873" spans="1:14" x14ac:dyDescent="0.35">
      <c r="A3873" s="1" t="s">
        <v>4668</v>
      </c>
      <c r="B3873" s="1" t="s">
        <v>127</v>
      </c>
      <c r="C3873" s="1" t="s">
        <v>107</v>
      </c>
      <c r="D3873" s="1" t="s">
        <v>48</v>
      </c>
      <c r="E3873" s="1" t="s">
        <v>16</v>
      </c>
      <c r="F3873" s="1" t="s">
        <v>48</v>
      </c>
      <c r="G3873" s="1">
        <v>9</v>
      </c>
      <c r="H3873" s="1">
        <v>5297</v>
      </c>
      <c r="I3873" s="1">
        <v>0.15</v>
      </c>
      <c r="J3873" s="1">
        <v>40522.050000000003</v>
      </c>
      <c r="K3873" s="1">
        <v>5230.51</v>
      </c>
      <c r="L3873" s="1" t="s">
        <v>45</v>
      </c>
      <c r="M3873" s="1" t="str">
        <f>TEXT(Table1[[#This Row],[Order Date]],"mmm")</f>
        <v>Nov</v>
      </c>
      <c r="N3873" s="1">
        <f>YEAR(Table1[[#This Row],[Order Date]])</f>
        <v>2024</v>
      </c>
    </row>
    <row r="3874" spans="1:14" x14ac:dyDescent="0.35">
      <c r="A3874" s="1" t="s">
        <v>4669</v>
      </c>
      <c r="B3874" s="1" t="s">
        <v>3395</v>
      </c>
      <c r="C3874" s="1" t="s">
        <v>94</v>
      </c>
      <c r="D3874" s="1" t="s">
        <v>32</v>
      </c>
      <c r="E3874" s="1" t="s">
        <v>33</v>
      </c>
      <c r="F3874" s="1" t="s">
        <v>32</v>
      </c>
      <c r="G3874" s="1">
        <v>2</v>
      </c>
      <c r="H3874" s="1">
        <v>57906</v>
      </c>
      <c r="I3874" s="1">
        <v>0.1</v>
      </c>
      <c r="J3874" s="1">
        <v>104230.8</v>
      </c>
      <c r="K3874" s="1">
        <v>23639.02</v>
      </c>
      <c r="L3874" s="1" t="s">
        <v>45</v>
      </c>
      <c r="M3874" s="1" t="str">
        <f>TEXT(Table1[[#This Row],[Order Date]],"mmm")</f>
        <v>Feb</v>
      </c>
      <c r="N3874" s="1">
        <f>YEAR(Table1[[#This Row],[Order Date]])</f>
        <v>2023</v>
      </c>
    </row>
    <row r="3875" spans="1:14" x14ac:dyDescent="0.35">
      <c r="A3875" s="1" t="s">
        <v>4670</v>
      </c>
      <c r="B3875" s="1" t="s">
        <v>1113</v>
      </c>
      <c r="C3875" s="1" t="s">
        <v>178</v>
      </c>
      <c r="D3875" s="1" t="s">
        <v>37</v>
      </c>
      <c r="E3875" s="1" t="s">
        <v>16</v>
      </c>
      <c r="F3875" s="1" t="s">
        <v>37</v>
      </c>
      <c r="G3875" s="1">
        <v>6</v>
      </c>
      <c r="H3875" s="1">
        <v>10771</v>
      </c>
      <c r="I3875" s="1">
        <v>0</v>
      </c>
      <c r="J3875" s="1">
        <v>64626</v>
      </c>
      <c r="K3875" s="1">
        <v>9177.0499999999993</v>
      </c>
      <c r="L3875" s="1" t="s">
        <v>23</v>
      </c>
      <c r="M3875" s="1" t="str">
        <f>TEXT(Table1[[#This Row],[Order Date]],"mmm")</f>
        <v>Feb</v>
      </c>
      <c r="N3875" s="1">
        <f>YEAR(Table1[[#This Row],[Order Date]])</f>
        <v>2023</v>
      </c>
    </row>
    <row r="3876" spans="1:14" x14ac:dyDescent="0.35">
      <c r="A3876" s="1" t="s">
        <v>4671</v>
      </c>
      <c r="B3876" s="1" t="s">
        <v>1445</v>
      </c>
      <c r="C3876" s="1" t="s">
        <v>40</v>
      </c>
      <c r="D3876" s="1" t="s">
        <v>95</v>
      </c>
      <c r="E3876" s="1" t="s">
        <v>33</v>
      </c>
      <c r="F3876" s="1" t="s">
        <v>95</v>
      </c>
      <c r="G3876" s="1">
        <v>1</v>
      </c>
      <c r="H3876" s="1">
        <v>35706</v>
      </c>
      <c r="I3876" s="1">
        <v>0.1</v>
      </c>
      <c r="J3876" s="1">
        <v>32135.4</v>
      </c>
      <c r="K3876" s="1">
        <v>3264.53</v>
      </c>
      <c r="L3876" s="1" t="s">
        <v>45</v>
      </c>
      <c r="M3876" s="1" t="str">
        <f>TEXT(Table1[[#This Row],[Order Date]],"mmm")</f>
        <v>Jun</v>
      </c>
      <c r="N3876" s="1">
        <f>YEAR(Table1[[#This Row],[Order Date]])</f>
        <v>2023</v>
      </c>
    </row>
    <row r="3877" spans="1:14" x14ac:dyDescent="0.35">
      <c r="A3877" s="1" t="s">
        <v>4672</v>
      </c>
      <c r="B3877" s="1" t="s">
        <v>850</v>
      </c>
      <c r="C3877" s="1" t="s">
        <v>26</v>
      </c>
      <c r="D3877" s="1" t="s">
        <v>56</v>
      </c>
      <c r="E3877" s="1" t="s">
        <v>22</v>
      </c>
      <c r="F3877" s="1" t="s">
        <v>56</v>
      </c>
      <c r="G3877" s="1">
        <v>4</v>
      </c>
      <c r="H3877" s="1">
        <v>44261</v>
      </c>
      <c r="I3877" s="1">
        <v>0.05</v>
      </c>
      <c r="J3877" s="1">
        <v>168191.8</v>
      </c>
      <c r="K3877" s="1">
        <v>15076.82</v>
      </c>
      <c r="L3877" s="1" t="s">
        <v>45</v>
      </c>
      <c r="M3877" s="1" t="str">
        <f>TEXT(Table1[[#This Row],[Order Date]],"mmm")</f>
        <v>May</v>
      </c>
      <c r="N3877" s="1">
        <f>YEAR(Table1[[#This Row],[Order Date]])</f>
        <v>2024</v>
      </c>
    </row>
    <row r="3878" spans="1:14" x14ac:dyDescent="0.35">
      <c r="A3878" s="1" t="s">
        <v>4673</v>
      </c>
      <c r="B3878" s="1" t="s">
        <v>2864</v>
      </c>
      <c r="C3878" s="1" t="s">
        <v>55</v>
      </c>
      <c r="D3878" s="1" t="s">
        <v>37</v>
      </c>
      <c r="E3878" s="1" t="s">
        <v>16</v>
      </c>
      <c r="F3878" s="1" t="s">
        <v>37</v>
      </c>
      <c r="G3878" s="1">
        <v>3</v>
      </c>
      <c r="H3878" s="1">
        <v>20891</v>
      </c>
      <c r="I3878" s="1">
        <v>0.1</v>
      </c>
      <c r="J3878" s="1">
        <v>56405.7</v>
      </c>
      <c r="K3878" s="1">
        <v>12060.18</v>
      </c>
      <c r="L3878" s="1" t="s">
        <v>23</v>
      </c>
      <c r="M3878" s="1" t="str">
        <f>TEXT(Table1[[#This Row],[Order Date]],"mmm")</f>
        <v>Dec</v>
      </c>
      <c r="N3878" s="1">
        <f>YEAR(Table1[[#This Row],[Order Date]])</f>
        <v>2023</v>
      </c>
    </row>
    <row r="3879" spans="1:14" x14ac:dyDescent="0.35">
      <c r="A3879" s="1" t="s">
        <v>4674</v>
      </c>
      <c r="B3879" s="1" t="s">
        <v>381</v>
      </c>
      <c r="C3879" s="1" t="s">
        <v>507</v>
      </c>
      <c r="D3879" s="1" t="s">
        <v>323</v>
      </c>
      <c r="E3879" s="1" t="s">
        <v>33</v>
      </c>
      <c r="F3879" s="1" t="s">
        <v>323</v>
      </c>
      <c r="G3879" s="1">
        <v>2</v>
      </c>
      <c r="H3879" s="1">
        <v>55754</v>
      </c>
      <c r="I3879" s="1">
        <v>0.2</v>
      </c>
      <c r="J3879" s="1">
        <v>89206.399999999994</v>
      </c>
      <c r="K3879" s="1">
        <v>20500.43</v>
      </c>
      <c r="L3879" s="1" t="s">
        <v>70</v>
      </c>
      <c r="M3879" s="1" t="str">
        <f>TEXT(Table1[[#This Row],[Order Date]],"mmm")</f>
        <v>Dec</v>
      </c>
      <c r="N3879" s="1">
        <f>YEAR(Table1[[#This Row],[Order Date]])</f>
        <v>2023</v>
      </c>
    </row>
    <row r="3880" spans="1:14" x14ac:dyDescent="0.35">
      <c r="A3880" s="1" t="s">
        <v>4675</v>
      </c>
      <c r="B3880" s="1" t="s">
        <v>2746</v>
      </c>
      <c r="C3880" s="1" t="s">
        <v>170</v>
      </c>
      <c r="D3880" s="1" t="s">
        <v>32</v>
      </c>
      <c r="E3880" s="1" t="s">
        <v>33</v>
      </c>
      <c r="F3880" s="1" t="s">
        <v>32</v>
      </c>
      <c r="G3880" s="1">
        <v>7</v>
      </c>
      <c r="H3880" s="1">
        <v>50351</v>
      </c>
      <c r="I3880" s="1">
        <v>0</v>
      </c>
      <c r="J3880" s="1">
        <v>352457</v>
      </c>
      <c r="K3880" s="1">
        <v>28742.09</v>
      </c>
      <c r="L3880" s="1" t="s">
        <v>45</v>
      </c>
      <c r="M3880" s="1" t="str">
        <f>TEXT(Table1[[#This Row],[Order Date]],"mmm")</f>
        <v>Jan</v>
      </c>
      <c r="N3880" s="1">
        <f>YEAR(Table1[[#This Row],[Order Date]])</f>
        <v>2023</v>
      </c>
    </row>
    <row r="3881" spans="1:14" x14ac:dyDescent="0.35">
      <c r="A3881" s="1" t="s">
        <v>4676</v>
      </c>
      <c r="B3881" s="1" t="s">
        <v>1854</v>
      </c>
      <c r="C3881" s="1" t="s">
        <v>94</v>
      </c>
      <c r="D3881" s="1" t="s">
        <v>167</v>
      </c>
      <c r="E3881" s="1" t="s">
        <v>16</v>
      </c>
      <c r="F3881" s="1" t="s">
        <v>167</v>
      </c>
      <c r="G3881" s="1">
        <v>3</v>
      </c>
      <c r="H3881" s="1">
        <v>8842</v>
      </c>
      <c r="I3881" s="1">
        <v>0.05</v>
      </c>
      <c r="J3881" s="1">
        <v>25199.7</v>
      </c>
      <c r="K3881" s="1">
        <v>6813.82</v>
      </c>
      <c r="L3881" s="1" t="s">
        <v>70</v>
      </c>
      <c r="M3881" s="1" t="str">
        <f>TEXT(Table1[[#This Row],[Order Date]],"mmm")</f>
        <v>Jul</v>
      </c>
      <c r="N3881" s="1">
        <f>YEAR(Table1[[#This Row],[Order Date]])</f>
        <v>2023</v>
      </c>
    </row>
    <row r="3882" spans="1:14" x14ac:dyDescent="0.35">
      <c r="A3882" s="1" t="s">
        <v>4677</v>
      </c>
      <c r="B3882" s="1" t="s">
        <v>835</v>
      </c>
      <c r="C3882" s="1" t="s">
        <v>107</v>
      </c>
      <c r="D3882" s="1" t="s">
        <v>60</v>
      </c>
      <c r="E3882" s="1" t="s">
        <v>33</v>
      </c>
      <c r="F3882" s="1" t="s">
        <v>60</v>
      </c>
      <c r="G3882" s="1">
        <v>7</v>
      </c>
      <c r="H3882" s="1">
        <v>40960</v>
      </c>
      <c r="I3882" s="1">
        <v>0.05</v>
      </c>
      <c r="J3882" s="1">
        <v>272384</v>
      </c>
      <c r="K3882" s="1">
        <v>63915.51</v>
      </c>
      <c r="L3882" s="1" t="s">
        <v>70</v>
      </c>
      <c r="M3882" s="1" t="str">
        <f>TEXT(Table1[[#This Row],[Order Date]],"mmm")</f>
        <v>Nov</v>
      </c>
      <c r="N3882" s="1">
        <f>YEAR(Table1[[#This Row],[Order Date]])</f>
        <v>2024</v>
      </c>
    </row>
    <row r="3883" spans="1:14" x14ac:dyDescent="0.35">
      <c r="A3883" s="1" t="s">
        <v>4678</v>
      </c>
      <c r="B3883" s="1" t="s">
        <v>827</v>
      </c>
      <c r="C3883" s="1" t="s">
        <v>26</v>
      </c>
      <c r="D3883" s="1" t="s">
        <v>41</v>
      </c>
      <c r="E3883" s="1" t="s">
        <v>16</v>
      </c>
      <c r="F3883" s="1" t="s">
        <v>41</v>
      </c>
      <c r="G3883" s="1">
        <v>6</v>
      </c>
      <c r="H3883" s="1">
        <v>37339</v>
      </c>
      <c r="I3883" s="1">
        <v>0.1</v>
      </c>
      <c r="J3883" s="1">
        <v>201630.6</v>
      </c>
      <c r="K3883" s="1">
        <v>28276</v>
      </c>
      <c r="L3883" s="1" t="s">
        <v>45</v>
      </c>
      <c r="M3883" s="1" t="str">
        <f>TEXT(Table1[[#This Row],[Order Date]],"mmm")</f>
        <v>Jan</v>
      </c>
      <c r="N3883" s="1">
        <f>YEAR(Table1[[#This Row],[Order Date]])</f>
        <v>2023</v>
      </c>
    </row>
    <row r="3884" spans="1:14" x14ac:dyDescent="0.35">
      <c r="A3884" s="1" t="s">
        <v>4679</v>
      </c>
      <c r="B3884" s="1" t="s">
        <v>1188</v>
      </c>
      <c r="C3884" s="1" t="s">
        <v>63</v>
      </c>
      <c r="D3884" s="1" t="s">
        <v>44</v>
      </c>
      <c r="E3884" s="1" t="s">
        <v>28</v>
      </c>
      <c r="F3884" s="1" t="s">
        <v>44</v>
      </c>
      <c r="G3884" s="1">
        <v>2</v>
      </c>
      <c r="H3884" s="1">
        <v>52193</v>
      </c>
      <c r="I3884" s="1">
        <v>0.15</v>
      </c>
      <c r="J3884" s="1">
        <v>88728.1</v>
      </c>
      <c r="K3884" s="1">
        <v>14587.54</v>
      </c>
      <c r="L3884" s="1" t="s">
        <v>45</v>
      </c>
      <c r="M3884" s="1" t="str">
        <f>TEXT(Table1[[#This Row],[Order Date]],"mmm")</f>
        <v>Oct</v>
      </c>
      <c r="N3884" s="1">
        <f>YEAR(Table1[[#This Row],[Order Date]])</f>
        <v>2024</v>
      </c>
    </row>
    <row r="3885" spans="1:14" x14ac:dyDescent="0.35">
      <c r="A3885" s="1" t="s">
        <v>4680</v>
      </c>
      <c r="B3885" s="1" t="s">
        <v>1339</v>
      </c>
      <c r="C3885" s="1" t="s">
        <v>162</v>
      </c>
      <c r="D3885" s="1" t="s">
        <v>27</v>
      </c>
      <c r="E3885" s="1" t="s">
        <v>28</v>
      </c>
      <c r="F3885" s="1" t="s">
        <v>27</v>
      </c>
      <c r="G3885" s="1">
        <v>10</v>
      </c>
      <c r="H3885" s="1">
        <v>9153</v>
      </c>
      <c r="I3885" s="1">
        <v>0.05</v>
      </c>
      <c r="J3885" s="1">
        <v>86953.5</v>
      </c>
      <c r="K3885" s="1">
        <v>22797</v>
      </c>
      <c r="L3885" s="1" t="s">
        <v>17</v>
      </c>
      <c r="M3885" s="1" t="str">
        <f>TEXT(Table1[[#This Row],[Order Date]],"mmm")</f>
        <v>Jul</v>
      </c>
      <c r="N3885" s="1">
        <f>YEAR(Table1[[#This Row],[Order Date]])</f>
        <v>2023</v>
      </c>
    </row>
    <row r="3886" spans="1:14" x14ac:dyDescent="0.35">
      <c r="A3886" s="1" t="s">
        <v>4681</v>
      </c>
      <c r="B3886" s="1" t="s">
        <v>688</v>
      </c>
      <c r="C3886" s="1" t="s">
        <v>104</v>
      </c>
      <c r="D3886" s="1" t="s">
        <v>37</v>
      </c>
      <c r="E3886" s="1" t="s">
        <v>16</v>
      </c>
      <c r="F3886" s="1" t="s">
        <v>37</v>
      </c>
      <c r="G3886" s="1">
        <v>1</v>
      </c>
      <c r="H3886" s="1">
        <v>37091</v>
      </c>
      <c r="I3886" s="1">
        <v>0.15</v>
      </c>
      <c r="J3886" s="1">
        <v>31527.35</v>
      </c>
      <c r="K3886" s="1">
        <v>7840.47</v>
      </c>
      <c r="L3886" s="1" t="s">
        <v>45</v>
      </c>
      <c r="M3886" s="1" t="str">
        <f>TEXT(Table1[[#This Row],[Order Date]],"mmm")</f>
        <v>Jul</v>
      </c>
      <c r="N3886" s="1">
        <f>YEAR(Table1[[#This Row],[Order Date]])</f>
        <v>2023</v>
      </c>
    </row>
    <row r="3887" spans="1:14" x14ac:dyDescent="0.35">
      <c r="A3887" s="1" t="s">
        <v>4682</v>
      </c>
      <c r="B3887" s="1" t="s">
        <v>62</v>
      </c>
      <c r="C3887" s="1" t="s">
        <v>203</v>
      </c>
      <c r="D3887" s="1" t="s">
        <v>91</v>
      </c>
      <c r="E3887" s="1" t="s">
        <v>16</v>
      </c>
      <c r="F3887" s="1" t="s">
        <v>91</v>
      </c>
      <c r="G3887" s="1">
        <v>1</v>
      </c>
      <c r="H3887" s="1">
        <v>37848</v>
      </c>
      <c r="I3887" s="1">
        <v>0.1</v>
      </c>
      <c r="J3887" s="1">
        <v>34063.199999999997</v>
      </c>
      <c r="K3887" s="1">
        <v>7643.51</v>
      </c>
      <c r="L3887" s="1" t="s">
        <v>17</v>
      </c>
      <c r="M3887" s="1" t="str">
        <f>TEXT(Table1[[#This Row],[Order Date]],"mmm")</f>
        <v>Dec</v>
      </c>
      <c r="N3887" s="1">
        <f>YEAR(Table1[[#This Row],[Order Date]])</f>
        <v>2023</v>
      </c>
    </row>
    <row r="3888" spans="1:14" x14ac:dyDescent="0.35">
      <c r="A3888" s="1" t="s">
        <v>4683</v>
      </c>
      <c r="B3888" s="1" t="s">
        <v>1545</v>
      </c>
      <c r="C3888" s="1" t="s">
        <v>128</v>
      </c>
      <c r="D3888" s="1" t="s">
        <v>293</v>
      </c>
      <c r="E3888" s="1" t="s">
        <v>33</v>
      </c>
      <c r="F3888" s="1" t="s">
        <v>293</v>
      </c>
      <c r="G3888" s="1">
        <v>7</v>
      </c>
      <c r="H3888" s="1">
        <v>18257</v>
      </c>
      <c r="I3888" s="1">
        <v>0.2</v>
      </c>
      <c r="J3888" s="1">
        <v>102239.2</v>
      </c>
      <c r="K3888" s="1">
        <v>9859.85</v>
      </c>
      <c r="L3888" s="1" t="s">
        <v>17</v>
      </c>
      <c r="M3888" s="1" t="str">
        <f>TEXT(Table1[[#This Row],[Order Date]],"mmm")</f>
        <v>May</v>
      </c>
      <c r="N3888" s="1">
        <f>YEAR(Table1[[#This Row],[Order Date]])</f>
        <v>2023</v>
      </c>
    </row>
    <row r="3889" spans="1:14" x14ac:dyDescent="0.35">
      <c r="A3889" s="1" t="s">
        <v>4684</v>
      </c>
      <c r="B3889" s="1" t="s">
        <v>1563</v>
      </c>
      <c r="C3889" s="1" t="s">
        <v>117</v>
      </c>
      <c r="D3889" s="1" t="s">
        <v>32</v>
      </c>
      <c r="E3889" s="1" t="s">
        <v>33</v>
      </c>
      <c r="F3889" s="1" t="s">
        <v>32</v>
      </c>
      <c r="G3889" s="1">
        <v>1</v>
      </c>
      <c r="H3889" s="1">
        <v>42598</v>
      </c>
      <c r="I3889" s="1">
        <v>0</v>
      </c>
      <c r="J3889" s="1">
        <v>42598</v>
      </c>
      <c r="K3889" s="1">
        <v>5528.78</v>
      </c>
      <c r="L3889" s="1" t="s">
        <v>70</v>
      </c>
      <c r="M3889" s="1" t="str">
        <f>TEXT(Table1[[#This Row],[Order Date]],"mmm")</f>
        <v>Mar</v>
      </c>
      <c r="N3889" s="1">
        <f>YEAR(Table1[[#This Row],[Order Date]])</f>
        <v>2024</v>
      </c>
    </row>
    <row r="3890" spans="1:14" x14ac:dyDescent="0.35">
      <c r="A3890" s="1" t="s">
        <v>4685</v>
      </c>
      <c r="B3890" s="1" t="s">
        <v>1290</v>
      </c>
      <c r="C3890" s="1" t="s">
        <v>73</v>
      </c>
      <c r="D3890" s="1" t="s">
        <v>32</v>
      </c>
      <c r="E3890" s="1" t="s">
        <v>33</v>
      </c>
      <c r="F3890" s="1" t="s">
        <v>32</v>
      </c>
      <c r="G3890" s="1">
        <v>10</v>
      </c>
      <c r="H3890" s="1">
        <v>53381</v>
      </c>
      <c r="I3890" s="1">
        <v>0.1</v>
      </c>
      <c r="J3890" s="1">
        <v>480429</v>
      </c>
      <c r="K3890" s="1">
        <v>47574.87</v>
      </c>
      <c r="L3890" s="1" t="s">
        <v>45</v>
      </c>
      <c r="M3890" s="1" t="str">
        <f>TEXT(Table1[[#This Row],[Order Date]],"mmm")</f>
        <v>Mar</v>
      </c>
      <c r="N3890" s="1">
        <f>YEAR(Table1[[#This Row],[Order Date]])</f>
        <v>2023</v>
      </c>
    </row>
    <row r="3891" spans="1:14" x14ac:dyDescent="0.35">
      <c r="A3891" s="1" t="s">
        <v>4686</v>
      </c>
      <c r="B3891" s="1" t="s">
        <v>90</v>
      </c>
      <c r="C3891" s="1" t="s">
        <v>77</v>
      </c>
      <c r="D3891" s="1" t="s">
        <v>85</v>
      </c>
      <c r="E3891" s="1" t="s">
        <v>28</v>
      </c>
      <c r="F3891" s="1" t="s">
        <v>85</v>
      </c>
      <c r="G3891" s="1">
        <v>15</v>
      </c>
      <c r="H3891" s="1">
        <v>645</v>
      </c>
      <c r="I3891" s="1">
        <v>0.1</v>
      </c>
      <c r="J3891" s="1">
        <v>8707.5</v>
      </c>
      <c r="K3891" s="1">
        <v>1522.26</v>
      </c>
      <c r="L3891" s="1" t="s">
        <v>17</v>
      </c>
      <c r="M3891" s="1" t="str">
        <f>TEXT(Table1[[#This Row],[Order Date]],"mmm")</f>
        <v>Sep</v>
      </c>
      <c r="N3891" s="1">
        <f>YEAR(Table1[[#This Row],[Order Date]])</f>
        <v>2023</v>
      </c>
    </row>
    <row r="3892" spans="1:14" x14ac:dyDescent="0.35">
      <c r="A3892" s="1" t="s">
        <v>4687</v>
      </c>
      <c r="B3892" s="1" t="s">
        <v>927</v>
      </c>
      <c r="C3892" s="1" t="s">
        <v>20</v>
      </c>
      <c r="D3892" s="1" t="s">
        <v>32</v>
      </c>
      <c r="E3892" s="1" t="s">
        <v>33</v>
      </c>
      <c r="F3892" s="1" t="s">
        <v>32</v>
      </c>
      <c r="G3892" s="1">
        <v>10</v>
      </c>
      <c r="H3892" s="1">
        <v>53097</v>
      </c>
      <c r="I3892" s="1">
        <v>0.05</v>
      </c>
      <c r="J3892" s="1">
        <v>504421.5</v>
      </c>
      <c r="K3892" s="1">
        <v>46935.6</v>
      </c>
      <c r="L3892" s="1" t="s">
        <v>17</v>
      </c>
      <c r="M3892" s="1" t="str">
        <f>TEXT(Table1[[#This Row],[Order Date]],"mmm")</f>
        <v>May</v>
      </c>
      <c r="N3892" s="1">
        <f>YEAR(Table1[[#This Row],[Order Date]])</f>
        <v>2024</v>
      </c>
    </row>
    <row r="3893" spans="1:14" x14ac:dyDescent="0.35">
      <c r="A3893" s="1" t="s">
        <v>4688</v>
      </c>
      <c r="B3893" s="1" t="s">
        <v>205</v>
      </c>
      <c r="C3893" s="1" t="s">
        <v>104</v>
      </c>
      <c r="D3893" s="1" t="s">
        <v>179</v>
      </c>
      <c r="E3893" s="1" t="s">
        <v>28</v>
      </c>
      <c r="F3893" s="1" t="s">
        <v>179</v>
      </c>
      <c r="G3893" s="1">
        <v>4</v>
      </c>
      <c r="H3893" s="1">
        <v>46318</v>
      </c>
      <c r="I3893" s="1">
        <v>0.15</v>
      </c>
      <c r="J3893" s="1">
        <v>157481.20000000001</v>
      </c>
      <c r="K3893" s="1">
        <v>26301.759999999998</v>
      </c>
      <c r="L3893" s="1" t="s">
        <v>23</v>
      </c>
      <c r="M3893" s="1" t="str">
        <f>TEXT(Table1[[#This Row],[Order Date]],"mmm")</f>
        <v>Feb</v>
      </c>
      <c r="N3893" s="1">
        <f>YEAR(Table1[[#This Row],[Order Date]])</f>
        <v>2023</v>
      </c>
    </row>
    <row r="3894" spans="1:14" x14ac:dyDescent="0.35">
      <c r="A3894" s="1" t="s">
        <v>4689</v>
      </c>
      <c r="B3894" s="1" t="s">
        <v>1573</v>
      </c>
      <c r="C3894" s="1" t="s">
        <v>67</v>
      </c>
      <c r="D3894" s="1" t="s">
        <v>60</v>
      </c>
      <c r="E3894" s="1" t="s">
        <v>33</v>
      </c>
      <c r="F3894" s="1" t="s">
        <v>60</v>
      </c>
      <c r="G3894" s="1">
        <v>6</v>
      </c>
      <c r="H3894" s="1">
        <v>2044</v>
      </c>
      <c r="I3894" s="1">
        <v>0.15</v>
      </c>
      <c r="J3894" s="1">
        <v>10424.4</v>
      </c>
      <c r="K3894" s="1">
        <v>1896.81</v>
      </c>
      <c r="L3894" s="1" t="s">
        <v>23</v>
      </c>
      <c r="M3894" s="1" t="str">
        <f>TEXT(Table1[[#This Row],[Order Date]],"mmm")</f>
        <v>Aug</v>
      </c>
      <c r="N3894" s="1">
        <f>YEAR(Table1[[#This Row],[Order Date]])</f>
        <v>2024</v>
      </c>
    </row>
    <row r="3895" spans="1:14" x14ac:dyDescent="0.35">
      <c r="A3895" s="1" t="s">
        <v>4690</v>
      </c>
      <c r="B3895" s="1" t="s">
        <v>716</v>
      </c>
      <c r="C3895" s="1" t="s">
        <v>349</v>
      </c>
      <c r="D3895" s="1" t="s">
        <v>48</v>
      </c>
      <c r="E3895" s="1" t="s">
        <v>16</v>
      </c>
      <c r="F3895" s="1" t="s">
        <v>48</v>
      </c>
      <c r="G3895" s="1">
        <v>4</v>
      </c>
      <c r="H3895" s="1">
        <v>14775</v>
      </c>
      <c r="I3895" s="1">
        <v>0.1</v>
      </c>
      <c r="J3895" s="1">
        <v>53190</v>
      </c>
      <c r="K3895" s="1">
        <v>4611.7</v>
      </c>
      <c r="L3895" s="1" t="s">
        <v>45</v>
      </c>
      <c r="M3895" s="1" t="str">
        <f>TEXT(Table1[[#This Row],[Order Date]],"mmm")</f>
        <v>Apr</v>
      </c>
      <c r="N3895" s="1">
        <f>YEAR(Table1[[#This Row],[Order Date]])</f>
        <v>2023</v>
      </c>
    </row>
    <row r="3896" spans="1:14" x14ac:dyDescent="0.35">
      <c r="A3896" s="1" t="s">
        <v>4691</v>
      </c>
      <c r="B3896" s="1" t="s">
        <v>1760</v>
      </c>
      <c r="C3896" s="1" t="s">
        <v>14</v>
      </c>
      <c r="D3896" s="1" t="s">
        <v>27</v>
      </c>
      <c r="E3896" s="1" t="s">
        <v>28</v>
      </c>
      <c r="F3896" s="1" t="s">
        <v>27</v>
      </c>
      <c r="G3896" s="1">
        <v>6</v>
      </c>
      <c r="H3896" s="1">
        <v>15276</v>
      </c>
      <c r="I3896" s="1">
        <v>0.15</v>
      </c>
      <c r="J3896" s="1">
        <v>77907.600000000006</v>
      </c>
      <c r="K3896" s="1">
        <v>20477.71</v>
      </c>
      <c r="L3896" s="1" t="s">
        <v>23</v>
      </c>
      <c r="M3896" s="1" t="str">
        <f>TEXT(Table1[[#This Row],[Order Date]],"mmm")</f>
        <v>Aug</v>
      </c>
      <c r="N3896" s="1">
        <f>YEAR(Table1[[#This Row],[Order Date]])</f>
        <v>2024</v>
      </c>
    </row>
    <row r="3897" spans="1:14" x14ac:dyDescent="0.35">
      <c r="A3897" s="1" t="s">
        <v>4692</v>
      </c>
      <c r="B3897" s="1" t="s">
        <v>1261</v>
      </c>
      <c r="C3897" s="1" t="s">
        <v>170</v>
      </c>
      <c r="D3897" s="1" t="s">
        <v>44</v>
      </c>
      <c r="E3897" s="1" t="s">
        <v>28</v>
      </c>
      <c r="F3897" s="1" t="s">
        <v>44</v>
      </c>
      <c r="G3897" s="1">
        <v>9</v>
      </c>
      <c r="H3897" s="1">
        <v>35265</v>
      </c>
      <c r="I3897" s="1">
        <v>0.15</v>
      </c>
      <c r="J3897" s="1">
        <v>269777.25</v>
      </c>
      <c r="K3897" s="1">
        <v>60909.29</v>
      </c>
      <c r="L3897" s="1" t="s">
        <v>23</v>
      </c>
      <c r="M3897" s="1" t="str">
        <f>TEXT(Table1[[#This Row],[Order Date]],"mmm")</f>
        <v>Jul</v>
      </c>
      <c r="N3897" s="1">
        <f>YEAR(Table1[[#This Row],[Order Date]])</f>
        <v>2023</v>
      </c>
    </row>
    <row r="3898" spans="1:14" x14ac:dyDescent="0.35">
      <c r="A3898" s="1" t="s">
        <v>4693</v>
      </c>
      <c r="B3898" s="1" t="s">
        <v>763</v>
      </c>
      <c r="C3898" s="1" t="s">
        <v>260</v>
      </c>
      <c r="D3898" s="1" t="s">
        <v>293</v>
      </c>
      <c r="E3898" s="1" t="s">
        <v>33</v>
      </c>
      <c r="F3898" s="1" t="s">
        <v>293</v>
      </c>
      <c r="G3898" s="1">
        <v>9</v>
      </c>
      <c r="H3898" s="1">
        <v>28825</v>
      </c>
      <c r="I3898" s="1">
        <v>0.05</v>
      </c>
      <c r="J3898" s="1">
        <v>246453.75</v>
      </c>
      <c r="K3898" s="1">
        <v>25775.85</v>
      </c>
      <c r="L3898" s="1" t="s">
        <v>17</v>
      </c>
      <c r="M3898" s="1" t="str">
        <f>TEXT(Table1[[#This Row],[Order Date]],"mmm")</f>
        <v>Oct</v>
      </c>
      <c r="N3898" s="1">
        <f>YEAR(Table1[[#This Row],[Order Date]])</f>
        <v>2024</v>
      </c>
    </row>
    <row r="3899" spans="1:14" x14ac:dyDescent="0.35">
      <c r="A3899" s="1" t="s">
        <v>4694</v>
      </c>
      <c r="B3899" s="1" t="s">
        <v>976</v>
      </c>
      <c r="C3899" s="1" t="s">
        <v>94</v>
      </c>
      <c r="D3899" s="1" t="s">
        <v>32</v>
      </c>
      <c r="E3899" s="1" t="s">
        <v>33</v>
      </c>
      <c r="F3899" s="1" t="s">
        <v>32</v>
      </c>
      <c r="G3899" s="1">
        <v>12</v>
      </c>
      <c r="H3899" s="1">
        <v>738</v>
      </c>
      <c r="I3899" s="1">
        <v>0.1</v>
      </c>
      <c r="J3899" s="1">
        <v>7970.4</v>
      </c>
      <c r="K3899" s="1">
        <v>1686.44</v>
      </c>
      <c r="L3899" s="1" t="s">
        <v>45</v>
      </c>
      <c r="M3899" s="1" t="str">
        <f>TEXT(Table1[[#This Row],[Order Date]],"mmm")</f>
        <v>Oct</v>
      </c>
      <c r="N3899" s="1">
        <f>YEAR(Table1[[#This Row],[Order Date]])</f>
        <v>2024</v>
      </c>
    </row>
    <row r="3900" spans="1:14" x14ac:dyDescent="0.35">
      <c r="A3900" s="1" t="s">
        <v>4695</v>
      </c>
      <c r="B3900" s="1" t="s">
        <v>859</v>
      </c>
      <c r="C3900" s="1" t="s">
        <v>158</v>
      </c>
      <c r="D3900" s="1" t="s">
        <v>78</v>
      </c>
      <c r="E3900" s="1" t="s">
        <v>28</v>
      </c>
      <c r="F3900" s="1" t="s">
        <v>78</v>
      </c>
      <c r="G3900" s="1">
        <v>13</v>
      </c>
      <c r="H3900" s="1">
        <v>52801</v>
      </c>
      <c r="I3900" s="1">
        <v>0</v>
      </c>
      <c r="J3900" s="1">
        <v>686413</v>
      </c>
      <c r="K3900" s="1">
        <v>184328.84</v>
      </c>
      <c r="L3900" s="1" t="s">
        <v>45</v>
      </c>
      <c r="M3900" s="1" t="str">
        <f>TEXT(Table1[[#This Row],[Order Date]],"mmm")</f>
        <v>Mar</v>
      </c>
      <c r="N3900" s="1">
        <f>YEAR(Table1[[#This Row],[Order Date]])</f>
        <v>2023</v>
      </c>
    </row>
    <row r="3901" spans="1:14" x14ac:dyDescent="0.35">
      <c r="A3901" s="1" t="s">
        <v>4696</v>
      </c>
      <c r="B3901" s="1" t="s">
        <v>827</v>
      </c>
      <c r="C3901" s="1" t="s">
        <v>146</v>
      </c>
      <c r="D3901" s="1" t="s">
        <v>48</v>
      </c>
      <c r="E3901" s="1" t="s">
        <v>16</v>
      </c>
      <c r="F3901" s="1" t="s">
        <v>48</v>
      </c>
      <c r="G3901" s="1">
        <v>15</v>
      </c>
      <c r="H3901" s="1">
        <v>33199</v>
      </c>
      <c r="I3901" s="1">
        <v>0</v>
      </c>
      <c r="J3901" s="1">
        <v>497985</v>
      </c>
      <c r="K3901" s="1">
        <v>48146.400000000001</v>
      </c>
      <c r="L3901" s="1" t="s">
        <v>45</v>
      </c>
      <c r="M3901" s="1" t="str">
        <f>TEXT(Table1[[#This Row],[Order Date]],"mmm")</f>
        <v>Jan</v>
      </c>
      <c r="N3901" s="1">
        <f>YEAR(Table1[[#This Row],[Order Date]])</f>
        <v>2023</v>
      </c>
    </row>
    <row r="3902" spans="1:14" x14ac:dyDescent="0.35">
      <c r="A3902" s="1" t="s">
        <v>4697</v>
      </c>
      <c r="B3902" s="1" t="s">
        <v>385</v>
      </c>
      <c r="C3902" s="1" t="s">
        <v>128</v>
      </c>
      <c r="D3902" s="1" t="s">
        <v>95</v>
      </c>
      <c r="E3902" s="1" t="s">
        <v>33</v>
      </c>
      <c r="F3902" s="1" t="s">
        <v>95</v>
      </c>
      <c r="G3902" s="1">
        <v>6</v>
      </c>
      <c r="H3902" s="1">
        <v>59128</v>
      </c>
      <c r="I3902" s="1">
        <v>0.05</v>
      </c>
      <c r="J3902" s="1">
        <v>337029.6</v>
      </c>
      <c r="K3902" s="1">
        <v>51748.160000000003</v>
      </c>
      <c r="L3902" s="1" t="s">
        <v>23</v>
      </c>
      <c r="M3902" s="1" t="str">
        <f>TEXT(Table1[[#This Row],[Order Date]],"mmm")</f>
        <v>Jan</v>
      </c>
      <c r="N3902" s="1">
        <f>YEAR(Table1[[#This Row],[Order Date]])</f>
        <v>2023</v>
      </c>
    </row>
    <row r="3903" spans="1:14" x14ac:dyDescent="0.35">
      <c r="A3903" s="1" t="s">
        <v>4698</v>
      </c>
      <c r="B3903" s="1" t="s">
        <v>653</v>
      </c>
      <c r="C3903" s="1" t="s">
        <v>55</v>
      </c>
      <c r="D3903" s="1" t="s">
        <v>32</v>
      </c>
      <c r="E3903" s="1" t="s">
        <v>33</v>
      </c>
      <c r="F3903" s="1" t="s">
        <v>32</v>
      </c>
      <c r="G3903" s="1">
        <v>2</v>
      </c>
      <c r="H3903" s="1">
        <v>30143</v>
      </c>
      <c r="I3903" s="1">
        <v>0.2</v>
      </c>
      <c r="J3903" s="1">
        <v>48228.800000000003</v>
      </c>
      <c r="K3903" s="1">
        <v>9757.4</v>
      </c>
      <c r="L3903" s="1" t="s">
        <v>17</v>
      </c>
      <c r="M3903" s="1" t="str">
        <f>TEXT(Table1[[#This Row],[Order Date]],"mmm")</f>
        <v>Nov</v>
      </c>
      <c r="N3903" s="1">
        <f>YEAR(Table1[[#This Row],[Order Date]])</f>
        <v>2024</v>
      </c>
    </row>
    <row r="3904" spans="1:14" x14ac:dyDescent="0.35">
      <c r="A3904" s="1" t="s">
        <v>4699</v>
      </c>
      <c r="B3904" s="1" t="s">
        <v>132</v>
      </c>
      <c r="C3904" s="1" t="s">
        <v>140</v>
      </c>
      <c r="D3904" s="1" t="s">
        <v>78</v>
      </c>
      <c r="E3904" s="1" t="s">
        <v>28</v>
      </c>
      <c r="F3904" s="1" t="s">
        <v>78</v>
      </c>
      <c r="G3904" s="1">
        <v>6</v>
      </c>
      <c r="H3904" s="1">
        <v>24131</v>
      </c>
      <c r="I3904" s="1">
        <v>0.05</v>
      </c>
      <c r="J3904" s="1">
        <v>137546.70000000001</v>
      </c>
      <c r="K3904" s="1">
        <v>11828.68</v>
      </c>
      <c r="L3904" s="1" t="s">
        <v>70</v>
      </c>
      <c r="M3904" s="1" t="str">
        <f>TEXT(Table1[[#This Row],[Order Date]],"mmm")</f>
        <v>Feb</v>
      </c>
      <c r="N3904" s="1">
        <f>YEAR(Table1[[#This Row],[Order Date]])</f>
        <v>2023</v>
      </c>
    </row>
    <row r="3905" spans="1:14" x14ac:dyDescent="0.35">
      <c r="A3905" s="1" t="s">
        <v>4700</v>
      </c>
      <c r="B3905" s="1" t="s">
        <v>859</v>
      </c>
      <c r="C3905" s="1" t="s">
        <v>335</v>
      </c>
      <c r="D3905" s="1" t="s">
        <v>167</v>
      </c>
      <c r="E3905" s="1" t="s">
        <v>16</v>
      </c>
      <c r="F3905" s="1" t="s">
        <v>167</v>
      </c>
      <c r="G3905" s="1">
        <v>13</v>
      </c>
      <c r="H3905" s="1">
        <v>9401</v>
      </c>
      <c r="I3905" s="1">
        <v>0.05</v>
      </c>
      <c r="J3905" s="1">
        <v>116102.35</v>
      </c>
      <c r="K3905" s="1">
        <v>23381.98</v>
      </c>
      <c r="L3905" s="1" t="s">
        <v>23</v>
      </c>
      <c r="M3905" s="1" t="str">
        <f>TEXT(Table1[[#This Row],[Order Date]],"mmm")</f>
        <v>Mar</v>
      </c>
      <c r="N3905" s="1">
        <f>YEAR(Table1[[#This Row],[Order Date]])</f>
        <v>2023</v>
      </c>
    </row>
    <row r="3906" spans="1:14" x14ac:dyDescent="0.35">
      <c r="A3906" s="1" t="s">
        <v>4701</v>
      </c>
      <c r="B3906" s="1" t="s">
        <v>1301</v>
      </c>
      <c r="C3906" s="1" t="s">
        <v>200</v>
      </c>
      <c r="D3906" s="1" t="s">
        <v>27</v>
      </c>
      <c r="E3906" s="1" t="s">
        <v>28</v>
      </c>
      <c r="F3906" s="1" t="s">
        <v>27</v>
      </c>
      <c r="G3906" s="1">
        <v>1</v>
      </c>
      <c r="H3906" s="1">
        <v>12922</v>
      </c>
      <c r="I3906" s="1">
        <v>0.1</v>
      </c>
      <c r="J3906" s="1">
        <v>11629.8</v>
      </c>
      <c r="K3906" s="1">
        <v>3340.28</v>
      </c>
      <c r="L3906" s="1" t="s">
        <v>17</v>
      </c>
      <c r="M3906" s="1" t="str">
        <f>TEXT(Table1[[#This Row],[Order Date]],"mmm")</f>
        <v>Jul</v>
      </c>
      <c r="N3906" s="1">
        <f>YEAR(Table1[[#This Row],[Order Date]])</f>
        <v>2024</v>
      </c>
    </row>
    <row r="3907" spans="1:14" x14ac:dyDescent="0.35">
      <c r="A3907" s="1" t="s">
        <v>4702</v>
      </c>
      <c r="B3907" s="1" t="s">
        <v>1489</v>
      </c>
      <c r="C3907" s="1" t="s">
        <v>332</v>
      </c>
      <c r="D3907" s="1" t="s">
        <v>114</v>
      </c>
      <c r="E3907" s="1" t="s">
        <v>16</v>
      </c>
      <c r="F3907" s="1" t="s">
        <v>114</v>
      </c>
      <c r="G3907" s="1">
        <v>13</v>
      </c>
      <c r="H3907" s="1">
        <v>18441</v>
      </c>
      <c r="I3907" s="1">
        <v>0.05</v>
      </c>
      <c r="J3907" s="1">
        <v>227746.35</v>
      </c>
      <c r="K3907" s="1">
        <v>49670.03</v>
      </c>
      <c r="L3907" s="1" t="s">
        <v>45</v>
      </c>
      <c r="M3907" s="1" t="str">
        <f>TEXT(Table1[[#This Row],[Order Date]],"mmm")</f>
        <v>Mar</v>
      </c>
      <c r="N3907" s="1">
        <f>YEAR(Table1[[#This Row],[Order Date]])</f>
        <v>2023</v>
      </c>
    </row>
    <row r="3908" spans="1:14" x14ac:dyDescent="0.35">
      <c r="A3908" s="1" t="s">
        <v>4703</v>
      </c>
      <c r="B3908" s="1" t="s">
        <v>1624</v>
      </c>
      <c r="C3908" s="1" t="s">
        <v>101</v>
      </c>
      <c r="D3908" s="1" t="s">
        <v>74</v>
      </c>
      <c r="E3908" s="1" t="s">
        <v>22</v>
      </c>
      <c r="F3908" s="1" t="s">
        <v>74</v>
      </c>
      <c r="G3908" s="1">
        <v>9</v>
      </c>
      <c r="H3908" s="1">
        <v>27761</v>
      </c>
      <c r="I3908" s="1">
        <v>0.15</v>
      </c>
      <c r="J3908" s="1">
        <v>212371.65</v>
      </c>
      <c r="K3908" s="1">
        <v>43457.06</v>
      </c>
      <c r="L3908" s="1" t="s">
        <v>70</v>
      </c>
      <c r="M3908" s="1" t="str">
        <f>TEXT(Table1[[#This Row],[Order Date]],"mmm")</f>
        <v>Apr</v>
      </c>
      <c r="N3908" s="1">
        <f>YEAR(Table1[[#This Row],[Order Date]])</f>
        <v>2023</v>
      </c>
    </row>
    <row r="3909" spans="1:14" x14ac:dyDescent="0.35">
      <c r="A3909" s="1" t="s">
        <v>4704</v>
      </c>
      <c r="B3909" s="1" t="s">
        <v>3891</v>
      </c>
      <c r="C3909" s="1" t="s">
        <v>107</v>
      </c>
      <c r="D3909" s="1" t="s">
        <v>108</v>
      </c>
      <c r="E3909" s="1" t="s">
        <v>22</v>
      </c>
      <c r="F3909" s="1" t="s">
        <v>108</v>
      </c>
      <c r="G3909" s="1">
        <v>11</v>
      </c>
      <c r="H3909" s="1">
        <v>23278</v>
      </c>
      <c r="I3909" s="1">
        <v>0.15</v>
      </c>
      <c r="J3909" s="1">
        <v>217649.3</v>
      </c>
      <c r="K3909" s="1">
        <v>53246.34</v>
      </c>
      <c r="L3909" s="1" t="s">
        <v>23</v>
      </c>
      <c r="M3909" s="1" t="str">
        <f>TEXT(Table1[[#This Row],[Order Date]],"mmm")</f>
        <v>Jan</v>
      </c>
      <c r="N3909" s="1">
        <f>YEAR(Table1[[#This Row],[Order Date]])</f>
        <v>2023</v>
      </c>
    </row>
    <row r="3910" spans="1:14" x14ac:dyDescent="0.35">
      <c r="A3910" s="1" t="s">
        <v>4705</v>
      </c>
      <c r="B3910" s="1" t="s">
        <v>766</v>
      </c>
      <c r="C3910" s="1" t="s">
        <v>507</v>
      </c>
      <c r="D3910" s="1" t="s">
        <v>44</v>
      </c>
      <c r="E3910" s="1" t="s">
        <v>28</v>
      </c>
      <c r="F3910" s="1" t="s">
        <v>44</v>
      </c>
      <c r="G3910" s="1">
        <v>13</v>
      </c>
      <c r="H3910" s="1">
        <v>57037</v>
      </c>
      <c r="I3910" s="1">
        <v>0.1</v>
      </c>
      <c r="J3910" s="1">
        <v>667332.9</v>
      </c>
      <c r="K3910" s="1">
        <v>123740.42</v>
      </c>
      <c r="L3910" s="1" t="s">
        <v>23</v>
      </c>
      <c r="M3910" s="1" t="str">
        <f>TEXT(Table1[[#This Row],[Order Date]],"mmm")</f>
        <v>Feb</v>
      </c>
      <c r="N3910" s="1">
        <f>YEAR(Table1[[#This Row],[Order Date]])</f>
        <v>2023</v>
      </c>
    </row>
    <row r="3911" spans="1:14" x14ac:dyDescent="0.35">
      <c r="A3911" s="1" t="s">
        <v>4706</v>
      </c>
      <c r="B3911" s="1" t="s">
        <v>394</v>
      </c>
      <c r="C3911" s="1" t="s">
        <v>188</v>
      </c>
      <c r="D3911" s="1" t="s">
        <v>27</v>
      </c>
      <c r="E3911" s="1" t="s">
        <v>28</v>
      </c>
      <c r="F3911" s="1" t="s">
        <v>27</v>
      </c>
      <c r="G3911" s="1">
        <v>3</v>
      </c>
      <c r="H3911" s="1">
        <v>24871</v>
      </c>
      <c r="I3911" s="1">
        <v>0.15</v>
      </c>
      <c r="J3911" s="1">
        <v>63421.05</v>
      </c>
      <c r="K3911" s="1">
        <v>16722.07</v>
      </c>
      <c r="L3911" s="1" t="s">
        <v>17</v>
      </c>
      <c r="M3911" s="1" t="str">
        <f>TEXT(Table1[[#This Row],[Order Date]],"mmm")</f>
        <v>Sep</v>
      </c>
      <c r="N3911" s="1">
        <f>YEAR(Table1[[#This Row],[Order Date]])</f>
        <v>2023</v>
      </c>
    </row>
    <row r="3912" spans="1:14" x14ac:dyDescent="0.35">
      <c r="A3912" s="1" t="s">
        <v>4707</v>
      </c>
      <c r="B3912" s="1" t="s">
        <v>707</v>
      </c>
      <c r="C3912" s="1" t="s">
        <v>101</v>
      </c>
      <c r="D3912" s="1" t="s">
        <v>56</v>
      </c>
      <c r="E3912" s="1" t="s">
        <v>22</v>
      </c>
      <c r="F3912" s="1" t="s">
        <v>56</v>
      </c>
      <c r="G3912" s="1">
        <v>3</v>
      </c>
      <c r="H3912" s="1">
        <v>15975</v>
      </c>
      <c r="I3912" s="1">
        <v>0.1</v>
      </c>
      <c r="J3912" s="1">
        <v>43132.5</v>
      </c>
      <c r="K3912" s="1">
        <v>12663.32</v>
      </c>
      <c r="L3912" s="1" t="s">
        <v>17</v>
      </c>
      <c r="M3912" s="1" t="str">
        <f>TEXT(Table1[[#This Row],[Order Date]],"mmm")</f>
        <v>Oct</v>
      </c>
      <c r="N3912" s="1">
        <f>YEAR(Table1[[#This Row],[Order Date]])</f>
        <v>2024</v>
      </c>
    </row>
    <row r="3913" spans="1:14" x14ac:dyDescent="0.35">
      <c r="A3913" s="1" t="s">
        <v>4708</v>
      </c>
      <c r="B3913" s="1" t="s">
        <v>812</v>
      </c>
      <c r="C3913" s="1" t="s">
        <v>140</v>
      </c>
      <c r="D3913" s="1" t="s">
        <v>95</v>
      </c>
      <c r="E3913" s="1" t="s">
        <v>33</v>
      </c>
      <c r="F3913" s="1" t="s">
        <v>95</v>
      </c>
      <c r="G3913" s="1">
        <v>14</v>
      </c>
      <c r="H3913" s="1">
        <v>14714</v>
      </c>
      <c r="I3913" s="1">
        <v>0.15</v>
      </c>
      <c r="J3913" s="1">
        <v>175096.6</v>
      </c>
      <c r="K3913" s="1">
        <v>41906.82</v>
      </c>
      <c r="L3913" s="1" t="s">
        <v>70</v>
      </c>
      <c r="M3913" s="1" t="str">
        <f>TEXT(Table1[[#This Row],[Order Date]],"mmm")</f>
        <v>Dec</v>
      </c>
      <c r="N3913" s="1">
        <f>YEAR(Table1[[#This Row],[Order Date]])</f>
        <v>2023</v>
      </c>
    </row>
    <row r="3914" spans="1:14" x14ac:dyDescent="0.35">
      <c r="A3914" s="1" t="s">
        <v>4709</v>
      </c>
      <c r="B3914" s="1" t="s">
        <v>39</v>
      </c>
      <c r="C3914" s="1" t="s">
        <v>203</v>
      </c>
      <c r="D3914" s="1" t="s">
        <v>48</v>
      </c>
      <c r="E3914" s="1" t="s">
        <v>16</v>
      </c>
      <c r="F3914" s="1" t="s">
        <v>48</v>
      </c>
      <c r="G3914" s="1">
        <v>10</v>
      </c>
      <c r="H3914" s="1">
        <v>9074</v>
      </c>
      <c r="I3914" s="1">
        <v>0.15</v>
      </c>
      <c r="J3914" s="1">
        <v>77129</v>
      </c>
      <c r="K3914" s="1">
        <v>23049.45</v>
      </c>
      <c r="L3914" s="1" t="s">
        <v>17</v>
      </c>
      <c r="M3914" s="1" t="str">
        <f>TEXT(Table1[[#This Row],[Order Date]],"mmm")</f>
        <v>Nov</v>
      </c>
      <c r="N3914" s="1">
        <f>YEAR(Table1[[#This Row],[Order Date]])</f>
        <v>2023</v>
      </c>
    </row>
    <row r="3915" spans="1:14" x14ac:dyDescent="0.35">
      <c r="A3915" s="1" t="s">
        <v>4710</v>
      </c>
      <c r="B3915" s="1" t="s">
        <v>556</v>
      </c>
      <c r="C3915" s="1" t="s">
        <v>158</v>
      </c>
      <c r="D3915" s="1" t="s">
        <v>41</v>
      </c>
      <c r="E3915" s="1" t="s">
        <v>16</v>
      </c>
      <c r="F3915" s="1" t="s">
        <v>41</v>
      </c>
      <c r="G3915" s="1">
        <v>2</v>
      </c>
      <c r="H3915" s="1">
        <v>35499</v>
      </c>
      <c r="I3915" s="1">
        <v>0</v>
      </c>
      <c r="J3915" s="1">
        <v>70998</v>
      </c>
      <c r="K3915" s="1">
        <v>14504.96</v>
      </c>
      <c r="L3915" s="1" t="s">
        <v>45</v>
      </c>
      <c r="M3915" s="1" t="str">
        <f>TEXT(Table1[[#This Row],[Order Date]],"mmm")</f>
        <v>Nov</v>
      </c>
      <c r="N3915" s="1">
        <f>YEAR(Table1[[#This Row],[Order Date]])</f>
        <v>2024</v>
      </c>
    </row>
    <row r="3916" spans="1:14" x14ac:dyDescent="0.35">
      <c r="A3916" s="1" t="s">
        <v>4711</v>
      </c>
      <c r="B3916" s="1" t="s">
        <v>276</v>
      </c>
      <c r="C3916" s="1" t="s">
        <v>59</v>
      </c>
      <c r="D3916" s="1" t="s">
        <v>114</v>
      </c>
      <c r="E3916" s="1" t="s">
        <v>16</v>
      </c>
      <c r="F3916" s="1" t="s">
        <v>114</v>
      </c>
      <c r="G3916" s="1">
        <v>5</v>
      </c>
      <c r="H3916" s="1">
        <v>45432</v>
      </c>
      <c r="I3916" s="1">
        <v>0.1</v>
      </c>
      <c r="J3916" s="1">
        <v>204444</v>
      </c>
      <c r="K3916" s="1">
        <v>20362.080000000002</v>
      </c>
      <c r="L3916" s="1" t="s">
        <v>70</v>
      </c>
      <c r="M3916" s="1" t="str">
        <f>TEXT(Table1[[#This Row],[Order Date]],"mmm")</f>
        <v>Apr</v>
      </c>
      <c r="N3916" s="1">
        <f>YEAR(Table1[[#This Row],[Order Date]])</f>
        <v>2024</v>
      </c>
    </row>
    <row r="3917" spans="1:14" x14ac:dyDescent="0.35">
      <c r="A3917" s="1" t="s">
        <v>4712</v>
      </c>
      <c r="B3917" s="1" t="s">
        <v>1209</v>
      </c>
      <c r="C3917" s="1" t="s">
        <v>158</v>
      </c>
      <c r="D3917" s="1" t="s">
        <v>78</v>
      </c>
      <c r="E3917" s="1" t="s">
        <v>28</v>
      </c>
      <c r="F3917" s="1" t="s">
        <v>78</v>
      </c>
      <c r="G3917" s="1">
        <v>10</v>
      </c>
      <c r="H3917" s="1">
        <v>27652</v>
      </c>
      <c r="I3917" s="1">
        <v>0</v>
      </c>
      <c r="J3917" s="1">
        <v>276520</v>
      </c>
      <c r="K3917" s="1">
        <v>68869.440000000002</v>
      </c>
      <c r="L3917" s="1" t="s">
        <v>23</v>
      </c>
      <c r="M3917" s="1" t="str">
        <f>TEXT(Table1[[#This Row],[Order Date]],"mmm")</f>
        <v>Jan</v>
      </c>
      <c r="N3917" s="1">
        <f>YEAR(Table1[[#This Row],[Order Date]])</f>
        <v>2023</v>
      </c>
    </row>
    <row r="3918" spans="1:14" x14ac:dyDescent="0.35">
      <c r="A3918" s="1" t="s">
        <v>4713</v>
      </c>
      <c r="B3918" s="1" t="s">
        <v>2454</v>
      </c>
      <c r="C3918" s="1" t="s">
        <v>191</v>
      </c>
      <c r="D3918" s="1" t="s">
        <v>95</v>
      </c>
      <c r="E3918" s="1" t="s">
        <v>33</v>
      </c>
      <c r="F3918" s="1" t="s">
        <v>95</v>
      </c>
      <c r="G3918" s="1">
        <v>13</v>
      </c>
      <c r="H3918" s="1">
        <v>57637</v>
      </c>
      <c r="I3918" s="1">
        <v>0</v>
      </c>
      <c r="J3918" s="1">
        <v>749281</v>
      </c>
      <c r="K3918" s="1">
        <v>146774.79</v>
      </c>
      <c r="L3918" s="1" t="s">
        <v>23</v>
      </c>
      <c r="M3918" s="1" t="str">
        <f>TEXT(Table1[[#This Row],[Order Date]],"mmm")</f>
        <v>Sep</v>
      </c>
      <c r="N3918" s="1">
        <f>YEAR(Table1[[#This Row],[Order Date]])</f>
        <v>2023</v>
      </c>
    </row>
    <row r="3919" spans="1:14" x14ac:dyDescent="0.35">
      <c r="A3919" s="1" t="s">
        <v>4714</v>
      </c>
      <c r="B3919" s="1" t="s">
        <v>636</v>
      </c>
      <c r="C3919" s="1" t="s">
        <v>162</v>
      </c>
      <c r="D3919" s="1" t="s">
        <v>27</v>
      </c>
      <c r="E3919" s="1" t="s">
        <v>28</v>
      </c>
      <c r="F3919" s="1" t="s">
        <v>27</v>
      </c>
      <c r="G3919" s="1">
        <v>11</v>
      </c>
      <c r="H3919" s="1">
        <v>42246</v>
      </c>
      <c r="I3919" s="1">
        <v>0.1</v>
      </c>
      <c r="J3919" s="1">
        <v>418235.4</v>
      </c>
      <c r="K3919" s="1">
        <v>41829.870000000003</v>
      </c>
      <c r="L3919" s="1" t="s">
        <v>70</v>
      </c>
      <c r="M3919" s="1" t="str">
        <f>TEXT(Table1[[#This Row],[Order Date]],"mmm")</f>
        <v>Nov</v>
      </c>
      <c r="N3919" s="1">
        <f>YEAR(Table1[[#This Row],[Order Date]])</f>
        <v>2023</v>
      </c>
    </row>
    <row r="3920" spans="1:14" x14ac:dyDescent="0.35">
      <c r="A3920" s="1" t="s">
        <v>4715</v>
      </c>
      <c r="B3920" s="1" t="s">
        <v>3841</v>
      </c>
      <c r="C3920" s="1" t="s">
        <v>111</v>
      </c>
      <c r="D3920" s="1" t="s">
        <v>85</v>
      </c>
      <c r="E3920" s="1" t="s">
        <v>28</v>
      </c>
      <c r="F3920" s="1" t="s">
        <v>85</v>
      </c>
      <c r="G3920" s="1">
        <v>2</v>
      </c>
      <c r="H3920" s="1">
        <v>48314</v>
      </c>
      <c r="I3920" s="1">
        <v>0</v>
      </c>
      <c r="J3920" s="1">
        <v>96628</v>
      </c>
      <c r="K3920" s="1">
        <v>16001.92</v>
      </c>
      <c r="L3920" s="1" t="s">
        <v>23</v>
      </c>
      <c r="M3920" s="1" t="str">
        <f>TEXT(Table1[[#This Row],[Order Date]],"mmm")</f>
        <v>Apr</v>
      </c>
      <c r="N3920" s="1">
        <f>YEAR(Table1[[#This Row],[Order Date]])</f>
        <v>2023</v>
      </c>
    </row>
    <row r="3921" spans="1:14" x14ac:dyDescent="0.35">
      <c r="A3921" s="1" t="s">
        <v>4716</v>
      </c>
      <c r="B3921" s="1" t="s">
        <v>3000</v>
      </c>
      <c r="C3921" s="1" t="s">
        <v>117</v>
      </c>
      <c r="D3921" s="1" t="s">
        <v>137</v>
      </c>
      <c r="E3921" s="1" t="s">
        <v>22</v>
      </c>
      <c r="F3921" s="1" t="s">
        <v>137</v>
      </c>
      <c r="G3921" s="1">
        <v>4</v>
      </c>
      <c r="H3921" s="1">
        <v>12538</v>
      </c>
      <c r="I3921" s="1">
        <v>0.1</v>
      </c>
      <c r="J3921" s="1">
        <v>45136.800000000003</v>
      </c>
      <c r="K3921" s="1">
        <v>11297.4</v>
      </c>
      <c r="L3921" s="1" t="s">
        <v>70</v>
      </c>
      <c r="M3921" s="1" t="str">
        <f>TEXT(Table1[[#This Row],[Order Date]],"mmm")</f>
        <v>Mar</v>
      </c>
      <c r="N3921" s="1">
        <f>YEAR(Table1[[#This Row],[Order Date]])</f>
        <v>2024</v>
      </c>
    </row>
    <row r="3922" spans="1:14" x14ac:dyDescent="0.35">
      <c r="A3922" s="1" t="s">
        <v>4717</v>
      </c>
      <c r="B3922" s="1" t="s">
        <v>702</v>
      </c>
      <c r="C3922" s="1" t="s">
        <v>188</v>
      </c>
      <c r="D3922" s="1" t="s">
        <v>56</v>
      </c>
      <c r="E3922" s="1" t="s">
        <v>22</v>
      </c>
      <c r="F3922" s="1" t="s">
        <v>56</v>
      </c>
      <c r="G3922" s="1">
        <v>13</v>
      </c>
      <c r="H3922" s="1">
        <v>45902</v>
      </c>
      <c r="I3922" s="1">
        <v>0.15</v>
      </c>
      <c r="J3922" s="1">
        <v>507217.1</v>
      </c>
      <c r="K3922" s="1">
        <v>84226.76</v>
      </c>
      <c r="L3922" s="1" t="s">
        <v>23</v>
      </c>
      <c r="M3922" s="1" t="str">
        <f>TEXT(Table1[[#This Row],[Order Date]],"mmm")</f>
        <v>Aug</v>
      </c>
      <c r="N3922" s="1">
        <f>YEAR(Table1[[#This Row],[Order Date]])</f>
        <v>2023</v>
      </c>
    </row>
    <row r="3923" spans="1:14" x14ac:dyDescent="0.35">
      <c r="A3923" s="1" t="s">
        <v>4718</v>
      </c>
      <c r="B3923" s="1" t="s">
        <v>2743</v>
      </c>
      <c r="C3923" s="1" t="s">
        <v>158</v>
      </c>
      <c r="D3923" s="1" t="s">
        <v>74</v>
      </c>
      <c r="E3923" s="1" t="s">
        <v>22</v>
      </c>
      <c r="F3923" s="1" t="s">
        <v>74</v>
      </c>
      <c r="G3923" s="1">
        <v>1</v>
      </c>
      <c r="H3923" s="1">
        <v>50870</v>
      </c>
      <c r="I3923" s="1">
        <v>0.15</v>
      </c>
      <c r="J3923" s="1">
        <v>43239.5</v>
      </c>
      <c r="K3923" s="1">
        <v>4000.93</v>
      </c>
      <c r="L3923" s="1" t="s">
        <v>23</v>
      </c>
      <c r="M3923" s="1" t="str">
        <f>TEXT(Table1[[#This Row],[Order Date]],"mmm")</f>
        <v>Mar</v>
      </c>
      <c r="N3923" s="1">
        <f>YEAR(Table1[[#This Row],[Order Date]])</f>
        <v>2023</v>
      </c>
    </row>
    <row r="3924" spans="1:14" x14ac:dyDescent="0.35">
      <c r="A3924" s="1" t="s">
        <v>4719</v>
      </c>
      <c r="B3924" s="1" t="s">
        <v>2908</v>
      </c>
      <c r="C3924" s="1" t="s">
        <v>20</v>
      </c>
      <c r="D3924" s="1" t="s">
        <v>85</v>
      </c>
      <c r="E3924" s="1" t="s">
        <v>28</v>
      </c>
      <c r="F3924" s="1" t="s">
        <v>85</v>
      </c>
      <c r="G3924" s="1">
        <v>11</v>
      </c>
      <c r="H3924" s="1">
        <v>9554</v>
      </c>
      <c r="I3924" s="1">
        <v>0.1</v>
      </c>
      <c r="J3924" s="1">
        <v>94584.6</v>
      </c>
      <c r="K3924" s="1">
        <v>8558.76</v>
      </c>
      <c r="L3924" s="1" t="s">
        <v>23</v>
      </c>
      <c r="M3924" s="1" t="str">
        <f>TEXT(Table1[[#This Row],[Order Date]],"mmm")</f>
        <v>Sep</v>
      </c>
      <c r="N3924" s="1">
        <f>YEAR(Table1[[#This Row],[Order Date]])</f>
        <v>2024</v>
      </c>
    </row>
    <row r="3925" spans="1:14" x14ac:dyDescent="0.35">
      <c r="A3925" s="1" t="s">
        <v>4720</v>
      </c>
      <c r="B3925" s="1" t="s">
        <v>2247</v>
      </c>
      <c r="C3925" s="1" t="s">
        <v>111</v>
      </c>
      <c r="D3925" s="1" t="s">
        <v>85</v>
      </c>
      <c r="E3925" s="1" t="s">
        <v>28</v>
      </c>
      <c r="F3925" s="1" t="s">
        <v>85</v>
      </c>
      <c r="G3925" s="1">
        <v>9</v>
      </c>
      <c r="H3925" s="1">
        <v>25632</v>
      </c>
      <c r="I3925" s="1">
        <v>0</v>
      </c>
      <c r="J3925" s="1">
        <v>230688</v>
      </c>
      <c r="K3925" s="1">
        <v>18643.830000000002</v>
      </c>
      <c r="L3925" s="1" t="s">
        <v>70</v>
      </c>
      <c r="M3925" s="1" t="str">
        <f>TEXT(Table1[[#This Row],[Order Date]],"mmm")</f>
        <v>Apr</v>
      </c>
      <c r="N3925" s="1">
        <f>YEAR(Table1[[#This Row],[Order Date]])</f>
        <v>2024</v>
      </c>
    </row>
    <row r="3926" spans="1:14" x14ac:dyDescent="0.35">
      <c r="A3926" s="1" t="s">
        <v>4721</v>
      </c>
      <c r="B3926" s="1" t="s">
        <v>4143</v>
      </c>
      <c r="C3926" s="1" t="s">
        <v>200</v>
      </c>
      <c r="D3926" s="1" t="s">
        <v>108</v>
      </c>
      <c r="E3926" s="1" t="s">
        <v>22</v>
      </c>
      <c r="F3926" s="1" t="s">
        <v>108</v>
      </c>
      <c r="G3926" s="1">
        <v>12</v>
      </c>
      <c r="H3926" s="1">
        <v>4601</v>
      </c>
      <c r="I3926" s="1">
        <v>0.2</v>
      </c>
      <c r="J3926" s="1">
        <v>44169.599999999999</v>
      </c>
      <c r="K3926" s="1">
        <v>6312.42</v>
      </c>
      <c r="L3926" s="1" t="s">
        <v>70</v>
      </c>
      <c r="M3926" s="1" t="str">
        <f>TEXT(Table1[[#This Row],[Order Date]],"mmm")</f>
        <v>Feb</v>
      </c>
      <c r="N3926" s="1">
        <f>YEAR(Table1[[#This Row],[Order Date]])</f>
        <v>2023</v>
      </c>
    </row>
    <row r="3927" spans="1:14" x14ac:dyDescent="0.35">
      <c r="A3927" s="1" t="s">
        <v>4722</v>
      </c>
      <c r="B3927" s="1" t="s">
        <v>1225</v>
      </c>
      <c r="C3927" s="1" t="s">
        <v>370</v>
      </c>
      <c r="D3927" s="1" t="s">
        <v>48</v>
      </c>
      <c r="E3927" s="1" t="s">
        <v>16</v>
      </c>
      <c r="F3927" s="1" t="s">
        <v>48</v>
      </c>
      <c r="G3927" s="1">
        <v>3</v>
      </c>
      <c r="H3927" s="1">
        <v>1278</v>
      </c>
      <c r="I3927" s="1">
        <v>0.1</v>
      </c>
      <c r="J3927" s="1">
        <v>3450.6</v>
      </c>
      <c r="K3927" s="1">
        <v>435.67</v>
      </c>
      <c r="L3927" s="1" t="s">
        <v>17</v>
      </c>
      <c r="M3927" s="1" t="str">
        <f>TEXT(Table1[[#This Row],[Order Date]],"mmm")</f>
        <v>May</v>
      </c>
      <c r="N3927" s="1">
        <f>YEAR(Table1[[#This Row],[Order Date]])</f>
        <v>2023</v>
      </c>
    </row>
    <row r="3928" spans="1:14" x14ac:dyDescent="0.35">
      <c r="A3928" s="1" t="s">
        <v>4723</v>
      </c>
      <c r="B3928" s="1" t="s">
        <v>1420</v>
      </c>
      <c r="C3928" s="1" t="s">
        <v>84</v>
      </c>
      <c r="D3928" s="1" t="s">
        <v>74</v>
      </c>
      <c r="E3928" s="1" t="s">
        <v>22</v>
      </c>
      <c r="F3928" s="1" t="s">
        <v>74</v>
      </c>
      <c r="G3928" s="1">
        <v>13</v>
      </c>
      <c r="H3928" s="1">
        <v>11532</v>
      </c>
      <c r="I3928" s="1">
        <v>0</v>
      </c>
      <c r="J3928" s="1">
        <v>149916</v>
      </c>
      <c r="K3928" s="1">
        <v>34858</v>
      </c>
      <c r="L3928" s="1" t="s">
        <v>23</v>
      </c>
      <c r="M3928" s="1" t="str">
        <f>TEXT(Table1[[#This Row],[Order Date]],"mmm")</f>
        <v>Apr</v>
      </c>
      <c r="N3928" s="1">
        <f>YEAR(Table1[[#This Row],[Order Date]])</f>
        <v>2024</v>
      </c>
    </row>
    <row r="3929" spans="1:14" x14ac:dyDescent="0.35">
      <c r="A3929" s="1" t="s">
        <v>4724</v>
      </c>
      <c r="B3929" s="1" t="s">
        <v>1718</v>
      </c>
      <c r="C3929" s="1" t="s">
        <v>67</v>
      </c>
      <c r="D3929" s="1" t="s">
        <v>224</v>
      </c>
      <c r="E3929" s="1" t="s">
        <v>33</v>
      </c>
      <c r="F3929" s="1" t="s">
        <v>224</v>
      </c>
      <c r="G3929" s="1">
        <v>8</v>
      </c>
      <c r="H3929" s="1">
        <v>14740</v>
      </c>
      <c r="I3929" s="1">
        <v>0.15</v>
      </c>
      <c r="J3929" s="1">
        <v>100232</v>
      </c>
      <c r="K3929" s="1">
        <v>28152.22</v>
      </c>
      <c r="L3929" s="1" t="s">
        <v>17</v>
      </c>
      <c r="M3929" s="1" t="str">
        <f>TEXT(Table1[[#This Row],[Order Date]],"mmm")</f>
        <v>Nov</v>
      </c>
      <c r="N3929" s="1">
        <f>YEAR(Table1[[#This Row],[Order Date]])</f>
        <v>2024</v>
      </c>
    </row>
    <row r="3930" spans="1:14" x14ac:dyDescent="0.35">
      <c r="A3930" s="1" t="s">
        <v>4725</v>
      </c>
      <c r="B3930" s="1" t="s">
        <v>1616</v>
      </c>
      <c r="C3930" s="1" t="s">
        <v>63</v>
      </c>
      <c r="D3930" s="1" t="s">
        <v>141</v>
      </c>
      <c r="E3930" s="1" t="s">
        <v>22</v>
      </c>
      <c r="F3930" s="1" t="s">
        <v>141</v>
      </c>
      <c r="G3930" s="1">
        <v>1</v>
      </c>
      <c r="H3930" s="1">
        <v>1801</v>
      </c>
      <c r="I3930" s="1">
        <v>0</v>
      </c>
      <c r="J3930" s="1">
        <v>1801</v>
      </c>
      <c r="K3930" s="1">
        <v>339.51</v>
      </c>
      <c r="L3930" s="1" t="s">
        <v>17</v>
      </c>
      <c r="M3930" s="1" t="str">
        <f>TEXT(Table1[[#This Row],[Order Date]],"mmm")</f>
        <v>Aug</v>
      </c>
      <c r="N3930" s="1">
        <f>YEAR(Table1[[#This Row],[Order Date]])</f>
        <v>2023</v>
      </c>
    </row>
    <row r="3931" spans="1:14" x14ac:dyDescent="0.35">
      <c r="A3931" s="1" t="s">
        <v>4726</v>
      </c>
      <c r="B3931" s="1" t="s">
        <v>119</v>
      </c>
      <c r="C3931" s="1" t="s">
        <v>84</v>
      </c>
      <c r="D3931" s="1" t="s">
        <v>95</v>
      </c>
      <c r="E3931" s="1" t="s">
        <v>33</v>
      </c>
      <c r="F3931" s="1" t="s">
        <v>95</v>
      </c>
      <c r="G3931" s="1">
        <v>14</v>
      </c>
      <c r="H3931" s="1">
        <v>8500</v>
      </c>
      <c r="I3931" s="1">
        <v>0</v>
      </c>
      <c r="J3931" s="1">
        <v>119000</v>
      </c>
      <c r="K3931" s="1">
        <v>28133.360000000001</v>
      </c>
      <c r="L3931" s="1" t="s">
        <v>45</v>
      </c>
      <c r="M3931" s="1" t="str">
        <f>TEXT(Table1[[#This Row],[Order Date]],"mmm")</f>
        <v>Apr</v>
      </c>
      <c r="N3931" s="1">
        <f>YEAR(Table1[[#This Row],[Order Date]])</f>
        <v>2024</v>
      </c>
    </row>
    <row r="3932" spans="1:14" x14ac:dyDescent="0.35">
      <c r="A3932" s="1" t="s">
        <v>4727</v>
      </c>
      <c r="B3932" s="1" t="s">
        <v>875</v>
      </c>
      <c r="C3932" s="1" t="s">
        <v>155</v>
      </c>
      <c r="D3932" s="1" t="s">
        <v>133</v>
      </c>
      <c r="E3932" s="1" t="s">
        <v>22</v>
      </c>
      <c r="F3932" s="1" t="s">
        <v>133</v>
      </c>
      <c r="G3932" s="1">
        <v>14</v>
      </c>
      <c r="H3932" s="1">
        <v>53573</v>
      </c>
      <c r="I3932" s="1">
        <v>0.05</v>
      </c>
      <c r="J3932" s="1">
        <v>712520.9</v>
      </c>
      <c r="K3932" s="1">
        <v>180796.02</v>
      </c>
      <c r="L3932" s="1" t="s">
        <v>23</v>
      </c>
      <c r="M3932" s="1" t="str">
        <f>TEXT(Table1[[#This Row],[Order Date]],"mmm")</f>
        <v>Mar</v>
      </c>
      <c r="N3932" s="1">
        <f>YEAR(Table1[[#This Row],[Order Date]])</f>
        <v>2024</v>
      </c>
    </row>
    <row r="3933" spans="1:14" x14ac:dyDescent="0.35">
      <c r="A3933" s="1" t="s">
        <v>4728</v>
      </c>
      <c r="B3933" s="1" t="s">
        <v>1750</v>
      </c>
      <c r="C3933" s="1" t="s">
        <v>128</v>
      </c>
      <c r="D3933" s="1" t="s">
        <v>32</v>
      </c>
      <c r="E3933" s="1" t="s">
        <v>33</v>
      </c>
      <c r="F3933" s="1" t="s">
        <v>32</v>
      </c>
      <c r="G3933" s="1">
        <v>11</v>
      </c>
      <c r="H3933" s="1">
        <v>22762</v>
      </c>
      <c r="I3933" s="1">
        <v>0.05</v>
      </c>
      <c r="J3933" s="1">
        <v>237862.9</v>
      </c>
      <c r="K3933" s="1">
        <v>60577.06</v>
      </c>
      <c r="L3933" s="1" t="s">
        <v>70</v>
      </c>
      <c r="M3933" s="1" t="str">
        <f>TEXT(Table1[[#This Row],[Order Date]],"mmm")</f>
        <v>Jul</v>
      </c>
      <c r="N3933" s="1">
        <f>YEAR(Table1[[#This Row],[Order Date]])</f>
        <v>2024</v>
      </c>
    </row>
    <row r="3934" spans="1:14" x14ac:dyDescent="0.35">
      <c r="A3934" s="1" t="s">
        <v>4729</v>
      </c>
      <c r="B3934" s="1" t="s">
        <v>360</v>
      </c>
      <c r="C3934" s="1" t="s">
        <v>67</v>
      </c>
      <c r="D3934" s="1" t="s">
        <v>64</v>
      </c>
      <c r="E3934" s="1" t="s">
        <v>33</v>
      </c>
      <c r="F3934" s="1" t="s">
        <v>64</v>
      </c>
      <c r="G3934" s="1">
        <v>9</v>
      </c>
      <c r="H3934" s="1">
        <v>51224</v>
      </c>
      <c r="I3934" s="1">
        <v>0.15</v>
      </c>
      <c r="J3934" s="1">
        <v>391863.6</v>
      </c>
      <c r="K3934" s="1">
        <v>56056.99</v>
      </c>
      <c r="L3934" s="1" t="s">
        <v>45</v>
      </c>
      <c r="M3934" s="1" t="str">
        <f>TEXT(Table1[[#This Row],[Order Date]],"mmm")</f>
        <v>Jun</v>
      </c>
      <c r="N3934" s="1">
        <f>YEAR(Table1[[#This Row],[Order Date]])</f>
        <v>2023</v>
      </c>
    </row>
    <row r="3935" spans="1:14" x14ac:dyDescent="0.35">
      <c r="A3935" s="1" t="s">
        <v>4730</v>
      </c>
      <c r="B3935" s="1" t="s">
        <v>100</v>
      </c>
      <c r="C3935" s="1" t="s">
        <v>94</v>
      </c>
      <c r="D3935" s="1" t="s">
        <v>167</v>
      </c>
      <c r="E3935" s="1" t="s">
        <v>16</v>
      </c>
      <c r="F3935" s="1" t="s">
        <v>167</v>
      </c>
      <c r="G3935" s="1">
        <v>10</v>
      </c>
      <c r="H3935" s="1">
        <v>52217</v>
      </c>
      <c r="I3935" s="1">
        <v>0.1</v>
      </c>
      <c r="J3935" s="1">
        <v>469953</v>
      </c>
      <c r="K3935" s="1">
        <v>91330.87</v>
      </c>
      <c r="L3935" s="1" t="s">
        <v>17</v>
      </c>
      <c r="M3935" s="1" t="str">
        <f>TEXT(Table1[[#This Row],[Order Date]],"mmm")</f>
        <v>Nov</v>
      </c>
      <c r="N3935" s="1">
        <f>YEAR(Table1[[#This Row],[Order Date]])</f>
        <v>2023</v>
      </c>
    </row>
    <row r="3936" spans="1:14" x14ac:dyDescent="0.35">
      <c r="A3936" s="1" t="s">
        <v>4731</v>
      </c>
      <c r="B3936" s="1" t="s">
        <v>1854</v>
      </c>
      <c r="C3936" s="1" t="s">
        <v>14</v>
      </c>
      <c r="D3936" s="1" t="s">
        <v>37</v>
      </c>
      <c r="E3936" s="1" t="s">
        <v>16</v>
      </c>
      <c r="F3936" s="1" t="s">
        <v>37</v>
      </c>
      <c r="G3936" s="1">
        <v>10</v>
      </c>
      <c r="H3936" s="1">
        <v>17835</v>
      </c>
      <c r="I3936" s="1">
        <v>0.15</v>
      </c>
      <c r="J3936" s="1">
        <v>151597.5</v>
      </c>
      <c r="K3936" s="1">
        <v>19695.07</v>
      </c>
      <c r="L3936" s="1" t="s">
        <v>17</v>
      </c>
      <c r="M3936" s="1" t="str">
        <f>TEXT(Table1[[#This Row],[Order Date]],"mmm")</f>
        <v>Jul</v>
      </c>
      <c r="N3936" s="1">
        <f>YEAR(Table1[[#This Row],[Order Date]])</f>
        <v>2023</v>
      </c>
    </row>
    <row r="3937" spans="1:14" x14ac:dyDescent="0.35">
      <c r="A3937" s="1" t="s">
        <v>4732</v>
      </c>
      <c r="B3937" s="1" t="s">
        <v>560</v>
      </c>
      <c r="C3937" s="1" t="s">
        <v>203</v>
      </c>
      <c r="D3937" s="1" t="s">
        <v>74</v>
      </c>
      <c r="E3937" s="1" t="s">
        <v>22</v>
      </c>
      <c r="F3937" s="1" t="s">
        <v>74</v>
      </c>
      <c r="G3937" s="1">
        <v>7</v>
      </c>
      <c r="H3937" s="1">
        <v>36427</v>
      </c>
      <c r="I3937" s="1">
        <v>0.1</v>
      </c>
      <c r="J3937" s="1">
        <v>229490.1</v>
      </c>
      <c r="K3937" s="1">
        <v>32895.589999999997</v>
      </c>
      <c r="L3937" s="1" t="s">
        <v>70</v>
      </c>
      <c r="M3937" s="1" t="str">
        <f>TEXT(Table1[[#This Row],[Order Date]],"mmm")</f>
        <v>Aug</v>
      </c>
      <c r="N3937" s="1">
        <f>YEAR(Table1[[#This Row],[Order Date]])</f>
        <v>2023</v>
      </c>
    </row>
    <row r="3938" spans="1:14" x14ac:dyDescent="0.35">
      <c r="A3938" s="1" t="s">
        <v>4733</v>
      </c>
      <c r="B3938" s="1" t="s">
        <v>1017</v>
      </c>
      <c r="C3938" s="1" t="s">
        <v>81</v>
      </c>
      <c r="D3938" s="1" t="s">
        <v>15</v>
      </c>
      <c r="E3938" s="1" t="s">
        <v>16</v>
      </c>
      <c r="F3938" s="1" t="s">
        <v>15</v>
      </c>
      <c r="G3938" s="1">
        <v>10</v>
      </c>
      <c r="H3938" s="1">
        <v>18250</v>
      </c>
      <c r="I3938" s="1">
        <v>0</v>
      </c>
      <c r="J3938" s="1">
        <v>182500</v>
      </c>
      <c r="K3938" s="1">
        <v>20075.71</v>
      </c>
      <c r="L3938" s="1" t="s">
        <v>70</v>
      </c>
      <c r="M3938" s="1" t="str">
        <f>TEXT(Table1[[#This Row],[Order Date]],"mmm")</f>
        <v>Feb</v>
      </c>
      <c r="N3938" s="1">
        <f>YEAR(Table1[[#This Row],[Order Date]])</f>
        <v>2023</v>
      </c>
    </row>
    <row r="3939" spans="1:14" x14ac:dyDescent="0.35">
      <c r="A3939" s="1" t="s">
        <v>4734</v>
      </c>
      <c r="B3939" s="1" t="s">
        <v>1083</v>
      </c>
      <c r="C3939" s="1" t="s">
        <v>170</v>
      </c>
      <c r="D3939" s="1" t="s">
        <v>141</v>
      </c>
      <c r="E3939" s="1" t="s">
        <v>22</v>
      </c>
      <c r="F3939" s="1" t="s">
        <v>141</v>
      </c>
      <c r="G3939" s="1">
        <v>9</v>
      </c>
      <c r="H3939" s="1">
        <v>29628</v>
      </c>
      <c r="I3939" s="1">
        <v>0.1</v>
      </c>
      <c r="J3939" s="1">
        <v>239986.8</v>
      </c>
      <c r="K3939" s="1">
        <v>25610.53</v>
      </c>
      <c r="L3939" s="1" t="s">
        <v>23</v>
      </c>
      <c r="M3939" s="1" t="str">
        <f>TEXT(Table1[[#This Row],[Order Date]],"mmm")</f>
        <v>Jul</v>
      </c>
      <c r="N3939" s="1">
        <f>YEAR(Table1[[#This Row],[Order Date]])</f>
        <v>2023</v>
      </c>
    </row>
    <row r="3940" spans="1:14" x14ac:dyDescent="0.35">
      <c r="A3940" s="1" t="s">
        <v>4735</v>
      </c>
      <c r="B3940" s="1" t="s">
        <v>605</v>
      </c>
      <c r="C3940" s="1" t="s">
        <v>507</v>
      </c>
      <c r="D3940" s="1" t="s">
        <v>15</v>
      </c>
      <c r="E3940" s="1" t="s">
        <v>16</v>
      </c>
      <c r="F3940" s="1" t="s">
        <v>15</v>
      </c>
      <c r="G3940" s="1">
        <v>2</v>
      </c>
      <c r="H3940" s="1">
        <v>26476</v>
      </c>
      <c r="I3940" s="1">
        <v>0</v>
      </c>
      <c r="J3940" s="1">
        <v>52952</v>
      </c>
      <c r="K3940" s="1">
        <v>9003.2800000000007</v>
      </c>
      <c r="L3940" s="1" t="s">
        <v>45</v>
      </c>
      <c r="M3940" s="1" t="str">
        <f>TEXT(Table1[[#This Row],[Order Date]],"mmm")</f>
        <v>Oct</v>
      </c>
      <c r="N3940" s="1">
        <f>YEAR(Table1[[#This Row],[Order Date]])</f>
        <v>2023</v>
      </c>
    </row>
    <row r="3941" spans="1:14" x14ac:dyDescent="0.35">
      <c r="A3941" s="1" t="s">
        <v>4736</v>
      </c>
      <c r="B3941" s="1" t="s">
        <v>638</v>
      </c>
      <c r="C3941" s="1" t="s">
        <v>146</v>
      </c>
      <c r="D3941" s="1" t="s">
        <v>133</v>
      </c>
      <c r="E3941" s="1" t="s">
        <v>22</v>
      </c>
      <c r="F3941" s="1" t="s">
        <v>133</v>
      </c>
      <c r="G3941" s="1">
        <v>2</v>
      </c>
      <c r="H3941" s="1">
        <v>7498</v>
      </c>
      <c r="I3941" s="1">
        <v>0.15</v>
      </c>
      <c r="J3941" s="1">
        <v>12746.6</v>
      </c>
      <c r="K3941" s="1">
        <v>1850.05</v>
      </c>
      <c r="L3941" s="1" t="s">
        <v>17</v>
      </c>
      <c r="M3941" s="1" t="str">
        <f>TEXT(Table1[[#This Row],[Order Date]],"mmm")</f>
        <v>May</v>
      </c>
      <c r="N3941" s="1">
        <f>YEAR(Table1[[#This Row],[Order Date]])</f>
        <v>2023</v>
      </c>
    </row>
    <row r="3942" spans="1:14" x14ac:dyDescent="0.35">
      <c r="A3942" s="1" t="s">
        <v>4737</v>
      </c>
      <c r="B3942" s="1" t="s">
        <v>1007</v>
      </c>
      <c r="C3942" s="1" t="s">
        <v>94</v>
      </c>
      <c r="D3942" s="1" t="s">
        <v>27</v>
      </c>
      <c r="E3942" s="1" t="s">
        <v>28</v>
      </c>
      <c r="F3942" s="1" t="s">
        <v>27</v>
      </c>
      <c r="G3942" s="1">
        <v>9</v>
      </c>
      <c r="H3942" s="1">
        <v>58126</v>
      </c>
      <c r="I3942" s="1">
        <v>0.05</v>
      </c>
      <c r="J3942" s="1">
        <v>496977.3</v>
      </c>
      <c r="K3942" s="1">
        <v>60063.12</v>
      </c>
      <c r="L3942" s="1" t="s">
        <v>17</v>
      </c>
      <c r="M3942" s="1" t="str">
        <f>TEXT(Table1[[#This Row],[Order Date]],"mmm")</f>
        <v>Apr</v>
      </c>
      <c r="N3942" s="1">
        <f>YEAR(Table1[[#This Row],[Order Date]])</f>
        <v>2023</v>
      </c>
    </row>
    <row r="3943" spans="1:14" x14ac:dyDescent="0.35">
      <c r="A3943" s="1" t="s">
        <v>4738</v>
      </c>
      <c r="B3943" s="1" t="s">
        <v>312</v>
      </c>
      <c r="C3943" s="1" t="s">
        <v>73</v>
      </c>
      <c r="D3943" s="1" t="s">
        <v>52</v>
      </c>
      <c r="E3943" s="1" t="s">
        <v>28</v>
      </c>
      <c r="F3943" s="1" t="s">
        <v>52</v>
      </c>
      <c r="G3943" s="1">
        <v>9</v>
      </c>
      <c r="H3943" s="1">
        <v>11468</v>
      </c>
      <c r="I3943" s="1">
        <v>0.15</v>
      </c>
      <c r="J3943" s="1">
        <v>87730.2</v>
      </c>
      <c r="K3943" s="1">
        <v>22341.25</v>
      </c>
      <c r="L3943" s="1" t="s">
        <v>70</v>
      </c>
      <c r="M3943" s="1" t="str">
        <f>TEXT(Table1[[#This Row],[Order Date]],"mmm")</f>
        <v>May</v>
      </c>
      <c r="N3943" s="1">
        <f>YEAR(Table1[[#This Row],[Order Date]])</f>
        <v>2024</v>
      </c>
    </row>
    <row r="3944" spans="1:14" x14ac:dyDescent="0.35">
      <c r="A3944" s="1" t="s">
        <v>4739</v>
      </c>
      <c r="B3944" s="1" t="s">
        <v>2635</v>
      </c>
      <c r="C3944" s="1" t="s">
        <v>40</v>
      </c>
      <c r="D3944" s="1" t="s">
        <v>85</v>
      </c>
      <c r="E3944" s="1" t="s">
        <v>28</v>
      </c>
      <c r="F3944" s="1" t="s">
        <v>85</v>
      </c>
      <c r="G3944" s="1">
        <v>10</v>
      </c>
      <c r="H3944" s="1">
        <v>59403</v>
      </c>
      <c r="I3944" s="1">
        <v>0.15</v>
      </c>
      <c r="J3944" s="1">
        <v>504925.5</v>
      </c>
      <c r="K3944" s="1">
        <v>115593.39</v>
      </c>
      <c r="L3944" s="1" t="s">
        <v>45</v>
      </c>
      <c r="M3944" s="1" t="str">
        <f>TEXT(Table1[[#This Row],[Order Date]],"mmm")</f>
        <v>Jun</v>
      </c>
      <c r="N3944" s="1">
        <f>YEAR(Table1[[#This Row],[Order Date]])</f>
        <v>2023</v>
      </c>
    </row>
    <row r="3945" spans="1:14" x14ac:dyDescent="0.35">
      <c r="A3945" s="1" t="s">
        <v>4740</v>
      </c>
      <c r="B3945" s="1" t="s">
        <v>1411</v>
      </c>
      <c r="C3945" s="1" t="s">
        <v>140</v>
      </c>
      <c r="D3945" s="1" t="s">
        <v>52</v>
      </c>
      <c r="E3945" s="1" t="s">
        <v>28</v>
      </c>
      <c r="F3945" s="1" t="s">
        <v>52</v>
      </c>
      <c r="G3945" s="1">
        <v>5</v>
      </c>
      <c r="H3945" s="1">
        <v>53658</v>
      </c>
      <c r="I3945" s="1">
        <v>0.05</v>
      </c>
      <c r="J3945" s="1">
        <v>254875.5</v>
      </c>
      <c r="K3945" s="1">
        <v>58678.48</v>
      </c>
      <c r="L3945" s="1" t="s">
        <v>17</v>
      </c>
      <c r="M3945" s="1" t="str">
        <f>TEXT(Table1[[#This Row],[Order Date]],"mmm")</f>
        <v>Oct</v>
      </c>
      <c r="N3945" s="1">
        <f>YEAR(Table1[[#This Row],[Order Date]])</f>
        <v>2023</v>
      </c>
    </row>
    <row r="3946" spans="1:14" x14ac:dyDescent="0.35">
      <c r="A3946" s="1" t="s">
        <v>4741</v>
      </c>
      <c r="B3946" s="1" t="s">
        <v>867</v>
      </c>
      <c r="C3946" s="1" t="s">
        <v>162</v>
      </c>
      <c r="D3946" s="1" t="s">
        <v>27</v>
      </c>
      <c r="E3946" s="1" t="s">
        <v>28</v>
      </c>
      <c r="F3946" s="1" t="s">
        <v>27</v>
      </c>
      <c r="G3946" s="1">
        <v>14</v>
      </c>
      <c r="H3946" s="1">
        <v>56566</v>
      </c>
      <c r="I3946" s="1">
        <v>0.15</v>
      </c>
      <c r="J3946" s="1">
        <v>673135.4</v>
      </c>
      <c r="K3946" s="1">
        <v>162195.06</v>
      </c>
      <c r="L3946" s="1" t="s">
        <v>70</v>
      </c>
      <c r="M3946" s="1" t="str">
        <f>TEXT(Table1[[#This Row],[Order Date]],"mmm")</f>
        <v>Aug</v>
      </c>
      <c r="N3946" s="1">
        <f>YEAR(Table1[[#This Row],[Order Date]])</f>
        <v>2024</v>
      </c>
    </row>
    <row r="3947" spans="1:14" x14ac:dyDescent="0.35">
      <c r="A3947" s="1" t="s">
        <v>4742</v>
      </c>
      <c r="B3947" s="1" t="s">
        <v>2355</v>
      </c>
      <c r="C3947" s="1" t="s">
        <v>88</v>
      </c>
      <c r="D3947" s="1" t="s">
        <v>85</v>
      </c>
      <c r="E3947" s="1" t="s">
        <v>28</v>
      </c>
      <c r="F3947" s="1" t="s">
        <v>85</v>
      </c>
      <c r="G3947" s="1">
        <v>4</v>
      </c>
      <c r="H3947" s="1">
        <v>59746</v>
      </c>
      <c r="I3947" s="1">
        <v>0.05</v>
      </c>
      <c r="J3947" s="1">
        <v>227034.8</v>
      </c>
      <c r="K3947" s="1">
        <v>61511.13</v>
      </c>
      <c r="L3947" s="1" t="s">
        <v>45</v>
      </c>
      <c r="M3947" s="1" t="str">
        <f>TEXT(Table1[[#This Row],[Order Date]],"mmm")</f>
        <v>Oct</v>
      </c>
      <c r="N3947" s="1">
        <f>YEAR(Table1[[#This Row],[Order Date]])</f>
        <v>2023</v>
      </c>
    </row>
    <row r="3948" spans="1:14" x14ac:dyDescent="0.35">
      <c r="A3948" s="1" t="s">
        <v>4743</v>
      </c>
      <c r="B3948" s="1" t="s">
        <v>2796</v>
      </c>
      <c r="C3948" s="1" t="s">
        <v>227</v>
      </c>
      <c r="D3948" s="1" t="s">
        <v>52</v>
      </c>
      <c r="E3948" s="1" t="s">
        <v>28</v>
      </c>
      <c r="F3948" s="1" t="s">
        <v>52</v>
      </c>
      <c r="G3948" s="1">
        <v>1</v>
      </c>
      <c r="H3948" s="1">
        <v>37433</v>
      </c>
      <c r="I3948" s="1">
        <v>0</v>
      </c>
      <c r="J3948" s="1">
        <v>37433</v>
      </c>
      <c r="K3948" s="1">
        <v>9367.7900000000009</v>
      </c>
      <c r="L3948" s="1" t="s">
        <v>17</v>
      </c>
      <c r="M3948" s="1" t="str">
        <f>TEXT(Table1[[#This Row],[Order Date]],"mmm")</f>
        <v>May</v>
      </c>
      <c r="N3948" s="1">
        <f>YEAR(Table1[[#This Row],[Order Date]])</f>
        <v>2024</v>
      </c>
    </row>
    <row r="3949" spans="1:14" x14ac:dyDescent="0.35">
      <c r="A3949" s="1" t="s">
        <v>4744</v>
      </c>
      <c r="B3949" s="1" t="s">
        <v>1209</v>
      </c>
      <c r="C3949" s="1" t="s">
        <v>136</v>
      </c>
      <c r="D3949" s="1" t="s">
        <v>85</v>
      </c>
      <c r="E3949" s="1" t="s">
        <v>28</v>
      </c>
      <c r="F3949" s="1" t="s">
        <v>85</v>
      </c>
      <c r="G3949" s="1">
        <v>4</v>
      </c>
      <c r="H3949" s="1">
        <v>48546</v>
      </c>
      <c r="I3949" s="1">
        <v>0</v>
      </c>
      <c r="J3949" s="1">
        <v>194184</v>
      </c>
      <c r="K3949" s="1">
        <v>53763.11</v>
      </c>
      <c r="L3949" s="1" t="s">
        <v>23</v>
      </c>
      <c r="M3949" s="1" t="str">
        <f>TEXT(Table1[[#This Row],[Order Date]],"mmm")</f>
        <v>Jan</v>
      </c>
      <c r="N3949" s="1">
        <f>YEAR(Table1[[#This Row],[Order Date]])</f>
        <v>2023</v>
      </c>
    </row>
    <row r="3950" spans="1:14" x14ac:dyDescent="0.35">
      <c r="A3950" s="1" t="s">
        <v>4745</v>
      </c>
      <c r="B3950" s="1" t="s">
        <v>2953</v>
      </c>
      <c r="C3950" s="1" t="s">
        <v>104</v>
      </c>
      <c r="D3950" s="1" t="s">
        <v>56</v>
      </c>
      <c r="E3950" s="1" t="s">
        <v>22</v>
      </c>
      <c r="F3950" s="1" t="s">
        <v>56</v>
      </c>
      <c r="G3950" s="1">
        <v>10</v>
      </c>
      <c r="H3950" s="1">
        <v>42646</v>
      </c>
      <c r="I3950" s="1">
        <v>0</v>
      </c>
      <c r="J3950" s="1">
        <v>426460</v>
      </c>
      <c r="K3950" s="1">
        <v>45047.71</v>
      </c>
      <c r="L3950" s="1" t="s">
        <v>45</v>
      </c>
      <c r="M3950" s="1" t="str">
        <f>TEXT(Table1[[#This Row],[Order Date]],"mmm")</f>
        <v>Jun</v>
      </c>
      <c r="N3950" s="1">
        <f>YEAR(Table1[[#This Row],[Order Date]])</f>
        <v>2023</v>
      </c>
    </row>
    <row r="3951" spans="1:14" x14ac:dyDescent="0.35">
      <c r="A3951" s="1" t="s">
        <v>4746</v>
      </c>
      <c r="B3951" s="1" t="s">
        <v>1854</v>
      </c>
      <c r="C3951" s="1" t="s">
        <v>332</v>
      </c>
      <c r="D3951" s="1" t="s">
        <v>151</v>
      </c>
      <c r="E3951" s="1" t="s">
        <v>22</v>
      </c>
      <c r="F3951" s="1" t="s">
        <v>151</v>
      </c>
      <c r="G3951" s="1">
        <v>6</v>
      </c>
      <c r="H3951" s="1">
        <v>20437</v>
      </c>
      <c r="I3951" s="1">
        <v>0.05</v>
      </c>
      <c r="J3951" s="1">
        <v>116490.9</v>
      </c>
      <c r="K3951" s="1">
        <v>21787.72</v>
      </c>
      <c r="L3951" s="1" t="s">
        <v>17</v>
      </c>
      <c r="M3951" s="1" t="str">
        <f>TEXT(Table1[[#This Row],[Order Date]],"mmm")</f>
        <v>Jul</v>
      </c>
      <c r="N3951" s="1">
        <f>YEAR(Table1[[#This Row],[Order Date]])</f>
        <v>2023</v>
      </c>
    </row>
    <row r="3952" spans="1:14" x14ac:dyDescent="0.35">
      <c r="A3952" s="1" t="s">
        <v>4747</v>
      </c>
      <c r="B3952" s="1" t="s">
        <v>2425</v>
      </c>
      <c r="C3952" s="1" t="s">
        <v>20</v>
      </c>
      <c r="D3952" s="1" t="s">
        <v>151</v>
      </c>
      <c r="E3952" s="1" t="s">
        <v>22</v>
      </c>
      <c r="F3952" s="1" t="s">
        <v>151</v>
      </c>
      <c r="G3952" s="1">
        <v>11</v>
      </c>
      <c r="H3952" s="1">
        <v>35084</v>
      </c>
      <c r="I3952" s="1">
        <v>0.15</v>
      </c>
      <c r="J3952" s="1">
        <v>328035.40000000002</v>
      </c>
      <c r="K3952" s="1">
        <v>93694.56</v>
      </c>
      <c r="L3952" s="1" t="s">
        <v>23</v>
      </c>
      <c r="M3952" s="1" t="str">
        <f>TEXT(Table1[[#This Row],[Order Date]],"mmm")</f>
        <v>Jun</v>
      </c>
      <c r="N3952" s="1">
        <f>YEAR(Table1[[#This Row],[Order Date]])</f>
        <v>2024</v>
      </c>
    </row>
    <row r="3953" spans="1:14" x14ac:dyDescent="0.35">
      <c r="A3953" s="1" t="s">
        <v>4748</v>
      </c>
      <c r="B3953" s="1" t="s">
        <v>963</v>
      </c>
      <c r="C3953" s="1" t="s">
        <v>59</v>
      </c>
      <c r="D3953" s="1" t="s">
        <v>91</v>
      </c>
      <c r="E3953" s="1" t="s">
        <v>16</v>
      </c>
      <c r="F3953" s="1" t="s">
        <v>91</v>
      </c>
      <c r="G3953" s="1">
        <v>7</v>
      </c>
      <c r="H3953" s="1">
        <v>58570</v>
      </c>
      <c r="I3953" s="1">
        <v>0</v>
      </c>
      <c r="J3953" s="1">
        <v>409990</v>
      </c>
      <c r="K3953" s="1">
        <v>35183.599999999999</v>
      </c>
      <c r="L3953" s="1" t="s">
        <v>23</v>
      </c>
      <c r="M3953" s="1" t="str">
        <f>TEXT(Table1[[#This Row],[Order Date]],"mmm")</f>
        <v>Oct</v>
      </c>
      <c r="N3953" s="1">
        <f>YEAR(Table1[[#This Row],[Order Date]])</f>
        <v>2024</v>
      </c>
    </row>
    <row r="3954" spans="1:14" x14ac:dyDescent="0.35">
      <c r="A3954" s="1" t="s">
        <v>4749</v>
      </c>
      <c r="B3954" s="1" t="s">
        <v>2719</v>
      </c>
      <c r="C3954" s="1" t="s">
        <v>98</v>
      </c>
      <c r="D3954" s="1" t="s">
        <v>179</v>
      </c>
      <c r="E3954" s="1" t="s">
        <v>28</v>
      </c>
      <c r="F3954" s="1" t="s">
        <v>179</v>
      </c>
      <c r="G3954" s="1">
        <v>14</v>
      </c>
      <c r="H3954" s="1">
        <v>48053</v>
      </c>
      <c r="I3954" s="1">
        <v>0.05</v>
      </c>
      <c r="J3954" s="1">
        <v>639104.9</v>
      </c>
      <c r="K3954" s="1">
        <v>73412.59</v>
      </c>
      <c r="L3954" s="1" t="s">
        <v>17</v>
      </c>
      <c r="M3954" s="1" t="str">
        <f>TEXT(Table1[[#This Row],[Order Date]],"mmm")</f>
        <v>Apr</v>
      </c>
      <c r="N3954" s="1">
        <f>YEAR(Table1[[#This Row],[Order Date]])</f>
        <v>2023</v>
      </c>
    </row>
    <row r="3955" spans="1:14" x14ac:dyDescent="0.35">
      <c r="A3955" s="1" t="s">
        <v>4750</v>
      </c>
      <c r="B3955" s="1" t="s">
        <v>2151</v>
      </c>
      <c r="C3955" s="1" t="s">
        <v>370</v>
      </c>
      <c r="D3955" s="1" t="s">
        <v>179</v>
      </c>
      <c r="E3955" s="1" t="s">
        <v>28</v>
      </c>
      <c r="F3955" s="1" t="s">
        <v>179</v>
      </c>
      <c r="G3955" s="1">
        <v>2</v>
      </c>
      <c r="H3955" s="1">
        <v>41575</v>
      </c>
      <c r="I3955" s="1">
        <v>0.2</v>
      </c>
      <c r="J3955" s="1">
        <v>66520</v>
      </c>
      <c r="K3955" s="1">
        <v>18309.95</v>
      </c>
      <c r="L3955" s="1" t="s">
        <v>23</v>
      </c>
      <c r="M3955" s="1" t="str">
        <f>TEXT(Table1[[#This Row],[Order Date]],"mmm")</f>
        <v>Jun</v>
      </c>
      <c r="N3955" s="1">
        <f>YEAR(Table1[[#This Row],[Order Date]])</f>
        <v>2024</v>
      </c>
    </row>
    <row r="3956" spans="1:14" x14ac:dyDescent="0.35">
      <c r="A3956" s="1" t="s">
        <v>4751</v>
      </c>
      <c r="B3956" s="1" t="s">
        <v>551</v>
      </c>
      <c r="C3956" s="1" t="s">
        <v>117</v>
      </c>
      <c r="D3956" s="1" t="s">
        <v>85</v>
      </c>
      <c r="E3956" s="1" t="s">
        <v>28</v>
      </c>
      <c r="F3956" s="1" t="s">
        <v>85</v>
      </c>
      <c r="G3956" s="1">
        <v>15</v>
      </c>
      <c r="H3956" s="1">
        <v>25460</v>
      </c>
      <c r="I3956" s="1">
        <v>0</v>
      </c>
      <c r="J3956" s="1">
        <v>381900</v>
      </c>
      <c r="K3956" s="1">
        <v>102601.03</v>
      </c>
      <c r="L3956" s="1" t="s">
        <v>23</v>
      </c>
      <c r="M3956" s="1" t="str">
        <f>TEXT(Table1[[#This Row],[Order Date]],"mmm")</f>
        <v>Apr</v>
      </c>
      <c r="N3956" s="1">
        <f>YEAR(Table1[[#This Row],[Order Date]])</f>
        <v>2024</v>
      </c>
    </row>
    <row r="3957" spans="1:14" x14ac:dyDescent="0.35">
      <c r="A3957" s="1" t="s">
        <v>4752</v>
      </c>
      <c r="B3957" s="1" t="s">
        <v>944</v>
      </c>
      <c r="C3957" s="1" t="s">
        <v>203</v>
      </c>
      <c r="D3957" s="1" t="s">
        <v>179</v>
      </c>
      <c r="E3957" s="1" t="s">
        <v>28</v>
      </c>
      <c r="F3957" s="1" t="s">
        <v>179</v>
      </c>
      <c r="G3957" s="1">
        <v>12</v>
      </c>
      <c r="H3957" s="1">
        <v>45498</v>
      </c>
      <c r="I3957" s="1">
        <v>0.2</v>
      </c>
      <c r="J3957" s="1">
        <v>436780.79999999999</v>
      </c>
      <c r="K3957" s="1">
        <v>68094.69</v>
      </c>
      <c r="L3957" s="1" t="s">
        <v>23</v>
      </c>
      <c r="M3957" s="1" t="str">
        <f>TEXT(Table1[[#This Row],[Order Date]],"mmm")</f>
        <v>Aug</v>
      </c>
      <c r="N3957" s="1">
        <f>YEAR(Table1[[#This Row],[Order Date]])</f>
        <v>2024</v>
      </c>
    </row>
    <row r="3958" spans="1:14" x14ac:dyDescent="0.35">
      <c r="A3958" s="1" t="s">
        <v>4753</v>
      </c>
      <c r="B3958" s="1" t="s">
        <v>778</v>
      </c>
      <c r="C3958" s="1" t="s">
        <v>31</v>
      </c>
      <c r="D3958" s="1" t="s">
        <v>323</v>
      </c>
      <c r="E3958" s="1" t="s">
        <v>33</v>
      </c>
      <c r="F3958" s="1" t="s">
        <v>323</v>
      </c>
      <c r="G3958" s="1">
        <v>15</v>
      </c>
      <c r="H3958" s="1">
        <v>21328</v>
      </c>
      <c r="I3958" s="1">
        <v>0.2</v>
      </c>
      <c r="J3958" s="1">
        <v>255936</v>
      </c>
      <c r="K3958" s="1">
        <v>63985.65</v>
      </c>
      <c r="L3958" s="1" t="s">
        <v>17</v>
      </c>
      <c r="M3958" s="1" t="str">
        <f>TEXT(Table1[[#This Row],[Order Date]],"mmm")</f>
        <v>Nov</v>
      </c>
      <c r="N3958" s="1">
        <f>YEAR(Table1[[#This Row],[Order Date]])</f>
        <v>2023</v>
      </c>
    </row>
    <row r="3959" spans="1:14" x14ac:dyDescent="0.35">
      <c r="A3959" s="1" t="s">
        <v>4754</v>
      </c>
      <c r="B3959" s="1" t="s">
        <v>419</v>
      </c>
      <c r="C3959" s="1" t="s">
        <v>136</v>
      </c>
      <c r="D3959" s="1" t="s">
        <v>27</v>
      </c>
      <c r="E3959" s="1" t="s">
        <v>28</v>
      </c>
      <c r="F3959" s="1" t="s">
        <v>27</v>
      </c>
      <c r="G3959" s="1">
        <v>3</v>
      </c>
      <c r="H3959" s="1">
        <v>43317</v>
      </c>
      <c r="I3959" s="1">
        <v>0.15</v>
      </c>
      <c r="J3959" s="1">
        <v>110458.35</v>
      </c>
      <c r="K3959" s="1">
        <v>28212.7</v>
      </c>
      <c r="L3959" s="1" t="s">
        <v>23</v>
      </c>
      <c r="M3959" s="1" t="str">
        <f>TEXT(Table1[[#This Row],[Order Date]],"mmm")</f>
        <v>Feb</v>
      </c>
      <c r="N3959" s="1">
        <f>YEAR(Table1[[#This Row],[Order Date]])</f>
        <v>2024</v>
      </c>
    </row>
    <row r="3960" spans="1:14" x14ac:dyDescent="0.35">
      <c r="A3960" s="1" t="s">
        <v>4755</v>
      </c>
      <c r="B3960" s="1" t="s">
        <v>1366</v>
      </c>
      <c r="C3960" s="1" t="s">
        <v>136</v>
      </c>
      <c r="D3960" s="1" t="s">
        <v>293</v>
      </c>
      <c r="E3960" s="1" t="s">
        <v>33</v>
      </c>
      <c r="F3960" s="1" t="s">
        <v>293</v>
      </c>
      <c r="G3960" s="1">
        <v>6</v>
      </c>
      <c r="H3960" s="1">
        <v>58890</v>
      </c>
      <c r="I3960" s="1">
        <v>0.2</v>
      </c>
      <c r="J3960" s="1">
        <v>282672</v>
      </c>
      <c r="K3960" s="1">
        <v>23059.13</v>
      </c>
      <c r="L3960" s="1" t="s">
        <v>23</v>
      </c>
      <c r="M3960" s="1" t="str">
        <f>TEXT(Table1[[#This Row],[Order Date]],"mmm")</f>
        <v>Jan</v>
      </c>
      <c r="N3960" s="1">
        <f>YEAR(Table1[[#This Row],[Order Date]])</f>
        <v>2023</v>
      </c>
    </row>
    <row r="3961" spans="1:14" x14ac:dyDescent="0.35">
      <c r="A3961" s="1" t="s">
        <v>4756</v>
      </c>
      <c r="B3961" s="1" t="s">
        <v>1198</v>
      </c>
      <c r="C3961" s="1" t="s">
        <v>55</v>
      </c>
      <c r="D3961" s="1" t="s">
        <v>74</v>
      </c>
      <c r="E3961" s="1" t="s">
        <v>22</v>
      </c>
      <c r="F3961" s="1" t="s">
        <v>74</v>
      </c>
      <c r="G3961" s="1">
        <v>11</v>
      </c>
      <c r="H3961" s="1">
        <v>27253</v>
      </c>
      <c r="I3961" s="1">
        <v>0.2</v>
      </c>
      <c r="J3961" s="1">
        <v>239826.4</v>
      </c>
      <c r="K3961" s="1">
        <v>63045.72</v>
      </c>
      <c r="L3961" s="1" t="s">
        <v>70</v>
      </c>
      <c r="M3961" s="1" t="str">
        <f>TEXT(Table1[[#This Row],[Order Date]],"mmm")</f>
        <v>Mar</v>
      </c>
      <c r="N3961" s="1">
        <f>YEAR(Table1[[#This Row],[Order Date]])</f>
        <v>2023</v>
      </c>
    </row>
    <row r="3962" spans="1:14" x14ac:dyDescent="0.35">
      <c r="A3962" s="1" t="s">
        <v>4757</v>
      </c>
      <c r="B3962" s="1" t="s">
        <v>3000</v>
      </c>
      <c r="C3962" s="1" t="s">
        <v>203</v>
      </c>
      <c r="D3962" s="1" t="s">
        <v>91</v>
      </c>
      <c r="E3962" s="1" t="s">
        <v>16</v>
      </c>
      <c r="F3962" s="1" t="s">
        <v>91</v>
      </c>
      <c r="G3962" s="1">
        <v>10</v>
      </c>
      <c r="H3962" s="1">
        <v>31448</v>
      </c>
      <c r="I3962" s="1">
        <v>0</v>
      </c>
      <c r="J3962" s="1">
        <v>314480</v>
      </c>
      <c r="K3962" s="1">
        <v>31819.360000000001</v>
      </c>
      <c r="L3962" s="1" t="s">
        <v>17</v>
      </c>
      <c r="M3962" s="1" t="str">
        <f>TEXT(Table1[[#This Row],[Order Date]],"mmm")</f>
        <v>Mar</v>
      </c>
      <c r="N3962" s="1">
        <f>YEAR(Table1[[#This Row],[Order Date]])</f>
        <v>2024</v>
      </c>
    </row>
    <row r="3963" spans="1:14" x14ac:dyDescent="0.35">
      <c r="A3963" s="1" t="s">
        <v>4758</v>
      </c>
      <c r="B3963" s="1" t="s">
        <v>1063</v>
      </c>
      <c r="C3963" s="1" t="s">
        <v>146</v>
      </c>
      <c r="D3963" s="1" t="s">
        <v>15</v>
      </c>
      <c r="E3963" s="1" t="s">
        <v>16</v>
      </c>
      <c r="F3963" s="1" t="s">
        <v>15</v>
      </c>
      <c r="G3963" s="1">
        <v>4</v>
      </c>
      <c r="H3963" s="1">
        <v>20888</v>
      </c>
      <c r="I3963" s="1">
        <v>0</v>
      </c>
      <c r="J3963" s="1">
        <v>83552</v>
      </c>
      <c r="K3963" s="1">
        <v>8237.2099999999991</v>
      </c>
      <c r="L3963" s="1" t="s">
        <v>70</v>
      </c>
      <c r="M3963" s="1" t="str">
        <f>TEXT(Table1[[#This Row],[Order Date]],"mmm")</f>
        <v>Apr</v>
      </c>
      <c r="N3963" s="1">
        <f>YEAR(Table1[[#This Row],[Order Date]])</f>
        <v>2024</v>
      </c>
    </row>
    <row r="3964" spans="1:14" x14ac:dyDescent="0.35">
      <c r="A3964" s="1" t="s">
        <v>4759</v>
      </c>
      <c r="B3964" s="1" t="s">
        <v>524</v>
      </c>
      <c r="C3964" s="1" t="s">
        <v>128</v>
      </c>
      <c r="D3964" s="1" t="s">
        <v>323</v>
      </c>
      <c r="E3964" s="1" t="s">
        <v>33</v>
      </c>
      <c r="F3964" s="1" t="s">
        <v>323</v>
      </c>
      <c r="G3964" s="1">
        <v>10</v>
      </c>
      <c r="H3964" s="1">
        <v>56015</v>
      </c>
      <c r="I3964" s="1">
        <v>0.2</v>
      </c>
      <c r="J3964" s="1">
        <v>448120</v>
      </c>
      <c r="K3964" s="1">
        <v>102876.61</v>
      </c>
      <c r="L3964" s="1" t="s">
        <v>23</v>
      </c>
      <c r="M3964" s="1" t="str">
        <f>TEXT(Table1[[#This Row],[Order Date]],"mmm")</f>
        <v>Nov</v>
      </c>
      <c r="N3964" s="1">
        <f>YEAR(Table1[[#This Row],[Order Date]])</f>
        <v>2024</v>
      </c>
    </row>
    <row r="3965" spans="1:14" x14ac:dyDescent="0.35">
      <c r="A3965" s="1" t="s">
        <v>4760</v>
      </c>
      <c r="B3965" s="1" t="s">
        <v>177</v>
      </c>
      <c r="C3965" s="1" t="s">
        <v>20</v>
      </c>
      <c r="D3965" s="1" t="s">
        <v>167</v>
      </c>
      <c r="E3965" s="1" t="s">
        <v>16</v>
      </c>
      <c r="F3965" s="1" t="s">
        <v>167</v>
      </c>
      <c r="G3965" s="1">
        <v>15</v>
      </c>
      <c r="H3965" s="1">
        <v>19519</v>
      </c>
      <c r="I3965" s="1">
        <v>0.1</v>
      </c>
      <c r="J3965" s="1">
        <v>263506.5</v>
      </c>
      <c r="K3965" s="1">
        <v>26541.759999999998</v>
      </c>
      <c r="L3965" s="1" t="s">
        <v>23</v>
      </c>
      <c r="M3965" s="1" t="str">
        <f>TEXT(Table1[[#This Row],[Order Date]],"mmm")</f>
        <v>Jun</v>
      </c>
      <c r="N3965" s="1">
        <f>YEAR(Table1[[#This Row],[Order Date]])</f>
        <v>2023</v>
      </c>
    </row>
    <row r="3966" spans="1:14" x14ac:dyDescent="0.35">
      <c r="A3966" s="1" t="s">
        <v>4761</v>
      </c>
      <c r="B3966" s="1" t="s">
        <v>667</v>
      </c>
      <c r="C3966" s="1" t="s">
        <v>255</v>
      </c>
      <c r="D3966" s="1" t="s">
        <v>179</v>
      </c>
      <c r="E3966" s="1" t="s">
        <v>28</v>
      </c>
      <c r="F3966" s="1" t="s">
        <v>179</v>
      </c>
      <c r="G3966" s="1">
        <v>13</v>
      </c>
      <c r="H3966" s="1">
        <v>24867</v>
      </c>
      <c r="I3966" s="1">
        <v>0.1</v>
      </c>
      <c r="J3966" s="1">
        <v>290943.90000000002</v>
      </c>
      <c r="K3966" s="1">
        <v>27567.35</v>
      </c>
      <c r="L3966" s="1" t="s">
        <v>23</v>
      </c>
      <c r="M3966" s="1" t="str">
        <f>TEXT(Table1[[#This Row],[Order Date]],"mmm")</f>
        <v>Jun</v>
      </c>
      <c r="N3966" s="1">
        <f>YEAR(Table1[[#This Row],[Order Date]])</f>
        <v>2024</v>
      </c>
    </row>
    <row r="3967" spans="1:14" x14ac:dyDescent="0.35">
      <c r="A3967" s="1" t="s">
        <v>4762</v>
      </c>
      <c r="B3967" s="1" t="s">
        <v>2328</v>
      </c>
      <c r="C3967" s="1" t="s">
        <v>349</v>
      </c>
      <c r="D3967" s="1" t="s">
        <v>95</v>
      </c>
      <c r="E3967" s="1" t="s">
        <v>33</v>
      </c>
      <c r="F3967" s="1" t="s">
        <v>95</v>
      </c>
      <c r="G3967" s="1">
        <v>9</v>
      </c>
      <c r="H3967" s="1">
        <v>1324</v>
      </c>
      <c r="I3967" s="1">
        <v>0.05</v>
      </c>
      <c r="J3967" s="1">
        <v>11320.2</v>
      </c>
      <c r="K3967" s="1">
        <v>3055.75</v>
      </c>
      <c r="L3967" s="1" t="s">
        <v>70</v>
      </c>
      <c r="M3967" s="1" t="str">
        <f>TEXT(Table1[[#This Row],[Order Date]],"mmm")</f>
        <v>Dec</v>
      </c>
      <c r="N3967" s="1">
        <f>YEAR(Table1[[#This Row],[Order Date]])</f>
        <v>2023</v>
      </c>
    </row>
    <row r="3968" spans="1:14" x14ac:dyDescent="0.35">
      <c r="A3968" s="1" t="s">
        <v>4763</v>
      </c>
      <c r="B3968" s="1" t="s">
        <v>556</v>
      </c>
      <c r="C3968" s="1" t="s">
        <v>120</v>
      </c>
      <c r="D3968" s="1" t="s">
        <v>179</v>
      </c>
      <c r="E3968" s="1" t="s">
        <v>28</v>
      </c>
      <c r="F3968" s="1" t="s">
        <v>179</v>
      </c>
      <c r="G3968" s="1">
        <v>10</v>
      </c>
      <c r="H3968" s="1">
        <v>46015</v>
      </c>
      <c r="I3968" s="1">
        <v>0.05</v>
      </c>
      <c r="J3968" s="1">
        <v>437142.5</v>
      </c>
      <c r="K3968" s="1">
        <v>36769.06</v>
      </c>
      <c r="L3968" s="1" t="s">
        <v>17</v>
      </c>
      <c r="M3968" s="1" t="str">
        <f>TEXT(Table1[[#This Row],[Order Date]],"mmm")</f>
        <v>Nov</v>
      </c>
      <c r="N3968" s="1">
        <f>YEAR(Table1[[#This Row],[Order Date]])</f>
        <v>2024</v>
      </c>
    </row>
    <row r="3969" spans="1:14" x14ac:dyDescent="0.35">
      <c r="A3969" s="1" t="s">
        <v>4764</v>
      </c>
      <c r="B3969" s="1" t="s">
        <v>2796</v>
      </c>
      <c r="C3969" s="1" t="s">
        <v>51</v>
      </c>
      <c r="D3969" s="1" t="s">
        <v>41</v>
      </c>
      <c r="E3969" s="1" t="s">
        <v>16</v>
      </c>
      <c r="F3969" s="1" t="s">
        <v>41</v>
      </c>
      <c r="G3969" s="1">
        <v>14</v>
      </c>
      <c r="H3969" s="1">
        <v>27300</v>
      </c>
      <c r="I3969" s="1">
        <v>0.05</v>
      </c>
      <c r="J3969" s="1">
        <v>363090</v>
      </c>
      <c r="K3969" s="1">
        <v>81223.31</v>
      </c>
      <c r="L3969" s="1" t="s">
        <v>17</v>
      </c>
      <c r="M3969" s="1" t="str">
        <f>TEXT(Table1[[#This Row],[Order Date]],"mmm")</f>
        <v>May</v>
      </c>
      <c r="N3969" s="1">
        <f>YEAR(Table1[[#This Row],[Order Date]])</f>
        <v>2024</v>
      </c>
    </row>
    <row r="3970" spans="1:14" x14ac:dyDescent="0.35">
      <c r="A3970" s="1" t="s">
        <v>4765</v>
      </c>
      <c r="B3970" s="1" t="s">
        <v>563</v>
      </c>
      <c r="C3970" s="1" t="s">
        <v>59</v>
      </c>
      <c r="D3970" s="1" t="s">
        <v>48</v>
      </c>
      <c r="E3970" s="1" t="s">
        <v>16</v>
      </c>
      <c r="F3970" s="1" t="s">
        <v>48</v>
      </c>
      <c r="G3970" s="1">
        <v>7</v>
      </c>
      <c r="H3970" s="1">
        <v>53143</v>
      </c>
      <c r="I3970" s="1">
        <v>0</v>
      </c>
      <c r="J3970" s="1">
        <v>372001</v>
      </c>
      <c r="K3970" s="1">
        <v>47518.53</v>
      </c>
      <c r="L3970" s="1" t="s">
        <v>23</v>
      </c>
      <c r="M3970" s="1" t="str">
        <f>TEXT(Table1[[#This Row],[Order Date]],"mmm")</f>
        <v>Jan</v>
      </c>
      <c r="N3970" s="1">
        <f>YEAR(Table1[[#This Row],[Order Date]])</f>
        <v>2023</v>
      </c>
    </row>
    <row r="3971" spans="1:14" x14ac:dyDescent="0.35">
      <c r="A3971" s="1" t="s">
        <v>4766</v>
      </c>
      <c r="B3971" s="1" t="s">
        <v>731</v>
      </c>
      <c r="C3971" s="1" t="s">
        <v>188</v>
      </c>
      <c r="D3971" s="1" t="s">
        <v>32</v>
      </c>
      <c r="E3971" s="1" t="s">
        <v>33</v>
      </c>
      <c r="F3971" s="1" t="s">
        <v>32</v>
      </c>
      <c r="G3971" s="1">
        <v>12</v>
      </c>
      <c r="H3971" s="1">
        <v>10311</v>
      </c>
      <c r="I3971" s="1">
        <v>0.2</v>
      </c>
      <c r="J3971" s="1">
        <v>98985.600000000006</v>
      </c>
      <c r="K3971" s="1">
        <v>17863.84</v>
      </c>
      <c r="L3971" s="1" t="s">
        <v>17</v>
      </c>
      <c r="M3971" s="1" t="str">
        <f>TEXT(Table1[[#This Row],[Order Date]],"mmm")</f>
        <v>Mar</v>
      </c>
      <c r="N3971" s="1">
        <f>YEAR(Table1[[#This Row],[Order Date]])</f>
        <v>2023</v>
      </c>
    </row>
    <row r="3972" spans="1:14" x14ac:dyDescent="0.35">
      <c r="A3972" s="1" t="s">
        <v>4767</v>
      </c>
      <c r="B3972" s="1" t="s">
        <v>2225</v>
      </c>
      <c r="C3972" s="1" t="s">
        <v>117</v>
      </c>
      <c r="D3972" s="1" t="s">
        <v>167</v>
      </c>
      <c r="E3972" s="1" t="s">
        <v>16</v>
      </c>
      <c r="F3972" s="1" t="s">
        <v>167</v>
      </c>
      <c r="G3972" s="1">
        <v>15</v>
      </c>
      <c r="H3972" s="1">
        <v>40486</v>
      </c>
      <c r="I3972" s="1">
        <v>0.15</v>
      </c>
      <c r="J3972" s="1">
        <v>516196.5</v>
      </c>
      <c r="K3972" s="1">
        <v>72944.259999999995</v>
      </c>
      <c r="L3972" s="1" t="s">
        <v>70</v>
      </c>
      <c r="M3972" s="1" t="str">
        <f>TEXT(Table1[[#This Row],[Order Date]],"mmm")</f>
        <v>Nov</v>
      </c>
      <c r="N3972" s="1">
        <f>YEAR(Table1[[#This Row],[Order Date]])</f>
        <v>2023</v>
      </c>
    </row>
    <row r="3973" spans="1:14" x14ac:dyDescent="0.35">
      <c r="A3973" s="1" t="s">
        <v>4768</v>
      </c>
      <c r="B3973" s="1" t="s">
        <v>2619</v>
      </c>
      <c r="C3973" s="1" t="s">
        <v>227</v>
      </c>
      <c r="D3973" s="1" t="s">
        <v>293</v>
      </c>
      <c r="E3973" s="1" t="s">
        <v>33</v>
      </c>
      <c r="F3973" s="1" t="s">
        <v>293</v>
      </c>
      <c r="G3973" s="1">
        <v>3</v>
      </c>
      <c r="H3973" s="1">
        <v>42741</v>
      </c>
      <c r="I3973" s="1">
        <v>0</v>
      </c>
      <c r="J3973" s="1">
        <v>128223</v>
      </c>
      <c r="K3973" s="1">
        <v>22575.67</v>
      </c>
      <c r="L3973" s="1" t="s">
        <v>17</v>
      </c>
      <c r="M3973" s="1" t="str">
        <f>TEXT(Table1[[#This Row],[Order Date]],"mmm")</f>
        <v>Mar</v>
      </c>
      <c r="N3973" s="1">
        <f>YEAR(Table1[[#This Row],[Order Date]])</f>
        <v>2024</v>
      </c>
    </row>
    <row r="3974" spans="1:14" x14ac:dyDescent="0.35">
      <c r="A3974" s="1" t="s">
        <v>4769</v>
      </c>
      <c r="B3974" s="1" t="s">
        <v>306</v>
      </c>
      <c r="C3974" s="1" t="s">
        <v>101</v>
      </c>
      <c r="D3974" s="1" t="s">
        <v>108</v>
      </c>
      <c r="E3974" s="1" t="s">
        <v>22</v>
      </c>
      <c r="F3974" s="1" t="s">
        <v>108</v>
      </c>
      <c r="G3974" s="1">
        <v>9</v>
      </c>
      <c r="H3974" s="1">
        <v>23205</v>
      </c>
      <c r="I3974" s="1">
        <v>0</v>
      </c>
      <c r="J3974" s="1">
        <v>208845</v>
      </c>
      <c r="K3974" s="1">
        <v>59415.63</v>
      </c>
      <c r="L3974" s="1" t="s">
        <v>70</v>
      </c>
      <c r="M3974" s="1" t="str">
        <f>TEXT(Table1[[#This Row],[Order Date]],"mmm")</f>
        <v>Jul</v>
      </c>
      <c r="N3974" s="1">
        <f>YEAR(Table1[[#This Row],[Order Date]])</f>
        <v>2024</v>
      </c>
    </row>
    <row r="3975" spans="1:14" x14ac:dyDescent="0.35">
      <c r="A3975" s="1" t="s">
        <v>4770</v>
      </c>
      <c r="B3975" s="1" t="s">
        <v>991</v>
      </c>
      <c r="C3975" s="1" t="s">
        <v>255</v>
      </c>
      <c r="D3975" s="1" t="s">
        <v>293</v>
      </c>
      <c r="E3975" s="1" t="s">
        <v>33</v>
      </c>
      <c r="F3975" s="1" t="s">
        <v>293</v>
      </c>
      <c r="G3975" s="1">
        <v>15</v>
      </c>
      <c r="H3975" s="1">
        <v>3254</v>
      </c>
      <c r="I3975" s="1">
        <v>0.2</v>
      </c>
      <c r="J3975" s="1">
        <v>39048</v>
      </c>
      <c r="K3975" s="1">
        <v>10565.58</v>
      </c>
      <c r="L3975" s="1" t="s">
        <v>23</v>
      </c>
      <c r="M3975" s="1" t="str">
        <f>TEXT(Table1[[#This Row],[Order Date]],"mmm")</f>
        <v>Feb</v>
      </c>
      <c r="N3975" s="1">
        <f>YEAR(Table1[[#This Row],[Order Date]])</f>
        <v>2024</v>
      </c>
    </row>
    <row r="3976" spans="1:14" x14ac:dyDescent="0.35">
      <c r="A3976" s="1" t="s">
        <v>4771</v>
      </c>
      <c r="B3976" s="1" t="s">
        <v>2601</v>
      </c>
      <c r="C3976" s="1" t="s">
        <v>640</v>
      </c>
      <c r="D3976" s="1" t="s">
        <v>224</v>
      </c>
      <c r="E3976" s="1" t="s">
        <v>33</v>
      </c>
      <c r="F3976" s="1" t="s">
        <v>224</v>
      </c>
      <c r="G3976" s="1">
        <v>15</v>
      </c>
      <c r="H3976" s="1">
        <v>36259</v>
      </c>
      <c r="I3976" s="1">
        <v>0.1</v>
      </c>
      <c r="J3976" s="1">
        <v>489496.5</v>
      </c>
      <c r="K3976" s="1">
        <v>47529.97</v>
      </c>
      <c r="L3976" s="1" t="s">
        <v>70</v>
      </c>
      <c r="M3976" s="1" t="str">
        <f>TEXT(Table1[[#This Row],[Order Date]],"mmm")</f>
        <v>Aug</v>
      </c>
      <c r="N3976" s="1">
        <f>YEAR(Table1[[#This Row],[Order Date]])</f>
        <v>2023</v>
      </c>
    </row>
    <row r="3977" spans="1:14" x14ac:dyDescent="0.35">
      <c r="A3977" s="1" t="s">
        <v>4772</v>
      </c>
      <c r="B3977" s="1" t="s">
        <v>195</v>
      </c>
      <c r="C3977" s="1" t="s">
        <v>40</v>
      </c>
      <c r="D3977" s="1" t="s">
        <v>141</v>
      </c>
      <c r="E3977" s="1" t="s">
        <v>22</v>
      </c>
      <c r="F3977" s="1" t="s">
        <v>141</v>
      </c>
      <c r="G3977" s="1">
        <v>13</v>
      </c>
      <c r="H3977" s="1">
        <v>25438</v>
      </c>
      <c r="I3977" s="1">
        <v>0.2</v>
      </c>
      <c r="J3977" s="1">
        <v>264555.2</v>
      </c>
      <c r="K3977" s="1">
        <v>46145.88</v>
      </c>
      <c r="L3977" s="1" t="s">
        <v>45</v>
      </c>
      <c r="M3977" s="1" t="str">
        <f>TEXT(Table1[[#This Row],[Order Date]],"mmm")</f>
        <v>Mar</v>
      </c>
      <c r="N3977" s="1">
        <f>YEAR(Table1[[#This Row],[Order Date]])</f>
        <v>2024</v>
      </c>
    </row>
    <row r="3978" spans="1:14" x14ac:dyDescent="0.35">
      <c r="A3978" s="1" t="s">
        <v>4773</v>
      </c>
      <c r="B3978" s="1" t="s">
        <v>948</v>
      </c>
      <c r="C3978" s="1" t="s">
        <v>128</v>
      </c>
      <c r="D3978" s="1" t="s">
        <v>179</v>
      </c>
      <c r="E3978" s="1" t="s">
        <v>28</v>
      </c>
      <c r="F3978" s="1" t="s">
        <v>179</v>
      </c>
      <c r="G3978" s="1">
        <v>12</v>
      </c>
      <c r="H3978" s="1">
        <v>22108</v>
      </c>
      <c r="I3978" s="1">
        <v>0</v>
      </c>
      <c r="J3978" s="1">
        <v>265296</v>
      </c>
      <c r="K3978" s="1">
        <v>72325.58</v>
      </c>
      <c r="L3978" s="1" t="s">
        <v>70</v>
      </c>
      <c r="M3978" s="1" t="str">
        <f>TEXT(Table1[[#This Row],[Order Date]],"mmm")</f>
        <v>Dec</v>
      </c>
      <c r="N3978" s="1">
        <f>YEAR(Table1[[#This Row],[Order Date]])</f>
        <v>2023</v>
      </c>
    </row>
    <row r="3979" spans="1:14" x14ac:dyDescent="0.35">
      <c r="A3979" s="1" t="s">
        <v>4774</v>
      </c>
      <c r="B3979" s="1" t="s">
        <v>612</v>
      </c>
      <c r="C3979" s="1" t="s">
        <v>170</v>
      </c>
      <c r="D3979" s="1" t="s">
        <v>41</v>
      </c>
      <c r="E3979" s="1" t="s">
        <v>16</v>
      </c>
      <c r="F3979" s="1" t="s">
        <v>41</v>
      </c>
      <c r="G3979" s="1">
        <v>5</v>
      </c>
      <c r="H3979" s="1">
        <v>37419</v>
      </c>
      <c r="I3979" s="1">
        <v>0.2</v>
      </c>
      <c r="J3979" s="1">
        <v>149676</v>
      </c>
      <c r="K3979" s="1">
        <v>32973.730000000003</v>
      </c>
      <c r="L3979" s="1" t="s">
        <v>70</v>
      </c>
      <c r="M3979" s="1" t="str">
        <f>TEXT(Table1[[#This Row],[Order Date]],"mmm")</f>
        <v>May</v>
      </c>
      <c r="N3979" s="1">
        <f>YEAR(Table1[[#This Row],[Order Date]])</f>
        <v>2024</v>
      </c>
    </row>
    <row r="3980" spans="1:14" x14ac:dyDescent="0.35">
      <c r="A3980" s="1" t="s">
        <v>4775</v>
      </c>
      <c r="B3980" s="1" t="s">
        <v>475</v>
      </c>
      <c r="C3980" s="1" t="s">
        <v>255</v>
      </c>
      <c r="D3980" s="1" t="s">
        <v>44</v>
      </c>
      <c r="E3980" s="1" t="s">
        <v>28</v>
      </c>
      <c r="F3980" s="1" t="s">
        <v>44</v>
      </c>
      <c r="G3980" s="1">
        <v>9</v>
      </c>
      <c r="H3980" s="1">
        <v>25420</v>
      </c>
      <c r="I3980" s="1">
        <v>0.15</v>
      </c>
      <c r="J3980" s="1">
        <v>194463</v>
      </c>
      <c r="K3980" s="1">
        <v>15893.18</v>
      </c>
      <c r="L3980" s="1" t="s">
        <v>70</v>
      </c>
      <c r="M3980" s="1" t="str">
        <f>TEXT(Table1[[#This Row],[Order Date]],"mmm")</f>
        <v>Jun</v>
      </c>
      <c r="N3980" s="1">
        <f>YEAR(Table1[[#This Row],[Order Date]])</f>
        <v>2023</v>
      </c>
    </row>
    <row r="3981" spans="1:14" x14ac:dyDescent="0.35">
      <c r="A3981" s="1" t="s">
        <v>4776</v>
      </c>
      <c r="B3981" s="1" t="s">
        <v>337</v>
      </c>
      <c r="C3981" s="1" t="s">
        <v>170</v>
      </c>
      <c r="D3981" s="1" t="s">
        <v>52</v>
      </c>
      <c r="E3981" s="1" t="s">
        <v>28</v>
      </c>
      <c r="F3981" s="1" t="s">
        <v>52</v>
      </c>
      <c r="G3981" s="1">
        <v>12</v>
      </c>
      <c r="H3981" s="1">
        <v>26827</v>
      </c>
      <c r="I3981" s="1">
        <v>0.1</v>
      </c>
      <c r="J3981" s="1">
        <v>289731.59999999998</v>
      </c>
      <c r="K3981" s="1">
        <v>32707.57</v>
      </c>
      <c r="L3981" s="1" t="s">
        <v>17</v>
      </c>
      <c r="M3981" s="1" t="str">
        <f>TEXT(Table1[[#This Row],[Order Date]],"mmm")</f>
        <v>May</v>
      </c>
      <c r="N3981" s="1">
        <f>YEAR(Table1[[#This Row],[Order Date]])</f>
        <v>2024</v>
      </c>
    </row>
    <row r="3982" spans="1:14" x14ac:dyDescent="0.35">
      <c r="A3982" s="1" t="s">
        <v>4777</v>
      </c>
      <c r="B3982" s="1" t="s">
        <v>2089</v>
      </c>
      <c r="C3982" s="1" t="s">
        <v>20</v>
      </c>
      <c r="D3982" s="1" t="s">
        <v>41</v>
      </c>
      <c r="E3982" s="1" t="s">
        <v>16</v>
      </c>
      <c r="F3982" s="1" t="s">
        <v>41</v>
      </c>
      <c r="G3982" s="1">
        <v>9</v>
      </c>
      <c r="H3982" s="1">
        <v>38967</v>
      </c>
      <c r="I3982" s="1">
        <v>0.05</v>
      </c>
      <c r="J3982" s="1">
        <v>333167.84999999998</v>
      </c>
      <c r="K3982" s="1">
        <v>31424.66</v>
      </c>
      <c r="L3982" s="1" t="s">
        <v>23</v>
      </c>
      <c r="M3982" s="1" t="str">
        <f>TEXT(Table1[[#This Row],[Order Date]],"mmm")</f>
        <v>Nov</v>
      </c>
      <c r="N3982" s="1">
        <f>YEAR(Table1[[#This Row],[Order Date]])</f>
        <v>2024</v>
      </c>
    </row>
    <row r="3983" spans="1:14" x14ac:dyDescent="0.35">
      <c r="A3983" s="1" t="s">
        <v>4778</v>
      </c>
      <c r="B3983" s="1" t="s">
        <v>124</v>
      </c>
      <c r="C3983" s="1" t="s">
        <v>178</v>
      </c>
      <c r="D3983" s="1" t="s">
        <v>60</v>
      </c>
      <c r="E3983" s="1" t="s">
        <v>33</v>
      </c>
      <c r="F3983" s="1" t="s">
        <v>60</v>
      </c>
      <c r="G3983" s="1">
        <v>7</v>
      </c>
      <c r="H3983" s="1">
        <v>37295</v>
      </c>
      <c r="I3983" s="1">
        <v>0.05</v>
      </c>
      <c r="J3983" s="1">
        <v>248011.75</v>
      </c>
      <c r="K3983" s="1">
        <v>33029.800000000003</v>
      </c>
      <c r="L3983" s="1" t="s">
        <v>45</v>
      </c>
      <c r="M3983" s="1" t="str">
        <f>TEXT(Table1[[#This Row],[Order Date]],"mmm")</f>
        <v>Apr</v>
      </c>
      <c r="N3983" s="1">
        <f>YEAR(Table1[[#This Row],[Order Date]])</f>
        <v>2024</v>
      </c>
    </row>
    <row r="3984" spans="1:14" x14ac:dyDescent="0.35">
      <c r="A3984" s="1" t="s">
        <v>4779</v>
      </c>
      <c r="B3984" s="1" t="s">
        <v>1500</v>
      </c>
      <c r="C3984" s="1" t="s">
        <v>146</v>
      </c>
      <c r="D3984" s="1" t="s">
        <v>15</v>
      </c>
      <c r="E3984" s="1" t="s">
        <v>16</v>
      </c>
      <c r="F3984" s="1" t="s">
        <v>15</v>
      </c>
      <c r="G3984" s="1">
        <v>6</v>
      </c>
      <c r="H3984" s="1">
        <v>4453</v>
      </c>
      <c r="I3984" s="1">
        <v>0</v>
      </c>
      <c r="J3984" s="1">
        <v>26718</v>
      </c>
      <c r="K3984" s="1">
        <v>7965.89</v>
      </c>
      <c r="L3984" s="1" t="s">
        <v>45</v>
      </c>
      <c r="M3984" s="1" t="str">
        <f>TEXT(Table1[[#This Row],[Order Date]],"mmm")</f>
        <v>Jun</v>
      </c>
      <c r="N3984" s="1">
        <f>YEAR(Table1[[#This Row],[Order Date]])</f>
        <v>2023</v>
      </c>
    </row>
    <row r="3985" spans="1:14" x14ac:dyDescent="0.35">
      <c r="A3985" s="1" t="s">
        <v>4780</v>
      </c>
      <c r="B3985" s="1" t="s">
        <v>1310</v>
      </c>
      <c r="C3985" s="1" t="s">
        <v>20</v>
      </c>
      <c r="D3985" s="1" t="s">
        <v>78</v>
      </c>
      <c r="E3985" s="1" t="s">
        <v>28</v>
      </c>
      <c r="F3985" s="1" t="s">
        <v>78</v>
      </c>
      <c r="G3985" s="1">
        <v>10</v>
      </c>
      <c r="H3985" s="1">
        <v>44242</v>
      </c>
      <c r="I3985" s="1">
        <v>0.05</v>
      </c>
      <c r="J3985" s="1">
        <v>420299</v>
      </c>
      <c r="K3985" s="1">
        <v>111167.24</v>
      </c>
      <c r="L3985" s="1" t="s">
        <v>23</v>
      </c>
      <c r="M3985" s="1" t="str">
        <f>TEXT(Table1[[#This Row],[Order Date]],"mmm")</f>
        <v>Jan</v>
      </c>
      <c r="N3985" s="1">
        <f>YEAR(Table1[[#This Row],[Order Date]])</f>
        <v>2024</v>
      </c>
    </row>
    <row r="3986" spans="1:14" x14ac:dyDescent="0.35">
      <c r="A3986" s="1" t="s">
        <v>4781</v>
      </c>
      <c r="B3986" s="1" t="s">
        <v>712</v>
      </c>
      <c r="C3986" s="1" t="s">
        <v>335</v>
      </c>
      <c r="D3986" s="1" t="s">
        <v>60</v>
      </c>
      <c r="E3986" s="1" t="s">
        <v>33</v>
      </c>
      <c r="F3986" s="1" t="s">
        <v>60</v>
      </c>
      <c r="G3986" s="1">
        <v>6</v>
      </c>
      <c r="H3986" s="1">
        <v>30026</v>
      </c>
      <c r="I3986" s="1">
        <v>0.15</v>
      </c>
      <c r="J3986" s="1">
        <v>153132.6</v>
      </c>
      <c r="K3986" s="1">
        <v>38275.08</v>
      </c>
      <c r="L3986" s="1" t="s">
        <v>45</v>
      </c>
      <c r="M3986" s="1" t="str">
        <f>TEXT(Table1[[#This Row],[Order Date]],"mmm")</f>
        <v>Sep</v>
      </c>
      <c r="N3986" s="1">
        <f>YEAR(Table1[[#This Row],[Order Date]])</f>
        <v>2023</v>
      </c>
    </row>
    <row r="3987" spans="1:14" x14ac:dyDescent="0.35">
      <c r="A3987" s="1" t="s">
        <v>4782</v>
      </c>
      <c r="B3987" s="1" t="s">
        <v>679</v>
      </c>
      <c r="C3987" s="1" t="s">
        <v>14</v>
      </c>
      <c r="D3987" s="1" t="s">
        <v>91</v>
      </c>
      <c r="E3987" s="1" t="s">
        <v>16</v>
      </c>
      <c r="F3987" s="1" t="s">
        <v>91</v>
      </c>
      <c r="G3987" s="1">
        <v>2</v>
      </c>
      <c r="H3987" s="1">
        <v>50708</v>
      </c>
      <c r="I3987" s="1">
        <v>0.05</v>
      </c>
      <c r="J3987" s="1">
        <v>96345.2</v>
      </c>
      <c r="K3987" s="1">
        <v>20162.05</v>
      </c>
      <c r="L3987" s="1" t="s">
        <v>23</v>
      </c>
      <c r="M3987" s="1" t="str">
        <f>TEXT(Table1[[#This Row],[Order Date]],"mmm")</f>
        <v>Jul</v>
      </c>
      <c r="N3987" s="1">
        <f>YEAR(Table1[[#This Row],[Order Date]])</f>
        <v>2023</v>
      </c>
    </row>
    <row r="3988" spans="1:14" x14ac:dyDescent="0.35">
      <c r="A3988" s="1" t="s">
        <v>4783</v>
      </c>
      <c r="B3988" s="1" t="s">
        <v>1071</v>
      </c>
      <c r="C3988" s="1" t="s">
        <v>175</v>
      </c>
      <c r="D3988" s="1" t="s">
        <v>52</v>
      </c>
      <c r="E3988" s="1" t="s">
        <v>28</v>
      </c>
      <c r="F3988" s="1" t="s">
        <v>52</v>
      </c>
      <c r="G3988" s="1">
        <v>2</v>
      </c>
      <c r="H3988" s="1">
        <v>51786</v>
      </c>
      <c r="I3988" s="1">
        <v>0.05</v>
      </c>
      <c r="J3988" s="1">
        <v>98393.4</v>
      </c>
      <c r="K3988" s="1">
        <v>11151.19</v>
      </c>
      <c r="L3988" s="1" t="s">
        <v>70</v>
      </c>
      <c r="M3988" s="1" t="str">
        <f>TEXT(Table1[[#This Row],[Order Date]],"mmm")</f>
        <v>Jul</v>
      </c>
      <c r="N3988" s="1">
        <f>YEAR(Table1[[#This Row],[Order Date]])</f>
        <v>2024</v>
      </c>
    </row>
    <row r="3989" spans="1:14" x14ac:dyDescent="0.35">
      <c r="A3989" s="1" t="s">
        <v>4784</v>
      </c>
      <c r="B3989" s="1" t="s">
        <v>504</v>
      </c>
      <c r="C3989" s="1" t="s">
        <v>370</v>
      </c>
      <c r="D3989" s="1" t="s">
        <v>85</v>
      </c>
      <c r="E3989" s="1" t="s">
        <v>28</v>
      </c>
      <c r="F3989" s="1" t="s">
        <v>85</v>
      </c>
      <c r="G3989" s="1">
        <v>13</v>
      </c>
      <c r="H3989" s="1">
        <v>17163</v>
      </c>
      <c r="I3989" s="1">
        <v>0.1</v>
      </c>
      <c r="J3989" s="1">
        <v>200807.1</v>
      </c>
      <c r="K3989" s="1">
        <v>40685.519999999997</v>
      </c>
      <c r="L3989" s="1" t="s">
        <v>45</v>
      </c>
      <c r="M3989" s="1" t="str">
        <f>TEXT(Table1[[#This Row],[Order Date]],"mmm")</f>
        <v>Aug</v>
      </c>
      <c r="N3989" s="1">
        <f>YEAR(Table1[[#This Row],[Order Date]])</f>
        <v>2023</v>
      </c>
    </row>
    <row r="3990" spans="1:14" x14ac:dyDescent="0.35">
      <c r="A3990" s="1" t="s">
        <v>4785</v>
      </c>
      <c r="B3990" s="1" t="s">
        <v>726</v>
      </c>
      <c r="C3990" s="1" t="s">
        <v>55</v>
      </c>
      <c r="D3990" s="1" t="s">
        <v>141</v>
      </c>
      <c r="E3990" s="1" t="s">
        <v>22</v>
      </c>
      <c r="F3990" s="1" t="s">
        <v>141</v>
      </c>
      <c r="G3990" s="1">
        <v>14</v>
      </c>
      <c r="H3990" s="1">
        <v>29621</v>
      </c>
      <c r="I3990" s="1">
        <v>0.2</v>
      </c>
      <c r="J3990" s="1">
        <v>331755.2</v>
      </c>
      <c r="K3990" s="1">
        <v>37750.050000000003</v>
      </c>
      <c r="L3990" s="1" t="s">
        <v>45</v>
      </c>
      <c r="M3990" s="1" t="str">
        <f>TEXT(Table1[[#This Row],[Order Date]],"mmm")</f>
        <v>Apr</v>
      </c>
      <c r="N3990" s="1">
        <f>YEAR(Table1[[#This Row],[Order Date]])</f>
        <v>2024</v>
      </c>
    </row>
    <row r="3991" spans="1:14" x14ac:dyDescent="0.35">
      <c r="A3991" s="1" t="s">
        <v>4786</v>
      </c>
      <c r="B3991" s="1" t="s">
        <v>1418</v>
      </c>
      <c r="C3991" s="1" t="s">
        <v>158</v>
      </c>
      <c r="D3991" s="1" t="s">
        <v>64</v>
      </c>
      <c r="E3991" s="1" t="s">
        <v>33</v>
      </c>
      <c r="F3991" s="1" t="s">
        <v>64</v>
      </c>
      <c r="G3991" s="1">
        <v>10</v>
      </c>
      <c r="H3991" s="1">
        <v>51876</v>
      </c>
      <c r="I3991" s="1">
        <v>0.1</v>
      </c>
      <c r="J3991" s="1">
        <v>466884</v>
      </c>
      <c r="K3991" s="1">
        <v>48719.199999999997</v>
      </c>
      <c r="L3991" s="1" t="s">
        <v>45</v>
      </c>
      <c r="M3991" s="1" t="str">
        <f>TEXT(Table1[[#This Row],[Order Date]],"mmm")</f>
        <v>Nov</v>
      </c>
      <c r="N3991" s="1">
        <f>YEAR(Table1[[#This Row],[Order Date]])</f>
        <v>2024</v>
      </c>
    </row>
    <row r="3992" spans="1:14" x14ac:dyDescent="0.35">
      <c r="A3992" s="1" t="s">
        <v>4787</v>
      </c>
      <c r="B3992" s="1" t="s">
        <v>2911</v>
      </c>
      <c r="C3992" s="1" t="s">
        <v>40</v>
      </c>
      <c r="D3992" s="1" t="s">
        <v>56</v>
      </c>
      <c r="E3992" s="1" t="s">
        <v>22</v>
      </c>
      <c r="F3992" s="1" t="s">
        <v>56</v>
      </c>
      <c r="G3992" s="1">
        <v>6</v>
      </c>
      <c r="H3992" s="1">
        <v>49507</v>
      </c>
      <c r="I3992" s="1">
        <v>0.05</v>
      </c>
      <c r="J3992" s="1">
        <v>282189.90000000002</v>
      </c>
      <c r="K3992" s="1">
        <v>26718.93</v>
      </c>
      <c r="L3992" s="1" t="s">
        <v>17</v>
      </c>
      <c r="M3992" s="1" t="str">
        <f>TEXT(Table1[[#This Row],[Order Date]],"mmm")</f>
        <v>Nov</v>
      </c>
      <c r="N3992" s="1">
        <f>YEAR(Table1[[#This Row],[Order Date]])</f>
        <v>2023</v>
      </c>
    </row>
    <row r="3993" spans="1:14" x14ac:dyDescent="0.35">
      <c r="A3993" s="1" t="s">
        <v>4788</v>
      </c>
      <c r="B3993" s="1" t="s">
        <v>1944</v>
      </c>
      <c r="C3993" s="1" t="s">
        <v>175</v>
      </c>
      <c r="D3993" s="1" t="s">
        <v>114</v>
      </c>
      <c r="E3993" s="1" t="s">
        <v>16</v>
      </c>
      <c r="F3993" s="1" t="s">
        <v>114</v>
      </c>
      <c r="G3993" s="1">
        <v>8</v>
      </c>
      <c r="H3993" s="1">
        <v>2654</v>
      </c>
      <c r="I3993" s="1">
        <v>0.2</v>
      </c>
      <c r="J3993" s="1">
        <v>16985.599999999999</v>
      </c>
      <c r="K3993" s="1">
        <v>2972.57</v>
      </c>
      <c r="L3993" s="1" t="s">
        <v>70</v>
      </c>
      <c r="M3993" s="1" t="str">
        <f>TEXT(Table1[[#This Row],[Order Date]],"mmm")</f>
        <v>Sep</v>
      </c>
      <c r="N3993" s="1">
        <f>YEAR(Table1[[#This Row],[Order Date]])</f>
        <v>2023</v>
      </c>
    </row>
    <row r="3994" spans="1:14" x14ac:dyDescent="0.35">
      <c r="A3994" s="1" t="s">
        <v>4789</v>
      </c>
      <c r="B3994" s="1" t="s">
        <v>1163</v>
      </c>
      <c r="C3994" s="1" t="s">
        <v>128</v>
      </c>
      <c r="D3994" s="1" t="s">
        <v>224</v>
      </c>
      <c r="E3994" s="1" t="s">
        <v>33</v>
      </c>
      <c r="F3994" s="1" t="s">
        <v>224</v>
      </c>
      <c r="G3994" s="1">
        <v>14</v>
      </c>
      <c r="H3994" s="1">
        <v>36137</v>
      </c>
      <c r="I3994" s="1">
        <v>0.05</v>
      </c>
      <c r="J3994" s="1">
        <v>480622.1</v>
      </c>
      <c r="K3994" s="1">
        <v>47199.15</v>
      </c>
      <c r="L3994" s="1" t="s">
        <v>70</v>
      </c>
      <c r="M3994" s="1" t="str">
        <f>TEXT(Table1[[#This Row],[Order Date]],"mmm")</f>
        <v>Jun</v>
      </c>
      <c r="N3994" s="1">
        <f>YEAR(Table1[[#This Row],[Order Date]])</f>
        <v>2023</v>
      </c>
    </row>
    <row r="3995" spans="1:14" x14ac:dyDescent="0.35">
      <c r="A3995" s="1" t="s">
        <v>4790</v>
      </c>
      <c r="B3995" s="1" t="s">
        <v>615</v>
      </c>
      <c r="C3995" s="1" t="s">
        <v>203</v>
      </c>
      <c r="D3995" s="1" t="s">
        <v>85</v>
      </c>
      <c r="E3995" s="1" t="s">
        <v>28</v>
      </c>
      <c r="F3995" s="1" t="s">
        <v>85</v>
      </c>
      <c r="G3995" s="1">
        <v>13</v>
      </c>
      <c r="H3995" s="1">
        <v>40159</v>
      </c>
      <c r="I3995" s="1">
        <v>0</v>
      </c>
      <c r="J3995" s="1">
        <v>522067</v>
      </c>
      <c r="K3995" s="1">
        <v>93631.22</v>
      </c>
      <c r="L3995" s="1" t="s">
        <v>45</v>
      </c>
      <c r="M3995" s="1" t="str">
        <f>TEXT(Table1[[#This Row],[Order Date]],"mmm")</f>
        <v>Jun</v>
      </c>
      <c r="N3995" s="1">
        <f>YEAR(Table1[[#This Row],[Order Date]])</f>
        <v>2024</v>
      </c>
    </row>
    <row r="3996" spans="1:14" x14ac:dyDescent="0.35">
      <c r="A3996" s="1" t="s">
        <v>4791</v>
      </c>
      <c r="B3996" s="1" t="s">
        <v>2375</v>
      </c>
      <c r="C3996" s="1" t="s">
        <v>117</v>
      </c>
      <c r="D3996" s="1" t="s">
        <v>293</v>
      </c>
      <c r="E3996" s="1" t="s">
        <v>33</v>
      </c>
      <c r="F3996" s="1" t="s">
        <v>293</v>
      </c>
      <c r="G3996" s="1">
        <v>2</v>
      </c>
      <c r="H3996" s="1">
        <v>2680</v>
      </c>
      <c r="I3996" s="1">
        <v>0.15</v>
      </c>
      <c r="J3996" s="1">
        <v>4556</v>
      </c>
      <c r="K3996" s="1">
        <v>946.15</v>
      </c>
      <c r="L3996" s="1" t="s">
        <v>23</v>
      </c>
      <c r="M3996" s="1" t="str">
        <f>TEXT(Table1[[#This Row],[Order Date]],"mmm")</f>
        <v>Apr</v>
      </c>
      <c r="N3996" s="1">
        <f>YEAR(Table1[[#This Row],[Order Date]])</f>
        <v>2024</v>
      </c>
    </row>
    <row r="3997" spans="1:14" x14ac:dyDescent="0.35">
      <c r="A3997" s="1" t="s">
        <v>4792</v>
      </c>
      <c r="B3997" s="1" t="s">
        <v>648</v>
      </c>
      <c r="C3997" s="1" t="s">
        <v>111</v>
      </c>
      <c r="D3997" s="1" t="s">
        <v>108</v>
      </c>
      <c r="E3997" s="1" t="s">
        <v>22</v>
      </c>
      <c r="F3997" s="1" t="s">
        <v>108</v>
      </c>
      <c r="G3997" s="1">
        <v>14</v>
      </c>
      <c r="H3997" s="1">
        <v>16920</v>
      </c>
      <c r="I3997" s="1">
        <v>0.1</v>
      </c>
      <c r="J3997" s="1">
        <v>213192</v>
      </c>
      <c r="K3997" s="1">
        <v>33106.47</v>
      </c>
      <c r="L3997" s="1" t="s">
        <v>45</v>
      </c>
      <c r="M3997" s="1" t="str">
        <f>TEXT(Table1[[#This Row],[Order Date]],"mmm")</f>
        <v>Jan</v>
      </c>
      <c r="N3997" s="1">
        <f>YEAR(Table1[[#This Row],[Order Date]])</f>
        <v>2024</v>
      </c>
    </row>
    <row r="3998" spans="1:14" x14ac:dyDescent="0.35">
      <c r="A3998" s="1" t="s">
        <v>4793</v>
      </c>
      <c r="B3998" s="1" t="s">
        <v>1772</v>
      </c>
      <c r="C3998" s="1" t="s">
        <v>40</v>
      </c>
      <c r="D3998" s="1" t="s">
        <v>137</v>
      </c>
      <c r="E3998" s="1" t="s">
        <v>22</v>
      </c>
      <c r="F3998" s="1" t="s">
        <v>137</v>
      </c>
      <c r="G3998" s="1">
        <v>1</v>
      </c>
      <c r="H3998" s="1">
        <v>56839</v>
      </c>
      <c r="I3998" s="1">
        <v>0.15</v>
      </c>
      <c r="J3998" s="1">
        <v>48313.15</v>
      </c>
      <c r="K3998" s="1">
        <v>6723.38</v>
      </c>
      <c r="L3998" s="1" t="s">
        <v>70</v>
      </c>
      <c r="M3998" s="1" t="str">
        <f>TEXT(Table1[[#This Row],[Order Date]],"mmm")</f>
        <v>Jun</v>
      </c>
      <c r="N3998" s="1">
        <f>YEAR(Table1[[#This Row],[Order Date]])</f>
        <v>2024</v>
      </c>
    </row>
    <row r="3999" spans="1:14" x14ac:dyDescent="0.35">
      <c r="A3999" s="1" t="s">
        <v>4794</v>
      </c>
      <c r="B3999" s="1" t="s">
        <v>2023</v>
      </c>
      <c r="C3999" s="1" t="s">
        <v>335</v>
      </c>
      <c r="D3999" s="1" t="s">
        <v>21</v>
      </c>
      <c r="E3999" s="1" t="s">
        <v>22</v>
      </c>
      <c r="F3999" s="1" t="s">
        <v>21</v>
      </c>
      <c r="G3999" s="1">
        <v>5</v>
      </c>
      <c r="H3999" s="1">
        <v>53959</v>
      </c>
      <c r="I3999" s="1">
        <v>0</v>
      </c>
      <c r="J3999" s="1">
        <v>269795</v>
      </c>
      <c r="K3999" s="1">
        <v>55339.4</v>
      </c>
      <c r="L3999" s="1" t="s">
        <v>17</v>
      </c>
      <c r="M3999" s="1" t="str">
        <f>TEXT(Table1[[#This Row],[Order Date]],"mmm")</f>
        <v>Jul</v>
      </c>
      <c r="N3999" s="1">
        <f>YEAR(Table1[[#This Row],[Order Date]])</f>
        <v>2023</v>
      </c>
    </row>
    <row r="4000" spans="1:14" x14ac:dyDescent="0.35">
      <c r="A4000" s="1" t="s">
        <v>4795</v>
      </c>
      <c r="B4000" s="1" t="s">
        <v>724</v>
      </c>
      <c r="C4000" s="1" t="s">
        <v>335</v>
      </c>
      <c r="D4000" s="1" t="s">
        <v>52</v>
      </c>
      <c r="E4000" s="1" t="s">
        <v>28</v>
      </c>
      <c r="F4000" s="1" t="s">
        <v>52</v>
      </c>
      <c r="G4000" s="1">
        <v>8</v>
      </c>
      <c r="H4000" s="1">
        <v>3762</v>
      </c>
      <c r="I4000" s="1">
        <v>0.15</v>
      </c>
      <c r="J4000" s="1">
        <v>25581.599999999999</v>
      </c>
      <c r="K4000" s="1">
        <v>3894.51</v>
      </c>
      <c r="L4000" s="1" t="s">
        <v>17</v>
      </c>
      <c r="M4000" s="1" t="str">
        <f>TEXT(Table1[[#This Row],[Order Date]],"mmm")</f>
        <v>Feb</v>
      </c>
      <c r="N4000" s="1">
        <f>YEAR(Table1[[#This Row],[Order Date]])</f>
        <v>2023</v>
      </c>
    </row>
    <row r="4001" spans="1:14" x14ac:dyDescent="0.35">
      <c r="A4001" s="1" t="s">
        <v>4796</v>
      </c>
      <c r="B4001" s="1" t="s">
        <v>746</v>
      </c>
      <c r="C4001" s="1" t="s">
        <v>31</v>
      </c>
      <c r="D4001" s="1" t="s">
        <v>224</v>
      </c>
      <c r="E4001" s="1" t="s">
        <v>33</v>
      </c>
      <c r="F4001" s="1" t="s">
        <v>224</v>
      </c>
      <c r="G4001" s="1">
        <v>3</v>
      </c>
      <c r="H4001" s="1">
        <v>7414</v>
      </c>
      <c r="I4001" s="1">
        <v>0.1</v>
      </c>
      <c r="J4001" s="1">
        <v>20017.8</v>
      </c>
      <c r="K4001" s="1">
        <v>3103.49</v>
      </c>
      <c r="L4001" s="1" t="s">
        <v>45</v>
      </c>
      <c r="M4001" s="1" t="str">
        <f>TEXT(Table1[[#This Row],[Order Date]],"mmm")</f>
        <v>Mar</v>
      </c>
      <c r="N4001" s="1">
        <f>YEAR(Table1[[#This Row],[Order Date]])</f>
        <v>2024</v>
      </c>
    </row>
    <row r="4002" spans="1:14" x14ac:dyDescent="0.35">
      <c r="A4002" s="1" t="s">
        <v>4797</v>
      </c>
      <c r="B4002" s="1" t="s">
        <v>1611</v>
      </c>
      <c r="C4002" s="1" t="s">
        <v>362</v>
      </c>
      <c r="D4002" s="1" t="s">
        <v>60</v>
      </c>
      <c r="E4002" s="1" t="s">
        <v>33</v>
      </c>
      <c r="F4002" s="1" t="s">
        <v>60</v>
      </c>
      <c r="G4002" s="1">
        <v>3</v>
      </c>
      <c r="H4002" s="1">
        <v>48051</v>
      </c>
      <c r="I4002" s="1">
        <v>0.05</v>
      </c>
      <c r="J4002" s="1">
        <v>136945.35</v>
      </c>
      <c r="K4002" s="1">
        <v>17732.32</v>
      </c>
      <c r="L4002" s="1" t="s">
        <v>45</v>
      </c>
      <c r="M4002" s="1" t="str">
        <f>TEXT(Table1[[#This Row],[Order Date]],"mmm")</f>
        <v>Jan</v>
      </c>
      <c r="N4002" s="1">
        <f>YEAR(Table1[[#This Row],[Order Date]])</f>
        <v>2023</v>
      </c>
    </row>
    <row r="4003" spans="1:14" x14ac:dyDescent="0.35">
      <c r="A4003" s="1" t="s">
        <v>4798</v>
      </c>
      <c r="B4003" s="1" t="s">
        <v>956</v>
      </c>
      <c r="C4003" s="1" t="s">
        <v>101</v>
      </c>
      <c r="D4003" s="1" t="s">
        <v>74</v>
      </c>
      <c r="E4003" s="1" t="s">
        <v>22</v>
      </c>
      <c r="F4003" s="1" t="s">
        <v>74</v>
      </c>
      <c r="G4003" s="1">
        <v>15</v>
      </c>
      <c r="H4003" s="1">
        <v>20016</v>
      </c>
      <c r="I4003" s="1">
        <v>0</v>
      </c>
      <c r="J4003" s="1">
        <v>300240</v>
      </c>
      <c r="K4003" s="1">
        <v>53617.08</v>
      </c>
      <c r="L4003" s="1" t="s">
        <v>17</v>
      </c>
      <c r="M4003" s="1" t="str">
        <f>TEXT(Table1[[#This Row],[Order Date]],"mmm")</f>
        <v>Aug</v>
      </c>
      <c r="N4003" s="1">
        <f>YEAR(Table1[[#This Row],[Order Date]])</f>
        <v>2024</v>
      </c>
    </row>
    <row r="4004" spans="1:14" x14ac:dyDescent="0.35">
      <c r="A4004" s="1" t="s">
        <v>4799</v>
      </c>
      <c r="B4004" s="1" t="s">
        <v>532</v>
      </c>
      <c r="C4004" s="1" t="s">
        <v>255</v>
      </c>
      <c r="D4004" s="1" t="s">
        <v>32</v>
      </c>
      <c r="E4004" s="1" t="s">
        <v>33</v>
      </c>
      <c r="F4004" s="1" t="s">
        <v>32</v>
      </c>
      <c r="G4004" s="1">
        <v>13</v>
      </c>
      <c r="H4004" s="1">
        <v>14468</v>
      </c>
      <c r="I4004" s="1">
        <v>0.1</v>
      </c>
      <c r="J4004" s="1">
        <v>169275.6</v>
      </c>
      <c r="K4004" s="1">
        <v>31776.15</v>
      </c>
      <c r="L4004" s="1" t="s">
        <v>17</v>
      </c>
      <c r="M4004" s="1" t="str">
        <f>TEXT(Table1[[#This Row],[Order Date]],"mmm")</f>
        <v>Jun</v>
      </c>
      <c r="N4004" s="1">
        <f>YEAR(Table1[[#This Row],[Order Date]])</f>
        <v>2024</v>
      </c>
    </row>
    <row r="4005" spans="1:14" x14ac:dyDescent="0.35">
      <c r="A4005" s="1" t="s">
        <v>4800</v>
      </c>
      <c r="B4005" s="1" t="s">
        <v>1379</v>
      </c>
      <c r="C4005" s="1" t="s">
        <v>178</v>
      </c>
      <c r="D4005" s="1" t="s">
        <v>167</v>
      </c>
      <c r="E4005" s="1" t="s">
        <v>16</v>
      </c>
      <c r="F4005" s="1" t="s">
        <v>167</v>
      </c>
      <c r="G4005" s="1">
        <v>1</v>
      </c>
      <c r="H4005" s="1">
        <v>43699</v>
      </c>
      <c r="I4005" s="1">
        <v>0.15</v>
      </c>
      <c r="J4005" s="1">
        <v>37144.15</v>
      </c>
      <c r="K4005" s="1">
        <v>9403.73</v>
      </c>
      <c r="L4005" s="1" t="s">
        <v>17</v>
      </c>
      <c r="M4005" s="1" t="str">
        <f>TEXT(Table1[[#This Row],[Order Date]],"mmm")</f>
        <v>Mar</v>
      </c>
      <c r="N4005" s="1">
        <f>YEAR(Table1[[#This Row],[Order Date]])</f>
        <v>2023</v>
      </c>
    </row>
    <row r="4006" spans="1:14" x14ac:dyDescent="0.35">
      <c r="A4006" s="1" t="s">
        <v>4801</v>
      </c>
      <c r="B4006" s="1" t="s">
        <v>1573</v>
      </c>
      <c r="C4006" s="1" t="s">
        <v>101</v>
      </c>
      <c r="D4006" s="1" t="s">
        <v>15</v>
      </c>
      <c r="E4006" s="1" t="s">
        <v>16</v>
      </c>
      <c r="F4006" s="1" t="s">
        <v>15</v>
      </c>
      <c r="G4006" s="1">
        <v>3</v>
      </c>
      <c r="H4006" s="1">
        <v>17282</v>
      </c>
      <c r="I4006" s="1">
        <v>0</v>
      </c>
      <c r="J4006" s="1">
        <v>51846</v>
      </c>
      <c r="K4006" s="1">
        <v>8055.57</v>
      </c>
      <c r="L4006" s="1" t="s">
        <v>23</v>
      </c>
      <c r="M4006" s="1" t="str">
        <f>TEXT(Table1[[#This Row],[Order Date]],"mmm")</f>
        <v>Aug</v>
      </c>
      <c r="N4006" s="1">
        <f>YEAR(Table1[[#This Row],[Order Date]])</f>
        <v>2024</v>
      </c>
    </row>
    <row r="4007" spans="1:14" x14ac:dyDescent="0.35">
      <c r="A4007" s="1" t="s">
        <v>4802</v>
      </c>
      <c r="B4007" s="1" t="s">
        <v>2719</v>
      </c>
      <c r="C4007" s="1" t="s">
        <v>255</v>
      </c>
      <c r="D4007" s="1" t="s">
        <v>21</v>
      </c>
      <c r="E4007" s="1" t="s">
        <v>22</v>
      </c>
      <c r="F4007" s="1" t="s">
        <v>21</v>
      </c>
      <c r="G4007" s="1">
        <v>3</v>
      </c>
      <c r="H4007" s="1">
        <v>38852</v>
      </c>
      <c r="I4007" s="1">
        <v>0.1</v>
      </c>
      <c r="J4007" s="1">
        <v>104900.4</v>
      </c>
      <c r="K4007" s="1">
        <v>26557.49</v>
      </c>
      <c r="L4007" s="1" t="s">
        <v>70</v>
      </c>
      <c r="M4007" s="1" t="str">
        <f>TEXT(Table1[[#This Row],[Order Date]],"mmm")</f>
        <v>Apr</v>
      </c>
      <c r="N4007" s="1">
        <f>YEAR(Table1[[#This Row],[Order Date]])</f>
        <v>2023</v>
      </c>
    </row>
    <row r="4008" spans="1:14" x14ac:dyDescent="0.35">
      <c r="A4008" s="1" t="s">
        <v>4803</v>
      </c>
      <c r="B4008" s="1" t="s">
        <v>1918</v>
      </c>
      <c r="C4008" s="1" t="s">
        <v>120</v>
      </c>
      <c r="D4008" s="1" t="s">
        <v>52</v>
      </c>
      <c r="E4008" s="1" t="s">
        <v>28</v>
      </c>
      <c r="F4008" s="1" t="s">
        <v>52</v>
      </c>
      <c r="G4008" s="1">
        <v>1</v>
      </c>
      <c r="H4008" s="1">
        <v>41141</v>
      </c>
      <c r="I4008" s="1">
        <v>0.15</v>
      </c>
      <c r="J4008" s="1">
        <v>34969.85</v>
      </c>
      <c r="K4008" s="1">
        <v>9966.41</v>
      </c>
      <c r="L4008" s="1" t="s">
        <v>17</v>
      </c>
      <c r="M4008" s="1" t="str">
        <f>TEXT(Table1[[#This Row],[Order Date]],"mmm")</f>
        <v>Aug</v>
      </c>
      <c r="N4008" s="1">
        <f>YEAR(Table1[[#This Row],[Order Date]])</f>
        <v>2023</v>
      </c>
    </row>
    <row r="4009" spans="1:14" x14ac:dyDescent="0.35">
      <c r="A4009" s="1" t="s">
        <v>4804</v>
      </c>
      <c r="B4009" s="1" t="s">
        <v>1043</v>
      </c>
      <c r="C4009" s="1" t="s">
        <v>208</v>
      </c>
      <c r="D4009" s="1" t="s">
        <v>141</v>
      </c>
      <c r="E4009" s="1" t="s">
        <v>22</v>
      </c>
      <c r="F4009" s="1" t="s">
        <v>141</v>
      </c>
      <c r="G4009" s="1">
        <v>13</v>
      </c>
      <c r="H4009" s="1">
        <v>26520</v>
      </c>
      <c r="I4009" s="1">
        <v>0.1</v>
      </c>
      <c r="J4009" s="1">
        <v>310284</v>
      </c>
      <c r="K4009" s="1">
        <v>26791.64</v>
      </c>
      <c r="L4009" s="1" t="s">
        <v>45</v>
      </c>
      <c r="M4009" s="1" t="str">
        <f>TEXT(Table1[[#This Row],[Order Date]],"mmm")</f>
        <v>Aug</v>
      </c>
      <c r="N4009" s="1">
        <f>YEAR(Table1[[#This Row],[Order Date]])</f>
        <v>2024</v>
      </c>
    </row>
    <row r="4010" spans="1:14" x14ac:dyDescent="0.35">
      <c r="A4010" s="1" t="s">
        <v>4805</v>
      </c>
      <c r="B4010" s="1" t="s">
        <v>1391</v>
      </c>
      <c r="C4010" s="1" t="s">
        <v>158</v>
      </c>
      <c r="D4010" s="1" t="s">
        <v>27</v>
      </c>
      <c r="E4010" s="1" t="s">
        <v>28</v>
      </c>
      <c r="F4010" s="1" t="s">
        <v>27</v>
      </c>
      <c r="G4010" s="1">
        <v>5</v>
      </c>
      <c r="H4010" s="1">
        <v>3692</v>
      </c>
      <c r="I4010" s="1">
        <v>0.15</v>
      </c>
      <c r="J4010" s="1">
        <v>15691</v>
      </c>
      <c r="K4010" s="1">
        <v>3569.91</v>
      </c>
      <c r="L4010" s="1" t="s">
        <v>23</v>
      </c>
      <c r="M4010" s="1" t="str">
        <f>TEXT(Table1[[#This Row],[Order Date]],"mmm")</f>
        <v>Sep</v>
      </c>
      <c r="N4010" s="1">
        <f>YEAR(Table1[[#This Row],[Order Date]])</f>
        <v>2023</v>
      </c>
    </row>
    <row r="4011" spans="1:14" x14ac:dyDescent="0.35">
      <c r="A4011" s="1" t="s">
        <v>4806</v>
      </c>
      <c r="B4011" s="1" t="s">
        <v>1735</v>
      </c>
      <c r="C4011" s="1" t="s">
        <v>203</v>
      </c>
      <c r="D4011" s="1" t="s">
        <v>52</v>
      </c>
      <c r="E4011" s="1" t="s">
        <v>28</v>
      </c>
      <c r="F4011" s="1" t="s">
        <v>52</v>
      </c>
      <c r="G4011" s="1">
        <v>13</v>
      </c>
      <c r="H4011" s="1">
        <v>21239</v>
      </c>
      <c r="I4011" s="1">
        <v>0.2</v>
      </c>
      <c r="J4011" s="1">
        <v>220885.6</v>
      </c>
      <c r="K4011" s="1">
        <v>41614.81</v>
      </c>
      <c r="L4011" s="1" t="s">
        <v>45</v>
      </c>
      <c r="M4011" s="1" t="str">
        <f>TEXT(Table1[[#This Row],[Order Date]],"mmm")</f>
        <v>Sep</v>
      </c>
      <c r="N4011" s="1">
        <f>YEAR(Table1[[#This Row],[Order Date]])</f>
        <v>2023</v>
      </c>
    </row>
    <row r="4012" spans="1:14" x14ac:dyDescent="0.35">
      <c r="A4012" s="1" t="s">
        <v>4807</v>
      </c>
      <c r="B4012" s="1" t="s">
        <v>864</v>
      </c>
      <c r="C4012" s="1" t="s">
        <v>101</v>
      </c>
      <c r="D4012" s="1" t="s">
        <v>137</v>
      </c>
      <c r="E4012" s="1" t="s">
        <v>22</v>
      </c>
      <c r="F4012" s="1" t="s">
        <v>137</v>
      </c>
      <c r="G4012" s="1">
        <v>13</v>
      </c>
      <c r="H4012" s="1">
        <v>53977</v>
      </c>
      <c r="I4012" s="1">
        <v>0.2</v>
      </c>
      <c r="J4012" s="1">
        <v>561360.80000000005</v>
      </c>
      <c r="K4012" s="1">
        <v>124017.60000000001</v>
      </c>
      <c r="L4012" s="1" t="s">
        <v>45</v>
      </c>
      <c r="M4012" s="1" t="str">
        <f>TEXT(Table1[[#This Row],[Order Date]],"mmm")</f>
        <v>May</v>
      </c>
      <c r="N4012" s="1">
        <f>YEAR(Table1[[#This Row],[Order Date]])</f>
        <v>2024</v>
      </c>
    </row>
    <row r="4013" spans="1:14" x14ac:dyDescent="0.35">
      <c r="A4013" s="1" t="s">
        <v>4808</v>
      </c>
      <c r="B4013" s="1" t="s">
        <v>1452</v>
      </c>
      <c r="C4013" s="1" t="s">
        <v>81</v>
      </c>
      <c r="D4013" s="1" t="s">
        <v>293</v>
      </c>
      <c r="E4013" s="1" t="s">
        <v>33</v>
      </c>
      <c r="F4013" s="1" t="s">
        <v>293</v>
      </c>
      <c r="G4013" s="1">
        <v>9</v>
      </c>
      <c r="H4013" s="1">
        <v>31370</v>
      </c>
      <c r="I4013" s="1">
        <v>0</v>
      </c>
      <c r="J4013" s="1">
        <v>282330</v>
      </c>
      <c r="K4013" s="1">
        <v>81046.53</v>
      </c>
      <c r="L4013" s="1" t="s">
        <v>70</v>
      </c>
      <c r="M4013" s="1" t="str">
        <f>TEXT(Table1[[#This Row],[Order Date]],"mmm")</f>
        <v>Apr</v>
      </c>
      <c r="N4013" s="1">
        <f>YEAR(Table1[[#This Row],[Order Date]])</f>
        <v>2024</v>
      </c>
    </row>
    <row r="4014" spans="1:14" x14ac:dyDescent="0.35">
      <c r="A4014" s="1" t="s">
        <v>4809</v>
      </c>
      <c r="B4014" s="1" t="s">
        <v>97</v>
      </c>
      <c r="C4014" s="1" t="s">
        <v>362</v>
      </c>
      <c r="D4014" s="1" t="s">
        <v>74</v>
      </c>
      <c r="E4014" s="1" t="s">
        <v>22</v>
      </c>
      <c r="F4014" s="1" t="s">
        <v>74</v>
      </c>
      <c r="G4014" s="1">
        <v>14</v>
      </c>
      <c r="H4014" s="1">
        <v>30473</v>
      </c>
      <c r="I4014" s="1">
        <v>0.2</v>
      </c>
      <c r="J4014" s="1">
        <v>341297.6</v>
      </c>
      <c r="K4014" s="1">
        <v>78044.33</v>
      </c>
      <c r="L4014" s="1" t="s">
        <v>17</v>
      </c>
      <c r="M4014" s="1" t="str">
        <f>TEXT(Table1[[#This Row],[Order Date]],"mmm")</f>
        <v>Oct</v>
      </c>
      <c r="N4014" s="1">
        <f>YEAR(Table1[[#This Row],[Order Date]])</f>
        <v>2023</v>
      </c>
    </row>
    <row r="4015" spans="1:14" x14ac:dyDescent="0.35">
      <c r="A4015" s="1" t="s">
        <v>4810</v>
      </c>
      <c r="B4015" s="1" t="s">
        <v>746</v>
      </c>
      <c r="C4015" s="1" t="s">
        <v>59</v>
      </c>
      <c r="D4015" s="1" t="s">
        <v>44</v>
      </c>
      <c r="E4015" s="1" t="s">
        <v>28</v>
      </c>
      <c r="F4015" s="1" t="s">
        <v>44</v>
      </c>
      <c r="G4015" s="1">
        <v>9</v>
      </c>
      <c r="H4015" s="1">
        <v>21226</v>
      </c>
      <c r="I4015" s="1">
        <v>0.1</v>
      </c>
      <c r="J4015" s="1">
        <v>171930.6</v>
      </c>
      <c r="K4015" s="1">
        <v>35977.300000000003</v>
      </c>
      <c r="L4015" s="1" t="s">
        <v>17</v>
      </c>
      <c r="M4015" s="1" t="str">
        <f>TEXT(Table1[[#This Row],[Order Date]],"mmm")</f>
        <v>Mar</v>
      </c>
      <c r="N4015" s="1">
        <f>YEAR(Table1[[#This Row],[Order Date]])</f>
        <v>2024</v>
      </c>
    </row>
    <row r="4016" spans="1:14" x14ac:dyDescent="0.35">
      <c r="A4016" s="1" t="s">
        <v>4811</v>
      </c>
      <c r="B4016" s="1" t="s">
        <v>989</v>
      </c>
      <c r="C4016" s="1" t="s">
        <v>370</v>
      </c>
      <c r="D4016" s="1" t="s">
        <v>85</v>
      </c>
      <c r="E4016" s="1" t="s">
        <v>28</v>
      </c>
      <c r="F4016" s="1" t="s">
        <v>85</v>
      </c>
      <c r="G4016" s="1">
        <v>14</v>
      </c>
      <c r="H4016" s="1">
        <v>34924</v>
      </c>
      <c r="I4016" s="1">
        <v>0.2</v>
      </c>
      <c r="J4016" s="1">
        <v>391148.79999999999</v>
      </c>
      <c r="K4016" s="1">
        <v>76104.72</v>
      </c>
      <c r="L4016" s="1" t="s">
        <v>70</v>
      </c>
      <c r="M4016" s="1" t="str">
        <f>TEXT(Table1[[#This Row],[Order Date]],"mmm")</f>
        <v>Oct</v>
      </c>
      <c r="N4016" s="1">
        <f>YEAR(Table1[[#This Row],[Order Date]])</f>
        <v>2024</v>
      </c>
    </row>
    <row r="4017" spans="1:14" x14ac:dyDescent="0.35">
      <c r="A4017" s="1" t="s">
        <v>4812</v>
      </c>
      <c r="B4017" s="1" t="s">
        <v>1915</v>
      </c>
      <c r="C4017" s="1" t="s">
        <v>31</v>
      </c>
      <c r="D4017" s="1" t="s">
        <v>95</v>
      </c>
      <c r="E4017" s="1" t="s">
        <v>33</v>
      </c>
      <c r="F4017" s="1" t="s">
        <v>95</v>
      </c>
      <c r="G4017" s="1">
        <v>3</v>
      </c>
      <c r="H4017" s="1">
        <v>36307</v>
      </c>
      <c r="I4017" s="1">
        <v>0.05</v>
      </c>
      <c r="J4017" s="1">
        <v>103474.95</v>
      </c>
      <c r="K4017" s="1">
        <v>11466.9</v>
      </c>
      <c r="L4017" s="1" t="s">
        <v>23</v>
      </c>
      <c r="M4017" s="1" t="str">
        <f>TEXT(Table1[[#This Row],[Order Date]],"mmm")</f>
        <v>Apr</v>
      </c>
      <c r="N4017" s="1">
        <f>YEAR(Table1[[#This Row],[Order Date]])</f>
        <v>2023</v>
      </c>
    </row>
    <row r="4018" spans="1:14" x14ac:dyDescent="0.35">
      <c r="A4018" s="1" t="s">
        <v>4813</v>
      </c>
      <c r="B4018" s="1" t="s">
        <v>1155</v>
      </c>
      <c r="C4018" s="1" t="s">
        <v>128</v>
      </c>
      <c r="D4018" s="1" t="s">
        <v>141</v>
      </c>
      <c r="E4018" s="1" t="s">
        <v>22</v>
      </c>
      <c r="F4018" s="1" t="s">
        <v>141</v>
      </c>
      <c r="G4018" s="1">
        <v>9</v>
      </c>
      <c r="H4018" s="1">
        <v>3418</v>
      </c>
      <c r="I4018" s="1">
        <v>0.1</v>
      </c>
      <c r="J4018" s="1">
        <v>27685.8</v>
      </c>
      <c r="K4018" s="1">
        <v>7346.01</v>
      </c>
      <c r="L4018" s="1" t="s">
        <v>70</v>
      </c>
      <c r="M4018" s="1" t="str">
        <f>TEXT(Table1[[#This Row],[Order Date]],"mmm")</f>
        <v>May</v>
      </c>
      <c r="N4018" s="1">
        <f>YEAR(Table1[[#This Row],[Order Date]])</f>
        <v>2024</v>
      </c>
    </row>
    <row r="4019" spans="1:14" x14ac:dyDescent="0.35">
      <c r="A4019" s="1" t="s">
        <v>4814</v>
      </c>
      <c r="B4019" s="1" t="s">
        <v>1149</v>
      </c>
      <c r="C4019" s="1" t="s">
        <v>158</v>
      </c>
      <c r="D4019" s="1" t="s">
        <v>21</v>
      </c>
      <c r="E4019" s="1" t="s">
        <v>22</v>
      </c>
      <c r="F4019" s="1" t="s">
        <v>21</v>
      </c>
      <c r="G4019" s="1">
        <v>6</v>
      </c>
      <c r="H4019" s="1">
        <v>21651</v>
      </c>
      <c r="I4019" s="1">
        <v>0</v>
      </c>
      <c r="J4019" s="1">
        <v>129906</v>
      </c>
      <c r="K4019" s="1">
        <v>21070.560000000001</v>
      </c>
      <c r="L4019" s="1" t="s">
        <v>70</v>
      </c>
      <c r="M4019" s="1" t="str">
        <f>TEXT(Table1[[#This Row],[Order Date]],"mmm")</f>
        <v>Jul</v>
      </c>
      <c r="N4019" s="1">
        <f>YEAR(Table1[[#This Row],[Order Date]])</f>
        <v>2024</v>
      </c>
    </row>
    <row r="4020" spans="1:14" x14ac:dyDescent="0.35">
      <c r="A4020" s="1" t="s">
        <v>4815</v>
      </c>
      <c r="B4020" s="1" t="s">
        <v>1227</v>
      </c>
      <c r="C4020" s="1" t="s">
        <v>332</v>
      </c>
      <c r="D4020" s="1" t="s">
        <v>114</v>
      </c>
      <c r="E4020" s="1" t="s">
        <v>16</v>
      </c>
      <c r="F4020" s="1" t="s">
        <v>114</v>
      </c>
      <c r="G4020" s="1">
        <v>1</v>
      </c>
      <c r="H4020" s="1">
        <v>52262</v>
      </c>
      <c r="I4020" s="1">
        <v>0</v>
      </c>
      <c r="J4020" s="1">
        <v>52262</v>
      </c>
      <c r="K4020" s="1">
        <v>7333.28</v>
      </c>
      <c r="L4020" s="1" t="s">
        <v>23</v>
      </c>
      <c r="M4020" s="1" t="str">
        <f>TEXT(Table1[[#This Row],[Order Date]],"mmm")</f>
        <v>Apr</v>
      </c>
      <c r="N4020" s="1">
        <f>YEAR(Table1[[#This Row],[Order Date]])</f>
        <v>2023</v>
      </c>
    </row>
    <row r="4021" spans="1:14" x14ac:dyDescent="0.35">
      <c r="A4021" s="1" t="s">
        <v>4816</v>
      </c>
      <c r="B4021" s="1" t="s">
        <v>453</v>
      </c>
      <c r="C4021" s="1" t="s">
        <v>117</v>
      </c>
      <c r="D4021" s="1" t="s">
        <v>114</v>
      </c>
      <c r="E4021" s="1" t="s">
        <v>16</v>
      </c>
      <c r="F4021" s="1" t="s">
        <v>114</v>
      </c>
      <c r="G4021" s="1">
        <v>3</v>
      </c>
      <c r="H4021" s="1">
        <v>46656</v>
      </c>
      <c r="I4021" s="1">
        <v>0.1</v>
      </c>
      <c r="J4021" s="1">
        <v>125971.2</v>
      </c>
      <c r="K4021" s="1">
        <v>36485.5</v>
      </c>
      <c r="L4021" s="1" t="s">
        <v>45</v>
      </c>
      <c r="M4021" s="1" t="str">
        <f>TEXT(Table1[[#This Row],[Order Date]],"mmm")</f>
        <v>Jul</v>
      </c>
      <c r="N4021" s="1">
        <f>YEAR(Table1[[#This Row],[Order Date]])</f>
        <v>2023</v>
      </c>
    </row>
    <row r="4022" spans="1:14" x14ac:dyDescent="0.35">
      <c r="A4022" s="1" t="s">
        <v>4817</v>
      </c>
      <c r="B4022" s="1" t="s">
        <v>1017</v>
      </c>
      <c r="C4022" s="1" t="s">
        <v>125</v>
      </c>
      <c r="D4022" s="1" t="s">
        <v>41</v>
      </c>
      <c r="E4022" s="1" t="s">
        <v>16</v>
      </c>
      <c r="F4022" s="1" t="s">
        <v>41</v>
      </c>
      <c r="G4022" s="1">
        <v>11</v>
      </c>
      <c r="H4022" s="1">
        <v>9514</v>
      </c>
      <c r="I4022" s="1">
        <v>0.2</v>
      </c>
      <c r="J4022" s="1">
        <v>83723.199999999997</v>
      </c>
      <c r="K4022" s="1">
        <v>12505.97</v>
      </c>
      <c r="L4022" s="1" t="s">
        <v>45</v>
      </c>
      <c r="M4022" s="1" t="str">
        <f>TEXT(Table1[[#This Row],[Order Date]],"mmm")</f>
        <v>Feb</v>
      </c>
      <c r="N4022" s="1">
        <f>YEAR(Table1[[#This Row],[Order Date]])</f>
        <v>2023</v>
      </c>
    </row>
    <row r="4023" spans="1:14" x14ac:dyDescent="0.35">
      <c r="A4023" s="1" t="s">
        <v>4818</v>
      </c>
      <c r="B4023" s="1" t="s">
        <v>187</v>
      </c>
      <c r="C4023" s="1" t="s">
        <v>120</v>
      </c>
      <c r="D4023" s="1" t="s">
        <v>108</v>
      </c>
      <c r="E4023" s="1" t="s">
        <v>22</v>
      </c>
      <c r="F4023" s="1" t="s">
        <v>108</v>
      </c>
      <c r="G4023" s="1">
        <v>11</v>
      </c>
      <c r="H4023" s="1">
        <v>10347</v>
      </c>
      <c r="I4023" s="1">
        <v>0</v>
      </c>
      <c r="J4023" s="1">
        <v>113817</v>
      </c>
      <c r="K4023" s="1">
        <v>21051.72</v>
      </c>
      <c r="L4023" s="1" t="s">
        <v>17</v>
      </c>
      <c r="M4023" s="1" t="str">
        <f>TEXT(Table1[[#This Row],[Order Date]],"mmm")</f>
        <v>Sep</v>
      </c>
      <c r="N4023" s="1">
        <f>YEAR(Table1[[#This Row],[Order Date]])</f>
        <v>2024</v>
      </c>
    </row>
    <row r="4024" spans="1:14" x14ac:dyDescent="0.35">
      <c r="A4024" s="1" t="s">
        <v>4819</v>
      </c>
      <c r="B4024" s="1" t="s">
        <v>692</v>
      </c>
      <c r="C4024" s="1" t="s">
        <v>94</v>
      </c>
      <c r="D4024" s="1" t="s">
        <v>224</v>
      </c>
      <c r="E4024" s="1" t="s">
        <v>33</v>
      </c>
      <c r="F4024" s="1" t="s">
        <v>224</v>
      </c>
      <c r="G4024" s="1">
        <v>3</v>
      </c>
      <c r="H4024" s="1">
        <v>6619</v>
      </c>
      <c r="I4024" s="1">
        <v>0.1</v>
      </c>
      <c r="J4024" s="1">
        <v>17871.3</v>
      </c>
      <c r="K4024" s="1">
        <v>3563.81</v>
      </c>
      <c r="L4024" s="1" t="s">
        <v>23</v>
      </c>
      <c r="M4024" s="1" t="str">
        <f>TEXT(Table1[[#This Row],[Order Date]],"mmm")</f>
        <v>Nov</v>
      </c>
      <c r="N4024" s="1">
        <f>YEAR(Table1[[#This Row],[Order Date]])</f>
        <v>2023</v>
      </c>
    </row>
    <row r="4025" spans="1:14" x14ac:dyDescent="0.35">
      <c r="A4025" s="1" t="s">
        <v>4820</v>
      </c>
      <c r="B4025" s="1" t="s">
        <v>800</v>
      </c>
      <c r="C4025" s="1" t="s">
        <v>260</v>
      </c>
      <c r="D4025" s="1" t="s">
        <v>133</v>
      </c>
      <c r="E4025" s="1" t="s">
        <v>22</v>
      </c>
      <c r="F4025" s="1" t="s">
        <v>133</v>
      </c>
      <c r="G4025" s="1">
        <v>15</v>
      </c>
      <c r="H4025" s="1">
        <v>49475</v>
      </c>
      <c r="I4025" s="1">
        <v>0.1</v>
      </c>
      <c r="J4025" s="1">
        <v>667912.5</v>
      </c>
      <c r="K4025" s="1">
        <v>62724.23</v>
      </c>
      <c r="L4025" s="1" t="s">
        <v>70</v>
      </c>
      <c r="M4025" s="1" t="str">
        <f>TEXT(Table1[[#This Row],[Order Date]],"mmm")</f>
        <v>Oct</v>
      </c>
      <c r="N4025" s="1">
        <f>YEAR(Table1[[#This Row],[Order Date]])</f>
        <v>2023</v>
      </c>
    </row>
    <row r="4026" spans="1:14" x14ac:dyDescent="0.35">
      <c r="A4026" s="1" t="s">
        <v>4821</v>
      </c>
      <c r="B4026" s="1" t="s">
        <v>278</v>
      </c>
      <c r="C4026" s="1" t="s">
        <v>507</v>
      </c>
      <c r="D4026" s="1" t="s">
        <v>78</v>
      </c>
      <c r="E4026" s="1" t="s">
        <v>28</v>
      </c>
      <c r="F4026" s="1" t="s">
        <v>78</v>
      </c>
      <c r="G4026" s="1">
        <v>10</v>
      </c>
      <c r="H4026" s="1">
        <v>55989</v>
      </c>
      <c r="I4026" s="1">
        <v>0.1</v>
      </c>
      <c r="J4026" s="1">
        <v>503901</v>
      </c>
      <c r="K4026" s="1">
        <v>127778.45</v>
      </c>
      <c r="L4026" s="1" t="s">
        <v>70</v>
      </c>
      <c r="M4026" s="1" t="str">
        <f>TEXT(Table1[[#This Row],[Order Date]],"mmm")</f>
        <v>May</v>
      </c>
      <c r="N4026" s="1">
        <f>YEAR(Table1[[#This Row],[Order Date]])</f>
        <v>2024</v>
      </c>
    </row>
    <row r="4027" spans="1:14" x14ac:dyDescent="0.35">
      <c r="A4027" s="1" t="s">
        <v>4822</v>
      </c>
      <c r="B4027" s="1" t="s">
        <v>1675</v>
      </c>
      <c r="C4027" s="1" t="s">
        <v>191</v>
      </c>
      <c r="D4027" s="1" t="s">
        <v>137</v>
      </c>
      <c r="E4027" s="1" t="s">
        <v>22</v>
      </c>
      <c r="F4027" s="1" t="s">
        <v>137</v>
      </c>
      <c r="G4027" s="1">
        <v>1</v>
      </c>
      <c r="H4027" s="1">
        <v>53952</v>
      </c>
      <c r="I4027" s="1">
        <v>0.05</v>
      </c>
      <c r="J4027" s="1">
        <v>51254.400000000001</v>
      </c>
      <c r="K4027" s="1">
        <v>13336.55</v>
      </c>
      <c r="L4027" s="1" t="s">
        <v>45</v>
      </c>
      <c r="M4027" s="1" t="str">
        <f>TEXT(Table1[[#This Row],[Order Date]],"mmm")</f>
        <v>Aug</v>
      </c>
      <c r="N4027" s="1">
        <f>YEAR(Table1[[#This Row],[Order Date]])</f>
        <v>2023</v>
      </c>
    </row>
    <row r="4028" spans="1:14" x14ac:dyDescent="0.35">
      <c r="A4028" s="1" t="s">
        <v>4823</v>
      </c>
      <c r="B4028" s="1" t="s">
        <v>1765</v>
      </c>
      <c r="C4028" s="1" t="s">
        <v>208</v>
      </c>
      <c r="D4028" s="1" t="s">
        <v>52</v>
      </c>
      <c r="E4028" s="1" t="s">
        <v>28</v>
      </c>
      <c r="F4028" s="1" t="s">
        <v>52</v>
      </c>
      <c r="G4028" s="1">
        <v>6</v>
      </c>
      <c r="H4028" s="1">
        <v>40276</v>
      </c>
      <c r="I4028" s="1">
        <v>0</v>
      </c>
      <c r="J4028" s="1">
        <v>241656</v>
      </c>
      <c r="K4028" s="1">
        <v>38978.78</v>
      </c>
      <c r="L4028" s="1" t="s">
        <v>23</v>
      </c>
      <c r="M4028" s="1" t="str">
        <f>TEXT(Table1[[#This Row],[Order Date]],"mmm")</f>
        <v>May</v>
      </c>
      <c r="N4028" s="1">
        <f>YEAR(Table1[[#This Row],[Order Date]])</f>
        <v>2023</v>
      </c>
    </row>
    <row r="4029" spans="1:14" x14ac:dyDescent="0.35">
      <c r="A4029" s="1" t="s">
        <v>4824</v>
      </c>
      <c r="B4029" s="1" t="s">
        <v>617</v>
      </c>
      <c r="C4029" s="1" t="s">
        <v>59</v>
      </c>
      <c r="D4029" s="1" t="s">
        <v>74</v>
      </c>
      <c r="E4029" s="1" t="s">
        <v>22</v>
      </c>
      <c r="F4029" s="1" t="s">
        <v>74</v>
      </c>
      <c r="G4029" s="1">
        <v>15</v>
      </c>
      <c r="H4029" s="1">
        <v>22404</v>
      </c>
      <c r="I4029" s="1">
        <v>0</v>
      </c>
      <c r="J4029" s="1">
        <v>336060</v>
      </c>
      <c r="K4029" s="1">
        <v>86863.41</v>
      </c>
      <c r="L4029" s="1" t="s">
        <v>70</v>
      </c>
      <c r="M4029" s="1" t="str">
        <f>TEXT(Table1[[#This Row],[Order Date]],"mmm")</f>
        <v>Jul</v>
      </c>
      <c r="N4029" s="1">
        <f>YEAR(Table1[[#This Row],[Order Date]])</f>
        <v>2023</v>
      </c>
    </row>
    <row r="4030" spans="1:14" x14ac:dyDescent="0.35">
      <c r="A4030" s="1" t="s">
        <v>4825</v>
      </c>
      <c r="B4030" s="1" t="s">
        <v>246</v>
      </c>
      <c r="C4030" s="1" t="s">
        <v>349</v>
      </c>
      <c r="D4030" s="1" t="s">
        <v>85</v>
      </c>
      <c r="E4030" s="1" t="s">
        <v>28</v>
      </c>
      <c r="F4030" s="1" t="s">
        <v>85</v>
      </c>
      <c r="G4030" s="1">
        <v>7</v>
      </c>
      <c r="H4030" s="1">
        <v>3637</v>
      </c>
      <c r="I4030" s="1">
        <v>0</v>
      </c>
      <c r="J4030" s="1">
        <v>25459</v>
      </c>
      <c r="K4030" s="1">
        <v>2732.6</v>
      </c>
      <c r="L4030" s="1" t="s">
        <v>17</v>
      </c>
      <c r="M4030" s="1" t="str">
        <f>TEXT(Table1[[#This Row],[Order Date]],"mmm")</f>
        <v>Feb</v>
      </c>
      <c r="N4030" s="1">
        <f>YEAR(Table1[[#This Row],[Order Date]])</f>
        <v>2023</v>
      </c>
    </row>
    <row r="4031" spans="1:14" x14ac:dyDescent="0.35">
      <c r="A4031" s="1" t="s">
        <v>4826</v>
      </c>
      <c r="B4031" s="1" t="s">
        <v>1658</v>
      </c>
      <c r="C4031" s="1" t="s">
        <v>77</v>
      </c>
      <c r="D4031" s="1" t="s">
        <v>85</v>
      </c>
      <c r="E4031" s="1" t="s">
        <v>28</v>
      </c>
      <c r="F4031" s="1" t="s">
        <v>85</v>
      </c>
      <c r="G4031" s="1">
        <v>12</v>
      </c>
      <c r="H4031" s="1">
        <v>2276</v>
      </c>
      <c r="I4031" s="1">
        <v>0.1</v>
      </c>
      <c r="J4031" s="1">
        <v>24580.799999999999</v>
      </c>
      <c r="K4031" s="1">
        <v>3685.58</v>
      </c>
      <c r="L4031" s="1" t="s">
        <v>23</v>
      </c>
      <c r="M4031" s="1" t="str">
        <f>TEXT(Table1[[#This Row],[Order Date]],"mmm")</f>
        <v>Sep</v>
      </c>
      <c r="N4031" s="1">
        <f>YEAR(Table1[[#This Row],[Order Date]])</f>
        <v>2024</v>
      </c>
    </row>
    <row r="4032" spans="1:14" x14ac:dyDescent="0.35">
      <c r="A4032" s="1" t="s">
        <v>4827</v>
      </c>
      <c r="B4032" s="1" t="s">
        <v>242</v>
      </c>
      <c r="C4032" s="1" t="s">
        <v>59</v>
      </c>
      <c r="D4032" s="1" t="s">
        <v>64</v>
      </c>
      <c r="E4032" s="1" t="s">
        <v>33</v>
      </c>
      <c r="F4032" s="1" t="s">
        <v>64</v>
      </c>
      <c r="G4032" s="1">
        <v>7</v>
      </c>
      <c r="H4032" s="1">
        <v>1764</v>
      </c>
      <c r="I4032" s="1">
        <v>0.1</v>
      </c>
      <c r="J4032" s="1">
        <v>11113.2</v>
      </c>
      <c r="K4032" s="1">
        <v>2429.5700000000002</v>
      </c>
      <c r="L4032" s="1" t="s">
        <v>70</v>
      </c>
      <c r="M4032" s="1" t="str">
        <f>TEXT(Table1[[#This Row],[Order Date]],"mmm")</f>
        <v>May</v>
      </c>
      <c r="N4032" s="1">
        <f>YEAR(Table1[[#This Row],[Order Date]])</f>
        <v>2023</v>
      </c>
    </row>
    <row r="4033" spans="1:14" x14ac:dyDescent="0.35">
      <c r="A4033" s="1" t="s">
        <v>4828</v>
      </c>
      <c r="B4033" s="1" t="s">
        <v>1005</v>
      </c>
      <c r="C4033" s="1" t="s">
        <v>14</v>
      </c>
      <c r="D4033" s="1" t="s">
        <v>32</v>
      </c>
      <c r="E4033" s="1" t="s">
        <v>33</v>
      </c>
      <c r="F4033" s="1" t="s">
        <v>32</v>
      </c>
      <c r="G4033" s="1">
        <v>7</v>
      </c>
      <c r="H4033" s="1">
        <v>33617</v>
      </c>
      <c r="I4033" s="1">
        <v>0.2</v>
      </c>
      <c r="J4033" s="1">
        <v>188255.2</v>
      </c>
      <c r="K4033" s="1">
        <v>26170.93</v>
      </c>
      <c r="L4033" s="1" t="s">
        <v>45</v>
      </c>
      <c r="M4033" s="1" t="str">
        <f>TEXT(Table1[[#This Row],[Order Date]],"mmm")</f>
        <v>Aug</v>
      </c>
      <c r="N4033" s="1">
        <f>YEAR(Table1[[#This Row],[Order Date]])</f>
        <v>2023</v>
      </c>
    </row>
    <row r="4034" spans="1:14" x14ac:dyDescent="0.35">
      <c r="A4034" s="1" t="s">
        <v>4829</v>
      </c>
      <c r="B4034" s="1" t="s">
        <v>1443</v>
      </c>
      <c r="C4034" s="1" t="s">
        <v>101</v>
      </c>
      <c r="D4034" s="1" t="s">
        <v>108</v>
      </c>
      <c r="E4034" s="1" t="s">
        <v>22</v>
      </c>
      <c r="F4034" s="1" t="s">
        <v>108</v>
      </c>
      <c r="G4034" s="1">
        <v>14</v>
      </c>
      <c r="H4034" s="1">
        <v>53376</v>
      </c>
      <c r="I4034" s="1">
        <v>0.1</v>
      </c>
      <c r="J4034" s="1">
        <v>672537.59999999998</v>
      </c>
      <c r="K4034" s="1">
        <v>61328.07</v>
      </c>
      <c r="L4034" s="1" t="s">
        <v>23</v>
      </c>
      <c r="M4034" s="1" t="str">
        <f>TEXT(Table1[[#This Row],[Order Date]],"mmm")</f>
        <v>Aug</v>
      </c>
      <c r="N4034" s="1">
        <f>YEAR(Table1[[#This Row],[Order Date]])</f>
        <v>2023</v>
      </c>
    </row>
    <row r="4035" spans="1:14" x14ac:dyDescent="0.35">
      <c r="A4035" s="1" t="s">
        <v>4830</v>
      </c>
      <c r="B4035" s="1" t="s">
        <v>1792</v>
      </c>
      <c r="C4035" s="1" t="s">
        <v>260</v>
      </c>
      <c r="D4035" s="1" t="s">
        <v>60</v>
      </c>
      <c r="E4035" s="1" t="s">
        <v>33</v>
      </c>
      <c r="F4035" s="1" t="s">
        <v>60</v>
      </c>
      <c r="G4035" s="1">
        <v>14</v>
      </c>
      <c r="H4035" s="1">
        <v>23718</v>
      </c>
      <c r="I4035" s="1">
        <v>0</v>
      </c>
      <c r="J4035" s="1">
        <v>332052</v>
      </c>
      <c r="K4035" s="1">
        <v>42355.14</v>
      </c>
      <c r="L4035" s="1" t="s">
        <v>45</v>
      </c>
      <c r="M4035" s="1" t="str">
        <f>TEXT(Table1[[#This Row],[Order Date]],"mmm")</f>
        <v>Apr</v>
      </c>
      <c r="N4035" s="1">
        <f>YEAR(Table1[[#This Row],[Order Date]])</f>
        <v>2023</v>
      </c>
    </row>
    <row r="4036" spans="1:14" x14ac:dyDescent="0.35">
      <c r="A4036" s="1" t="s">
        <v>4831</v>
      </c>
      <c r="B4036" s="1" t="s">
        <v>435</v>
      </c>
      <c r="C4036" s="1" t="s">
        <v>191</v>
      </c>
      <c r="D4036" s="1" t="s">
        <v>15</v>
      </c>
      <c r="E4036" s="1" t="s">
        <v>16</v>
      </c>
      <c r="F4036" s="1" t="s">
        <v>15</v>
      </c>
      <c r="G4036" s="1">
        <v>4</v>
      </c>
      <c r="H4036" s="1">
        <v>32917</v>
      </c>
      <c r="I4036" s="1">
        <v>0.05</v>
      </c>
      <c r="J4036" s="1">
        <v>125084.6</v>
      </c>
      <c r="K4036" s="1">
        <v>18149.82</v>
      </c>
      <c r="L4036" s="1" t="s">
        <v>23</v>
      </c>
      <c r="M4036" s="1" t="str">
        <f>TEXT(Table1[[#This Row],[Order Date]],"mmm")</f>
        <v>Nov</v>
      </c>
      <c r="N4036" s="1">
        <f>YEAR(Table1[[#This Row],[Order Date]])</f>
        <v>2024</v>
      </c>
    </row>
    <row r="4037" spans="1:14" x14ac:dyDescent="0.35">
      <c r="A4037" s="1" t="s">
        <v>4832</v>
      </c>
      <c r="B4037" s="1" t="s">
        <v>2049</v>
      </c>
      <c r="C4037" s="1" t="s">
        <v>81</v>
      </c>
      <c r="D4037" s="1" t="s">
        <v>44</v>
      </c>
      <c r="E4037" s="1" t="s">
        <v>28</v>
      </c>
      <c r="F4037" s="1" t="s">
        <v>44</v>
      </c>
      <c r="G4037" s="1">
        <v>13</v>
      </c>
      <c r="H4037" s="1">
        <v>8142</v>
      </c>
      <c r="I4037" s="1">
        <v>0</v>
      </c>
      <c r="J4037" s="1">
        <v>105846</v>
      </c>
      <c r="K4037" s="1">
        <v>29790.13</v>
      </c>
      <c r="L4037" s="1" t="s">
        <v>23</v>
      </c>
      <c r="M4037" s="1" t="str">
        <f>TEXT(Table1[[#This Row],[Order Date]],"mmm")</f>
        <v>Apr</v>
      </c>
      <c r="N4037" s="1">
        <f>YEAR(Table1[[#This Row],[Order Date]])</f>
        <v>2024</v>
      </c>
    </row>
    <row r="4038" spans="1:14" x14ac:dyDescent="0.35">
      <c r="A4038" s="1" t="s">
        <v>4833</v>
      </c>
      <c r="B4038" s="1" t="s">
        <v>389</v>
      </c>
      <c r="C4038" s="1" t="s">
        <v>55</v>
      </c>
      <c r="D4038" s="1" t="s">
        <v>151</v>
      </c>
      <c r="E4038" s="1" t="s">
        <v>22</v>
      </c>
      <c r="F4038" s="1" t="s">
        <v>151</v>
      </c>
      <c r="G4038" s="1">
        <v>10</v>
      </c>
      <c r="H4038" s="1">
        <v>59122</v>
      </c>
      <c r="I4038" s="1">
        <v>0.1</v>
      </c>
      <c r="J4038" s="1">
        <v>532098</v>
      </c>
      <c r="K4038" s="1">
        <v>151252.39000000001</v>
      </c>
      <c r="L4038" s="1" t="s">
        <v>17</v>
      </c>
      <c r="M4038" s="1" t="str">
        <f>TEXT(Table1[[#This Row],[Order Date]],"mmm")</f>
        <v>May</v>
      </c>
      <c r="N4038" s="1">
        <f>YEAR(Table1[[#This Row],[Order Date]])</f>
        <v>2023</v>
      </c>
    </row>
    <row r="4039" spans="1:14" x14ac:dyDescent="0.35">
      <c r="A4039" s="1" t="s">
        <v>4834</v>
      </c>
      <c r="B4039" s="1" t="s">
        <v>2176</v>
      </c>
      <c r="C4039" s="1" t="s">
        <v>67</v>
      </c>
      <c r="D4039" s="1" t="s">
        <v>167</v>
      </c>
      <c r="E4039" s="1" t="s">
        <v>16</v>
      </c>
      <c r="F4039" s="1" t="s">
        <v>167</v>
      </c>
      <c r="G4039" s="1">
        <v>3</v>
      </c>
      <c r="H4039" s="1">
        <v>24574</v>
      </c>
      <c r="I4039" s="1">
        <v>0.05</v>
      </c>
      <c r="J4039" s="1">
        <v>70035.899999999994</v>
      </c>
      <c r="K4039" s="1">
        <v>9905.1200000000008</v>
      </c>
      <c r="L4039" s="1" t="s">
        <v>17</v>
      </c>
      <c r="M4039" s="1" t="str">
        <f>TEXT(Table1[[#This Row],[Order Date]],"mmm")</f>
        <v>Sep</v>
      </c>
      <c r="N4039" s="1">
        <f>YEAR(Table1[[#This Row],[Order Date]])</f>
        <v>2024</v>
      </c>
    </row>
    <row r="4040" spans="1:14" x14ac:dyDescent="0.35">
      <c r="A4040" s="1" t="s">
        <v>4835</v>
      </c>
      <c r="B4040" s="1" t="s">
        <v>269</v>
      </c>
      <c r="C4040" s="1" t="s">
        <v>370</v>
      </c>
      <c r="D4040" s="1" t="s">
        <v>27</v>
      </c>
      <c r="E4040" s="1" t="s">
        <v>28</v>
      </c>
      <c r="F4040" s="1" t="s">
        <v>27</v>
      </c>
      <c r="G4040" s="1">
        <v>5</v>
      </c>
      <c r="H4040" s="1">
        <v>36213</v>
      </c>
      <c r="I4040" s="1">
        <v>0.1</v>
      </c>
      <c r="J4040" s="1">
        <v>162958.5</v>
      </c>
      <c r="K4040" s="1">
        <v>31892.55</v>
      </c>
      <c r="L4040" s="1" t="s">
        <v>45</v>
      </c>
      <c r="M4040" s="1" t="str">
        <f>TEXT(Table1[[#This Row],[Order Date]],"mmm")</f>
        <v>Dec</v>
      </c>
      <c r="N4040" s="1">
        <f>YEAR(Table1[[#This Row],[Order Date]])</f>
        <v>2023</v>
      </c>
    </row>
    <row r="4041" spans="1:14" x14ac:dyDescent="0.35">
      <c r="A4041" s="1" t="s">
        <v>4836</v>
      </c>
      <c r="B4041" s="1" t="s">
        <v>794</v>
      </c>
      <c r="C4041" s="1" t="s">
        <v>14</v>
      </c>
      <c r="D4041" s="1" t="s">
        <v>141</v>
      </c>
      <c r="E4041" s="1" t="s">
        <v>22</v>
      </c>
      <c r="F4041" s="1" t="s">
        <v>141</v>
      </c>
      <c r="G4041" s="1">
        <v>7</v>
      </c>
      <c r="H4041" s="1">
        <v>58067</v>
      </c>
      <c r="I4041" s="1">
        <v>0.2</v>
      </c>
      <c r="J4041" s="1">
        <v>325175.2</v>
      </c>
      <c r="K4041" s="1">
        <v>30721.99</v>
      </c>
      <c r="L4041" s="1" t="s">
        <v>23</v>
      </c>
      <c r="M4041" s="1" t="str">
        <f>TEXT(Table1[[#This Row],[Order Date]],"mmm")</f>
        <v>Mar</v>
      </c>
      <c r="N4041" s="1">
        <f>YEAR(Table1[[#This Row],[Order Date]])</f>
        <v>2024</v>
      </c>
    </row>
    <row r="4042" spans="1:14" x14ac:dyDescent="0.35">
      <c r="A4042" s="1" t="s">
        <v>4837</v>
      </c>
      <c r="B4042" s="1" t="s">
        <v>632</v>
      </c>
      <c r="C4042" s="1" t="s">
        <v>117</v>
      </c>
      <c r="D4042" s="1" t="s">
        <v>60</v>
      </c>
      <c r="E4042" s="1" t="s">
        <v>33</v>
      </c>
      <c r="F4042" s="1" t="s">
        <v>60</v>
      </c>
      <c r="G4042" s="1">
        <v>15</v>
      </c>
      <c r="H4042" s="1">
        <v>5404</v>
      </c>
      <c r="I4042" s="1">
        <v>0.15</v>
      </c>
      <c r="J4042" s="1">
        <v>68901</v>
      </c>
      <c r="K4042" s="1">
        <v>13858.65</v>
      </c>
      <c r="L4042" s="1" t="s">
        <v>70</v>
      </c>
      <c r="M4042" s="1" t="str">
        <f>TEXT(Table1[[#This Row],[Order Date]],"mmm")</f>
        <v>Mar</v>
      </c>
      <c r="N4042" s="1">
        <f>YEAR(Table1[[#This Row],[Order Date]])</f>
        <v>2024</v>
      </c>
    </row>
    <row r="4043" spans="1:14" x14ac:dyDescent="0.35">
      <c r="A4043" s="1" t="s">
        <v>4838</v>
      </c>
      <c r="B4043" s="1" t="s">
        <v>25</v>
      </c>
      <c r="C4043" s="1" t="s">
        <v>191</v>
      </c>
      <c r="D4043" s="1" t="s">
        <v>44</v>
      </c>
      <c r="E4043" s="1" t="s">
        <v>28</v>
      </c>
      <c r="F4043" s="1" t="s">
        <v>44</v>
      </c>
      <c r="G4043" s="1">
        <v>14</v>
      </c>
      <c r="H4043" s="1">
        <v>49049</v>
      </c>
      <c r="I4043" s="1">
        <v>0.05</v>
      </c>
      <c r="J4043" s="1">
        <v>652351.69999999995</v>
      </c>
      <c r="K4043" s="1">
        <v>58268.68</v>
      </c>
      <c r="L4043" s="1" t="s">
        <v>17</v>
      </c>
      <c r="M4043" s="1" t="str">
        <f>TEXT(Table1[[#This Row],[Order Date]],"mmm")</f>
        <v>Apr</v>
      </c>
      <c r="N4043" s="1">
        <f>YEAR(Table1[[#This Row],[Order Date]])</f>
        <v>2023</v>
      </c>
    </row>
    <row r="4044" spans="1:14" x14ac:dyDescent="0.35">
      <c r="A4044" s="1" t="s">
        <v>4839</v>
      </c>
      <c r="B4044" s="1" t="s">
        <v>1443</v>
      </c>
      <c r="C4044" s="1" t="s">
        <v>335</v>
      </c>
      <c r="D4044" s="1" t="s">
        <v>21</v>
      </c>
      <c r="E4044" s="1" t="s">
        <v>22</v>
      </c>
      <c r="F4044" s="1" t="s">
        <v>21</v>
      </c>
      <c r="G4044" s="1">
        <v>14</v>
      </c>
      <c r="H4044" s="1">
        <v>2043</v>
      </c>
      <c r="I4044" s="1">
        <v>0.15</v>
      </c>
      <c r="J4044" s="1">
        <v>24311.7</v>
      </c>
      <c r="K4044" s="1">
        <v>5030.37</v>
      </c>
      <c r="L4044" s="1" t="s">
        <v>17</v>
      </c>
      <c r="M4044" s="1" t="str">
        <f>TEXT(Table1[[#This Row],[Order Date]],"mmm")</f>
        <v>Aug</v>
      </c>
      <c r="N4044" s="1">
        <f>YEAR(Table1[[#This Row],[Order Date]])</f>
        <v>2023</v>
      </c>
    </row>
    <row r="4045" spans="1:14" x14ac:dyDescent="0.35">
      <c r="A4045" s="1" t="s">
        <v>4840</v>
      </c>
      <c r="B4045" s="1" t="s">
        <v>528</v>
      </c>
      <c r="C4045" s="1" t="s">
        <v>140</v>
      </c>
      <c r="D4045" s="1" t="s">
        <v>95</v>
      </c>
      <c r="E4045" s="1" t="s">
        <v>33</v>
      </c>
      <c r="F4045" s="1" t="s">
        <v>95</v>
      </c>
      <c r="G4045" s="1">
        <v>10</v>
      </c>
      <c r="H4045" s="1">
        <v>32456</v>
      </c>
      <c r="I4045" s="1">
        <v>0</v>
      </c>
      <c r="J4045" s="1">
        <v>324560</v>
      </c>
      <c r="K4045" s="1">
        <v>28638.65</v>
      </c>
      <c r="L4045" s="1" t="s">
        <v>23</v>
      </c>
      <c r="M4045" s="1" t="str">
        <f>TEXT(Table1[[#This Row],[Order Date]],"mmm")</f>
        <v>Feb</v>
      </c>
      <c r="N4045" s="1">
        <f>YEAR(Table1[[#This Row],[Order Date]])</f>
        <v>2024</v>
      </c>
    </row>
    <row r="4046" spans="1:14" x14ac:dyDescent="0.35">
      <c r="A4046" s="1" t="s">
        <v>4841</v>
      </c>
      <c r="B4046" s="1" t="s">
        <v>1438</v>
      </c>
      <c r="C4046" s="1" t="s">
        <v>128</v>
      </c>
      <c r="D4046" s="1" t="s">
        <v>64</v>
      </c>
      <c r="E4046" s="1" t="s">
        <v>33</v>
      </c>
      <c r="F4046" s="1" t="s">
        <v>64</v>
      </c>
      <c r="G4046" s="1">
        <v>1</v>
      </c>
      <c r="H4046" s="1">
        <v>37742</v>
      </c>
      <c r="I4046" s="1">
        <v>0</v>
      </c>
      <c r="J4046" s="1">
        <v>37742</v>
      </c>
      <c r="K4046" s="1">
        <v>9197.2199999999993</v>
      </c>
      <c r="L4046" s="1" t="s">
        <v>17</v>
      </c>
      <c r="M4046" s="1" t="str">
        <f>TEXT(Table1[[#This Row],[Order Date]],"mmm")</f>
        <v>Nov</v>
      </c>
      <c r="N4046" s="1">
        <f>YEAR(Table1[[#This Row],[Order Date]])</f>
        <v>2024</v>
      </c>
    </row>
    <row r="4047" spans="1:14" x14ac:dyDescent="0.35">
      <c r="A4047" s="1" t="s">
        <v>4842</v>
      </c>
      <c r="B4047" s="1" t="s">
        <v>1631</v>
      </c>
      <c r="C4047" s="1" t="s">
        <v>146</v>
      </c>
      <c r="D4047" s="1" t="s">
        <v>167</v>
      </c>
      <c r="E4047" s="1" t="s">
        <v>16</v>
      </c>
      <c r="F4047" s="1" t="s">
        <v>167</v>
      </c>
      <c r="G4047" s="1">
        <v>9</v>
      </c>
      <c r="H4047" s="1">
        <v>50904</v>
      </c>
      <c r="I4047" s="1">
        <v>0.05</v>
      </c>
      <c r="J4047" s="1">
        <v>435229.2</v>
      </c>
      <c r="K4047" s="1">
        <v>111696.24</v>
      </c>
      <c r="L4047" s="1" t="s">
        <v>45</v>
      </c>
      <c r="M4047" s="1" t="str">
        <f>TEXT(Table1[[#This Row],[Order Date]],"mmm")</f>
        <v>Apr</v>
      </c>
      <c r="N4047" s="1">
        <f>YEAR(Table1[[#This Row],[Order Date]])</f>
        <v>2023</v>
      </c>
    </row>
    <row r="4048" spans="1:14" x14ac:dyDescent="0.35">
      <c r="A4048" s="1" t="s">
        <v>4843</v>
      </c>
      <c r="B4048" s="1" t="s">
        <v>3395</v>
      </c>
      <c r="C4048" s="1" t="s">
        <v>128</v>
      </c>
      <c r="D4048" s="1" t="s">
        <v>27</v>
      </c>
      <c r="E4048" s="1" t="s">
        <v>28</v>
      </c>
      <c r="F4048" s="1" t="s">
        <v>27</v>
      </c>
      <c r="G4048" s="1">
        <v>1</v>
      </c>
      <c r="H4048" s="1">
        <v>439</v>
      </c>
      <c r="I4048" s="1">
        <v>0.2</v>
      </c>
      <c r="J4048" s="1">
        <v>351.2</v>
      </c>
      <c r="K4048" s="1">
        <v>31.7</v>
      </c>
      <c r="L4048" s="1" t="s">
        <v>70</v>
      </c>
      <c r="M4048" s="1" t="str">
        <f>TEXT(Table1[[#This Row],[Order Date]],"mmm")</f>
        <v>Feb</v>
      </c>
      <c r="N4048" s="1">
        <f>YEAR(Table1[[#This Row],[Order Date]])</f>
        <v>2023</v>
      </c>
    </row>
    <row r="4049" spans="1:14" x14ac:dyDescent="0.35">
      <c r="A4049" s="1" t="s">
        <v>4844</v>
      </c>
      <c r="B4049" s="1" t="s">
        <v>2796</v>
      </c>
      <c r="C4049" s="1" t="s">
        <v>203</v>
      </c>
      <c r="D4049" s="1" t="s">
        <v>32</v>
      </c>
      <c r="E4049" s="1" t="s">
        <v>33</v>
      </c>
      <c r="F4049" s="1" t="s">
        <v>32</v>
      </c>
      <c r="G4049" s="1">
        <v>8</v>
      </c>
      <c r="H4049" s="1">
        <v>4714</v>
      </c>
      <c r="I4049" s="1">
        <v>0.05</v>
      </c>
      <c r="J4049" s="1">
        <v>35826.400000000001</v>
      </c>
      <c r="K4049" s="1">
        <v>9875.42</v>
      </c>
      <c r="L4049" s="1" t="s">
        <v>45</v>
      </c>
      <c r="M4049" s="1" t="str">
        <f>TEXT(Table1[[#This Row],[Order Date]],"mmm")</f>
        <v>May</v>
      </c>
      <c r="N4049" s="1">
        <f>YEAR(Table1[[#This Row],[Order Date]])</f>
        <v>2024</v>
      </c>
    </row>
    <row r="4050" spans="1:14" x14ac:dyDescent="0.35">
      <c r="A4050" s="1" t="s">
        <v>4845</v>
      </c>
      <c r="B4050" s="1" t="s">
        <v>387</v>
      </c>
      <c r="C4050" s="1" t="s">
        <v>111</v>
      </c>
      <c r="D4050" s="1" t="s">
        <v>95</v>
      </c>
      <c r="E4050" s="1" t="s">
        <v>33</v>
      </c>
      <c r="F4050" s="1" t="s">
        <v>95</v>
      </c>
      <c r="G4050" s="1">
        <v>2</v>
      </c>
      <c r="H4050" s="1">
        <v>12467</v>
      </c>
      <c r="I4050" s="1">
        <v>0.15</v>
      </c>
      <c r="J4050" s="1">
        <v>21193.9</v>
      </c>
      <c r="K4050" s="1">
        <v>3935.93</v>
      </c>
      <c r="L4050" s="1" t="s">
        <v>70</v>
      </c>
      <c r="M4050" s="1" t="str">
        <f>TEXT(Table1[[#This Row],[Order Date]],"mmm")</f>
        <v>May</v>
      </c>
      <c r="N4050" s="1">
        <f>YEAR(Table1[[#This Row],[Order Date]])</f>
        <v>2024</v>
      </c>
    </row>
    <row r="4051" spans="1:14" x14ac:dyDescent="0.35">
      <c r="A4051" s="1" t="s">
        <v>4846</v>
      </c>
      <c r="B4051" s="1" t="s">
        <v>478</v>
      </c>
      <c r="C4051" s="1" t="s">
        <v>36</v>
      </c>
      <c r="D4051" s="1" t="s">
        <v>32</v>
      </c>
      <c r="E4051" s="1" t="s">
        <v>33</v>
      </c>
      <c r="F4051" s="1" t="s">
        <v>32</v>
      </c>
      <c r="G4051" s="1">
        <v>7</v>
      </c>
      <c r="H4051" s="1">
        <v>2555</v>
      </c>
      <c r="I4051" s="1">
        <v>0.05</v>
      </c>
      <c r="J4051" s="1">
        <v>16990.75</v>
      </c>
      <c r="K4051" s="1">
        <v>2263.11</v>
      </c>
      <c r="L4051" s="1" t="s">
        <v>45</v>
      </c>
      <c r="M4051" s="1" t="str">
        <f>TEXT(Table1[[#This Row],[Order Date]],"mmm")</f>
        <v>May</v>
      </c>
      <c r="N4051" s="1">
        <f>YEAR(Table1[[#This Row],[Order Date]])</f>
        <v>2024</v>
      </c>
    </row>
    <row r="4052" spans="1:14" x14ac:dyDescent="0.35">
      <c r="A4052" s="1" t="s">
        <v>4847</v>
      </c>
      <c r="B4052" s="1" t="s">
        <v>2752</v>
      </c>
      <c r="C4052" s="1" t="s">
        <v>203</v>
      </c>
      <c r="D4052" s="1" t="s">
        <v>78</v>
      </c>
      <c r="E4052" s="1" t="s">
        <v>28</v>
      </c>
      <c r="F4052" s="1" t="s">
        <v>78</v>
      </c>
      <c r="G4052" s="1">
        <v>8</v>
      </c>
      <c r="H4052" s="1">
        <v>29255</v>
      </c>
      <c r="I4052" s="1">
        <v>0.15</v>
      </c>
      <c r="J4052" s="1">
        <v>198934</v>
      </c>
      <c r="K4052" s="1">
        <v>20610.150000000001</v>
      </c>
      <c r="L4052" s="1" t="s">
        <v>23</v>
      </c>
      <c r="M4052" s="1" t="str">
        <f>TEXT(Table1[[#This Row],[Order Date]],"mmm")</f>
        <v>Jan</v>
      </c>
      <c r="N4052" s="1">
        <f>YEAR(Table1[[#This Row],[Order Date]])</f>
        <v>2023</v>
      </c>
    </row>
    <row r="4053" spans="1:14" x14ac:dyDescent="0.35">
      <c r="A4053" s="1" t="s">
        <v>4848</v>
      </c>
      <c r="B4053" s="1" t="s">
        <v>1346</v>
      </c>
      <c r="C4053" s="1" t="s">
        <v>178</v>
      </c>
      <c r="D4053" s="1" t="s">
        <v>60</v>
      </c>
      <c r="E4053" s="1" t="s">
        <v>33</v>
      </c>
      <c r="F4053" s="1" t="s">
        <v>60</v>
      </c>
      <c r="G4053" s="1">
        <v>11</v>
      </c>
      <c r="H4053" s="1">
        <v>54119</v>
      </c>
      <c r="I4053" s="1">
        <v>0.05</v>
      </c>
      <c r="J4053" s="1">
        <v>565543.55000000005</v>
      </c>
      <c r="K4053" s="1">
        <v>128488.69</v>
      </c>
      <c r="L4053" s="1" t="s">
        <v>70</v>
      </c>
      <c r="M4053" s="1" t="str">
        <f>TEXT(Table1[[#This Row],[Order Date]],"mmm")</f>
        <v>Aug</v>
      </c>
      <c r="N4053" s="1">
        <f>YEAR(Table1[[#This Row],[Order Date]])</f>
        <v>2023</v>
      </c>
    </row>
    <row r="4054" spans="1:14" x14ac:dyDescent="0.35">
      <c r="A4054" s="1" t="s">
        <v>4849</v>
      </c>
      <c r="B4054" s="1" t="s">
        <v>392</v>
      </c>
      <c r="C4054" s="1" t="s">
        <v>162</v>
      </c>
      <c r="D4054" s="1" t="s">
        <v>37</v>
      </c>
      <c r="E4054" s="1" t="s">
        <v>16</v>
      </c>
      <c r="F4054" s="1" t="s">
        <v>37</v>
      </c>
      <c r="G4054" s="1">
        <v>9</v>
      </c>
      <c r="H4054" s="1">
        <v>15643</v>
      </c>
      <c r="I4054" s="1">
        <v>0.2</v>
      </c>
      <c r="J4054" s="1">
        <v>112629.6</v>
      </c>
      <c r="K4054" s="1">
        <v>15684.93</v>
      </c>
      <c r="L4054" s="1" t="s">
        <v>70</v>
      </c>
      <c r="M4054" s="1" t="str">
        <f>TEXT(Table1[[#This Row],[Order Date]],"mmm")</f>
        <v>May</v>
      </c>
      <c r="N4054" s="1">
        <f>YEAR(Table1[[#This Row],[Order Date]])</f>
        <v>2024</v>
      </c>
    </row>
    <row r="4055" spans="1:14" x14ac:dyDescent="0.35">
      <c r="A4055" s="1" t="s">
        <v>4850</v>
      </c>
      <c r="B4055" s="1" t="s">
        <v>596</v>
      </c>
      <c r="C4055" s="1" t="s">
        <v>507</v>
      </c>
      <c r="D4055" s="1" t="s">
        <v>78</v>
      </c>
      <c r="E4055" s="1" t="s">
        <v>28</v>
      </c>
      <c r="F4055" s="1" t="s">
        <v>78</v>
      </c>
      <c r="G4055" s="1">
        <v>9</v>
      </c>
      <c r="H4055" s="1">
        <v>36632</v>
      </c>
      <c r="I4055" s="1">
        <v>0.05</v>
      </c>
      <c r="J4055" s="1">
        <v>313203.59999999998</v>
      </c>
      <c r="K4055" s="1">
        <v>60722.65</v>
      </c>
      <c r="L4055" s="1" t="s">
        <v>45</v>
      </c>
      <c r="M4055" s="1" t="str">
        <f>TEXT(Table1[[#This Row],[Order Date]],"mmm")</f>
        <v>Nov</v>
      </c>
      <c r="N4055" s="1">
        <f>YEAR(Table1[[#This Row],[Order Date]])</f>
        <v>2023</v>
      </c>
    </row>
    <row r="4056" spans="1:14" x14ac:dyDescent="0.35">
      <c r="A4056" s="1" t="s">
        <v>4851</v>
      </c>
      <c r="B4056" s="1" t="s">
        <v>404</v>
      </c>
      <c r="C4056" s="1" t="s">
        <v>128</v>
      </c>
      <c r="D4056" s="1" t="s">
        <v>91</v>
      </c>
      <c r="E4056" s="1" t="s">
        <v>16</v>
      </c>
      <c r="F4056" s="1" t="s">
        <v>91</v>
      </c>
      <c r="G4056" s="1">
        <v>2</v>
      </c>
      <c r="H4056" s="1">
        <v>47925</v>
      </c>
      <c r="I4056" s="1">
        <v>0.1</v>
      </c>
      <c r="J4056" s="1">
        <v>86265</v>
      </c>
      <c r="K4056" s="1">
        <v>25602.81</v>
      </c>
      <c r="L4056" s="1" t="s">
        <v>45</v>
      </c>
      <c r="M4056" s="1" t="str">
        <f>TEXT(Table1[[#This Row],[Order Date]],"mmm")</f>
        <v>Jan</v>
      </c>
      <c r="N4056" s="1">
        <f>YEAR(Table1[[#This Row],[Order Date]])</f>
        <v>2023</v>
      </c>
    </row>
    <row r="4057" spans="1:14" x14ac:dyDescent="0.35">
      <c r="A4057" s="1" t="s">
        <v>4852</v>
      </c>
      <c r="B4057" s="1" t="s">
        <v>2002</v>
      </c>
      <c r="C4057" s="1" t="s">
        <v>178</v>
      </c>
      <c r="D4057" s="1" t="s">
        <v>41</v>
      </c>
      <c r="E4057" s="1" t="s">
        <v>16</v>
      </c>
      <c r="F4057" s="1" t="s">
        <v>41</v>
      </c>
      <c r="G4057" s="1">
        <v>13</v>
      </c>
      <c r="H4057" s="1">
        <v>56001</v>
      </c>
      <c r="I4057" s="1">
        <v>0.2</v>
      </c>
      <c r="J4057" s="1">
        <v>582410.4</v>
      </c>
      <c r="K4057" s="1">
        <v>98451.29</v>
      </c>
      <c r="L4057" s="1" t="s">
        <v>70</v>
      </c>
      <c r="M4057" s="1" t="str">
        <f>TEXT(Table1[[#This Row],[Order Date]],"mmm")</f>
        <v>Apr</v>
      </c>
      <c r="N4057" s="1">
        <f>YEAR(Table1[[#This Row],[Order Date]])</f>
        <v>2024</v>
      </c>
    </row>
    <row r="4058" spans="1:14" x14ac:dyDescent="0.35">
      <c r="A4058" s="1" t="s">
        <v>4853</v>
      </c>
      <c r="B4058" s="1" t="s">
        <v>238</v>
      </c>
      <c r="C4058" s="1" t="s">
        <v>155</v>
      </c>
      <c r="D4058" s="1" t="s">
        <v>224</v>
      </c>
      <c r="E4058" s="1" t="s">
        <v>33</v>
      </c>
      <c r="F4058" s="1" t="s">
        <v>224</v>
      </c>
      <c r="G4058" s="1">
        <v>4</v>
      </c>
      <c r="H4058" s="1">
        <v>13973</v>
      </c>
      <c r="I4058" s="1">
        <v>0</v>
      </c>
      <c r="J4058" s="1">
        <v>55892</v>
      </c>
      <c r="K4058" s="1">
        <v>6457.87</v>
      </c>
      <c r="L4058" s="1" t="s">
        <v>45</v>
      </c>
      <c r="M4058" s="1" t="str">
        <f>TEXT(Table1[[#This Row],[Order Date]],"mmm")</f>
        <v>Dec</v>
      </c>
      <c r="N4058" s="1">
        <f>YEAR(Table1[[#This Row],[Order Date]])</f>
        <v>2023</v>
      </c>
    </row>
    <row r="4059" spans="1:14" x14ac:dyDescent="0.35">
      <c r="A4059" s="1" t="s">
        <v>4854</v>
      </c>
      <c r="B4059" s="1" t="s">
        <v>392</v>
      </c>
      <c r="C4059" s="1" t="s">
        <v>200</v>
      </c>
      <c r="D4059" s="1" t="s">
        <v>15</v>
      </c>
      <c r="E4059" s="1" t="s">
        <v>16</v>
      </c>
      <c r="F4059" s="1" t="s">
        <v>15</v>
      </c>
      <c r="G4059" s="1">
        <v>5</v>
      </c>
      <c r="H4059" s="1">
        <v>48591</v>
      </c>
      <c r="I4059" s="1">
        <v>0.2</v>
      </c>
      <c r="J4059" s="1">
        <v>194364</v>
      </c>
      <c r="K4059" s="1">
        <v>53649.93</v>
      </c>
      <c r="L4059" s="1" t="s">
        <v>45</v>
      </c>
      <c r="M4059" s="1" t="str">
        <f>TEXT(Table1[[#This Row],[Order Date]],"mmm")</f>
        <v>May</v>
      </c>
      <c r="N4059" s="1">
        <f>YEAR(Table1[[#This Row],[Order Date]])</f>
        <v>2024</v>
      </c>
    </row>
    <row r="4060" spans="1:14" x14ac:dyDescent="0.35">
      <c r="A4060" s="1" t="s">
        <v>4855</v>
      </c>
      <c r="B4060" s="1" t="s">
        <v>493</v>
      </c>
      <c r="C4060" s="1" t="s">
        <v>200</v>
      </c>
      <c r="D4060" s="1" t="s">
        <v>27</v>
      </c>
      <c r="E4060" s="1" t="s">
        <v>28</v>
      </c>
      <c r="F4060" s="1" t="s">
        <v>27</v>
      </c>
      <c r="G4060" s="1">
        <v>12</v>
      </c>
      <c r="H4060" s="1">
        <v>23908</v>
      </c>
      <c r="I4060" s="1">
        <v>0.05</v>
      </c>
      <c r="J4060" s="1">
        <v>272551.2</v>
      </c>
      <c r="K4060" s="1">
        <v>61239.41</v>
      </c>
      <c r="L4060" s="1" t="s">
        <v>17</v>
      </c>
      <c r="M4060" s="1" t="str">
        <f>TEXT(Table1[[#This Row],[Order Date]],"mmm")</f>
        <v>Nov</v>
      </c>
      <c r="N4060" s="1">
        <f>YEAR(Table1[[#This Row],[Order Date]])</f>
        <v>2024</v>
      </c>
    </row>
    <row r="4061" spans="1:14" x14ac:dyDescent="0.35">
      <c r="A4061" s="1" t="s">
        <v>4856</v>
      </c>
      <c r="B4061" s="1" t="s">
        <v>1772</v>
      </c>
      <c r="C4061" s="1" t="s">
        <v>107</v>
      </c>
      <c r="D4061" s="1" t="s">
        <v>60</v>
      </c>
      <c r="E4061" s="1" t="s">
        <v>33</v>
      </c>
      <c r="F4061" s="1" t="s">
        <v>60</v>
      </c>
      <c r="G4061" s="1">
        <v>4</v>
      </c>
      <c r="H4061" s="1">
        <v>5238</v>
      </c>
      <c r="I4061" s="1">
        <v>0.1</v>
      </c>
      <c r="J4061" s="1">
        <v>18856.8</v>
      </c>
      <c r="K4061" s="1">
        <v>4212.24</v>
      </c>
      <c r="L4061" s="1" t="s">
        <v>17</v>
      </c>
      <c r="M4061" s="1" t="str">
        <f>TEXT(Table1[[#This Row],[Order Date]],"mmm")</f>
        <v>Jun</v>
      </c>
      <c r="N4061" s="1">
        <f>YEAR(Table1[[#This Row],[Order Date]])</f>
        <v>2024</v>
      </c>
    </row>
    <row r="4062" spans="1:14" x14ac:dyDescent="0.35">
      <c r="A4062" s="1" t="s">
        <v>4857</v>
      </c>
      <c r="B4062" s="1" t="s">
        <v>312</v>
      </c>
      <c r="C4062" s="1" t="s">
        <v>146</v>
      </c>
      <c r="D4062" s="1" t="s">
        <v>15</v>
      </c>
      <c r="E4062" s="1" t="s">
        <v>16</v>
      </c>
      <c r="F4062" s="1" t="s">
        <v>15</v>
      </c>
      <c r="G4062" s="1">
        <v>10</v>
      </c>
      <c r="H4062" s="1">
        <v>30344</v>
      </c>
      <c r="I4062" s="1">
        <v>0.05</v>
      </c>
      <c r="J4062" s="1">
        <v>288268</v>
      </c>
      <c r="K4062" s="1">
        <v>24991.71</v>
      </c>
      <c r="L4062" s="1" t="s">
        <v>17</v>
      </c>
      <c r="M4062" s="1" t="str">
        <f>TEXT(Table1[[#This Row],[Order Date]],"mmm")</f>
        <v>May</v>
      </c>
      <c r="N4062" s="1">
        <f>YEAR(Table1[[#This Row],[Order Date]])</f>
        <v>2024</v>
      </c>
    </row>
    <row r="4063" spans="1:14" x14ac:dyDescent="0.35">
      <c r="A4063" s="1" t="s">
        <v>4858</v>
      </c>
      <c r="B4063" s="1" t="s">
        <v>800</v>
      </c>
      <c r="C4063" s="1" t="s">
        <v>77</v>
      </c>
      <c r="D4063" s="1" t="s">
        <v>323</v>
      </c>
      <c r="E4063" s="1" t="s">
        <v>33</v>
      </c>
      <c r="F4063" s="1" t="s">
        <v>323</v>
      </c>
      <c r="G4063" s="1">
        <v>1</v>
      </c>
      <c r="H4063" s="1">
        <v>732</v>
      </c>
      <c r="I4063" s="1">
        <v>0</v>
      </c>
      <c r="J4063" s="1">
        <v>732</v>
      </c>
      <c r="K4063" s="1">
        <v>109.89</v>
      </c>
      <c r="L4063" s="1" t="s">
        <v>45</v>
      </c>
      <c r="M4063" s="1" t="str">
        <f>TEXT(Table1[[#This Row],[Order Date]],"mmm")</f>
        <v>Oct</v>
      </c>
      <c r="N4063" s="1">
        <f>YEAR(Table1[[#This Row],[Order Date]])</f>
        <v>2023</v>
      </c>
    </row>
    <row r="4064" spans="1:14" x14ac:dyDescent="0.35">
      <c r="A4064" s="1" t="s">
        <v>4859</v>
      </c>
      <c r="B4064" s="1" t="s">
        <v>1997</v>
      </c>
      <c r="C4064" s="1" t="s">
        <v>155</v>
      </c>
      <c r="D4064" s="1" t="s">
        <v>64</v>
      </c>
      <c r="E4064" s="1" t="s">
        <v>33</v>
      </c>
      <c r="F4064" s="1" t="s">
        <v>64</v>
      </c>
      <c r="G4064" s="1">
        <v>2</v>
      </c>
      <c r="H4064" s="1">
        <v>32529</v>
      </c>
      <c r="I4064" s="1">
        <v>0.05</v>
      </c>
      <c r="J4064" s="1">
        <v>61805.1</v>
      </c>
      <c r="K4064" s="1">
        <v>6029.55</v>
      </c>
      <c r="L4064" s="1" t="s">
        <v>23</v>
      </c>
      <c r="M4064" s="1" t="str">
        <f>TEXT(Table1[[#This Row],[Order Date]],"mmm")</f>
        <v>Jul</v>
      </c>
      <c r="N4064" s="1">
        <f>YEAR(Table1[[#This Row],[Order Date]])</f>
        <v>2023</v>
      </c>
    </row>
    <row r="4065" spans="1:14" x14ac:dyDescent="0.35">
      <c r="A4065" s="1" t="s">
        <v>4860</v>
      </c>
      <c r="B4065" s="1" t="s">
        <v>2274</v>
      </c>
      <c r="C4065" s="1" t="s">
        <v>191</v>
      </c>
      <c r="D4065" s="1" t="s">
        <v>85</v>
      </c>
      <c r="E4065" s="1" t="s">
        <v>28</v>
      </c>
      <c r="F4065" s="1" t="s">
        <v>85</v>
      </c>
      <c r="G4065" s="1">
        <v>12</v>
      </c>
      <c r="H4065" s="1">
        <v>20186</v>
      </c>
      <c r="I4065" s="1">
        <v>0</v>
      </c>
      <c r="J4065" s="1">
        <v>242232</v>
      </c>
      <c r="K4065" s="1">
        <v>29285.919999999998</v>
      </c>
      <c r="L4065" s="1" t="s">
        <v>45</v>
      </c>
      <c r="M4065" s="1" t="str">
        <f>TEXT(Table1[[#This Row],[Order Date]],"mmm")</f>
        <v>Jan</v>
      </c>
      <c r="N4065" s="1">
        <f>YEAR(Table1[[#This Row],[Order Date]])</f>
        <v>2024</v>
      </c>
    </row>
    <row r="4066" spans="1:14" x14ac:dyDescent="0.35">
      <c r="A4066" s="1" t="s">
        <v>4861</v>
      </c>
      <c r="B4066" s="1" t="s">
        <v>150</v>
      </c>
      <c r="C4066" s="1" t="s">
        <v>136</v>
      </c>
      <c r="D4066" s="1" t="s">
        <v>41</v>
      </c>
      <c r="E4066" s="1" t="s">
        <v>16</v>
      </c>
      <c r="F4066" s="1" t="s">
        <v>41</v>
      </c>
      <c r="G4066" s="1">
        <v>2</v>
      </c>
      <c r="H4066" s="1">
        <v>6601</v>
      </c>
      <c r="I4066" s="1">
        <v>0</v>
      </c>
      <c r="J4066" s="1">
        <v>13202</v>
      </c>
      <c r="K4066" s="1">
        <v>3202.61</v>
      </c>
      <c r="L4066" s="1" t="s">
        <v>23</v>
      </c>
      <c r="M4066" s="1" t="str">
        <f>TEXT(Table1[[#This Row],[Order Date]],"mmm")</f>
        <v>Aug</v>
      </c>
      <c r="N4066" s="1">
        <f>YEAR(Table1[[#This Row],[Order Date]])</f>
        <v>2023</v>
      </c>
    </row>
    <row r="4067" spans="1:14" x14ac:dyDescent="0.35">
      <c r="A4067" s="1" t="s">
        <v>4862</v>
      </c>
      <c r="B4067" s="1" t="s">
        <v>1128</v>
      </c>
      <c r="C4067" s="1" t="s">
        <v>260</v>
      </c>
      <c r="D4067" s="1" t="s">
        <v>27</v>
      </c>
      <c r="E4067" s="1" t="s">
        <v>28</v>
      </c>
      <c r="F4067" s="1" t="s">
        <v>27</v>
      </c>
      <c r="G4067" s="1">
        <v>1</v>
      </c>
      <c r="H4067" s="1">
        <v>45077</v>
      </c>
      <c r="I4067" s="1">
        <v>0.15</v>
      </c>
      <c r="J4067" s="1">
        <v>38315.449999999997</v>
      </c>
      <c r="K4067" s="1">
        <v>10299.540000000001</v>
      </c>
      <c r="L4067" s="1" t="s">
        <v>45</v>
      </c>
      <c r="M4067" s="1" t="str">
        <f>TEXT(Table1[[#This Row],[Order Date]],"mmm")</f>
        <v>Sep</v>
      </c>
      <c r="N4067" s="1">
        <f>YEAR(Table1[[#This Row],[Order Date]])</f>
        <v>2024</v>
      </c>
    </row>
    <row r="4068" spans="1:14" x14ac:dyDescent="0.35">
      <c r="A4068" s="1" t="s">
        <v>4863</v>
      </c>
      <c r="B4068" s="1" t="s">
        <v>1065</v>
      </c>
      <c r="C4068" s="1" t="s">
        <v>162</v>
      </c>
      <c r="D4068" s="1" t="s">
        <v>44</v>
      </c>
      <c r="E4068" s="1" t="s">
        <v>28</v>
      </c>
      <c r="F4068" s="1" t="s">
        <v>44</v>
      </c>
      <c r="G4068" s="1">
        <v>2</v>
      </c>
      <c r="H4068" s="1">
        <v>53087</v>
      </c>
      <c r="I4068" s="1">
        <v>0.05</v>
      </c>
      <c r="J4068" s="1">
        <v>100865.3</v>
      </c>
      <c r="K4068" s="1">
        <v>16652</v>
      </c>
      <c r="L4068" s="1" t="s">
        <v>17</v>
      </c>
      <c r="M4068" s="1" t="str">
        <f>TEXT(Table1[[#This Row],[Order Date]],"mmm")</f>
        <v>Aug</v>
      </c>
      <c r="N4068" s="1">
        <f>YEAR(Table1[[#This Row],[Order Date]])</f>
        <v>2024</v>
      </c>
    </row>
    <row r="4069" spans="1:14" x14ac:dyDescent="0.35">
      <c r="A4069" s="1" t="s">
        <v>4864</v>
      </c>
      <c r="B4069" s="1" t="s">
        <v>381</v>
      </c>
      <c r="C4069" s="1" t="s">
        <v>104</v>
      </c>
      <c r="D4069" s="1" t="s">
        <v>41</v>
      </c>
      <c r="E4069" s="1" t="s">
        <v>16</v>
      </c>
      <c r="F4069" s="1" t="s">
        <v>41</v>
      </c>
      <c r="G4069" s="1">
        <v>7</v>
      </c>
      <c r="H4069" s="1">
        <v>1003</v>
      </c>
      <c r="I4069" s="1">
        <v>0.05</v>
      </c>
      <c r="J4069" s="1">
        <v>6669.95</v>
      </c>
      <c r="K4069" s="1">
        <v>1906.28</v>
      </c>
      <c r="L4069" s="1" t="s">
        <v>45</v>
      </c>
      <c r="M4069" s="1" t="str">
        <f>TEXT(Table1[[#This Row],[Order Date]],"mmm")</f>
        <v>Dec</v>
      </c>
      <c r="N4069" s="1">
        <f>YEAR(Table1[[#This Row],[Order Date]])</f>
        <v>2023</v>
      </c>
    </row>
    <row r="4070" spans="1:14" x14ac:dyDescent="0.35">
      <c r="A4070" s="1" t="s">
        <v>4865</v>
      </c>
      <c r="B4070" s="1" t="s">
        <v>989</v>
      </c>
      <c r="C4070" s="1" t="s">
        <v>14</v>
      </c>
      <c r="D4070" s="1" t="s">
        <v>21</v>
      </c>
      <c r="E4070" s="1" t="s">
        <v>22</v>
      </c>
      <c r="F4070" s="1" t="s">
        <v>21</v>
      </c>
      <c r="G4070" s="1">
        <v>10</v>
      </c>
      <c r="H4070" s="1">
        <v>7020</v>
      </c>
      <c r="I4070" s="1">
        <v>0.2</v>
      </c>
      <c r="J4070" s="1">
        <v>56160</v>
      </c>
      <c r="K4070" s="1">
        <v>15287.5</v>
      </c>
      <c r="L4070" s="1" t="s">
        <v>70</v>
      </c>
      <c r="M4070" s="1" t="str">
        <f>TEXT(Table1[[#This Row],[Order Date]],"mmm")</f>
        <v>Oct</v>
      </c>
      <c r="N4070" s="1">
        <f>YEAR(Table1[[#This Row],[Order Date]])</f>
        <v>2024</v>
      </c>
    </row>
    <row r="4071" spans="1:14" x14ac:dyDescent="0.35">
      <c r="A4071" s="1" t="s">
        <v>4866</v>
      </c>
      <c r="B4071" s="1" t="s">
        <v>160</v>
      </c>
      <c r="C4071" s="1" t="s">
        <v>349</v>
      </c>
      <c r="D4071" s="1" t="s">
        <v>64</v>
      </c>
      <c r="E4071" s="1" t="s">
        <v>33</v>
      </c>
      <c r="F4071" s="1" t="s">
        <v>64</v>
      </c>
      <c r="G4071" s="1">
        <v>11</v>
      </c>
      <c r="H4071" s="1">
        <v>20006</v>
      </c>
      <c r="I4071" s="1">
        <v>0.1</v>
      </c>
      <c r="J4071" s="1">
        <v>198059.4</v>
      </c>
      <c r="K4071" s="1">
        <v>19694.650000000001</v>
      </c>
      <c r="L4071" s="1" t="s">
        <v>23</v>
      </c>
      <c r="M4071" s="1" t="str">
        <f>TEXT(Table1[[#This Row],[Order Date]],"mmm")</f>
        <v>Feb</v>
      </c>
      <c r="N4071" s="1">
        <f>YEAR(Table1[[#This Row],[Order Date]])</f>
        <v>2023</v>
      </c>
    </row>
    <row r="4072" spans="1:14" x14ac:dyDescent="0.35">
      <c r="A4072" s="1" t="s">
        <v>4867</v>
      </c>
      <c r="B4072" s="1" t="s">
        <v>679</v>
      </c>
      <c r="C4072" s="1" t="s">
        <v>191</v>
      </c>
      <c r="D4072" s="1" t="s">
        <v>60</v>
      </c>
      <c r="E4072" s="1" t="s">
        <v>33</v>
      </c>
      <c r="F4072" s="1" t="s">
        <v>60</v>
      </c>
      <c r="G4072" s="1">
        <v>7</v>
      </c>
      <c r="H4072" s="1">
        <v>44483</v>
      </c>
      <c r="I4072" s="1">
        <v>0.2</v>
      </c>
      <c r="J4072" s="1">
        <v>249104.8</v>
      </c>
      <c r="K4072" s="1">
        <v>33699.46</v>
      </c>
      <c r="L4072" s="1" t="s">
        <v>70</v>
      </c>
      <c r="M4072" s="1" t="str">
        <f>TEXT(Table1[[#This Row],[Order Date]],"mmm")</f>
        <v>Jul</v>
      </c>
      <c r="N4072" s="1">
        <f>YEAR(Table1[[#This Row],[Order Date]])</f>
        <v>2023</v>
      </c>
    </row>
    <row r="4073" spans="1:14" x14ac:dyDescent="0.35">
      <c r="A4073" s="1" t="s">
        <v>4868</v>
      </c>
      <c r="B4073" s="1" t="s">
        <v>760</v>
      </c>
      <c r="C4073" s="1" t="s">
        <v>36</v>
      </c>
      <c r="D4073" s="1" t="s">
        <v>74</v>
      </c>
      <c r="E4073" s="1" t="s">
        <v>22</v>
      </c>
      <c r="F4073" s="1" t="s">
        <v>74</v>
      </c>
      <c r="G4073" s="1">
        <v>15</v>
      </c>
      <c r="H4073" s="1">
        <v>49203</v>
      </c>
      <c r="I4073" s="1">
        <v>0</v>
      </c>
      <c r="J4073" s="1">
        <v>738045</v>
      </c>
      <c r="K4073" s="1">
        <v>167736.35</v>
      </c>
      <c r="L4073" s="1" t="s">
        <v>17</v>
      </c>
      <c r="M4073" s="1" t="str">
        <f>TEXT(Table1[[#This Row],[Order Date]],"mmm")</f>
        <v>Jan</v>
      </c>
      <c r="N4073" s="1">
        <f>YEAR(Table1[[#This Row],[Order Date]])</f>
        <v>2023</v>
      </c>
    </row>
    <row r="4074" spans="1:14" x14ac:dyDescent="0.35">
      <c r="A4074" s="1" t="s">
        <v>4869</v>
      </c>
      <c r="B4074" s="1" t="s">
        <v>785</v>
      </c>
      <c r="C4074" s="1" t="s">
        <v>31</v>
      </c>
      <c r="D4074" s="1" t="s">
        <v>48</v>
      </c>
      <c r="E4074" s="1" t="s">
        <v>16</v>
      </c>
      <c r="F4074" s="1" t="s">
        <v>48</v>
      </c>
      <c r="G4074" s="1">
        <v>12</v>
      </c>
      <c r="H4074" s="1">
        <v>4731</v>
      </c>
      <c r="I4074" s="1">
        <v>0.1</v>
      </c>
      <c r="J4074" s="1">
        <v>51094.8</v>
      </c>
      <c r="K4074" s="1">
        <v>13156.37</v>
      </c>
      <c r="L4074" s="1" t="s">
        <v>23</v>
      </c>
      <c r="M4074" s="1" t="str">
        <f>TEXT(Table1[[#This Row],[Order Date]],"mmm")</f>
        <v>Apr</v>
      </c>
      <c r="N4074" s="1">
        <f>YEAR(Table1[[#This Row],[Order Date]])</f>
        <v>2023</v>
      </c>
    </row>
    <row r="4075" spans="1:14" x14ac:dyDescent="0.35">
      <c r="A4075" s="1" t="s">
        <v>4870</v>
      </c>
      <c r="B4075" s="1" t="s">
        <v>676</v>
      </c>
      <c r="C4075" s="1" t="s">
        <v>107</v>
      </c>
      <c r="D4075" s="1" t="s">
        <v>91</v>
      </c>
      <c r="E4075" s="1" t="s">
        <v>16</v>
      </c>
      <c r="F4075" s="1" t="s">
        <v>91</v>
      </c>
      <c r="G4075" s="1">
        <v>5</v>
      </c>
      <c r="H4075" s="1">
        <v>26212</v>
      </c>
      <c r="I4075" s="1">
        <v>0.15</v>
      </c>
      <c r="J4075" s="1">
        <v>111401</v>
      </c>
      <c r="K4075" s="1">
        <v>29530.12</v>
      </c>
      <c r="L4075" s="1" t="s">
        <v>23</v>
      </c>
      <c r="M4075" s="1" t="str">
        <f>TEXT(Table1[[#This Row],[Order Date]],"mmm")</f>
        <v>Oct</v>
      </c>
      <c r="N4075" s="1">
        <f>YEAR(Table1[[#This Row],[Order Date]])</f>
        <v>2023</v>
      </c>
    </row>
    <row r="4076" spans="1:14" x14ac:dyDescent="0.35">
      <c r="A4076" s="1" t="s">
        <v>4871</v>
      </c>
      <c r="B4076" s="1" t="s">
        <v>2108</v>
      </c>
      <c r="C4076" s="1" t="s">
        <v>178</v>
      </c>
      <c r="D4076" s="1" t="s">
        <v>64</v>
      </c>
      <c r="E4076" s="1" t="s">
        <v>33</v>
      </c>
      <c r="F4076" s="1" t="s">
        <v>64</v>
      </c>
      <c r="G4076" s="1">
        <v>14</v>
      </c>
      <c r="H4076" s="1">
        <v>5581</v>
      </c>
      <c r="I4076" s="1">
        <v>0.15</v>
      </c>
      <c r="J4076" s="1">
        <v>66413.899999999994</v>
      </c>
      <c r="K4076" s="1">
        <v>7504.02</v>
      </c>
      <c r="L4076" s="1" t="s">
        <v>17</v>
      </c>
      <c r="M4076" s="1" t="str">
        <f>TEXT(Table1[[#This Row],[Order Date]],"mmm")</f>
        <v>Jun</v>
      </c>
      <c r="N4076" s="1">
        <f>YEAR(Table1[[#This Row],[Order Date]])</f>
        <v>2023</v>
      </c>
    </row>
    <row r="4077" spans="1:14" x14ac:dyDescent="0.35">
      <c r="A4077" s="1" t="s">
        <v>4872</v>
      </c>
      <c r="B4077" s="1" t="s">
        <v>72</v>
      </c>
      <c r="C4077" s="1" t="s">
        <v>191</v>
      </c>
      <c r="D4077" s="1" t="s">
        <v>21</v>
      </c>
      <c r="E4077" s="1" t="s">
        <v>22</v>
      </c>
      <c r="F4077" s="1" t="s">
        <v>21</v>
      </c>
      <c r="G4077" s="1">
        <v>13</v>
      </c>
      <c r="H4077" s="1">
        <v>17030</v>
      </c>
      <c r="I4077" s="1">
        <v>0.15</v>
      </c>
      <c r="J4077" s="1">
        <v>188181.5</v>
      </c>
      <c r="K4077" s="1">
        <v>47041.51</v>
      </c>
      <c r="L4077" s="1" t="s">
        <v>23</v>
      </c>
      <c r="M4077" s="1" t="str">
        <f>TEXT(Table1[[#This Row],[Order Date]],"mmm")</f>
        <v>Aug</v>
      </c>
      <c r="N4077" s="1">
        <f>YEAR(Table1[[#This Row],[Order Date]])</f>
        <v>2023</v>
      </c>
    </row>
    <row r="4078" spans="1:14" x14ac:dyDescent="0.35">
      <c r="A4078" s="1" t="s">
        <v>4873</v>
      </c>
      <c r="B4078" s="1" t="s">
        <v>1842</v>
      </c>
      <c r="C4078" s="1" t="s">
        <v>208</v>
      </c>
      <c r="D4078" s="1" t="s">
        <v>114</v>
      </c>
      <c r="E4078" s="1" t="s">
        <v>16</v>
      </c>
      <c r="F4078" s="1" t="s">
        <v>114</v>
      </c>
      <c r="G4078" s="1">
        <v>2</v>
      </c>
      <c r="H4078" s="1">
        <v>14079</v>
      </c>
      <c r="I4078" s="1">
        <v>0</v>
      </c>
      <c r="J4078" s="1">
        <v>28158</v>
      </c>
      <c r="K4078" s="1">
        <v>3618.66</v>
      </c>
      <c r="L4078" s="1" t="s">
        <v>17</v>
      </c>
      <c r="M4078" s="1" t="str">
        <f>TEXT(Table1[[#This Row],[Order Date]],"mmm")</f>
        <v>Oct</v>
      </c>
      <c r="N4078" s="1">
        <f>YEAR(Table1[[#This Row],[Order Date]])</f>
        <v>2023</v>
      </c>
    </row>
    <row r="4079" spans="1:14" x14ac:dyDescent="0.35">
      <c r="A4079" s="1" t="s">
        <v>4874</v>
      </c>
      <c r="B4079" s="1" t="s">
        <v>3622</v>
      </c>
      <c r="C4079" s="1" t="s">
        <v>104</v>
      </c>
      <c r="D4079" s="1" t="s">
        <v>95</v>
      </c>
      <c r="E4079" s="1" t="s">
        <v>33</v>
      </c>
      <c r="F4079" s="1" t="s">
        <v>95</v>
      </c>
      <c r="G4079" s="1">
        <v>7</v>
      </c>
      <c r="H4079" s="1">
        <v>3098</v>
      </c>
      <c r="I4079" s="1">
        <v>0.2</v>
      </c>
      <c r="J4079" s="1">
        <v>17348.8</v>
      </c>
      <c r="K4079" s="1">
        <v>2253.87</v>
      </c>
      <c r="L4079" s="1" t="s">
        <v>17</v>
      </c>
      <c r="M4079" s="1" t="str">
        <f>TEXT(Table1[[#This Row],[Order Date]],"mmm")</f>
        <v>Oct</v>
      </c>
      <c r="N4079" s="1">
        <f>YEAR(Table1[[#This Row],[Order Date]])</f>
        <v>2023</v>
      </c>
    </row>
    <row r="4080" spans="1:14" x14ac:dyDescent="0.35">
      <c r="A4080" s="1" t="s">
        <v>4875</v>
      </c>
      <c r="B4080" s="1" t="s">
        <v>1492</v>
      </c>
      <c r="C4080" s="1" t="s">
        <v>73</v>
      </c>
      <c r="D4080" s="1" t="s">
        <v>95</v>
      </c>
      <c r="E4080" s="1" t="s">
        <v>33</v>
      </c>
      <c r="F4080" s="1" t="s">
        <v>95</v>
      </c>
      <c r="G4080" s="1">
        <v>6</v>
      </c>
      <c r="H4080" s="1">
        <v>52720</v>
      </c>
      <c r="I4080" s="1">
        <v>0.1</v>
      </c>
      <c r="J4080" s="1">
        <v>284688</v>
      </c>
      <c r="K4080" s="1">
        <v>62869.97</v>
      </c>
      <c r="L4080" s="1" t="s">
        <v>23</v>
      </c>
      <c r="M4080" s="1" t="str">
        <f>TEXT(Table1[[#This Row],[Order Date]],"mmm")</f>
        <v>Mar</v>
      </c>
      <c r="N4080" s="1">
        <f>YEAR(Table1[[#This Row],[Order Date]])</f>
        <v>2024</v>
      </c>
    </row>
    <row r="4081" spans="1:14" x14ac:dyDescent="0.35">
      <c r="A4081" s="1" t="s">
        <v>4876</v>
      </c>
      <c r="B4081" s="1" t="s">
        <v>1324</v>
      </c>
      <c r="C4081" s="1" t="s">
        <v>362</v>
      </c>
      <c r="D4081" s="1" t="s">
        <v>41</v>
      </c>
      <c r="E4081" s="1" t="s">
        <v>16</v>
      </c>
      <c r="F4081" s="1" t="s">
        <v>41</v>
      </c>
      <c r="G4081" s="1">
        <v>5</v>
      </c>
      <c r="H4081" s="1">
        <v>57994</v>
      </c>
      <c r="I4081" s="1">
        <v>0.1</v>
      </c>
      <c r="J4081" s="1">
        <v>260973</v>
      </c>
      <c r="K4081" s="1">
        <v>68400.960000000006</v>
      </c>
      <c r="L4081" s="1" t="s">
        <v>70</v>
      </c>
      <c r="M4081" s="1" t="str">
        <f>TEXT(Table1[[#This Row],[Order Date]],"mmm")</f>
        <v>Aug</v>
      </c>
      <c r="N4081" s="1">
        <f>YEAR(Table1[[#This Row],[Order Date]])</f>
        <v>2024</v>
      </c>
    </row>
    <row r="4082" spans="1:14" x14ac:dyDescent="0.35">
      <c r="A4082" s="1" t="s">
        <v>4877</v>
      </c>
      <c r="B4082" s="1" t="s">
        <v>2454</v>
      </c>
      <c r="C4082" s="1" t="s">
        <v>170</v>
      </c>
      <c r="D4082" s="1" t="s">
        <v>95</v>
      </c>
      <c r="E4082" s="1" t="s">
        <v>33</v>
      </c>
      <c r="F4082" s="1" t="s">
        <v>95</v>
      </c>
      <c r="G4082" s="1">
        <v>10</v>
      </c>
      <c r="H4082" s="1">
        <v>27543</v>
      </c>
      <c r="I4082" s="1">
        <v>0</v>
      </c>
      <c r="J4082" s="1">
        <v>275430</v>
      </c>
      <c r="K4082" s="1">
        <v>72212.679999999993</v>
      </c>
      <c r="L4082" s="1" t="s">
        <v>23</v>
      </c>
      <c r="M4082" s="1" t="str">
        <f>TEXT(Table1[[#This Row],[Order Date]],"mmm")</f>
        <v>Sep</v>
      </c>
      <c r="N4082" s="1">
        <f>YEAR(Table1[[#This Row],[Order Date]])</f>
        <v>2023</v>
      </c>
    </row>
    <row r="4083" spans="1:14" x14ac:dyDescent="0.35">
      <c r="A4083" s="1" t="s">
        <v>4878</v>
      </c>
      <c r="B4083" s="1" t="s">
        <v>582</v>
      </c>
      <c r="C4083" s="1" t="s">
        <v>111</v>
      </c>
      <c r="D4083" s="1" t="s">
        <v>85</v>
      </c>
      <c r="E4083" s="1" t="s">
        <v>28</v>
      </c>
      <c r="F4083" s="1" t="s">
        <v>85</v>
      </c>
      <c r="G4083" s="1">
        <v>1</v>
      </c>
      <c r="H4083" s="1">
        <v>13908</v>
      </c>
      <c r="I4083" s="1">
        <v>0.2</v>
      </c>
      <c r="J4083" s="1">
        <v>11126.4</v>
      </c>
      <c r="K4083" s="1">
        <v>1661.29</v>
      </c>
      <c r="L4083" s="1" t="s">
        <v>70</v>
      </c>
      <c r="M4083" s="1" t="str">
        <f>TEXT(Table1[[#This Row],[Order Date]],"mmm")</f>
        <v>Apr</v>
      </c>
      <c r="N4083" s="1">
        <f>YEAR(Table1[[#This Row],[Order Date]])</f>
        <v>2024</v>
      </c>
    </row>
    <row r="4084" spans="1:14" x14ac:dyDescent="0.35">
      <c r="A4084" s="1" t="s">
        <v>4879</v>
      </c>
      <c r="B4084" s="1" t="s">
        <v>374</v>
      </c>
      <c r="C4084" s="1" t="s">
        <v>73</v>
      </c>
      <c r="D4084" s="1" t="s">
        <v>37</v>
      </c>
      <c r="E4084" s="1" t="s">
        <v>16</v>
      </c>
      <c r="F4084" s="1" t="s">
        <v>37</v>
      </c>
      <c r="G4084" s="1">
        <v>7</v>
      </c>
      <c r="H4084" s="1">
        <v>54964</v>
      </c>
      <c r="I4084" s="1">
        <v>0.2</v>
      </c>
      <c r="J4084" s="1">
        <v>307798.40000000002</v>
      </c>
      <c r="K4084" s="1">
        <v>64453.43</v>
      </c>
      <c r="L4084" s="1" t="s">
        <v>70</v>
      </c>
      <c r="M4084" s="1" t="str">
        <f>TEXT(Table1[[#This Row],[Order Date]],"mmm")</f>
        <v>Oct</v>
      </c>
      <c r="N4084" s="1">
        <f>YEAR(Table1[[#This Row],[Order Date]])</f>
        <v>2023</v>
      </c>
    </row>
    <row r="4085" spans="1:14" x14ac:dyDescent="0.35">
      <c r="A4085" s="1" t="s">
        <v>4880</v>
      </c>
      <c r="B4085" s="1" t="s">
        <v>1063</v>
      </c>
      <c r="C4085" s="1" t="s">
        <v>188</v>
      </c>
      <c r="D4085" s="1" t="s">
        <v>21</v>
      </c>
      <c r="E4085" s="1" t="s">
        <v>22</v>
      </c>
      <c r="F4085" s="1" t="s">
        <v>21</v>
      </c>
      <c r="G4085" s="1">
        <v>4</v>
      </c>
      <c r="H4085" s="1">
        <v>45344</v>
      </c>
      <c r="I4085" s="1">
        <v>0.15</v>
      </c>
      <c r="J4085" s="1">
        <v>154169.60000000001</v>
      </c>
      <c r="K4085" s="1">
        <v>24941.23</v>
      </c>
      <c r="L4085" s="1" t="s">
        <v>23</v>
      </c>
      <c r="M4085" s="1" t="str">
        <f>TEXT(Table1[[#This Row],[Order Date]],"mmm")</f>
        <v>Apr</v>
      </c>
      <c r="N4085" s="1">
        <f>YEAR(Table1[[#This Row],[Order Date]])</f>
        <v>2024</v>
      </c>
    </row>
    <row r="4086" spans="1:14" x14ac:dyDescent="0.35">
      <c r="A4086" s="1" t="s">
        <v>4881</v>
      </c>
      <c r="B4086" s="1" t="s">
        <v>164</v>
      </c>
      <c r="C4086" s="1" t="s">
        <v>77</v>
      </c>
      <c r="D4086" s="1" t="s">
        <v>151</v>
      </c>
      <c r="E4086" s="1" t="s">
        <v>22</v>
      </c>
      <c r="F4086" s="1" t="s">
        <v>151</v>
      </c>
      <c r="G4086" s="1">
        <v>15</v>
      </c>
      <c r="H4086" s="1">
        <v>10980</v>
      </c>
      <c r="I4086" s="1">
        <v>0.1</v>
      </c>
      <c r="J4086" s="1">
        <v>148230</v>
      </c>
      <c r="K4086" s="1">
        <v>33999.69</v>
      </c>
      <c r="L4086" s="1" t="s">
        <v>23</v>
      </c>
      <c r="M4086" s="1" t="str">
        <f>TEXT(Table1[[#This Row],[Order Date]],"mmm")</f>
        <v>May</v>
      </c>
      <c r="N4086" s="1">
        <f>YEAR(Table1[[#This Row],[Order Date]])</f>
        <v>2023</v>
      </c>
    </row>
    <row r="4087" spans="1:14" x14ac:dyDescent="0.35">
      <c r="A4087" s="1" t="s">
        <v>4882</v>
      </c>
      <c r="B4087" s="1" t="s">
        <v>1440</v>
      </c>
      <c r="C4087" s="1" t="s">
        <v>332</v>
      </c>
      <c r="D4087" s="1" t="s">
        <v>52</v>
      </c>
      <c r="E4087" s="1" t="s">
        <v>28</v>
      </c>
      <c r="F4087" s="1" t="s">
        <v>52</v>
      </c>
      <c r="G4087" s="1">
        <v>5</v>
      </c>
      <c r="H4087" s="1">
        <v>22935</v>
      </c>
      <c r="I4087" s="1">
        <v>0.2</v>
      </c>
      <c r="J4087" s="1">
        <v>91740</v>
      </c>
      <c r="K4087" s="1">
        <v>15324.75</v>
      </c>
      <c r="L4087" s="1" t="s">
        <v>70</v>
      </c>
      <c r="M4087" s="1" t="str">
        <f>TEXT(Table1[[#This Row],[Order Date]],"mmm")</f>
        <v>Mar</v>
      </c>
      <c r="N4087" s="1">
        <f>YEAR(Table1[[#This Row],[Order Date]])</f>
        <v>2023</v>
      </c>
    </row>
    <row r="4088" spans="1:14" x14ac:dyDescent="0.35">
      <c r="A4088" s="1" t="s">
        <v>4883</v>
      </c>
      <c r="B4088" s="1" t="s">
        <v>696</v>
      </c>
      <c r="C4088" s="1" t="s">
        <v>136</v>
      </c>
      <c r="D4088" s="1" t="s">
        <v>323</v>
      </c>
      <c r="E4088" s="1" t="s">
        <v>33</v>
      </c>
      <c r="F4088" s="1" t="s">
        <v>323</v>
      </c>
      <c r="G4088" s="1">
        <v>13</v>
      </c>
      <c r="H4088" s="1">
        <v>1312</v>
      </c>
      <c r="I4088" s="1">
        <v>0.2</v>
      </c>
      <c r="J4088" s="1">
        <v>13644.8</v>
      </c>
      <c r="K4088" s="1">
        <v>2570.9299999999998</v>
      </c>
      <c r="L4088" s="1" t="s">
        <v>70</v>
      </c>
      <c r="M4088" s="1" t="str">
        <f>TEXT(Table1[[#This Row],[Order Date]],"mmm")</f>
        <v>Apr</v>
      </c>
      <c r="N4088" s="1">
        <f>YEAR(Table1[[#This Row],[Order Date]])</f>
        <v>2023</v>
      </c>
    </row>
    <row r="4089" spans="1:14" x14ac:dyDescent="0.35">
      <c r="A4089" s="1" t="s">
        <v>4884</v>
      </c>
      <c r="B4089" s="1" t="s">
        <v>2321</v>
      </c>
      <c r="C4089" s="1" t="s">
        <v>14</v>
      </c>
      <c r="D4089" s="1" t="s">
        <v>114</v>
      </c>
      <c r="E4089" s="1" t="s">
        <v>16</v>
      </c>
      <c r="F4089" s="1" t="s">
        <v>114</v>
      </c>
      <c r="G4089" s="1">
        <v>10</v>
      </c>
      <c r="H4089" s="1">
        <v>17663</v>
      </c>
      <c r="I4089" s="1">
        <v>0.2</v>
      </c>
      <c r="J4089" s="1">
        <v>141304</v>
      </c>
      <c r="K4089" s="1">
        <v>25722.2</v>
      </c>
      <c r="L4089" s="1" t="s">
        <v>45</v>
      </c>
      <c r="M4089" s="1" t="str">
        <f>TEXT(Table1[[#This Row],[Order Date]],"mmm")</f>
        <v>Feb</v>
      </c>
      <c r="N4089" s="1">
        <f>YEAR(Table1[[#This Row],[Order Date]])</f>
        <v>2023</v>
      </c>
    </row>
    <row r="4090" spans="1:14" x14ac:dyDescent="0.35">
      <c r="A4090" s="1" t="s">
        <v>4885</v>
      </c>
      <c r="B4090" s="1" t="s">
        <v>1523</v>
      </c>
      <c r="C4090" s="1" t="s">
        <v>128</v>
      </c>
      <c r="D4090" s="1" t="s">
        <v>224</v>
      </c>
      <c r="E4090" s="1" t="s">
        <v>33</v>
      </c>
      <c r="F4090" s="1" t="s">
        <v>224</v>
      </c>
      <c r="G4090" s="1">
        <v>11</v>
      </c>
      <c r="H4090" s="1">
        <v>24853</v>
      </c>
      <c r="I4090" s="1">
        <v>0</v>
      </c>
      <c r="J4090" s="1">
        <v>273383</v>
      </c>
      <c r="K4090" s="1">
        <v>55412.83</v>
      </c>
      <c r="L4090" s="1" t="s">
        <v>45</v>
      </c>
      <c r="M4090" s="1" t="str">
        <f>TEXT(Table1[[#This Row],[Order Date]],"mmm")</f>
        <v>Jun</v>
      </c>
      <c r="N4090" s="1">
        <f>YEAR(Table1[[#This Row],[Order Date]])</f>
        <v>2023</v>
      </c>
    </row>
    <row r="4091" spans="1:14" x14ac:dyDescent="0.35">
      <c r="A4091" s="1" t="s">
        <v>4886</v>
      </c>
      <c r="B4091" s="1" t="s">
        <v>1292</v>
      </c>
      <c r="C4091" s="1" t="s">
        <v>63</v>
      </c>
      <c r="D4091" s="1" t="s">
        <v>323</v>
      </c>
      <c r="E4091" s="1" t="s">
        <v>33</v>
      </c>
      <c r="F4091" s="1" t="s">
        <v>323</v>
      </c>
      <c r="G4091" s="1">
        <v>2</v>
      </c>
      <c r="H4091" s="1">
        <v>13277</v>
      </c>
      <c r="I4091" s="1">
        <v>0.2</v>
      </c>
      <c r="J4091" s="1">
        <v>21243.200000000001</v>
      </c>
      <c r="K4091" s="1">
        <v>6286.6</v>
      </c>
      <c r="L4091" s="1" t="s">
        <v>70</v>
      </c>
      <c r="M4091" s="1" t="str">
        <f>TEXT(Table1[[#This Row],[Order Date]],"mmm")</f>
        <v>Jun</v>
      </c>
      <c r="N4091" s="1">
        <f>YEAR(Table1[[#This Row],[Order Date]])</f>
        <v>2023</v>
      </c>
    </row>
    <row r="4092" spans="1:14" x14ac:dyDescent="0.35">
      <c r="A4092" s="1" t="s">
        <v>4887</v>
      </c>
      <c r="B4092" s="1" t="s">
        <v>2068</v>
      </c>
      <c r="C4092" s="1" t="s">
        <v>20</v>
      </c>
      <c r="D4092" s="1" t="s">
        <v>15</v>
      </c>
      <c r="E4092" s="1" t="s">
        <v>16</v>
      </c>
      <c r="F4092" s="1" t="s">
        <v>15</v>
      </c>
      <c r="G4092" s="1">
        <v>7</v>
      </c>
      <c r="H4092" s="1">
        <v>32560</v>
      </c>
      <c r="I4092" s="1">
        <v>0</v>
      </c>
      <c r="J4092" s="1">
        <v>227920</v>
      </c>
      <c r="K4092" s="1">
        <v>39363.949999999997</v>
      </c>
      <c r="L4092" s="1" t="s">
        <v>17</v>
      </c>
      <c r="M4092" s="1" t="str">
        <f>TEXT(Table1[[#This Row],[Order Date]],"mmm")</f>
        <v>Oct</v>
      </c>
      <c r="N4092" s="1">
        <f>YEAR(Table1[[#This Row],[Order Date]])</f>
        <v>2023</v>
      </c>
    </row>
    <row r="4093" spans="1:14" x14ac:dyDescent="0.35">
      <c r="A4093" s="1" t="s">
        <v>4888</v>
      </c>
      <c r="B4093" s="1" t="s">
        <v>2425</v>
      </c>
      <c r="C4093" s="1" t="s">
        <v>77</v>
      </c>
      <c r="D4093" s="1" t="s">
        <v>85</v>
      </c>
      <c r="E4093" s="1" t="s">
        <v>28</v>
      </c>
      <c r="F4093" s="1" t="s">
        <v>85</v>
      </c>
      <c r="G4093" s="1">
        <v>8</v>
      </c>
      <c r="H4093" s="1">
        <v>42286</v>
      </c>
      <c r="I4093" s="1">
        <v>0</v>
      </c>
      <c r="J4093" s="1">
        <v>338288</v>
      </c>
      <c r="K4093" s="1">
        <v>42747.56</v>
      </c>
      <c r="L4093" s="1" t="s">
        <v>23</v>
      </c>
      <c r="M4093" s="1" t="str">
        <f>TEXT(Table1[[#This Row],[Order Date]],"mmm")</f>
        <v>Jun</v>
      </c>
      <c r="N4093" s="1">
        <f>YEAR(Table1[[#This Row],[Order Date]])</f>
        <v>2024</v>
      </c>
    </row>
    <row r="4094" spans="1:14" x14ac:dyDescent="0.35">
      <c r="A4094" s="1" t="s">
        <v>4889</v>
      </c>
      <c r="B4094" s="1" t="s">
        <v>1238</v>
      </c>
      <c r="C4094" s="1" t="s">
        <v>158</v>
      </c>
      <c r="D4094" s="1" t="s">
        <v>85</v>
      </c>
      <c r="E4094" s="1" t="s">
        <v>28</v>
      </c>
      <c r="F4094" s="1" t="s">
        <v>85</v>
      </c>
      <c r="G4094" s="1">
        <v>2</v>
      </c>
      <c r="H4094" s="1">
        <v>18539</v>
      </c>
      <c r="I4094" s="1">
        <v>0.15</v>
      </c>
      <c r="J4094" s="1">
        <v>31516.3</v>
      </c>
      <c r="K4094" s="1">
        <v>2745.55</v>
      </c>
      <c r="L4094" s="1" t="s">
        <v>17</v>
      </c>
      <c r="M4094" s="1" t="str">
        <f>TEXT(Table1[[#This Row],[Order Date]],"mmm")</f>
        <v>Dec</v>
      </c>
      <c r="N4094" s="1">
        <f>YEAR(Table1[[#This Row],[Order Date]])</f>
        <v>2023</v>
      </c>
    </row>
    <row r="4095" spans="1:14" x14ac:dyDescent="0.35">
      <c r="A4095" s="1" t="s">
        <v>4890</v>
      </c>
      <c r="B4095" s="1" t="s">
        <v>236</v>
      </c>
      <c r="C4095" s="1" t="s">
        <v>146</v>
      </c>
      <c r="D4095" s="1" t="s">
        <v>133</v>
      </c>
      <c r="E4095" s="1" t="s">
        <v>22</v>
      </c>
      <c r="F4095" s="1" t="s">
        <v>133</v>
      </c>
      <c r="G4095" s="1">
        <v>15</v>
      </c>
      <c r="H4095" s="1">
        <v>42808</v>
      </c>
      <c r="I4095" s="1">
        <v>0.15</v>
      </c>
      <c r="J4095" s="1">
        <v>545802</v>
      </c>
      <c r="K4095" s="1">
        <v>80691.48</v>
      </c>
      <c r="L4095" s="1" t="s">
        <v>17</v>
      </c>
      <c r="M4095" s="1" t="str">
        <f>TEXT(Table1[[#This Row],[Order Date]],"mmm")</f>
        <v>May</v>
      </c>
      <c r="N4095" s="1">
        <f>YEAR(Table1[[#This Row],[Order Date]])</f>
        <v>2024</v>
      </c>
    </row>
    <row r="4096" spans="1:14" x14ac:dyDescent="0.35">
      <c r="A4096" s="1" t="s">
        <v>4891</v>
      </c>
      <c r="B4096" s="1" t="s">
        <v>150</v>
      </c>
      <c r="C4096" s="1" t="s">
        <v>203</v>
      </c>
      <c r="D4096" s="1" t="s">
        <v>48</v>
      </c>
      <c r="E4096" s="1" t="s">
        <v>16</v>
      </c>
      <c r="F4096" s="1" t="s">
        <v>48</v>
      </c>
      <c r="G4096" s="1">
        <v>9</v>
      </c>
      <c r="H4096" s="1">
        <v>46214</v>
      </c>
      <c r="I4096" s="1">
        <v>0.05</v>
      </c>
      <c r="J4096" s="1">
        <v>395129.7</v>
      </c>
      <c r="K4096" s="1">
        <v>78614.179999999993</v>
      </c>
      <c r="L4096" s="1" t="s">
        <v>17</v>
      </c>
      <c r="M4096" s="1" t="str">
        <f>TEXT(Table1[[#This Row],[Order Date]],"mmm")</f>
        <v>Aug</v>
      </c>
      <c r="N4096" s="1">
        <f>YEAR(Table1[[#This Row],[Order Date]])</f>
        <v>2023</v>
      </c>
    </row>
    <row r="4097" spans="1:14" x14ac:dyDescent="0.35">
      <c r="A4097" s="1" t="s">
        <v>4892</v>
      </c>
      <c r="B4097" s="1" t="s">
        <v>1834</v>
      </c>
      <c r="C4097" s="1" t="s">
        <v>98</v>
      </c>
      <c r="D4097" s="1" t="s">
        <v>64</v>
      </c>
      <c r="E4097" s="1" t="s">
        <v>33</v>
      </c>
      <c r="F4097" s="1" t="s">
        <v>64</v>
      </c>
      <c r="G4097" s="1">
        <v>7</v>
      </c>
      <c r="H4097" s="1">
        <v>10210</v>
      </c>
      <c r="I4097" s="1">
        <v>0.05</v>
      </c>
      <c r="J4097" s="1">
        <v>67896.5</v>
      </c>
      <c r="K4097" s="1">
        <v>17416.59</v>
      </c>
      <c r="L4097" s="1" t="s">
        <v>23</v>
      </c>
      <c r="M4097" s="1" t="str">
        <f>TEXT(Table1[[#This Row],[Order Date]],"mmm")</f>
        <v>Nov</v>
      </c>
      <c r="N4097" s="1">
        <f>YEAR(Table1[[#This Row],[Order Date]])</f>
        <v>2023</v>
      </c>
    </row>
    <row r="4098" spans="1:14" x14ac:dyDescent="0.35">
      <c r="A4098" s="1" t="s">
        <v>4893</v>
      </c>
      <c r="B4098" s="1" t="s">
        <v>2000</v>
      </c>
      <c r="C4098" s="1" t="s">
        <v>140</v>
      </c>
      <c r="D4098" s="1" t="s">
        <v>141</v>
      </c>
      <c r="E4098" s="1" t="s">
        <v>22</v>
      </c>
      <c r="F4098" s="1" t="s">
        <v>141</v>
      </c>
      <c r="G4098" s="1">
        <v>14</v>
      </c>
      <c r="H4098" s="1">
        <v>18086</v>
      </c>
      <c r="I4098" s="1">
        <v>0.2</v>
      </c>
      <c r="J4098" s="1">
        <v>202563.20000000001</v>
      </c>
      <c r="K4098" s="1">
        <v>49291.29</v>
      </c>
      <c r="L4098" s="1" t="s">
        <v>23</v>
      </c>
      <c r="M4098" s="1" t="str">
        <f>TEXT(Table1[[#This Row],[Order Date]],"mmm")</f>
        <v>Sep</v>
      </c>
      <c r="N4098" s="1">
        <f>YEAR(Table1[[#This Row],[Order Date]])</f>
        <v>2024</v>
      </c>
    </row>
    <row r="4099" spans="1:14" x14ac:dyDescent="0.35">
      <c r="A4099" s="1" t="s">
        <v>4894</v>
      </c>
      <c r="B4099" s="1" t="s">
        <v>292</v>
      </c>
      <c r="C4099" s="1" t="s">
        <v>73</v>
      </c>
      <c r="D4099" s="1" t="s">
        <v>15</v>
      </c>
      <c r="E4099" s="1" t="s">
        <v>16</v>
      </c>
      <c r="F4099" s="1" t="s">
        <v>15</v>
      </c>
      <c r="G4099" s="1">
        <v>7</v>
      </c>
      <c r="H4099" s="1">
        <v>57949</v>
      </c>
      <c r="I4099" s="1">
        <v>0</v>
      </c>
      <c r="J4099" s="1">
        <v>405643</v>
      </c>
      <c r="K4099" s="1">
        <v>41342.720000000001</v>
      </c>
      <c r="L4099" s="1" t="s">
        <v>70</v>
      </c>
      <c r="M4099" s="1" t="str">
        <f>TEXT(Table1[[#This Row],[Order Date]],"mmm")</f>
        <v>Aug</v>
      </c>
      <c r="N4099" s="1">
        <f>YEAR(Table1[[#This Row],[Order Date]])</f>
        <v>2024</v>
      </c>
    </row>
    <row r="4100" spans="1:14" x14ac:dyDescent="0.35">
      <c r="A4100" s="1" t="s">
        <v>4895</v>
      </c>
      <c r="B4100" s="1" t="s">
        <v>2247</v>
      </c>
      <c r="C4100" s="1" t="s">
        <v>59</v>
      </c>
      <c r="D4100" s="1" t="s">
        <v>48</v>
      </c>
      <c r="E4100" s="1" t="s">
        <v>16</v>
      </c>
      <c r="F4100" s="1" t="s">
        <v>48</v>
      </c>
      <c r="G4100" s="1">
        <v>10</v>
      </c>
      <c r="H4100" s="1">
        <v>22471</v>
      </c>
      <c r="I4100" s="1">
        <v>0.1</v>
      </c>
      <c r="J4100" s="1">
        <v>202239</v>
      </c>
      <c r="K4100" s="1">
        <v>17249.96</v>
      </c>
      <c r="L4100" s="1" t="s">
        <v>17</v>
      </c>
      <c r="M4100" s="1" t="str">
        <f>TEXT(Table1[[#This Row],[Order Date]],"mmm")</f>
        <v>Apr</v>
      </c>
      <c r="N4100" s="1">
        <f>YEAR(Table1[[#This Row],[Order Date]])</f>
        <v>2024</v>
      </c>
    </row>
    <row r="4101" spans="1:14" x14ac:dyDescent="0.35">
      <c r="A4101" s="1" t="s">
        <v>4896</v>
      </c>
      <c r="B4101" s="1" t="s">
        <v>183</v>
      </c>
      <c r="C4101" s="1" t="s">
        <v>59</v>
      </c>
      <c r="D4101" s="1" t="s">
        <v>114</v>
      </c>
      <c r="E4101" s="1" t="s">
        <v>16</v>
      </c>
      <c r="F4101" s="1" t="s">
        <v>114</v>
      </c>
      <c r="G4101" s="1">
        <v>9</v>
      </c>
      <c r="H4101" s="1">
        <v>45574</v>
      </c>
      <c r="I4101" s="1">
        <v>0.1</v>
      </c>
      <c r="J4101" s="1">
        <v>369149.4</v>
      </c>
      <c r="K4101" s="1">
        <v>71024.070000000007</v>
      </c>
      <c r="L4101" s="1" t="s">
        <v>70</v>
      </c>
      <c r="M4101" s="1" t="str">
        <f>TEXT(Table1[[#This Row],[Order Date]],"mmm")</f>
        <v>Jul</v>
      </c>
      <c r="N4101" s="1">
        <f>YEAR(Table1[[#This Row],[Order Date]])</f>
        <v>2024</v>
      </c>
    </row>
    <row r="4102" spans="1:14" x14ac:dyDescent="0.35">
      <c r="A4102" s="1" t="s">
        <v>4897</v>
      </c>
      <c r="B4102" s="1" t="s">
        <v>1909</v>
      </c>
      <c r="C4102" s="1" t="s">
        <v>200</v>
      </c>
      <c r="D4102" s="1" t="s">
        <v>37</v>
      </c>
      <c r="E4102" s="1" t="s">
        <v>16</v>
      </c>
      <c r="F4102" s="1" t="s">
        <v>37</v>
      </c>
      <c r="G4102" s="1">
        <v>12</v>
      </c>
      <c r="H4102" s="1">
        <v>20870</v>
      </c>
      <c r="I4102" s="1">
        <v>0.15</v>
      </c>
      <c r="J4102" s="1">
        <v>212874</v>
      </c>
      <c r="K4102" s="1">
        <v>56468.82</v>
      </c>
      <c r="L4102" s="1" t="s">
        <v>70</v>
      </c>
      <c r="M4102" s="1" t="str">
        <f>TEXT(Table1[[#This Row],[Order Date]],"mmm")</f>
        <v>Jun</v>
      </c>
      <c r="N4102" s="1">
        <f>YEAR(Table1[[#This Row],[Order Date]])</f>
        <v>2024</v>
      </c>
    </row>
    <row r="4103" spans="1:14" x14ac:dyDescent="0.35">
      <c r="A4103" s="1" t="s">
        <v>4898</v>
      </c>
      <c r="B4103" s="1" t="s">
        <v>331</v>
      </c>
      <c r="C4103" s="1" t="s">
        <v>203</v>
      </c>
      <c r="D4103" s="1" t="s">
        <v>41</v>
      </c>
      <c r="E4103" s="1" t="s">
        <v>16</v>
      </c>
      <c r="F4103" s="1" t="s">
        <v>41</v>
      </c>
      <c r="G4103" s="1">
        <v>4</v>
      </c>
      <c r="H4103" s="1">
        <v>43784</v>
      </c>
      <c r="I4103" s="1">
        <v>0.1</v>
      </c>
      <c r="J4103" s="1">
        <v>157622.39999999999</v>
      </c>
      <c r="K4103" s="1">
        <v>37085.089999999997</v>
      </c>
      <c r="L4103" s="1" t="s">
        <v>45</v>
      </c>
      <c r="M4103" s="1" t="str">
        <f>TEXT(Table1[[#This Row],[Order Date]],"mmm")</f>
        <v>Oct</v>
      </c>
      <c r="N4103" s="1">
        <f>YEAR(Table1[[#This Row],[Order Date]])</f>
        <v>2024</v>
      </c>
    </row>
    <row r="4104" spans="1:14" x14ac:dyDescent="0.35">
      <c r="A4104" s="1" t="s">
        <v>4899</v>
      </c>
      <c r="B4104" s="1" t="s">
        <v>210</v>
      </c>
      <c r="C4104" s="1" t="s">
        <v>162</v>
      </c>
      <c r="D4104" s="1" t="s">
        <v>114</v>
      </c>
      <c r="E4104" s="1" t="s">
        <v>16</v>
      </c>
      <c r="F4104" s="1" t="s">
        <v>114</v>
      </c>
      <c r="G4104" s="1">
        <v>9</v>
      </c>
      <c r="H4104" s="1">
        <v>6172</v>
      </c>
      <c r="I4104" s="1">
        <v>0.05</v>
      </c>
      <c r="J4104" s="1">
        <v>52770.6</v>
      </c>
      <c r="K4104" s="1">
        <v>11393.06</v>
      </c>
      <c r="L4104" s="1" t="s">
        <v>70</v>
      </c>
      <c r="M4104" s="1" t="str">
        <f>TEXT(Table1[[#This Row],[Order Date]],"mmm")</f>
        <v>Jun</v>
      </c>
      <c r="N4104" s="1">
        <f>YEAR(Table1[[#This Row],[Order Date]])</f>
        <v>2023</v>
      </c>
    </row>
    <row r="4105" spans="1:14" x14ac:dyDescent="0.35">
      <c r="A4105" s="1" t="s">
        <v>4900</v>
      </c>
      <c r="B4105" s="1" t="s">
        <v>2239</v>
      </c>
      <c r="C4105" s="1" t="s">
        <v>36</v>
      </c>
      <c r="D4105" s="1" t="s">
        <v>114</v>
      </c>
      <c r="E4105" s="1" t="s">
        <v>16</v>
      </c>
      <c r="F4105" s="1" t="s">
        <v>114</v>
      </c>
      <c r="G4105" s="1">
        <v>11</v>
      </c>
      <c r="H4105" s="1">
        <v>24997</v>
      </c>
      <c r="I4105" s="1">
        <v>0.05</v>
      </c>
      <c r="J4105" s="1">
        <v>261218.65</v>
      </c>
      <c r="K4105" s="1">
        <v>46100.480000000003</v>
      </c>
      <c r="L4105" s="1" t="s">
        <v>17</v>
      </c>
      <c r="M4105" s="1" t="str">
        <f>TEXT(Table1[[#This Row],[Order Date]],"mmm")</f>
        <v>Oct</v>
      </c>
      <c r="N4105" s="1">
        <f>YEAR(Table1[[#This Row],[Order Date]])</f>
        <v>2023</v>
      </c>
    </row>
    <row r="4106" spans="1:14" x14ac:dyDescent="0.35">
      <c r="A4106" s="1" t="s">
        <v>4901</v>
      </c>
      <c r="B4106" s="1" t="s">
        <v>197</v>
      </c>
      <c r="C4106" s="1" t="s">
        <v>55</v>
      </c>
      <c r="D4106" s="1" t="s">
        <v>85</v>
      </c>
      <c r="E4106" s="1" t="s">
        <v>28</v>
      </c>
      <c r="F4106" s="1" t="s">
        <v>85</v>
      </c>
      <c r="G4106" s="1">
        <v>14</v>
      </c>
      <c r="H4106" s="1">
        <v>41373</v>
      </c>
      <c r="I4106" s="1">
        <v>0.05</v>
      </c>
      <c r="J4106" s="1">
        <v>550260.9</v>
      </c>
      <c r="K4106" s="1">
        <v>112802.17</v>
      </c>
      <c r="L4106" s="1" t="s">
        <v>45</v>
      </c>
      <c r="M4106" s="1" t="str">
        <f>TEXT(Table1[[#This Row],[Order Date]],"mmm")</f>
        <v>Feb</v>
      </c>
      <c r="N4106" s="1">
        <f>YEAR(Table1[[#This Row],[Order Date]])</f>
        <v>2024</v>
      </c>
    </row>
    <row r="4107" spans="1:14" x14ac:dyDescent="0.35">
      <c r="A4107" s="1" t="s">
        <v>4902</v>
      </c>
      <c r="B4107" s="1" t="s">
        <v>1015</v>
      </c>
      <c r="C4107" s="1" t="s">
        <v>20</v>
      </c>
      <c r="D4107" s="1" t="s">
        <v>27</v>
      </c>
      <c r="E4107" s="1" t="s">
        <v>28</v>
      </c>
      <c r="F4107" s="1" t="s">
        <v>27</v>
      </c>
      <c r="G4107" s="1">
        <v>14</v>
      </c>
      <c r="H4107" s="1">
        <v>41914</v>
      </c>
      <c r="I4107" s="1">
        <v>0.05</v>
      </c>
      <c r="J4107" s="1">
        <v>557456.19999999995</v>
      </c>
      <c r="K4107" s="1">
        <v>63659.6</v>
      </c>
      <c r="L4107" s="1" t="s">
        <v>23</v>
      </c>
      <c r="M4107" s="1" t="str">
        <f>TEXT(Table1[[#This Row],[Order Date]],"mmm")</f>
        <v>Aug</v>
      </c>
      <c r="N4107" s="1">
        <f>YEAR(Table1[[#This Row],[Order Date]])</f>
        <v>2023</v>
      </c>
    </row>
    <row r="4108" spans="1:14" x14ac:dyDescent="0.35">
      <c r="A4108" s="1" t="s">
        <v>4903</v>
      </c>
      <c r="B4108" s="1" t="s">
        <v>2594</v>
      </c>
      <c r="C4108" s="1" t="s">
        <v>88</v>
      </c>
      <c r="D4108" s="1" t="s">
        <v>95</v>
      </c>
      <c r="E4108" s="1" t="s">
        <v>33</v>
      </c>
      <c r="F4108" s="1" t="s">
        <v>95</v>
      </c>
      <c r="G4108" s="1">
        <v>14</v>
      </c>
      <c r="H4108" s="1">
        <v>23828</v>
      </c>
      <c r="I4108" s="1">
        <v>0.05</v>
      </c>
      <c r="J4108" s="1">
        <v>316912.40000000002</v>
      </c>
      <c r="K4108" s="1">
        <v>71472.52</v>
      </c>
      <c r="L4108" s="1" t="s">
        <v>17</v>
      </c>
      <c r="M4108" s="1" t="str">
        <f>TEXT(Table1[[#This Row],[Order Date]],"mmm")</f>
        <v>Jul</v>
      </c>
      <c r="N4108" s="1">
        <f>YEAR(Table1[[#This Row],[Order Date]])</f>
        <v>2023</v>
      </c>
    </row>
    <row r="4109" spans="1:14" x14ac:dyDescent="0.35">
      <c r="A4109" s="1" t="s">
        <v>4904</v>
      </c>
      <c r="B4109" s="1" t="s">
        <v>1301</v>
      </c>
      <c r="C4109" s="1" t="s">
        <v>158</v>
      </c>
      <c r="D4109" s="1" t="s">
        <v>91</v>
      </c>
      <c r="E4109" s="1" t="s">
        <v>16</v>
      </c>
      <c r="F4109" s="1" t="s">
        <v>91</v>
      </c>
      <c r="G4109" s="1">
        <v>15</v>
      </c>
      <c r="H4109" s="1">
        <v>42288</v>
      </c>
      <c r="I4109" s="1">
        <v>0.2</v>
      </c>
      <c r="J4109" s="1">
        <v>507456</v>
      </c>
      <c r="K4109" s="1">
        <v>43396.25</v>
      </c>
      <c r="L4109" s="1" t="s">
        <v>23</v>
      </c>
      <c r="M4109" s="1" t="str">
        <f>TEXT(Table1[[#This Row],[Order Date]],"mmm")</f>
        <v>Jul</v>
      </c>
      <c r="N4109" s="1">
        <f>YEAR(Table1[[#This Row],[Order Date]])</f>
        <v>2024</v>
      </c>
    </row>
    <row r="4110" spans="1:14" x14ac:dyDescent="0.35">
      <c r="A4110" s="1" t="s">
        <v>4905</v>
      </c>
      <c r="B4110" s="1" t="s">
        <v>1716</v>
      </c>
      <c r="C4110" s="1" t="s">
        <v>73</v>
      </c>
      <c r="D4110" s="1" t="s">
        <v>179</v>
      </c>
      <c r="E4110" s="1" t="s">
        <v>28</v>
      </c>
      <c r="F4110" s="1" t="s">
        <v>179</v>
      </c>
      <c r="G4110" s="1">
        <v>14</v>
      </c>
      <c r="H4110" s="1">
        <v>13799</v>
      </c>
      <c r="I4110" s="1">
        <v>0.1</v>
      </c>
      <c r="J4110" s="1">
        <v>173867.4</v>
      </c>
      <c r="K4110" s="1">
        <v>19838.38</v>
      </c>
      <c r="L4110" s="1" t="s">
        <v>17</v>
      </c>
      <c r="M4110" s="1" t="str">
        <f>TEXT(Table1[[#This Row],[Order Date]],"mmm")</f>
        <v>Jul</v>
      </c>
      <c r="N4110" s="1">
        <f>YEAR(Table1[[#This Row],[Order Date]])</f>
        <v>2024</v>
      </c>
    </row>
    <row r="4111" spans="1:14" x14ac:dyDescent="0.35">
      <c r="A4111" s="1" t="s">
        <v>4906</v>
      </c>
      <c r="B4111" s="1" t="s">
        <v>1155</v>
      </c>
      <c r="C4111" s="1" t="s">
        <v>88</v>
      </c>
      <c r="D4111" s="1" t="s">
        <v>21</v>
      </c>
      <c r="E4111" s="1" t="s">
        <v>22</v>
      </c>
      <c r="F4111" s="1" t="s">
        <v>21</v>
      </c>
      <c r="G4111" s="1">
        <v>14</v>
      </c>
      <c r="H4111" s="1">
        <v>47555</v>
      </c>
      <c r="I4111" s="1">
        <v>0.15</v>
      </c>
      <c r="J4111" s="1">
        <v>565904.5</v>
      </c>
      <c r="K4111" s="1">
        <v>136755.69</v>
      </c>
      <c r="L4111" s="1" t="s">
        <v>70</v>
      </c>
      <c r="M4111" s="1" t="str">
        <f>TEXT(Table1[[#This Row],[Order Date]],"mmm")</f>
        <v>May</v>
      </c>
      <c r="N4111" s="1">
        <f>YEAR(Table1[[#This Row],[Order Date]])</f>
        <v>2024</v>
      </c>
    </row>
    <row r="4112" spans="1:14" x14ac:dyDescent="0.35">
      <c r="A4112" s="1" t="s">
        <v>4907</v>
      </c>
      <c r="B4112" s="1" t="s">
        <v>1080</v>
      </c>
      <c r="C4112" s="1" t="s">
        <v>640</v>
      </c>
      <c r="D4112" s="1" t="s">
        <v>179</v>
      </c>
      <c r="E4112" s="1" t="s">
        <v>28</v>
      </c>
      <c r="F4112" s="1" t="s">
        <v>179</v>
      </c>
      <c r="G4112" s="1">
        <v>11</v>
      </c>
      <c r="H4112" s="1">
        <v>45524</v>
      </c>
      <c r="I4112" s="1">
        <v>0.15</v>
      </c>
      <c r="J4112" s="1">
        <v>425649.4</v>
      </c>
      <c r="K4112" s="1">
        <v>107370.39</v>
      </c>
      <c r="L4112" s="1" t="s">
        <v>45</v>
      </c>
      <c r="M4112" s="1" t="str">
        <f>TEXT(Table1[[#This Row],[Order Date]],"mmm")</f>
        <v>Apr</v>
      </c>
      <c r="N4112" s="1">
        <f>YEAR(Table1[[#This Row],[Order Date]])</f>
        <v>2024</v>
      </c>
    </row>
    <row r="4113" spans="1:14" x14ac:dyDescent="0.35">
      <c r="A4113" s="1" t="s">
        <v>4908</v>
      </c>
      <c r="B4113" s="1" t="s">
        <v>1056</v>
      </c>
      <c r="C4113" s="1" t="s">
        <v>88</v>
      </c>
      <c r="D4113" s="1" t="s">
        <v>167</v>
      </c>
      <c r="E4113" s="1" t="s">
        <v>16</v>
      </c>
      <c r="F4113" s="1" t="s">
        <v>167</v>
      </c>
      <c r="G4113" s="1">
        <v>6</v>
      </c>
      <c r="H4113" s="1">
        <v>4239</v>
      </c>
      <c r="I4113" s="1">
        <v>0.05</v>
      </c>
      <c r="J4113" s="1">
        <v>24162.3</v>
      </c>
      <c r="K4113" s="1">
        <v>4730.99</v>
      </c>
      <c r="L4113" s="1" t="s">
        <v>70</v>
      </c>
      <c r="M4113" s="1" t="str">
        <f>TEXT(Table1[[#This Row],[Order Date]],"mmm")</f>
        <v>Jul</v>
      </c>
      <c r="N4113" s="1">
        <f>YEAR(Table1[[#This Row],[Order Date]])</f>
        <v>2024</v>
      </c>
    </row>
    <row r="4114" spans="1:14" x14ac:dyDescent="0.35">
      <c r="A4114" s="1" t="s">
        <v>4909</v>
      </c>
      <c r="B4114" s="1" t="s">
        <v>1203</v>
      </c>
      <c r="C4114" s="1" t="s">
        <v>107</v>
      </c>
      <c r="D4114" s="1" t="s">
        <v>293</v>
      </c>
      <c r="E4114" s="1" t="s">
        <v>33</v>
      </c>
      <c r="F4114" s="1" t="s">
        <v>293</v>
      </c>
      <c r="G4114" s="1">
        <v>10</v>
      </c>
      <c r="H4114" s="1">
        <v>3440</v>
      </c>
      <c r="I4114" s="1">
        <v>0.15</v>
      </c>
      <c r="J4114" s="1">
        <v>29240</v>
      </c>
      <c r="K4114" s="1">
        <v>6417.47</v>
      </c>
      <c r="L4114" s="1" t="s">
        <v>70</v>
      </c>
      <c r="M4114" s="1" t="str">
        <f>TEXT(Table1[[#This Row],[Order Date]],"mmm")</f>
        <v>Apr</v>
      </c>
      <c r="N4114" s="1">
        <f>YEAR(Table1[[#This Row],[Order Date]])</f>
        <v>2024</v>
      </c>
    </row>
    <row r="4115" spans="1:14" x14ac:dyDescent="0.35">
      <c r="A4115" s="1" t="s">
        <v>4910</v>
      </c>
      <c r="B4115" s="1" t="s">
        <v>145</v>
      </c>
      <c r="C4115" s="1" t="s">
        <v>227</v>
      </c>
      <c r="D4115" s="1" t="s">
        <v>293</v>
      </c>
      <c r="E4115" s="1" t="s">
        <v>33</v>
      </c>
      <c r="F4115" s="1" t="s">
        <v>293</v>
      </c>
      <c r="G4115" s="1">
        <v>15</v>
      </c>
      <c r="H4115" s="1">
        <v>52991</v>
      </c>
      <c r="I4115" s="1">
        <v>0.2</v>
      </c>
      <c r="J4115" s="1">
        <v>635892</v>
      </c>
      <c r="K4115" s="1">
        <v>64889.77</v>
      </c>
      <c r="L4115" s="1" t="s">
        <v>17</v>
      </c>
      <c r="M4115" s="1" t="str">
        <f>TEXT(Table1[[#This Row],[Order Date]],"mmm")</f>
        <v>Sep</v>
      </c>
      <c r="N4115" s="1">
        <f>YEAR(Table1[[#This Row],[Order Date]])</f>
        <v>2024</v>
      </c>
    </row>
    <row r="4116" spans="1:14" x14ac:dyDescent="0.35">
      <c r="A4116" s="1" t="s">
        <v>4911</v>
      </c>
      <c r="B4116" s="1" t="s">
        <v>421</v>
      </c>
      <c r="C4116" s="1" t="s">
        <v>136</v>
      </c>
      <c r="D4116" s="1" t="s">
        <v>78</v>
      </c>
      <c r="E4116" s="1" t="s">
        <v>28</v>
      </c>
      <c r="F4116" s="1" t="s">
        <v>78</v>
      </c>
      <c r="G4116" s="1">
        <v>15</v>
      </c>
      <c r="H4116" s="1">
        <v>20743</v>
      </c>
      <c r="I4116" s="1">
        <v>0.15</v>
      </c>
      <c r="J4116" s="1">
        <v>264473.25</v>
      </c>
      <c r="K4116" s="1">
        <v>26749.14</v>
      </c>
      <c r="L4116" s="1" t="s">
        <v>23</v>
      </c>
      <c r="M4116" s="1" t="str">
        <f>TEXT(Table1[[#This Row],[Order Date]],"mmm")</f>
        <v>Nov</v>
      </c>
      <c r="N4116" s="1">
        <f>YEAR(Table1[[#This Row],[Order Date]])</f>
        <v>2023</v>
      </c>
    </row>
    <row r="4117" spans="1:14" x14ac:dyDescent="0.35">
      <c r="A4117" s="1" t="s">
        <v>4912</v>
      </c>
      <c r="B4117" s="1" t="s">
        <v>1798</v>
      </c>
      <c r="C4117" s="1" t="s">
        <v>51</v>
      </c>
      <c r="D4117" s="1" t="s">
        <v>137</v>
      </c>
      <c r="E4117" s="1" t="s">
        <v>22</v>
      </c>
      <c r="F4117" s="1" t="s">
        <v>137</v>
      </c>
      <c r="G4117" s="1">
        <v>4</v>
      </c>
      <c r="H4117" s="1">
        <v>56443</v>
      </c>
      <c r="I4117" s="1">
        <v>0.1</v>
      </c>
      <c r="J4117" s="1">
        <v>203194.8</v>
      </c>
      <c r="K4117" s="1">
        <v>47423.62</v>
      </c>
      <c r="L4117" s="1" t="s">
        <v>17</v>
      </c>
      <c r="M4117" s="1" t="str">
        <f>TEXT(Table1[[#This Row],[Order Date]],"mmm")</f>
        <v>Jan</v>
      </c>
      <c r="N4117" s="1">
        <f>YEAR(Table1[[#This Row],[Order Date]])</f>
        <v>2024</v>
      </c>
    </row>
    <row r="4118" spans="1:14" x14ac:dyDescent="0.35">
      <c r="A4118" s="1" t="s">
        <v>4913</v>
      </c>
      <c r="B4118" s="1" t="s">
        <v>153</v>
      </c>
      <c r="C4118" s="1" t="s">
        <v>111</v>
      </c>
      <c r="D4118" s="1" t="s">
        <v>78</v>
      </c>
      <c r="E4118" s="1" t="s">
        <v>28</v>
      </c>
      <c r="F4118" s="1" t="s">
        <v>78</v>
      </c>
      <c r="G4118" s="1">
        <v>1</v>
      </c>
      <c r="H4118" s="1">
        <v>56692</v>
      </c>
      <c r="I4118" s="1">
        <v>0</v>
      </c>
      <c r="J4118" s="1">
        <v>56692</v>
      </c>
      <c r="K4118" s="1">
        <v>10163.34</v>
      </c>
      <c r="L4118" s="1" t="s">
        <v>45</v>
      </c>
      <c r="M4118" s="1" t="str">
        <f>TEXT(Table1[[#This Row],[Order Date]],"mmm")</f>
        <v>Feb</v>
      </c>
      <c r="N4118" s="1">
        <f>YEAR(Table1[[#This Row],[Order Date]])</f>
        <v>2024</v>
      </c>
    </row>
    <row r="4119" spans="1:14" x14ac:dyDescent="0.35">
      <c r="A4119" s="1" t="s">
        <v>4914</v>
      </c>
      <c r="B4119" s="1" t="s">
        <v>837</v>
      </c>
      <c r="C4119" s="1" t="s">
        <v>335</v>
      </c>
      <c r="D4119" s="1" t="s">
        <v>141</v>
      </c>
      <c r="E4119" s="1" t="s">
        <v>22</v>
      </c>
      <c r="F4119" s="1" t="s">
        <v>141</v>
      </c>
      <c r="G4119" s="1">
        <v>9</v>
      </c>
      <c r="H4119" s="1">
        <v>25800</v>
      </c>
      <c r="I4119" s="1">
        <v>0.2</v>
      </c>
      <c r="J4119" s="1">
        <v>185760</v>
      </c>
      <c r="K4119" s="1">
        <v>39538.85</v>
      </c>
      <c r="L4119" s="1" t="s">
        <v>70</v>
      </c>
      <c r="M4119" s="1" t="str">
        <f>TEXT(Table1[[#This Row],[Order Date]],"mmm")</f>
        <v>Feb</v>
      </c>
      <c r="N4119" s="1">
        <f>YEAR(Table1[[#This Row],[Order Date]])</f>
        <v>2024</v>
      </c>
    </row>
    <row r="4120" spans="1:14" x14ac:dyDescent="0.35">
      <c r="A4120" s="1" t="s">
        <v>4915</v>
      </c>
      <c r="B4120" s="1" t="s">
        <v>1418</v>
      </c>
      <c r="C4120" s="1" t="s">
        <v>125</v>
      </c>
      <c r="D4120" s="1" t="s">
        <v>27</v>
      </c>
      <c r="E4120" s="1" t="s">
        <v>28</v>
      </c>
      <c r="F4120" s="1" t="s">
        <v>27</v>
      </c>
      <c r="G4120" s="1">
        <v>14</v>
      </c>
      <c r="H4120" s="1">
        <v>6009</v>
      </c>
      <c r="I4120" s="1">
        <v>0</v>
      </c>
      <c r="J4120" s="1">
        <v>84126</v>
      </c>
      <c r="K4120" s="1">
        <v>8668.83</v>
      </c>
      <c r="L4120" s="1" t="s">
        <v>17</v>
      </c>
      <c r="M4120" s="1" t="str">
        <f>TEXT(Table1[[#This Row],[Order Date]],"mmm")</f>
        <v>Nov</v>
      </c>
      <c r="N4120" s="1">
        <f>YEAR(Table1[[#This Row],[Order Date]])</f>
        <v>2024</v>
      </c>
    </row>
    <row r="4121" spans="1:14" x14ac:dyDescent="0.35">
      <c r="A4121" s="1" t="s">
        <v>4916</v>
      </c>
      <c r="B4121" s="1" t="s">
        <v>716</v>
      </c>
      <c r="C4121" s="1" t="s">
        <v>117</v>
      </c>
      <c r="D4121" s="1" t="s">
        <v>151</v>
      </c>
      <c r="E4121" s="1" t="s">
        <v>22</v>
      </c>
      <c r="F4121" s="1" t="s">
        <v>151</v>
      </c>
      <c r="G4121" s="1">
        <v>15</v>
      </c>
      <c r="H4121" s="1">
        <v>47320</v>
      </c>
      <c r="I4121" s="1">
        <v>0</v>
      </c>
      <c r="J4121" s="1">
        <v>709800</v>
      </c>
      <c r="K4121" s="1">
        <v>64368.68</v>
      </c>
      <c r="L4121" s="1" t="s">
        <v>17</v>
      </c>
      <c r="M4121" s="1" t="str">
        <f>TEXT(Table1[[#This Row],[Order Date]],"mmm")</f>
        <v>Apr</v>
      </c>
      <c r="N4121" s="1">
        <f>YEAR(Table1[[#This Row],[Order Date]])</f>
        <v>2023</v>
      </c>
    </row>
    <row r="4122" spans="1:14" x14ac:dyDescent="0.35">
      <c r="A4122" s="1" t="s">
        <v>4917</v>
      </c>
      <c r="B4122" s="1" t="s">
        <v>886</v>
      </c>
      <c r="C4122" s="1" t="s">
        <v>88</v>
      </c>
      <c r="D4122" s="1" t="s">
        <v>44</v>
      </c>
      <c r="E4122" s="1" t="s">
        <v>28</v>
      </c>
      <c r="F4122" s="1" t="s">
        <v>44</v>
      </c>
      <c r="G4122" s="1">
        <v>4</v>
      </c>
      <c r="H4122" s="1">
        <v>44161</v>
      </c>
      <c r="I4122" s="1">
        <v>0.15</v>
      </c>
      <c r="J4122" s="1">
        <v>150147.4</v>
      </c>
      <c r="K4122" s="1">
        <v>40431.64</v>
      </c>
      <c r="L4122" s="1" t="s">
        <v>23</v>
      </c>
      <c r="M4122" s="1" t="str">
        <f>TEXT(Table1[[#This Row],[Order Date]],"mmm")</f>
        <v>Apr</v>
      </c>
      <c r="N4122" s="1">
        <f>YEAR(Table1[[#This Row],[Order Date]])</f>
        <v>2023</v>
      </c>
    </row>
    <row r="4123" spans="1:14" x14ac:dyDescent="0.35">
      <c r="A4123" s="1" t="s">
        <v>4918</v>
      </c>
      <c r="B4123" s="1" t="s">
        <v>2460</v>
      </c>
      <c r="C4123" s="1" t="s">
        <v>36</v>
      </c>
      <c r="D4123" s="1" t="s">
        <v>224</v>
      </c>
      <c r="E4123" s="1" t="s">
        <v>33</v>
      </c>
      <c r="F4123" s="1" t="s">
        <v>224</v>
      </c>
      <c r="G4123" s="1">
        <v>4</v>
      </c>
      <c r="H4123" s="1">
        <v>43685</v>
      </c>
      <c r="I4123" s="1">
        <v>0</v>
      </c>
      <c r="J4123" s="1">
        <v>174740</v>
      </c>
      <c r="K4123" s="1">
        <v>44260.4</v>
      </c>
      <c r="L4123" s="1" t="s">
        <v>17</v>
      </c>
      <c r="M4123" s="1" t="str">
        <f>TEXT(Table1[[#This Row],[Order Date]],"mmm")</f>
        <v>Jan</v>
      </c>
      <c r="N4123" s="1">
        <f>YEAR(Table1[[#This Row],[Order Date]])</f>
        <v>2023</v>
      </c>
    </row>
    <row r="4124" spans="1:14" x14ac:dyDescent="0.35">
      <c r="A4124" s="1" t="s">
        <v>4919</v>
      </c>
      <c r="B4124" s="1" t="s">
        <v>1391</v>
      </c>
      <c r="C4124" s="1" t="s">
        <v>26</v>
      </c>
      <c r="D4124" s="1" t="s">
        <v>64</v>
      </c>
      <c r="E4124" s="1" t="s">
        <v>33</v>
      </c>
      <c r="F4124" s="1" t="s">
        <v>64</v>
      </c>
      <c r="G4124" s="1">
        <v>13</v>
      </c>
      <c r="H4124" s="1">
        <v>19622</v>
      </c>
      <c r="I4124" s="1">
        <v>0.2</v>
      </c>
      <c r="J4124" s="1">
        <v>204068.8</v>
      </c>
      <c r="K4124" s="1">
        <v>50684.2</v>
      </c>
      <c r="L4124" s="1" t="s">
        <v>23</v>
      </c>
      <c r="M4124" s="1" t="str">
        <f>TEXT(Table1[[#This Row],[Order Date]],"mmm")</f>
        <v>Sep</v>
      </c>
      <c r="N4124" s="1">
        <f>YEAR(Table1[[#This Row],[Order Date]])</f>
        <v>2023</v>
      </c>
    </row>
    <row r="4125" spans="1:14" x14ac:dyDescent="0.35">
      <c r="A4125" s="1" t="s">
        <v>4920</v>
      </c>
      <c r="B4125" s="1" t="s">
        <v>2667</v>
      </c>
      <c r="C4125" s="1" t="s">
        <v>158</v>
      </c>
      <c r="D4125" s="1" t="s">
        <v>27</v>
      </c>
      <c r="E4125" s="1" t="s">
        <v>28</v>
      </c>
      <c r="F4125" s="1" t="s">
        <v>27</v>
      </c>
      <c r="G4125" s="1">
        <v>14</v>
      </c>
      <c r="H4125" s="1">
        <v>46470</v>
      </c>
      <c r="I4125" s="1">
        <v>0.05</v>
      </c>
      <c r="J4125" s="1">
        <v>618051</v>
      </c>
      <c r="K4125" s="1">
        <v>177852.82</v>
      </c>
      <c r="L4125" s="1" t="s">
        <v>45</v>
      </c>
      <c r="M4125" s="1" t="str">
        <f>TEXT(Table1[[#This Row],[Order Date]],"mmm")</f>
        <v>Jul</v>
      </c>
      <c r="N4125" s="1">
        <f>YEAR(Table1[[#This Row],[Order Date]])</f>
        <v>2023</v>
      </c>
    </row>
    <row r="4126" spans="1:14" x14ac:dyDescent="0.35">
      <c r="A4126" s="1" t="s">
        <v>4921</v>
      </c>
      <c r="B4126" s="1" t="s">
        <v>4922</v>
      </c>
      <c r="C4126" s="1" t="s">
        <v>188</v>
      </c>
      <c r="D4126" s="1" t="s">
        <v>44</v>
      </c>
      <c r="E4126" s="1" t="s">
        <v>28</v>
      </c>
      <c r="F4126" s="1" t="s">
        <v>44</v>
      </c>
      <c r="G4126" s="1">
        <v>7</v>
      </c>
      <c r="H4126" s="1">
        <v>39992</v>
      </c>
      <c r="I4126" s="1">
        <v>0.05</v>
      </c>
      <c r="J4126" s="1">
        <v>265946.8</v>
      </c>
      <c r="K4126" s="1">
        <v>52959.45</v>
      </c>
      <c r="L4126" s="1" t="s">
        <v>45</v>
      </c>
      <c r="M4126" s="1" t="str">
        <f>TEXT(Table1[[#This Row],[Order Date]],"mmm")</f>
        <v>Aug</v>
      </c>
      <c r="N4126" s="1">
        <f>YEAR(Table1[[#This Row],[Order Date]])</f>
        <v>2023</v>
      </c>
    </row>
    <row r="4127" spans="1:14" x14ac:dyDescent="0.35">
      <c r="A4127" s="1" t="s">
        <v>4923</v>
      </c>
      <c r="B4127" s="1" t="s">
        <v>190</v>
      </c>
      <c r="C4127" s="1" t="s">
        <v>26</v>
      </c>
      <c r="D4127" s="1" t="s">
        <v>224</v>
      </c>
      <c r="E4127" s="1" t="s">
        <v>33</v>
      </c>
      <c r="F4127" s="1" t="s">
        <v>224</v>
      </c>
      <c r="G4127" s="1">
        <v>10</v>
      </c>
      <c r="H4127" s="1">
        <v>22645</v>
      </c>
      <c r="I4127" s="1">
        <v>0.15</v>
      </c>
      <c r="J4127" s="1">
        <v>192482.5</v>
      </c>
      <c r="K4127" s="1">
        <v>36099.86</v>
      </c>
      <c r="L4127" s="1" t="s">
        <v>17</v>
      </c>
      <c r="M4127" s="1" t="str">
        <f>TEXT(Table1[[#This Row],[Order Date]],"mmm")</f>
        <v>Mar</v>
      </c>
      <c r="N4127" s="1">
        <f>YEAR(Table1[[#This Row],[Order Date]])</f>
        <v>2024</v>
      </c>
    </row>
    <row r="4128" spans="1:14" x14ac:dyDescent="0.35">
      <c r="A4128" s="1" t="s">
        <v>4924</v>
      </c>
      <c r="B4128" s="1" t="s">
        <v>1109</v>
      </c>
      <c r="C4128" s="1" t="s">
        <v>111</v>
      </c>
      <c r="D4128" s="1" t="s">
        <v>85</v>
      </c>
      <c r="E4128" s="1" t="s">
        <v>28</v>
      </c>
      <c r="F4128" s="1" t="s">
        <v>85</v>
      </c>
      <c r="G4128" s="1">
        <v>9</v>
      </c>
      <c r="H4128" s="1">
        <v>40690</v>
      </c>
      <c r="I4128" s="1">
        <v>0.2</v>
      </c>
      <c r="J4128" s="1">
        <v>292968</v>
      </c>
      <c r="K4128" s="1">
        <v>37535.839999999997</v>
      </c>
      <c r="L4128" s="1" t="s">
        <v>45</v>
      </c>
      <c r="M4128" s="1" t="str">
        <f>TEXT(Table1[[#This Row],[Order Date]],"mmm")</f>
        <v>Nov</v>
      </c>
      <c r="N4128" s="1">
        <f>YEAR(Table1[[#This Row],[Order Date]])</f>
        <v>2023</v>
      </c>
    </row>
    <row r="4129" spans="1:14" x14ac:dyDescent="0.35">
      <c r="A4129" s="1" t="s">
        <v>4925</v>
      </c>
      <c r="B4129" s="1" t="s">
        <v>1765</v>
      </c>
      <c r="C4129" s="1" t="s">
        <v>170</v>
      </c>
      <c r="D4129" s="1" t="s">
        <v>52</v>
      </c>
      <c r="E4129" s="1" t="s">
        <v>28</v>
      </c>
      <c r="F4129" s="1" t="s">
        <v>52</v>
      </c>
      <c r="G4129" s="1">
        <v>13</v>
      </c>
      <c r="H4129" s="1">
        <v>54605</v>
      </c>
      <c r="I4129" s="1">
        <v>0</v>
      </c>
      <c r="J4129" s="1">
        <v>709865</v>
      </c>
      <c r="K4129" s="1">
        <v>82386.720000000001</v>
      </c>
      <c r="L4129" s="1" t="s">
        <v>70</v>
      </c>
      <c r="M4129" s="1" t="str">
        <f>TEXT(Table1[[#This Row],[Order Date]],"mmm")</f>
        <v>May</v>
      </c>
      <c r="N4129" s="1">
        <f>YEAR(Table1[[#This Row],[Order Date]])</f>
        <v>2023</v>
      </c>
    </row>
    <row r="4130" spans="1:14" x14ac:dyDescent="0.35">
      <c r="A4130" s="1" t="s">
        <v>4926</v>
      </c>
      <c r="B4130" s="1" t="s">
        <v>1320</v>
      </c>
      <c r="C4130" s="1" t="s">
        <v>227</v>
      </c>
      <c r="D4130" s="1" t="s">
        <v>85</v>
      </c>
      <c r="E4130" s="1" t="s">
        <v>28</v>
      </c>
      <c r="F4130" s="1" t="s">
        <v>85</v>
      </c>
      <c r="G4130" s="1">
        <v>6</v>
      </c>
      <c r="H4130" s="1">
        <v>27363</v>
      </c>
      <c r="I4130" s="1">
        <v>0.05</v>
      </c>
      <c r="J4130" s="1">
        <v>155969.1</v>
      </c>
      <c r="K4130" s="1">
        <v>18555.38</v>
      </c>
      <c r="L4130" s="1" t="s">
        <v>45</v>
      </c>
      <c r="M4130" s="1" t="str">
        <f>TEXT(Table1[[#This Row],[Order Date]],"mmm")</f>
        <v>Mar</v>
      </c>
      <c r="N4130" s="1">
        <f>YEAR(Table1[[#This Row],[Order Date]])</f>
        <v>2023</v>
      </c>
    </row>
    <row r="4131" spans="1:14" x14ac:dyDescent="0.35">
      <c r="A4131" s="1" t="s">
        <v>4927</v>
      </c>
      <c r="B4131" s="1" t="s">
        <v>351</v>
      </c>
      <c r="C4131" s="1" t="s">
        <v>20</v>
      </c>
      <c r="D4131" s="1" t="s">
        <v>44</v>
      </c>
      <c r="E4131" s="1" t="s">
        <v>28</v>
      </c>
      <c r="F4131" s="1" t="s">
        <v>44</v>
      </c>
      <c r="G4131" s="1">
        <v>8</v>
      </c>
      <c r="H4131" s="1">
        <v>11176</v>
      </c>
      <c r="I4131" s="1">
        <v>0.15</v>
      </c>
      <c r="J4131" s="1">
        <v>75996.800000000003</v>
      </c>
      <c r="K4131" s="1">
        <v>9116.4500000000007</v>
      </c>
      <c r="L4131" s="1" t="s">
        <v>45</v>
      </c>
      <c r="M4131" s="1" t="str">
        <f>TEXT(Table1[[#This Row],[Order Date]],"mmm")</f>
        <v>Apr</v>
      </c>
      <c r="N4131" s="1">
        <f>YEAR(Table1[[#This Row],[Order Date]])</f>
        <v>2023</v>
      </c>
    </row>
    <row r="4132" spans="1:14" x14ac:dyDescent="0.35">
      <c r="A4132" s="1" t="s">
        <v>4928</v>
      </c>
      <c r="B4132" s="1" t="s">
        <v>267</v>
      </c>
      <c r="C4132" s="1" t="s">
        <v>40</v>
      </c>
      <c r="D4132" s="1" t="s">
        <v>85</v>
      </c>
      <c r="E4132" s="1" t="s">
        <v>28</v>
      </c>
      <c r="F4132" s="1" t="s">
        <v>85</v>
      </c>
      <c r="G4132" s="1">
        <v>11</v>
      </c>
      <c r="H4132" s="1">
        <v>9686</v>
      </c>
      <c r="I4132" s="1">
        <v>0.05</v>
      </c>
      <c r="J4132" s="1">
        <v>101218.7</v>
      </c>
      <c r="K4132" s="1">
        <v>21497.91</v>
      </c>
      <c r="L4132" s="1" t="s">
        <v>17</v>
      </c>
      <c r="M4132" s="1" t="str">
        <f>TEXT(Table1[[#This Row],[Order Date]],"mmm")</f>
        <v>Jun</v>
      </c>
      <c r="N4132" s="1">
        <f>YEAR(Table1[[#This Row],[Order Date]])</f>
        <v>2023</v>
      </c>
    </row>
    <row r="4133" spans="1:14" x14ac:dyDescent="0.35">
      <c r="A4133" s="1" t="s">
        <v>4929</v>
      </c>
      <c r="B4133" s="1" t="s">
        <v>1918</v>
      </c>
      <c r="C4133" s="1" t="s">
        <v>77</v>
      </c>
      <c r="D4133" s="1" t="s">
        <v>323</v>
      </c>
      <c r="E4133" s="1" t="s">
        <v>33</v>
      </c>
      <c r="F4133" s="1" t="s">
        <v>323</v>
      </c>
      <c r="G4133" s="1">
        <v>2</v>
      </c>
      <c r="H4133" s="1">
        <v>46693</v>
      </c>
      <c r="I4133" s="1">
        <v>0</v>
      </c>
      <c r="J4133" s="1">
        <v>93386</v>
      </c>
      <c r="K4133" s="1">
        <v>23757.93</v>
      </c>
      <c r="L4133" s="1" t="s">
        <v>70</v>
      </c>
      <c r="M4133" s="1" t="str">
        <f>TEXT(Table1[[#This Row],[Order Date]],"mmm")</f>
        <v>Aug</v>
      </c>
      <c r="N4133" s="1">
        <f>YEAR(Table1[[#This Row],[Order Date]])</f>
        <v>2023</v>
      </c>
    </row>
    <row r="4134" spans="1:14" x14ac:dyDescent="0.35">
      <c r="A4134" s="1" t="s">
        <v>4930</v>
      </c>
      <c r="B4134" s="1" t="s">
        <v>244</v>
      </c>
      <c r="C4134" s="1" t="s">
        <v>200</v>
      </c>
      <c r="D4134" s="1" t="s">
        <v>141</v>
      </c>
      <c r="E4134" s="1" t="s">
        <v>22</v>
      </c>
      <c r="F4134" s="1" t="s">
        <v>141</v>
      </c>
      <c r="G4134" s="1">
        <v>15</v>
      </c>
      <c r="H4134" s="1">
        <v>51623</v>
      </c>
      <c r="I4134" s="1">
        <v>0.05</v>
      </c>
      <c r="J4134" s="1">
        <v>735627.75</v>
      </c>
      <c r="K4134" s="1">
        <v>173069.24</v>
      </c>
      <c r="L4134" s="1" t="s">
        <v>70</v>
      </c>
      <c r="M4134" s="1" t="str">
        <f>TEXT(Table1[[#This Row],[Order Date]],"mmm")</f>
        <v>Dec</v>
      </c>
      <c r="N4134" s="1">
        <f>YEAR(Table1[[#This Row],[Order Date]])</f>
        <v>2023</v>
      </c>
    </row>
    <row r="4135" spans="1:14" x14ac:dyDescent="0.35">
      <c r="A4135" s="1" t="s">
        <v>4931</v>
      </c>
      <c r="B4135" s="1" t="s">
        <v>160</v>
      </c>
      <c r="C4135" s="1" t="s">
        <v>128</v>
      </c>
      <c r="D4135" s="1" t="s">
        <v>151</v>
      </c>
      <c r="E4135" s="1" t="s">
        <v>22</v>
      </c>
      <c r="F4135" s="1" t="s">
        <v>151</v>
      </c>
      <c r="G4135" s="1">
        <v>6</v>
      </c>
      <c r="H4135" s="1">
        <v>46419</v>
      </c>
      <c r="I4135" s="1">
        <v>0.2</v>
      </c>
      <c r="J4135" s="1">
        <v>222811.2</v>
      </c>
      <c r="K4135" s="1">
        <v>55626.73</v>
      </c>
      <c r="L4135" s="1" t="s">
        <v>17</v>
      </c>
      <c r="M4135" s="1" t="str">
        <f>TEXT(Table1[[#This Row],[Order Date]],"mmm")</f>
        <v>Feb</v>
      </c>
      <c r="N4135" s="1">
        <f>YEAR(Table1[[#This Row],[Order Date]])</f>
        <v>2023</v>
      </c>
    </row>
    <row r="4136" spans="1:14" x14ac:dyDescent="0.35">
      <c r="A4136" s="1" t="s">
        <v>4932</v>
      </c>
      <c r="B4136" s="1" t="s">
        <v>954</v>
      </c>
      <c r="C4136" s="1" t="s">
        <v>332</v>
      </c>
      <c r="D4136" s="1" t="s">
        <v>44</v>
      </c>
      <c r="E4136" s="1" t="s">
        <v>28</v>
      </c>
      <c r="F4136" s="1" t="s">
        <v>44</v>
      </c>
      <c r="G4136" s="1">
        <v>2</v>
      </c>
      <c r="H4136" s="1">
        <v>58946</v>
      </c>
      <c r="I4136" s="1">
        <v>0.2</v>
      </c>
      <c r="J4136" s="1">
        <v>94313.600000000006</v>
      </c>
      <c r="K4136" s="1">
        <v>16600.34</v>
      </c>
      <c r="L4136" s="1" t="s">
        <v>17</v>
      </c>
      <c r="M4136" s="1" t="str">
        <f>TEXT(Table1[[#This Row],[Order Date]],"mmm")</f>
        <v>Jul</v>
      </c>
      <c r="N4136" s="1">
        <f>YEAR(Table1[[#This Row],[Order Date]])</f>
        <v>2024</v>
      </c>
    </row>
    <row r="4137" spans="1:14" x14ac:dyDescent="0.35">
      <c r="A4137" s="1" t="s">
        <v>4933</v>
      </c>
      <c r="B4137" s="1" t="s">
        <v>1258</v>
      </c>
      <c r="C4137" s="1" t="s">
        <v>255</v>
      </c>
      <c r="D4137" s="1" t="s">
        <v>27</v>
      </c>
      <c r="E4137" s="1" t="s">
        <v>28</v>
      </c>
      <c r="F4137" s="1" t="s">
        <v>27</v>
      </c>
      <c r="G4137" s="1">
        <v>8</v>
      </c>
      <c r="H4137" s="1">
        <v>34629</v>
      </c>
      <c r="I4137" s="1">
        <v>0.2</v>
      </c>
      <c r="J4137" s="1">
        <v>221625.60000000001</v>
      </c>
      <c r="K4137" s="1">
        <v>21407.03</v>
      </c>
      <c r="L4137" s="1" t="s">
        <v>70</v>
      </c>
      <c r="M4137" s="1" t="str">
        <f>TEXT(Table1[[#This Row],[Order Date]],"mmm")</f>
        <v>Jun</v>
      </c>
      <c r="N4137" s="1">
        <f>YEAR(Table1[[#This Row],[Order Date]])</f>
        <v>2023</v>
      </c>
    </row>
    <row r="4138" spans="1:14" x14ac:dyDescent="0.35">
      <c r="A4138" s="1" t="s">
        <v>4934</v>
      </c>
      <c r="B4138" s="1" t="s">
        <v>2746</v>
      </c>
      <c r="C4138" s="1" t="s">
        <v>73</v>
      </c>
      <c r="D4138" s="1" t="s">
        <v>52</v>
      </c>
      <c r="E4138" s="1" t="s">
        <v>28</v>
      </c>
      <c r="F4138" s="1" t="s">
        <v>52</v>
      </c>
      <c r="G4138" s="1">
        <v>1</v>
      </c>
      <c r="H4138" s="1">
        <v>47004</v>
      </c>
      <c r="I4138" s="1">
        <v>0.15</v>
      </c>
      <c r="J4138" s="1">
        <v>39953.4</v>
      </c>
      <c r="K4138" s="1">
        <v>5345.84</v>
      </c>
      <c r="L4138" s="1" t="s">
        <v>23</v>
      </c>
      <c r="M4138" s="1" t="str">
        <f>TEXT(Table1[[#This Row],[Order Date]],"mmm")</f>
        <v>Jan</v>
      </c>
      <c r="N4138" s="1">
        <f>YEAR(Table1[[#This Row],[Order Date]])</f>
        <v>2023</v>
      </c>
    </row>
    <row r="4139" spans="1:14" x14ac:dyDescent="0.35">
      <c r="A4139" s="1" t="s">
        <v>4935</v>
      </c>
      <c r="B4139" s="1" t="s">
        <v>621</v>
      </c>
      <c r="C4139" s="1" t="s">
        <v>26</v>
      </c>
      <c r="D4139" s="1" t="s">
        <v>224</v>
      </c>
      <c r="E4139" s="1" t="s">
        <v>33</v>
      </c>
      <c r="F4139" s="1" t="s">
        <v>224</v>
      </c>
      <c r="G4139" s="1">
        <v>14</v>
      </c>
      <c r="H4139" s="1">
        <v>29470</v>
      </c>
      <c r="I4139" s="1">
        <v>0</v>
      </c>
      <c r="J4139" s="1">
        <v>412580</v>
      </c>
      <c r="K4139" s="1">
        <v>55911.57</v>
      </c>
      <c r="L4139" s="1" t="s">
        <v>23</v>
      </c>
      <c r="M4139" s="1" t="str">
        <f>TEXT(Table1[[#This Row],[Order Date]],"mmm")</f>
        <v>Jan</v>
      </c>
      <c r="N4139" s="1">
        <f>YEAR(Table1[[#This Row],[Order Date]])</f>
        <v>2024</v>
      </c>
    </row>
    <row r="4140" spans="1:14" x14ac:dyDescent="0.35">
      <c r="A4140" s="1" t="s">
        <v>4936</v>
      </c>
      <c r="B4140" s="1" t="s">
        <v>464</v>
      </c>
      <c r="C4140" s="1" t="s">
        <v>507</v>
      </c>
      <c r="D4140" s="1" t="s">
        <v>293</v>
      </c>
      <c r="E4140" s="1" t="s">
        <v>33</v>
      </c>
      <c r="F4140" s="1" t="s">
        <v>293</v>
      </c>
      <c r="G4140" s="1">
        <v>10</v>
      </c>
      <c r="H4140" s="1">
        <v>55624</v>
      </c>
      <c r="I4140" s="1">
        <v>0.1</v>
      </c>
      <c r="J4140" s="1">
        <v>500616</v>
      </c>
      <c r="K4140" s="1">
        <v>92038.55</v>
      </c>
      <c r="L4140" s="1" t="s">
        <v>23</v>
      </c>
      <c r="M4140" s="1" t="str">
        <f>TEXT(Table1[[#This Row],[Order Date]],"mmm")</f>
        <v>Mar</v>
      </c>
      <c r="N4140" s="1">
        <f>YEAR(Table1[[#This Row],[Order Date]])</f>
        <v>2024</v>
      </c>
    </row>
    <row r="4141" spans="1:14" x14ac:dyDescent="0.35">
      <c r="A4141" s="1" t="s">
        <v>4937</v>
      </c>
      <c r="B4141" s="1" t="s">
        <v>963</v>
      </c>
      <c r="C4141" s="1" t="s">
        <v>640</v>
      </c>
      <c r="D4141" s="1" t="s">
        <v>108</v>
      </c>
      <c r="E4141" s="1" t="s">
        <v>22</v>
      </c>
      <c r="F4141" s="1" t="s">
        <v>108</v>
      </c>
      <c r="G4141" s="1">
        <v>1</v>
      </c>
      <c r="H4141" s="1">
        <v>30236</v>
      </c>
      <c r="I4141" s="1">
        <v>0.1</v>
      </c>
      <c r="J4141" s="1">
        <v>27212.400000000001</v>
      </c>
      <c r="K4141" s="1">
        <v>5232.08</v>
      </c>
      <c r="L4141" s="1" t="s">
        <v>45</v>
      </c>
      <c r="M4141" s="1" t="str">
        <f>TEXT(Table1[[#This Row],[Order Date]],"mmm")</f>
        <v>Oct</v>
      </c>
      <c r="N4141" s="1">
        <f>YEAR(Table1[[#This Row],[Order Date]])</f>
        <v>2024</v>
      </c>
    </row>
    <row r="4142" spans="1:14" x14ac:dyDescent="0.35">
      <c r="A4142" s="1" t="s">
        <v>4938</v>
      </c>
      <c r="B4142" s="1" t="s">
        <v>785</v>
      </c>
      <c r="C4142" s="1" t="s">
        <v>640</v>
      </c>
      <c r="D4142" s="1" t="s">
        <v>114</v>
      </c>
      <c r="E4142" s="1" t="s">
        <v>16</v>
      </c>
      <c r="F4142" s="1" t="s">
        <v>114</v>
      </c>
      <c r="G4142" s="1">
        <v>10</v>
      </c>
      <c r="H4142" s="1">
        <v>1327</v>
      </c>
      <c r="I4142" s="1">
        <v>0.2</v>
      </c>
      <c r="J4142" s="1">
        <v>10616</v>
      </c>
      <c r="K4142" s="1">
        <v>965.94</v>
      </c>
      <c r="L4142" s="1" t="s">
        <v>17</v>
      </c>
      <c r="M4142" s="1" t="str">
        <f>TEXT(Table1[[#This Row],[Order Date]],"mmm")</f>
        <v>Apr</v>
      </c>
      <c r="N4142" s="1">
        <f>YEAR(Table1[[#This Row],[Order Date]])</f>
        <v>2023</v>
      </c>
    </row>
    <row r="4143" spans="1:14" x14ac:dyDescent="0.35">
      <c r="A4143" s="1" t="s">
        <v>4939</v>
      </c>
      <c r="B4143" s="1" t="s">
        <v>979</v>
      </c>
      <c r="C4143" s="1" t="s">
        <v>191</v>
      </c>
      <c r="D4143" s="1" t="s">
        <v>78</v>
      </c>
      <c r="E4143" s="1" t="s">
        <v>28</v>
      </c>
      <c r="F4143" s="1" t="s">
        <v>78</v>
      </c>
      <c r="G4143" s="1">
        <v>6</v>
      </c>
      <c r="H4143" s="1">
        <v>6741</v>
      </c>
      <c r="I4143" s="1">
        <v>0</v>
      </c>
      <c r="J4143" s="1">
        <v>40446</v>
      </c>
      <c r="K4143" s="1">
        <v>8195.7999999999993</v>
      </c>
      <c r="L4143" s="1" t="s">
        <v>17</v>
      </c>
      <c r="M4143" s="1" t="str">
        <f>TEXT(Table1[[#This Row],[Order Date]],"mmm")</f>
        <v>Jul</v>
      </c>
      <c r="N4143" s="1">
        <f>YEAR(Table1[[#This Row],[Order Date]])</f>
        <v>2024</v>
      </c>
    </row>
    <row r="4144" spans="1:14" x14ac:dyDescent="0.35">
      <c r="A4144" s="1" t="s">
        <v>4940</v>
      </c>
      <c r="B4144" s="1" t="s">
        <v>355</v>
      </c>
      <c r="C4144" s="1" t="s">
        <v>81</v>
      </c>
      <c r="D4144" s="1" t="s">
        <v>323</v>
      </c>
      <c r="E4144" s="1" t="s">
        <v>33</v>
      </c>
      <c r="F4144" s="1" t="s">
        <v>323</v>
      </c>
      <c r="G4144" s="1">
        <v>9</v>
      </c>
      <c r="H4144" s="1">
        <v>3820</v>
      </c>
      <c r="I4144" s="1">
        <v>0.2</v>
      </c>
      <c r="J4144" s="1">
        <v>27504</v>
      </c>
      <c r="K4144" s="1">
        <v>4442.7</v>
      </c>
      <c r="L4144" s="1" t="s">
        <v>70</v>
      </c>
      <c r="M4144" s="1" t="str">
        <f>TEXT(Table1[[#This Row],[Order Date]],"mmm")</f>
        <v>Dec</v>
      </c>
      <c r="N4144" s="1">
        <f>YEAR(Table1[[#This Row],[Order Date]])</f>
        <v>2023</v>
      </c>
    </row>
    <row r="4145" spans="1:14" x14ac:dyDescent="0.35">
      <c r="A4145" s="1" t="s">
        <v>4941</v>
      </c>
      <c r="B4145" s="1" t="s">
        <v>1926</v>
      </c>
      <c r="C4145" s="1" t="s">
        <v>140</v>
      </c>
      <c r="D4145" s="1" t="s">
        <v>41</v>
      </c>
      <c r="E4145" s="1" t="s">
        <v>16</v>
      </c>
      <c r="F4145" s="1" t="s">
        <v>41</v>
      </c>
      <c r="G4145" s="1">
        <v>4</v>
      </c>
      <c r="H4145" s="1">
        <v>57574</v>
      </c>
      <c r="I4145" s="1">
        <v>0.15</v>
      </c>
      <c r="J4145" s="1">
        <v>195751.6</v>
      </c>
      <c r="K4145" s="1">
        <v>48154.04</v>
      </c>
      <c r="L4145" s="1" t="s">
        <v>17</v>
      </c>
      <c r="M4145" s="1" t="str">
        <f>TEXT(Table1[[#This Row],[Order Date]],"mmm")</f>
        <v>Oct</v>
      </c>
      <c r="N4145" s="1">
        <f>YEAR(Table1[[#This Row],[Order Date]])</f>
        <v>2023</v>
      </c>
    </row>
    <row r="4146" spans="1:14" x14ac:dyDescent="0.35">
      <c r="A4146" s="1" t="s">
        <v>4942</v>
      </c>
      <c r="B4146" s="1" t="s">
        <v>1792</v>
      </c>
      <c r="C4146" s="1" t="s">
        <v>63</v>
      </c>
      <c r="D4146" s="1" t="s">
        <v>133</v>
      </c>
      <c r="E4146" s="1" t="s">
        <v>22</v>
      </c>
      <c r="F4146" s="1" t="s">
        <v>133</v>
      </c>
      <c r="G4146" s="1">
        <v>3</v>
      </c>
      <c r="H4146" s="1">
        <v>4863</v>
      </c>
      <c r="I4146" s="1">
        <v>0.05</v>
      </c>
      <c r="J4146" s="1">
        <v>13859.55</v>
      </c>
      <c r="K4146" s="1">
        <v>2873.76</v>
      </c>
      <c r="L4146" s="1" t="s">
        <v>23</v>
      </c>
      <c r="M4146" s="1" t="str">
        <f>TEXT(Table1[[#This Row],[Order Date]],"mmm")</f>
        <v>Apr</v>
      </c>
      <c r="N4146" s="1">
        <f>YEAR(Table1[[#This Row],[Order Date]])</f>
        <v>2023</v>
      </c>
    </row>
    <row r="4147" spans="1:14" x14ac:dyDescent="0.35">
      <c r="A4147" s="1" t="s">
        <v>4943</v>
      </c>
      <c r="B4147" s="1" t="s">
        <v>684</v>
      </c>
      <c r="C4147" s="1" t="s">
        <v>84</v>
      </c>
      <c r="D4147" s="1" t="s">
        <v>37</v>
      </c>
      <c r="E4147" s="1" t="s">
        <v>16</v>
      </c>
      <c r="F4147" s="1" t="s">
        <v>37</v>
      </c>
      <c r="G4147" s="1">
        <v>13</v>
      </c>
      <c r="H4147" s="1">
        <v>33824</v>
      </c>
      <c r="I4147" s="1">
        <v>0.05</v>
      </c>
      <c r="J4147" s="1">
        <v>417726.4</v>
      </c>
      <c r="K4147" s="1">
        <v>84635.5</v>
      </c>
      <c r="L4147" s="1" t="s">
        <v>45</v>
      </c>
      <c r="M4147" s="1" t="str">
        <f>TEXT(Table1[[#This Row],[Order Date]],"mmm")</f>
        <v>May</v>
      </c>
      <c r="N4147" s="1">
        <f>YEAR(Table1[[#This Row],[Order Date]])</f>
        <v>2024</v>
      </c>
    </row>
    <row r="4148" spans="1:14" x14ac:dyDescent="0.35">
      <c r="A4148" s="1" t="s">
        <v>4944</v>
      </c>
      <c r="B4148" s="1" t="s">
        <v>1019</v>
      </c>
      <c r="C4148" s="1" t="s">
        <v>203</v>
      </c>
      <c r="D4148" s="1" t="s">
        <v>293</v>
      </c>
      <c r="E4148" s="1" t="s">
        <v>33</v>
      </c>
      <c r="F4148" s="1" t="s">
        <v>293</v>
      </c>
      <c r="G4148" s="1">
        <v>3</v>
      </c>
      <c r="H4148" s="1">
        <v>13775</v>
      </c>
      <c r="I4148" s="1">
        <v>0.15</v>
      </c>
      <c r="J4148" s="1">
        <v>35126.25</v>
      </c>
      <c r="K4148" s="1">
        <v>3307.25</v>
      </c>
      <c r="L4148" s="1" t="s">
        <v>45</v>
      </c>
      <c r="M4148" s="1" t="str">
        <f>TEXT(Table1[[#This Row],[Order Date]],"mmm")</f>
        <v>Jun</v>
      </c>
      <c r="N4148" s="1">
        <f>YEAR(Table1[[#This Row],[Order Date]])</f>
        <v>2024</v>
      </c>
    </row>
    <row r="4149" spans="1:14" x14ac:dyDescent="0.35">
      <c r="A4149" s="1" t="s">
        <v>4945</v>
      </c>
      <c r="B4149" s="1" t="s">
        <v>103</v>
      </c>
      <c r="C4149" s="1" t="s">
        <v>370</v>
      </c>
      <c r="D4149" s="1" t="s">
        <v>32</v>
      </c>
      <c r="E4149" s="1" t="s">
        <v>33</v>
      </c>
      <c r="F4149" s="1" t="s">
        <v>32</v>
      </c>
      <c r="G4149" s="1">
        <v>3</v>
      </c>
      <c r="H4149" s="1">
        <v>1254</v>
      </c>
      <c r="I4149" s="1">
        <v>0.2</v>
      </c>
      <c r="J4149" s="1">
        <v>3009.6</v>
      </c>
      <c r="K4149" s="1">
        <v>661.69</v>
      </c>
      <c r="L4149" s="1" t="s">
        <v>70</v>
      </c>
      <c r="M4149" s="1" t="str">
        <f>TEXT(Table1[[#This Row],[Order Date]],"mmm")</f>
        <v>Nov</v>
      </c>
      <c r="N4149" s="1">
        <f>YEAR(Table1[[#This Row],[Order Date]])</f>
        <v>2023</v>
      </c>
    </row>
    <row r="4150" spans="1:14" x14ac:dyDescent="0.35">
      <c r="A4150" s="1" t="s">
        <v>4946</v>
      </c>
      <c r="B4150" s="1" t="s">
        <v>2671</v>
      </c>
      <c r="C4150" s="1" t="s">
        <v>111</v>
      </c>
      <c r="D4150" s="1" t="s">
        <v>167</v>
      </c>
      <c r="E4150" s="1" t="s">
        <v>16</v>
      </c>
      <c r="F4150" s="1" t="s">
        <v>167</v>
      </c>
      <c r="G4150" s="1">
        <v>15</v>
      </c>
      <c r="H4150" s="1">
        <v>49828</v>
      </c>
      <c r="I4150" s="1">
        <v>0.05</v>
      </c>
      <c r="J4150" s="1">
        <v>710049</v>
      </c>
      <c r="K4150" s="1">
        <v>131217.56</v>
      </c>
      <c r="L4150" s="1" t="s">
        <v>17</v>
      </c>
      <c r="M4150" s="1" t="str">
        <f>TEXT(Table1[[#This Row],[Order Date]],"mmm")</f>
        <v>Nov</v>
      </c>
      <c r="N4150" s="1">
        <f>YEAR(Table1[[#This Row],[Order Date]])</f>
        <v>2023</v>
      </c>
    </row>
    <row r="4151" spans="1:14" x14ac:dyDescent="0.35">
      <c r="A4151" s="1" t="s">
        <v>4947</v>
      </c>
      <c r="B4151" s="1" t="s">
        <v>763</v>
      </c>
      <c r="C4151" s="1" t="s">
        <v>178</v>
      </c>
      <c r="D4151" s="1" t="s">
        <v>95</v>
      </c>
      <c r="E4151" s="1" t="s">
        <v>33</v>
      </c>
      <c r="F4151" s="1" t="s">
        <v>95</v>
      </c>
      <c r="G4151" s="1">
        <v>9</v>
      </c>
      <c r="H4151" s="1">
        <v>21411</v>
      </c>
      <c r="I4151" s="1">
        <v>0</v>
      </c>
      <c r="J4151" s="1">
        <v>192699</v>
      </c>
      <c r="K4151" s="1">
        <v>22684.93</v>
      </c>
      <c r="L4151" s="1" t="s">
        <v>45</v>
      </c>
      <c r="M4151" s="1" t="str">
        <f>TEXT(Table1[[#This Row],[Order Date]],"mmm")</f>
        <v>Oct</v>
      </c>
      <c r="N4151" s="1">
        <f>YEAR(Table1[[#This Row],[Order Date]])</f>
        <v>2024</v>
      </c>
    </row>
    <row r="4152" spans="1:14" x14ac:dyDescent="0.35">
      <c r="A4152" s="1" t="s">
        <v>4948</v>
      </c>
      <c r="B4152" s="1" t="s">
        <v>596</v>
      </c>
      <c r="C4152" s="1" t="s">
        <v>640</v>
      </c>
      <c r="D4152" s="1" t="s">
        <v>74</v>
      </c>
      <c r="E4152" s="1" t="s">
        <v>22</v>
      </c>
      <c r="F4152" s="1" t="s">
        <v>74</v>
      </c>
      <c r="G4152" s="1">
        <v>2</v>
      </c>
      <c r="H4152" s="1">
        <v>18428</v>
      </c>
      <c r="I4152" s="1">
        <v>0.15</v>
      </c>
      <c r="J4152" s="1">
        <v>31327.599999999999</v>
      </c>
      <c r="K4152" s="1">
        <v>6840.26</v>
      </c>
      <c r="L4152" s="1" t="s">
        <v>45</v>
      </c>
      <c r="M4152" s="1" t="str">
        <f>TEXT(Table1[[#This Row],[Order Date]],"mmm")</f>
        <v>Nov</v>
      </c>
      <c r="N4152" s="1">
        <f>YEAR(Table1[[#This Row],[Order Date]])</f>
        <v>2023</v>
      </c>
    </row>
    <row r="4153" spans="1:14" x14ac:dyDescent="0.35">
      <c r="A4153" s="1" t="s">
        <v>4949</v>
      </c>
      <c r="B4153" s="1" t="s">
        <v>1876</v>
      </c>
      <c r="C4153" s="1" t="s">
        <v>31</v>
      </c>
      <c r="D4153" s="1" t="s">
        <v>323</v>
      </c>
      <c r="E4153" s="1" t="s">
        <v>33</v>
      </c>
      <c r="F4153" s="1" t="s">
        <v>323</v>
      </c>
      <c r="G4153" s="1">
        <v>7</v>
      </c>
      <c r="H4153" s="1">
        <v>27660</v>
      </c>
      <c r="I4153" s="1">
        <v>0.15</v>
      </c>
      <c r="J4153" s="1">
        <v>164577</v>
      </c>
      <c r="K4153" s="1">
        <v>16022.94</v>
      </c>
      <c r="L4153" s="1" t="s">
        <v>45</v>
      </c>
      <c r="M4153" s="1" t="str">
        <f>TEXT(Table1[[#This Row],[Order Date]],"mmm")</f>
        <v>Feb</v>
      </c>
      <c r="N4153" s="1">
        <f>YEAR(Table1[[#This Row],[Order Date]])</f>
        <v>2024</v>
      </c>
    </row>
    <row r="4154" spans="1:14" x14ac:dyDescent="0.35">
      <c r="A4154" s="1" t="s">
        <v>4950</v>
      </c>
      <c r="B4154" s="1" t="s">
        <v>339</v>
      </c>
      <c r="C4154" s="1" t="s">
        <v>120</v>
      </c>
      <c r="D4154" s="1" t="s">
        <v>151</v>
      </c>
      <c r="E4154" s="1" t="s">
        <v>22</v>
      </c>
      <c r="F4154" s="1" t="s">
        <v>151</v>
      </c>
      <c r="G4154" s="1">
        <v>10</v>
      </c>
      <c r="H4154" s="1">
        <v>16469</v>
      </c>
      <c r="I4154" s="1">
        <v>0.2</v>
      </c>
      <c r="J4154" s="1">
        <v>131752</v>
      </c>
      <c r="K4154" s="1">
        <v>13832.89</v>
      </c>
      <c r="L4154" s="1" t="s">
        <v>70</v>
      </c>
      <c r="M4154" s="1" t="str">
        <f>TEXT(Table1[[#This Row],[Order Date]],"mmm")</f>
        <v>Jun</v>
      </c>
      <c r="N4154" s="1">
        <f>YEAR(Table1[[#This Row],[Order Date]])</f>
        <v>2024</v>
      </c>
    </row>
    <row r="4155" spans="1:14" x14ac:dyDescent="0.35">
      <c r="A4155" s="1" t="s">
        <v>4951</v>
      </c>
      <c r="B4155" s="1" t="s">
        <v>3073</v>
      </c>
      <c r="C4155" s="1" t="s">
        <v>175</v>
      </c>
      <c r="D4155" s="1" t="s">
        <v>323</v>
      </c>
      <c r="E4155" s="1" t="s">
        <v>33</v>
      </c>
      <c r="F4155" s="1" t="s">
        <v>323</v>
      </c>
      <c r="G4155" s="1">
        <v>8</v>
      </c>
      <c r="H4155" s="1">
        <v>47735</v>
      </c>
      <c r="I4155" s="1">
        <v>0</v>
      </c>
      <c r="J4155" s="1">
        <v>381880</v>
      </c>
      <c r="K4155" s="1">
        <v>100590.73</v>
      </c>
      <c r="L4155" s="1" t="s">
        <v>17</v>
      </c>
      <c r="M4155" s="1" t="str">
        <f>TEXT(Table1[[#This Row],[Order Date]],"mmm")</f>
        <v>Aug</v>
      </c>
      <c r="N4155" s="1">
        <f>YEAR(Table1[[#This Row],[Order Date]])</f>
        <v>2024</v>
      </c>
    </row>
    <row r="4156" spans="1:14" x14ac:dyDescent="0.35">
      <c r="A4156" s="1" t="s">
        <v>4952</v>
      </c>
      <c r="B4156" s="1" t="s">
        <v>303</v>
      </c>
      <c r="C4156" s="1" t="s">
        <v>203</v>
      </c>
      <c r="D4156" s="1" t="s">
        <v>15</v>
      </c>
      <c r="E4156" s="1" t="s">
        <v>16</v>
      </c>
      <c r="F4156" s="1" t="s">
        <v>15</v>
      </c>
      <c r="G4156" s="1">
        <v>6</v>
      </c>
      <c r="H4156" s="1">
        <v>314</v>
      </c>
      <c r="I4156" s="1">
        <v>0</v>
      </c>
      <c r="J4156" s="1">
        <v>1884</v>
      </c>
      <c r="K4156" s="1">
        <v>221.64</v>
      </c>
      <c r="L4156" s="1" t="s">
        <v>23</v>
      </c>
      <c r="M4156" s="1" t="str">
        <f>TEXT(Table1[[#This Row],[Order Date]],"mmm")</f>
        <v>Jun</v>
      </c>
      <c r="N4156" s="1">
        <f>YEAR(Table1[[#This Row],[Order Date]])</f>
        <v>2024</v>
      </c>
    </row>
    <row r="4157" spans="1:14" x14ac:dyDescent="0.35">
      <c r="A4157" s="1" t="s">
        <v>4953</v>
      </c>
      <c r="B4157" s="1" t="s">
        <v>169</v>
      </c>
      <c r="C4157" s="1" t="s">
        <v>94</v>
      </c>
      <c r="D4157" s="1" t="s">
        <v>323</v>
      </c>
      <c r="E4157" s="1" t="s">
        <v>33</v>
      </c>
      <c r="F4157" s="1" t="s">
        <v>323</v>
      </c>
      <c r="G4157" s="1">
        <v>14</v>
      </c>
      <c r="H4157" s="1">
        <v>42053</v>
      </c>
      <c r="I4157" s="1">
        <v>0</v>
      </c>
      <c r="J4157" s="1">
        <v>588742</v>
      </c>
      <c r="K4157" s="1">
        <v>121655.05</v>
      </c>
      <c r="L4157" s="1" t="s">
        <v>17</v>
      </c>
      <c r="M4157" s="1" t="str">
        <f>TEXT(Table1[[#This Row],[Order Date]],"mmm")</f>
        <v>Nov</v>
      </c>
      <c r="N4157" s="1">
        <f>YEAR(Table1[[#This Row],[Order Date]])</f>
        <v>2024</v>
      </c>
    </row>
    <row r="4158" spans="1:14" x14ac:dyDescent="0.35">
      <c r="A4158" s="1" t="s">
        <v>4954</v>
      </c>
      <c r="B4158" s="1" t="s">
        <v>83</v>
      </c>
      <c r="C4158" s="1" t="s">
        <v>260</v>
      </c>
      <c r="D4158" s="1" t="s">
        <v>137</v>
      </c>
      <c r="E4158" s="1" t="s">
        <v>22</v>
      </c>
      <c r="F4158" s="1" t="s">
        <v>137</v>
      </c>
      <c r="G4158" s="1">
        <v>4</v>
      </c>
      <c r="H4158" s="1">
        <v>3431</v>
      </c>
      <c r="I4158" s="1">
        <v>0</v>
      </c>
      <c r="J4158" s="1">
        <v>13724</v>
      </c>
      <c r="K4158" s="1">
        <v>2912.49</v>
      </c>
      <c r="L4158" s="1" t="s">
        <v>70</v>
      </c>
      <c r="M4158" s="1" t="str">
        <f>TEXT(Table1[[#This Row],[Order Date]],"mmm")</f>
        <v>Mar</v>
      </c>
      <c r="N4158" s="1">
        <f>YEAR(Table1[[#This Row],[Order Date]])</f>
        <v>2024</v>
      </c>
    </row>
    <row r="4159" spans="1:14" x14ac:dyDescent="0.35">
      <c r="A4159" s="1" t="s">
        <v>4955</v>
      </c>
      <c r="B4159" s="1" t="s">
        <v>1531</v>
      </c>
      <c r="C4159" s="1" t="s">
        <v>155</v>
      </c>
      <c r="D4159" s="1" t="s">
        <v>27</v>
      </c>
      <c r="E4159" s="1" t="s">
        <v>28</v>
      </c>
      <c r="F4159" s="1" t="s">
        <v>27</v>
      </c>
      <c r="G4159" s="1">
        <v>1</v>
      </c>
      <c r="H4159" s="1">
        <v>47738</v>
      </c>
      <c r="I4159" s="1">
        <v>0.05</v>
      </c>
      <c r="J4159" s="1">
        <v>45351.1</v>
      </c>
      <c r="K4159" s="1">
        <v>3738.82</v>
      </c>
      <c r="L4159" s="1" t="s">
        <v>23</v>
      </c>
      <c r="M4159" s="1" t="str">
        <f>TEXT(Table1[[#This Row],[Order Date]],"mmm")</f>
        <v>Aug</v>
      </c>
      <c r="N4159" s="1">
        <f>YEAR(Table1[[#This Row],[Order Date]])</f>
        <v>2023</v>
      </c>
    </row>
    <row r="4160" spans="1:14" x14ac:dyDescent="0.35">
      <c r="A4160" s="1" t="s">
        <v>4956</v>
      </c>
      <c r="B4160" s="1" t="s">
        <v>280</v>
      </c>
      <c r="C4160" s="1" t="s">
        <v>255</v>
      </c>
      <c r="D4160" s="1" t="s">
        <v>15</v>
      </c>
      <c r="E4160" s="1" t="s">
        <v>16</v>
      </c>
      <c r="F4160" s="1" t="s">
        <v>15</v>
      </c>
      <c r="G4160" s="1">
        <v>6</v>
      </c>
      <c r="H4160" s="1">
        <v>16394</v>
      </c>
      <c r="I4160" s="1">
        <v>0.1</v>
      </c>
      <c r="J4160" s="1">
        <v>88527.6</v>
      </c>
      <c r="K4160" s="1">
        <v>24389.82</v>
      </c>
      <c r="L4160" s="1" t="s">
        <v>23</v>
      </c>
      <c r="M4160" s="1" t="str">
        <f>TEXT(Table1[[#This Row],[Order Date]],"mmm")</f>
        <v>Oct</v>
      </c>
      <c r="N4160" s="1">
        <f>YEAR(Table1[[#This Row],[Order Date]])</f>
        <v>2024</v>
      </c>
    </row>
    <row r="4161" spans="1:14" x14ac:dyDescent="0.35">
      <c r="A4161" s="1" t="s">
        <v>4957</v>
      </c>
      <c r="B4161" s="1" t="s">
        <v>1320</v>
      </c>
      <c r="C4161" s="1" t="s">
        <v>227</v>
      </c>
      <c r="D4161" s="1" t="s">
        <v>32</v>
      </c>
      <c r="E4161" s="1" t="s">
        <v>33</v>
      </c>
      <c r="F4161" s="1" t="s">
        <v>32</v>
      </c>
      <c r="G4161" s="1">
        <v>2</v>
      </c>
      <c r="H4161" s="1">
        <v>46750</v>
      </c>
      <c r="I4161" s="1">
        <v>0.2</v>
      </c>
      <c r="J4161" s="1">
        <v>74800</v>
      </c>
      <c r="K4161" s="1">
        <v>7639.2</v>
      </c>
      <c r="L4161" s="1" t="s">
        <v>23</v>
      </c>
      <c r="M4161" s="1" t="str">
        <f>TEXT(Table1[[#This Row],[Order Date]],"mmm")</f>
        <v>Mar</v>
      </c>
      <c r="N4161" s="1">
        <f>YEAR(Table1[[#This Row],[Order Date]])</f>
        <v>2023</v>
      </c>
    </row>
    <row r="4162" spans="1:14" x14ac:dyDescent="0.35">
      <c r="A4162" s="1" t="s">
        <v>4958</v>
      </c>
      <c r="B4162" s="1" t="s">
        <v>310</v>
      </c>
      <c r="C4162" s="1" t="s">
        <v>370</v>
      </c>
      <c r="D4162" s="1" t="s">
        <v>151</v>
      </c>
      <c r="E4162" s="1" t="s">
        <v>22</v>
      </c>
      <c r="F4162" s="1" t="s">
        <v>151</v>
      </c>
      <c r="G4162" s="1">
        <v>11</v>
      </c>
      <c r="H4162" s="1">
        <v>4178</v>
      </c>
      <c r="I4162" s="1">
        <v>0</v>
      </c>
      <c r="J4162" s="1">
        <v>45958</v>
      </c>
      <c r="K4162" s="1">
        <v>4721.41</v>
      </c>
      <c r="L4162" s="1" t="s">
        <v>45</v>
      </c>
      <c r="M4162" s="1" t="str">
        <f>TEXT(Table1[[#This Row],[Order Date]],"mmm")</f>
        <v>Feb</v>
      </c>
      <c r="N4162" s="1">
        <f>YEAR(Table1[[#This Row],[Order Date]])</f>
        <v>2023</v>
      </c>
    </row>
    <row r="4163" spans="1:14" x14ac:dyDescent="0.35">
      <c r="A4163" s="1" t="s">
        <v>4959</v>
      </c>
      <c r="B4163" s="1" t="s">
        <v>39</v>
      </c>
      <c r="C4163" s="1" t="s">
        <v>63</v>
      </c>
      <c r="D4163" s="1" t="s">
        <v>21</v>
      </c>
      <c r="E4163" s="1" t="s">
        <v>22</v>
      </c>
      <c r="F4163" s="1" t="s">
        <v>21</v>
      </c>
      <c r="G4163" s="1">
        <v>7</v>
      </c>
      <c r="H4163" s="1">
        <v>34116</v>
      </c>
      <c r="I4163" s="1">
        <v>0.15</v>
      </c>
      <c r="J4163" s="1">
        <v>202990.2</v>
      </c>
      <c r="K4163" s="1">
        <v>59944.54</v>
      </c>
      <c r="L4163" s="1" t="s">
        <v>45</v>
      </c>
      <c r="M4163" s="1" t="str">
        <f>TEXT(Table1[[#This Row],[Order Date]],"mmm")</f>
        <v>Nov</v>
      </c>
      <c r="N4163" s="1">
        <f>YEAR(Table1[[#This Row],[Order Date]])</f>
        <v>2023</v>
      </c>
    </row>
    <row r="4164" spans="1:14" x14ac:dyDescent="0.35">
      <c r="A4164" s="1" t="s">
        <v>4960</v>
      </c>
      <c r="B4164" s="1" t="s">
        <v>881</v>
      </c>
      <c r="C4164" s="1" t="s">
        <v>51</v>
      </c>
      <c r="D4164" s="1" t="s">
        <v>48</v>
      </c>
      <c r="E4164" s="1" t="s">
        <v>16</v>
      </c>
      <c r="F4164" s="1" t="s">
        <v>48</v>
      </c>
      <c r="G4164" s="1">
        <v>6</v>
      </c>
      <c r="H4164" s="1">
        <v>29920</v>
      </c>
      <c r="I4164" s="1">
        <v>0.05</v>
      </c>
      <c r="J4164" s="1">
        <v>170544</v>
      </c>
      <c r="K4164" s="1">
        <v>30616.959999999999</v>
      </c>
      <c r="L4164" s="1" t="s">
        <v>17</v>
      </c>
      <c r="M4164" s="1" t="str">
        <f>TEXT(Table1[[#This Row],[Order Date]],"mmm")</f>
        <v>Oct</v>
      </c>
      <c r="N4164" s="1">
        <f>YEAR(Table1[[#This Row],[Order Date]])</f>
        <v>2024</v>
      </c>
    </row>
    <row r="4165" spans="1:14" x14ac:dyDescent="0.35">
      <c r="A4165" s="1" t="s">
        <v>4961</v>
      </c>
      <c r="B4165" s="1" t="s">
        <v>603</v>
      </c>
      <c r="C4165" s="1" t="s">
        <v>111</v>
      </c>
      <c r="D4165" s="1" t="s">
        <v>48</v>
      </c>
      <c r="E4165" s="1" t="s">
        <v>16</v>
      </c>
      <c r="F4165" s="1" t="s">
        <v>48</v>
      </c>
      <c r="G4165" s="1">
        <v>13</v>
      </c>
      <c r="H4165" s="1">
        <v>26355</v>
      </c>
      <c r="I4165" s="1">
        <v>0.15</v>
      </c>
      <c r="J4165" s="1">
        <v>291222.75</v>
      </c>
      <c r="K4165" s="1">
        <v>83247.179999999993</v>
      </c>
      <c r="L4165" s="1" t="s">
        <v>17</v>
      </c>
      <c r="M4165" s="1" t="str">
        <f>TEXT(Table1[[#This Row],[Order Date]],"mmm")</f>
        <v>Dec</v>
      </c>
      <c r="N4165" s="1">
        <f>YEAR(Table1[[#This Row],[Order Date]])</f>
        <v>2023</v>
      </c>
    </row>
    <row r="4166" spans="1:14" x14ac:dyDescent="0.35">
      <c r="A4166" s="1" t="s">
        <v>4962</v>
      </c>
      <c r="B4166" s="1" t="s">
        <v>1203</v>
      </c>
      <c r="C4166" s="1" t="s">
        <v>335</v>
      </c>
      <c r="D4166" s="1" t="s">
        <v>91</v>
      </c>
      <c r="E4166" s="1" t="s">
        <v>16</v>
      </c>
      <c r="F4166" s="1" t="s">
        <v>91</v>
      </c>
      <c r="G4166" s="1">
        <v>2</v>
      </c>
      <c r="H4166" s="1">
        <v>3245</v>
      </c>
      <c r="I4166" s="1">
        <v>0</v>
      </c>
      <c r="J4166" s="1">
        <v>6490</v>
      </c>
      <c r="K4166" s="1">
        <v>1217.9000000000001</v>
      </c>
      <c r="L4166" s="1" t="s">
        <v>45</v>
      </c>
      <c r="M4166" s="1" t="str">
        <f>TEXT(Table1[[#This Row],[Order Date]],"mmm")</f>
        <v>Apr</v>
      </c>
      <c r="N4166" s="1">
        <f>YEAR(Table1[[#This Row],[Order Date]])</f>
        <v>2024</v>
      </c>
    </row>
    <row r="4167" spans="1:14" x14ac:dyDescent="0.35">
      <c r="A4167" s="1" t="s">
        <v>4963</v>
      </c>
      <c r="B4167" s="1" t="s">
        <v>509</v>
      </c>
      <c r="C4167" s="1" t="s">
        <v>117</v>
      </c>
      <c r="D4167" s="1" t="s">
        <v>224</v>
      </c>
      <c r="E4167" s="1" t="s">
        <v>33</v>
      </c>
      <c r="F4167" s="1" t="s">
        <v>224</v>
      </c>
      <c r="G4167" s="1">
        <v>13</v>
      </c>
      <c r="H4167" s="1">
        <v>45949</v>
      </c>
      <c r="I4167" s="1">
        <v>0.2</v>
      </c>
      <c r="J4167" s="1">
        <v>477869.6</v>
      </c>
      <c r="K4167" s="1">
        <v>84342.31</v>
      </c>
      <c r="L4167" s="1" t="s">
        <v>45</v>
      </c>
      <c r="M4167" s="1" t="str">
        <f>TEXT(Table1[[#This Row],[Order Date]],"mmm")</f>
        <v>Jan</v>
      </c>
      <c r="N4167" s="1">
        <f>YEAR(Table1[[#This Row],[Order Date]])</f>
        <v>2023</v>
      </c>
    </row>
    <row r="4168" spans="1:14" x14ac:dyDescent="0.35">
      <c r="A4168" s="1" t="s">
        <v>4964</v>
      </c>
      <c r="B4168" s="1" t="s">
        <v>1443</v>
      </c>
      <c r="C4168" s="1" t="s">
        <v>136</v>
      </c>
      <c r="D4168" s="1" t="s">
        <v>293</v>
      </c>
      <c r="E4168" s="1" t="s">
        <v>33</v>
      </c>
      <c r="F4168" s="1" t="s">
        <v>293</v>
      </c>
      <c r="G4168" s="1">
        <v>2</v>
      </c>
      <c r="H4168" s="1">
        <v>29107</v>
      </c>
      <c r="I4168" s="1">
        <v>0.1</v>
      </c>
      <c r="J4168" s="1">
        <v>52392.6</v>
      </c>
      <c r="K4168" s="1">
        <v>7299.42</v>
      </c>
      <c r="L4168" s="1" t="s">
        <v>45</v>
      </c>
      <c r="M4168" s="1" t="str">
        <f>TEXT(Table1[[#This Row],[Order Date]],"mmm")</f>
        <v>Aug</v>
      </c>
      <c r="N4168" s="1">
        <f>YEAR(Table1[[#This Row],[Order Date]])</f>
        <v>2023</v>
      </c>
    </row>
    <row r="4169" spans="1:14" x14ac:dyDescent="0.35">
      <c r="A4169" s="1" t="s">
        <v>4965</v>
      </c>
      <c r="B4169" s="1" t="s">
        <v>939</v>
      </c>
      <c r="C4169" s="1" t="s">
        <v>77</v>
      </c>
      <c r="D4169" s="1" t="s">
        <v>27</v>
      </c>
      <c r="E4169" s="1" t="s">
        <v>28</v>
      </c>
      <c r="F4169" s="1" t="s">
        <v>27</v>
      </c>
      <c r="G4169" s="1">
        <v>7</v>
      </c>
      <c r="H4169" s="1">
        <v>52850</v>
      </c>
      <c r="I4169" s="1">
        <v>0</v>
      </c>
      <c r="J4169" s="1">
        <v>369950</v>
      </c>
      <c r="K4169" s="1">
        <v>71150.73</v>
      </c>
      <c r="L4169" s="1" t="s">
        <v>45</v>
      </c>
      <c r="M4169" s="1" t="str">
        <f>TEXT(Table1[[#This Row],[Order Date]],"mmm")</f>
        <v>Apr</v>
      </c>
      <c r="N4169" s="1">
        <f>YEAR(Table1[[#This Row],[Order Date]])</f>
        <v>2024</v>
      </c>
    </row>
    <row r="4170" spans="1:14" x14ac:dyDescent="0.35">
      <c r="A4170" s="1" t="s">
        <v>4966</v>
      </c>
      <c r="B4170" s="1" t="s">
        <v>530</v>
      </c>
      <c r="C4170" s="1" t="s">
        <v>55</v>
      </c>
      <c r="D4170" s="1" t="s">
        <v>167</v>
      </c>
      <c r="E4170" s="1" t="s">
        <v>16</v>
      </c>
      <c r="F4170" s="1" t="s">
        <v>167</v>
      </c>
      <c r="G4170" s="1">
        <v>7</v>
      </c>
      <c r="H4170" s="1">
        <v>5571</v>
      </c>
      <c r="I4170" s="1">
        <v>0.05</v>
      </c>
      <c r="J4170" s="1">
        <v>37047.15</v>
      </c>
      <c r="K4170" s="1">
        <v>6342.21</v>
      </c>
      <c r="L4170" s="1" t="s">
        <v>45</v>
      </c>
      <c r="M4170" s="1" t="str">
        <f>TEXT(Table1[[#This Row],[Order Date]],"mmm")</f>
        <v>Jul</v>
      </c>
      <c r="N4170" s="1">
        <f>YEAR(Table1[[#This Row],[Order Date]])</f>
        <v>2024</v>
      </c>
    </row>
    <row r="4171" spans="1:14" x14ac:dyDescent="0.35">
      <c r="A4171" s="1" t="s">
        <v>4967</v>
      </c>
      <c r="B4171" s="1" t="s">
        <v>504</v>
      </c>
      <c r="C4171" s="1" t="s">
        <v>170</v>
      </c>
      <c r="D4171" s="1" t="s">
        <v>60</v>
      </c>
      <c r="E4171" s="1" t="s">
        <v>33</v>
      </c>
      <c r="F4171" s="1" t="s">
        <v>60</v>
      </c>
      <c r="G4171" s="1">
        <v>10</v>
      </c>
      <c r="H4171" s="1">
        <v>36051</v>
      </c>
      <c r="I4171" s="1">
        <v>0.2</v>
      </c>
      <c r="J4171" s="1">
        <v>288408</v>
      </c>
      <c r="K4171" s="1">
        <v>64996.45</v>
      </c>
      <c r="L4171" s="1" t="s">
        <v>17</v>
      </c>
      <c r="M4171" s="1" t="str">
        <f>TEXT(Table1[[#This Row],[Order Date]],"mmm")</f>
        <v>Aug</v>
      </c>
      <c r="N4171" s="1">
        <f>YEAR(Table1[[#This Row],[Order Date]])</f>
        <v>2023</v>
      </c>
    </row>
    <row r="4172" spans="1:14" x14ac:dyDescent="0.35">
      <c r="A4172" s="1" t="s">
        <v>4968</v>
      </c>
      <c r="B4172" s="1" t="s">
        <v>1225</v>
      </c>
      <c r="C4172" s="1" t="s">
        <v>507</v>
      </c>
      <c r="D4172" s="1" t="s">
        <v>21</v>
      </c>
      <c r="E4172" s="1" t="s">
        <v>22</v>
      </c>
      <c r="F4172" s="1" t="s">
        <v>21</v>
      </c>
      <c r="G4172" s="1">
        <v>15</v>
      </c>
      <c r="H4172" s="1">
        <v>48582</v>
      </c>
      <c r="I4172" s="1">
        <v>0.1</v>
      </c>
      <c r="J4172" s="1">
        <v>655857</v>
      </c>
      <c r="K4172" s="1">
        <v>157548.51</v>
      </c>
      <c r="L4172" s="1" t="s">
        <v>23</v>
      </c>
      <c r="M4172" s="1" t="str">
        <f>TEXT(Table1[[#This Row],[Order Date]],"mmm")</f>
        <v>May</v>
      </c>
      <c r="N4172" s="1">
        <f>YEAR(Table1[[#This Row],[Order Date]])</f>
        <v>2023</v>
      </c>
    </row>
    <row r="4173" spans="1:14" x14ac:dyDescent="0.35">
      <c r="A4173" s="1" t="s">
        <v>4969</v>
      </c>
      <c r="B4173" s="1" t="s">
        <v>337</v>
      </c>
      <c r="C4173" s="1" t="s">
        <v>77</v>
      </c>
      <c r="D4173" s="1" t="s">
        <v>41</v>
      </c>
      <c r="E4173" s="1" t="s">
        <v>16</v>
      </c>
      <c r="F4173" s="1" t="s">
        <v>41</v>
      </c>
      <c r="G4173" s="1">
        <v>15</v>
      </c>
      <c r="H4173" s="1">
        <v>45217</v>
      </c>
      <c r="I4173" s="1">
        <v>0.05</v>
      </c>
      <c r="J4173" s="1">
        <v>644342.25</v>
      </c>
      <c r="K4173" s="1">
        <v>188460.41</v>
      </c>
      <c r="L4173" s="1" t="s">
        <v>23</v>
      </c>
      <c r="M4173" s="1" t="str">
        <f>TEXT(Table1[[#This Row],[Order Date]],"mmm")</f>
        <v>May</v>
      </c>
      <c r="N4173" s="1">
        <f>YEAR(Table1[[#This Row],[Order Date]])</f>
        <v>2024</v>
      </c>
    </row>
    <row r="4174" spans="1:14" x14ac:dyDescent="0.35">
      <c r="A4174" s="1" t="s">
        <v>4970</v>
      </c>
      <c r="B4174" s="1" t="s">
        <v>1043</v>
      </c>
      <c r="C4174" s="1" t="s">
        <v>94</v>
      </c>
      <c r="D4174" s="1" t="s">
        <v>137</v>
      </c>
      <c r="E4174" s="1" t="s">
        <v>22</v>
      </c>
      <c r="F4174" s="1" t="s">
        <v>137</v>
      </c>
      <c r="G4174" s="1">
        <v>6</v>
      </c>
      <c r="H4174" s="1">
        <v>21151</v>
      </c>
      <c r="I4174" s="1">
        <v>0.2</v>
      </c>
      <c r="J4174" s="1">
        <v>101524.8</v>
      </c>
      <c r="K4174" s="1">
        <v>27585.84</v>
      </c>
      <c r="L4174" s="1" t="s">
        <v>70</v>
      </c>
      <c r="M4174" s="1" t="str">
        <f>TEXT(Table1[[#This Row],[Order Date]],"mmm")</f>
        <v>Aug</v>
      </c>
      <c r="N4174" s="1">
        <f>YEAR(Table1[[#This Row],[Order Date]])</f>
        <v>2024</v>
      </c>
    </row>
    <row r="4175" spans="1:14" x14ac:dyDescent="0.35">
      <c r="A4175" s="1" t="s">
        <v>4971</v>
      </c>
      <c r="B4175" s="1" t="s">
        <v>396</v>
      </c>
      <c r="C4175" s="1" t="s">
        <v>155</v>
      </c>
      <c r="D4175" s="1" t="s">
        <v>27</v>
      </c>
      <c r="E4175" s="1" t="s">
        <v>28</v>
      </c>
      <c r="F4175" s="1" t="s">
        <v>27</v>
      </c>
      <c r="G4175" s="1">
        <v>6</v>
      </c>
      <c r="H4175" s="1">
        <v>809</v>
      </c>
      <c r="I4175" s="1">
        <v>0.05</v>
      </c>
      <c r="J4175" s="1">
        <v>4611.3</v>
      </c>
      <c r="K4175" s="1">
        <v>1189.3599999999999</v>
      </c>
      <c r="L4175" s="1" t="s">
        <v>45</v>
      </c>
      <c r="M4175" s="1" t="str">
        <f>TEXT(Table1[[#This Row],[Order Date]],"mmm")</f>
        <v>Jul</v>
      </c>
      <c r="N4175" s="1">
        <f>YEAR(Table1[[#This Row],[Order Date]])</f>
        <v>2023</v>
      </c>
    </row>
    <row r="4176" spans="1:14" x14ac:dyDescent="0.35">
      <c r="A4176" s="1" t="s">
        <v>4972</v>
      </c>
      <c r="B4176" s="1" t="s">
        <v>116</v>
      </c>
      <c r="C4176" s="1" t="s">
        <v>640</v>
      </c>
      <c r="D4176" s="1" t="s">
        <v>52</v>
      </c>
      <c r="E4176" s="1" t="s">
        <v>28</v>
      </c>
      <c r="F4176" s="1" t="s">
        <v>52</v>
      </c>
      <c r="G4176" s="1">
        <v>13</v>
      </c>
      <c r="H4176" s="1">
        <v>43130</v>
      </c>
      <c r="I4176" s="1">
        <v>0.2</v>
      </c>
      <c r="J4176" s="1">
        <v>448552</v>
      </c>
      <c r="K4176" s="1">
        <v>129251.04</v>
      </c>
      <c r="L4176" s="1" t="s">
        <v>17</v>
      </c>
      <c r="M4176" s="1" t="str">
        <f>TEXT(Table1[[#This Row],[Order Date]],"mmm")</f>
        <v>Jan</v>
      </c>
      <c r="N4176" s="1">
        <f>YEAR(Table1[[#This Row],[Order Date]])</f>
        <v>2023</v>
      </c>
    </row>
    <row r="4177" spans="1:14" x14ac:dyDescent="0.35">
      <c r="A4177" s="1" t="s">
        <v>4973</v>
      </c>
      <c r="B4177" s="1" t="s">
        <v>1718</v>
      </c>
      <c r="C4177" s="1" t="s">
        <v>73</v>
      </c>
      <c r="D4177" s="1" t="s">
        <v>27</v>
      </c>
      <c r="E4177" s="1" t="s">
        <v>28</v>
      </c>
      <c r="F4177" s="1" t="s">
        <v>27</v>
      </c>
      <c r="G4177" s="1">
        <v>9</v>
      </c>
      <c r="H4177" s="1">
        <v>10135</v>
      </c>
      <c r="I4177" s="1">
        <v>0.15</v>
      </c>
      <c r="J4177" s="1">
        <v>77532.75</v>
      </c>
      <c r="K4177" s="1">
        <v>21380.080000000002</v>
      </c>
      <c r="L4177" s="1" t="s">
        <v>23</v>
      </c>
      <c r="M4177" s="1" t="str">
        <f>TEXT(Table1[[#This Row],[Order Date]],"mmm")</f>
        <v>Nov</v>
      </c>
      <c r="N4177" s="1">
        <f>YEAR(Table1[[#This Row],[Order Date]])</f>
        <v>2024</v>
      </c>
    </row>
    <row r="4178" spans="1:14" x14ac:dyDescent="0.35">
      <c r="A4178" s="1" t="s">
        <v>4974</v>
      </c>
      <c r="B4178" s="1" t="s">
        <v>1673</v>
      </c>
      <c r="C4178" s="1" t="s">
        <v>98</v>
      </c>
      <c r="D4178" s="1" t="s">
        <v>179</v>
      </c>
      <c r="E4178" s="1" t="s">
        <v>28</v>
      </c>
      <c r="F4178" s="1" t="s">
        <v>179</v>
      </c>
      <c r="G4178" s="1">
        <v>11</v>
      </c>
      <c r="H4178" s="1">
        <v>57310</v>
      </c>
      <c r="I4178" s="1">
        <v>0.15</v>
      </c>
      <c r="J4178" s="1">
        <v>535848.5</v>
      </c>
      <c r="K4178" s="1">
        <v>48217.42</v>
      </c>
      <c r="L4178" s="1" t="s">
        <v>70</v>
      </c>
      <c r="M4178" s="1" t="str">
        <f>TEXT(Table1[[#This Row],[Order Date]],"mmm")</f>
        <v>Jan</v>
      </c>
      <c r="N4178" s="1">
        <f>YEAR(Table1[[#This Row],[Order Date]])</f>
        <v>2024</v>
      </c>
    </row>
    <row r="4179" spans="1:14" x14ac:dyDescent="0.35">
      <c r="A4179" s="1" t="s">
        <v>4975</v>
      </c>
      <c r="B4179" s="1" t="s">
        <v>571</v>
      </c>
      <c r="C4179" s="1" t="s">
        <v>203</v>
      </c>
      <c r="D4179" s="1" t="s">
        <v>37</v>
      </c>
      <c r="E4179" s="1" t="s">
        <v>16</v>
      </c>
      <c r="F4179" s="1" t="s">
        <v>37</v>
      </c>
      <c r="G4179" s="1">
        <v>11</v>
      </c>
      <c r="H4179" s="1">
        <v>21375</v>
      </c>
      <c r="I4179" s="1">
        <v>0</v>
      </c>
      <c r="J4179" s="1">
        <v>235125</v>
      </c>
      <c r="K4179" s="1">
        <v>30148.95</v>
      </c>
      <c r="L4179" s="1" t="s">
        <v>45</v>
      </c>
      <c r="M4179" s="1" t="str">
        <f>TEXT(Table1[[#This Row],[Order Date]],"mmm")</f>
        <v>Dec</v>
      </c>
      <c r="N4179" s="1">
        <f>YEAR(Table1[[#This Row],[Order Date]])</f>
        <v>2023</v>
      </c>
    </row>
    <row r="4180" spans="1:14" x14ac:dyDescent="0.35">
      <c r="A4180" s="1" t="s">
        <v>4976</v>
      </c>
      <c r="B4180" s="1" t="s">
        <v>833</v>
      </c>
      <c r="C4180" s="1" t="s">
        <v>20</v>
      </c>
      <c r="D4180" s="1" t="s">
        <v>78</v>
      </c>
      <c r="E4180" s="1" t="s">
        <v>28</v>
      </c>
      <c r="F4180" s="1" t="s">
        <v>78</v>
      </c>
      <c r="G4180" s="1">
        <v>7</v>
      </c>
      <c r="H4180" s="1">
        <v>519</v>
      </c>
      <c r="I4180" s="1">
        <v>0.05</v>
      </c>
      <c r="J4180" s="1">
        <v>3451.35</v>
      </c>
      <c r="K4180" s="1">
        <v>914.4</v>
      </c>
      <c r="L4180" s="1" t="s">
        <v>70</v>
      </c>
      <c r="M4180" s="1" t="str">
        <f>TEXT(Table1[[#This Row],[Order Date]],"mmm")</f>
        <v>Apr</v>
      </c>
      <c r="N4180" s="1">
        <f>YEAR(Table1[[#This Row],[Order Date]])</f>
        <v>2023</v>
      </c>
    </row>
    <row r="4181" spans="1:14" x14ac:dyDescent="0.35">
      <c r="A4181" s="1" t="s">
        <v>4977</v>
      </c>
      <c r="B4181" s="1" t="s">
        <v>119</v>
      </c>
      <c r="C4181" s="1" t="s">
        <v>140</v>
      </c>
      <c r="D4181" s="1" t="s">
        <v>27</v>
      </c>
      <c r="E4181" s="1" t="s">
        <v>28</v>
      </c>
      <c r="F4181" s="1" t="s">
        <v>27</v>
      </c>
      <c r="G4181" s="1">
        <v>1</v>
      </c>
      <c r="H4181" s="1">
        <v>27287</v>
      </c>
      <c r="I4181" s="1">
        <v>0.1</v>
      </c>
      <c r="J4181" s="1">
        <v>24558.3</v>
      </c>
      <c r="K4181" s="1">
        <v>5185.8599999999997</v>
      </c>
      <c r="L4181" s="1" t="s">
        <v>45</v>
      </c>
      <c r="M4181" s="1" t="str">
        <f>TEXT(Table1[[#This Row],[Order Date]],"mmm")</f>
        <v>Apr</v>
      </c>
      <c r="N4181" s="1">
        <f>YEAR(Table1[[#This Row],[Order Date]])</f>
        <v>2024</v>
      </c>
    </row>
    <row r="4182" spans="1:14" x14ac:dyDescent="0.35">
      <c r="A4182" s="1" t="s">
        <v>4978</v>
      </c>
      <c r="B4182" s="1" t="s">
        <v>948</v>
      </c>
      <c r="C4182" s="1" t="s">
        <v>158</v>
      </c>
      <c r="D4182" s="1" t="s">
        <v>41</v>
      </c>
      <c r="E4182" s="1" t="s">
        <v>16</v>
      </c>
      <c r="F4182" s="1" t="s">
        <v>41</v>
      </c>
      <c r="G4182" s="1">
        <v>9</v>
      </c>
      <c r="H4182" s="1">
        <v>49057</v>
      </c>
      <c r="I4182" s="1">
        <v>0</v>
      </c>
      <c r="J4182" s="1">
        <v>441513</v>
      </c>
      <c r="K4182" s="1">
        <v>116770.34</v>
      </c>
      <c r="L4182" s="1" t="s">
        <v>17</v>
      </c>
      <c r="M4182" s="1" t="str">
        <f>TEXT(Table1[[#This Row],[Order Date]],"mmm")</f>
        <v>Dec</v>
      </c>
      <c r="N4182" s="1">
        <f>YEAR(Table1[[#This Row],[Order Date]])</f>
        <v>2023</v>
      </c>
    </row>
    <row r="4183" spans="1:14" x14ac:dyDescent="0.35">
      <c r="A4183" s="1" t="s">
        <v>4979</v>
      </c>
      <c r="B4183" s="1" t="s">
        <v>437</v>
      </c>
      <c r="C4183" s="1" t="s">
        <v>146</v>
      </c>
      <c r="D4183" s="1" t="s">
        <v>41</v>
      </c>
      <c r="E4183" s="1" t="s">
        <v>16</v>
      </c>
      <c r="F4183" s="1" t="s">
        <v>41</v>
      </c>
      <c r="G4183" s="1">
        <v>3</v>
      </c>
      <c r="H4183" s="1">
        <v>23948</v>
      </c>
      <c r="I4183" s="1">
        <v>0.15</v>
      </c>
      <c r="J4183" s="1">
        <v>61067.4</v>
      </c>
      <c r="K4183" s="1">
        <v>12749.56</v>
      </c>
      <c r="L4183" s="1" t="s">
        <v>17</v>
      </c>
      <c r="M4183" s="1" t="str">
        <f>TEXT(Table1[[#This Row],[Order Date]],"mmm")</f>
        <v>Mar</v>
      </c>
      <c r="N4183" s="1">
        <f>YEAR(Table1[[#This Row],[Order Date]])</f>
        <v>2023</v>
      </c>
    </row>
    <row r="4184" spans="1:14" x14ac:dyDescent="0.35">
      <c r="A4184" s="1" t="s">
        <v>4980</v>
      </c>
      <c r="B4184" s="1" t="s">
        <v>1297</v>
      </c>
      <c r="C4184" s="1" t="s">
        <v>104</v>
      </c>
      <c r="D4184" s="1" t="s">
        <v>52</v>
      </c>
      <c r="E4184" s="1" t="s">
        <v>28</v>
      </c>
      <c r="F4184" s="1" t="s">
        <v>52</v>
      </c>
      <c r="G4184" s="1">
        <v>1</v>
      </c>
      <c r="H4184" s="1">
        <v>51468</v>
      </c>
      <c r="I4184" s="1">
        <v>0.15</v>
      </c>
      <c r="J4184" s="1">
        <v>43747.8</v>
      </c>
      <c r="K4184" s="1">
        <v>7782.31</v>
      </c>
      <c r="L4184" s="1" t="s">
        <v>17</v>
      </c>
      <c r="M4184" s="1" t="str">
        <f>TEXT(Table1[[#This Row],[Order Date]],"mmm")</f>
        <v>Jun</v>
      </c>
      <c r="N4184" s="1">
        <f>YEAR(Table1[[#This Row],[Order Date]])</f>
        <v>2024</v>
      </c>
    </row>
    <row r="4185" spans="1:14" x14ac:dyDescent="0.35">
      <c r="A4185" s="1" t="s">
        <v>4981</v>
      </c>
      <c r="B4185" s="1" t="s">
        <v>286</v>
      </c>
      <c r="C4185" s="1" t="s">
        <v>260</v>
      </c>
      <c r="D4185" s="1" t="s">
        <v>64</v>
      </c>
      <c r="E4185" s="1" t="s">
        <v>33</v>
      </c>
      <c r="F4185" s="1" t="s">
        <v>64</v>
      </c>
      <c r="G4185" s="1">
        <v>1</v>
      </c>
      <c r="H4185" s="1">
        <v>57386</v>
      </c>
      <c r="I4185" s="1">
        <v>0.1</v>
      </c>
      <c r="J4185" s="1">
        <v>51647.4</v>
      </c>
      <c r="K4185" s="1">
        <v>9831.82</v>
      </c>
      <c r="L4185" s="1" t="s">
        <v>70</v>
      </c>
      <c r="M4185" s="1" t="str">
        <f>TEXT(Table1[[#This Row],[Order Date]],"mmm")</f>
        <v>Mar</v>
      </c>
      <c r="N4185" s="1">
        <f>YEAR(Table1[[#This Row],[Order Date]])</f>
        <v>2024</v>
      </c>
    </row>
    <row r="4186" spans="1:14" x14ac:dyDescent="0.35">
      <c r="A4186" s="1" t="s">
        <v>4982</v>
      </c>
      <c r="B4186" s="1" t="s">
        <v>1673</v>
      </c>
      <c r="C4186" s="1" t="s">
        <v>640</v>
      </c>
      <c r="D4186" s="1" t="s">
        <v>224</v>
      </c>
      <c r="E4186" s="1" t="s">
        <v>33</v>
      </c>
      <c r="F4186" s="1" t="s">
        <v>224</v>
      </c>
      <c r="G4186" s="1">
        <v>9</v>
      </c>
      <c r="H4186" s="1">
        <v>6910</v>
      </c>
      <c r="I4186" s="1">
        <v>0</v>
      </c>
      <c r="J4186" s="1">
        <v>62190</v>
      </c>
      <c r="K4186" s="1">
        <v>14037.81</v>
      </c>
      <c r="L4186" s="1" t="s">
        <v>17</v>
      </c>
      <c r="M4186" s="1" t="str">
        <f>TEXT(Table1[[#This Row],[Order Date]],"mmm")</f>
        <v>Jan</v>
      </c>
      <c r="N4186" s="1">
        <f>YEAR(Table1[[#This Row],[Order Date]])</f>
        <v>2024</v>
      </c>
    </row>
    <row r="4187" spans="1:14" x14ac:dyDescent="0.35">
      <c r="A4187" s="1" t="s">
        <v>4983</v>
      </c>
      <c r="B4187" s="1" t="s">
        <v>2178</v>
      </c>
      <c r="C4187" s="1" t="s">
        <v>178</v>
      </c>
      <c r="D4187" s="1" t="s">
        <v>95</v>
      </c>
      <c r="E4187" s="1" t="s">
        <v>33</v>
      </c>
      <c r="F4187" s="1" t="s">
        <v>95</v>
      </c>
      <c r="G4187" s="1">
        <v>9</v>
      </c>
      <c r="H4187" s="1">
        <v>22547</v>
      </c>
      <c r="I4187" s="1">
        <v>0</v>
      </c>
      <c r="J4187" s="1">
        <v>202923</v>
      </c>
      <c r="K4187" s="1">
        <v>42373.93</v>
      </c>
      <c r="L4187" s="1" t="s">
        <v>45</v>
      </c>
      <c r="M4187" s="1" t="str">
        <f>TEXT(Table1[[#This Row],[Order Date]],"mmm")</f>
        <v>Jul</v>
      </c>
      <c r="N4187" s="1">
        <f>YEAR(Table1[[#This Row],[Order Date]])</f>
        <v>2023</v>
      </c>
    </row>
    <row r="4188" spans="1:14" x14ac:dyDescent="0.35">
      <c r="A4188" s="1" t="s">
        <v>4984</v>
      </c>
      <c r="B4188" s="1" t="s">
        <v>2890</v>
      </c>
      <c r="C4188" s="1" t="s">
        <v>200</v>
      </c>
      <c r="D4188" s="1" t="s">
        <v>15</v>
      </c>
      <c r="E4188" s="1" t="s">
        <v>16</v>
      </c>
      <c r="F4188" s="1" t="s">
        <v>15</v>
      </c>
      <c r="G4188" s="1">
        <v>14</v>
      </c>
      <c r="H4188" s="1">
        <v>45393</v>
      </c>
      <c r="I4188" s="1">
        <v>0.2</v>
      </c>
      <c r="J4188" s="1">
        <v>508401.6</v>
      </c>
      <c r="K4188" s="1">
        <v>66729.509999999995</v>
      </c>
      <c r="L4188" s="1" t="s">
        <v>70</v>
      </c>
      <c r="M4188" s="1" t="str">
        <f>TEXT(Table1[[#This Row],[Order Date]],"mmm")</f>
        <v>Aug</v>
      </c>
      <c r="N4188" s="1">
        <f>YEAR(Table1[[#This Row],[Order Date]])</f>
        <v>2023</v>
      </c>
    </row>
    <row r="4189" spans="1:14" x14ac:dyDescent="0.35">
      <c r="A4189" s="1" t="s">
        <v>4985</v>
      </c>
      <c r="B4189" s="1" t="s">
        <v>532</v>
      </c>
      <c r="C4189" s="1" t="s">
        <v>94</v>
      </c>
      <c r="D4189" s="1" t="s">
        <v>108</v>
      </c>
      <c r="E4189" s="1" t="s">
        <v>22</v>
      </c>
      <c r="F4189" s="1" t="s">
        <v>108</v>
      </c>
      <c r="G4189" s="1">
        <v>15</v>
      </c>
      <c r="H4189" s="1">
        <v>56222</v>
      </c>
      <c r="I4189" s="1">
        <v>0</v>
      </c>
      <c r="J4189" s="1">
        <v>843330</v>
      </c>
      <c r="K4189" s="1">
        <v>236106.15</v>
      </c>
      <c r="L4189" s="1" t="s">
        <v>17</v>
      </c>
      <c r="M4189" s="1" t="str">
        <f>TEXT(Table1[[#This Row],[Order Date]],"mmm")</f>
        <v>Jun</v>
      </c>
      <c r="N4189" s="1">
        <f>YEAR(Table1[[#This Row],[Order Date]])</f>
        <v>2024</v>
      </c>
    </row>
    <row r="4190" spans="1:14" x14ac:dyDescent="0.35">
      <c r="A4190" s="1" t="s">
        <v>4986</v>
      </c>
      <c r="B4190" s="1" t="s">
        <v>360</v>
      </c>
      <c r="C4190" s="1" t="s">
        <v>63</v>
      </c>
      <c r="D4190" s="1" t="s">
        <v>91</v>
      </c>
      <c r="E4190" s="1" t="s">
        <v>16</v>
      </c>
      <c r="F4190" s="1" t="s">
        <v>91</v>
      </c>
      <c r="G4190" s="1">
        <v>3</v>
      </c>
      <c r="H4190" s="1">
        <v>7118</v>
      </c>
      <c r="I4190" s="1">
        <v>0.15</v>
      </c>
      <c r="J4190" s="1">
        <v>18150.900000000001</v>
      </c>
      <c r="K4190" s="1">
        <v>3974.6</v>
      </c>
      <c r="L4190" s="1" t="s">
        <v>45</v>
      </c>
      <c r="M4190" s="1" t="str">
        <f>TEXT(Table1[[#This Row],[Order Date]],"mmm")</f>
        <v>Jun</v>
      </c>
      <c r="N4190" s="1">
        <f>YEAR(Table1[[#This Row],[Order Date]])</f>
        <v>2023</v>
      </c>
    </row>
    <row r="4191" spans="1:14" x14ac:dyDescent="0.35">
      <c r="A4191" s="1" t="s">
        <v>4987</v>
      </c>
      <c r="B4191" s="1" t="s">
        <v>351</v>
      </c>
      <c r="C4191" s="1" t="s">
        <v>20</v>
      </c>
      <c r="D4191" s="1" t="s">
        <v>27</v>
      </c>
      <c r="E4191" s="1" t="s">
        <v>28</v>
      </c>
      <c r="F4191" s="1" t="s">
        <v>27</v>
      </c>
      <c r="G4191" s="1">
        <v>14</v>
      </c>
      <c r="H4191" s="1">
        <v>57816</v>
      </c>
      <c r="I4191" s="1">
        <v>0.05</v>
      </c>
      <c r="J4191" s="1">
        <v>768952.8</v>
      </c>
      <c r="K4191" s="1">
        <v>87935.99</v>
      </c>
      <c r="L4191" s="1" t="s">
        <v>17</v>
      </c>
      <c r="M4191" s="1" t="str">
        <f>TEXT(Table1[[#This Row],[Order Date]],"mmm")</f>
        <v>Apr</v>
      </c>
      <c r="N4191" s="1">
        <f>YEAR(Table1[[#This Row],[Order Date]])</f>
        <v>2023</v>
      </c>
    </row>
    <row r="4192" spans="1:14" x14ac:dyDescent="0.35">
      <c r="A4192" s="1" t="s">
        <v>4988</v>
      </c>
      <c r="B4192" s="1" t="s">
        <v>1324</v>
      </c>
      <c r="C4192" s="1" t="s">
        <v>81</v>
      </c>
      <c r="D4192" s="1" t="s">
        <v>85</v>
      </c>
      <c r="E4192" s="1" t="s">
        <v>28</v>
      </c>
      <c r="F4192" s="1" t="s">
        <v>85</v>
      </c>
      <c r="G4192" s="1">
        <v>14</v>
      </c>
      <c r="H4192" s="1">
        <v>37351</v>
      </c>
      <c r="I4192" s="1">
        <v>0.15</v>
      </c>
      <c r="J4192" s="1">
        <v>444476.9</v>
      </c>
      <c r="K4192" s="1">
        <v>117957.13</v>
      </c>
      <c r="L4192" s="1" t="s">
        <v>17</v>
      </c>
      <c r="M4192" s="1" t="str">
        <f>TEXT(Table1[[#This Row],[Order Date]],"mmm")</f>
        <v>Aug</v>
      </c>
      <c r="N4192" s="1">
        <f>YEAR(Table1[[#This Row],[Order Date]])</f>
        <v>2024</v>
      </c>
    </row>
    <row r="4193" spans="1:14" x14ac:dyDescent="0.35">
      <c r="A4193" s="1" t="s">
        <v>4989</v>
      </c>
      <c r="B4193" s="1" t="s">
        <v>195</v>
      </c>
      <c r="C4193" s="1" t="s">
        <v>260</v>
      </c>
      <c r="D4193" s="1" t="s">
        <v>179</v>
      </c>
      <c r="E4193" s="1" t="s">
        <v>28</v>
      </c>
      <c r="F4193" s="1" t="s">
        <v>179</v>
      </c>
      <c r="G4193" s="1">
        <v>10</v>
      </c>
      <c r="H4193" s="1">
        <v>1782</v>
      </c>
      <c r="I4193" s="1">
        <v>0</v>
      </c>
      <c r="J4193" s="1">
        <v>17820</v>
      </c>
      <c r="K4193" s="1">
        <v>2272.21</v>
      </c>
      <c r="L4193" s="1" t="s">
        <v>45</v>
      </c>
      <c r="M4193" s="1" t="str">
        <f>TEXT(Table1[[#This Row],[Order Date]],"mmm")</f>
        <v>Mar</v>
      </c>
      <c r="N4193" s="1">
        <f>YEAR(Table1[[#This Row],[Order Date]])</f>
        <v>2024</v>
      </c>
    </row>
    <row r="4194" spans="1:14" x14ac:dyDescent="0.35">
      <c r="A4194" s="1" t="s">
        <v>4990</v>
      </c>
      <c r="B4194" s="1" t="s">
        <v>547</v>
      </c>
      <c r="C4194" s="1" t="s">
        <v>111</v>
      </c>
      <c r="D4194" s="1" t="s">
        <v>41</v>
      </c>
      <c r="E4194" s="1" t="s">
        <v>16</v>
      </c>
      <c r="F4194" s="1" t="s">
        <v>41</v>
      </c>
      <c r="G4194" s="1">
        <v>8</v>
      </c>
      <c r="H4194" s="1">
        <v>1102</v>
      </c>
      <c r="I4194" s="1">
        <v>0.05</v>
      </c>
      <c r="J4194" s="1">
        <v>8375.2000000000007</v>
      </c>
      <c r="K4194" s="1">
        <v>1355.98</v>
      </c>
      <c r="L4194" s="1" t="s">
        <v>45</v>
      </c>
      <c r="M4194" s="1" t="str">
        <f>TEXT(Table1[[#This Row],[Order Date]],"mmm")</f>
        <v>Nov</v>
      </c>
      <c r="N4194" s="1">
        <f>YEAR(Table1[[#This Row],[Order Date]])</f>
        <v>2023</v>
      </c>
    </row>
    <row r="4195" spans="1:14" x14ac:dyDescent="0.35">
      <c r="A4195" s="1" t="s">
        <v>4991</v>
      </c>
      <c r="B4195" s="1" t="s">
        <v>1133</v>
      </c>
      <c r="C4195" s="1" t="s">
        <v>191</v>
      </c>
      <c r="D4195" s="1" t="s">
        <v>37</v>
      </c>
      <c r="E4195" s="1" t="s">
        <v>16</v>
      </c>
      <c r="F4195" s="1" t="s">
        <v>37</v>
      </c>
      <c r="G4195" s="1">
        <v>11</v>
      </c>
      <c r="H4195" s="1">
        <v>47696</v>
      </c>
      <c r="I4195" s="1">
        <v>0.2</v>
      </c>
      <c r="J4195" s="1">
        <v>419724.79999999999</v>
      </c>
      <c r="K4195" s="1">
        <v>51015.71</v>
      </c>
      <c r="L4195" s="1" t="s">
        <v>70</v>
      </c>
      <c r="M4195" s="1" t="str">
        <f>TEXT(Table1[[#This Row],[Order Date]],"mmm")</f>
        <v>Nov</v>
      </c>
      <c r="N4195" s="1">
        <f>YEAR(Table1[[#This Row],[Order Date]])</f>
        <v>2024</v>
      </c>
    </row>
    <row r="4196" spans="1:14" x14ac:dyDescent="0.35">
      <c r="A4196" s="1" t="s">
        <v>4992</v>
      </c>
      <c r="B4196" s="1" t="s">
        <v>1124</v>
      </c>
      <c r="C4196" s="1" t="s">
        <v>59</v>
      </c>
      <c r="D4196" s="1" t="s">
        <v>32</v>
      </c>
      <c r="E4196" s="1" t="s">
        <v>33</v>
      </c>
      <c r="F4196" s="1" t="s">
        <v>32</v>
      </c>
      <c r="G4196" s="1">
        <v>1</v>
      </c>
      <c r="H4196" s="1">
        <v>2170</v>
      </c>
      <c r="I4196" s="1">
        <v>0.2</v>
      </c>
      <c r="J4196" s="1">
        <v>1736</v>
      </c>
      <c r="K4196" s="1">
        <v>491.14</v>
      </c>
      <c r="L4196" s="1" t="s">
        <v>23</v>
      </c>
      <c r="M4196" s="1" t="str">
        <f>TEXT(Table1[[#This Row],[Order Date]],"mmm")</f>
        <v>Feb</v>
      </c>
      <c r="N4196" s="1">
        <f>YEAR(Table1[[#This Row],[Order Date]])</f>
        <v>2024</v>
      </c>
    </row>
    <row r="4197" spans="1:14" x14ac:dyDescent="0.35">
      <c r="A4197" s="1" t="s">
        <v>4993</v>
      </c>
      <c r="B4197" s="1" t="s">
        <v>202</v>
      </c>
      <c r="C4197" s="1" t="s">
        <v>162</v>
      </c>
      <c r="D4197" s="1" t="s">
        <v>52</v>
      </c>
      <c r="E4197" s="1" t="s">
        <v>28</v>
      </c>
      <c r="F4197" s="1" t="s">
        <v>52</v>
      </c>
      <c r="G4197" s="1">
        <v>7</v>
      </c>
      <c r="H4197" s="1">
        <v>21199</v>
      </c>
      <c r="I4197" s="1">
        <v>0.1</v>
      </c>
      <c r="J4197" s="1">
        <v>133553.70000000001</v>
      </c>
      <c r="K4197" s="1">
        <v>23984.84</v>
      </c>
      <c r="L4197" s="1" t="s">
        <v>23</v>
      </c>
      <c r="M4197" s="1" t="str">
        <f>TEXT(Table1[[#This Row],[Order Date]],"mmm")</f>
        <v>Jun</v>
      </c>
      <c r="N4197" s="1">
        <f>YEAR(Table1[[#This Row],[Order Date]])</f>
        <v>2023</v>
      </c>
    </row>
    <row r="4198" spans="1:14" x14ac:dyDescent="0.35">
      <c r="A4198" s="1" t="s">
        <v>4994</v>
      </c>
      <c r="B4198" s="1" t="s">
        <v>794</v>
      </c>
      <c r="C4198" s="1" t="s">
        <v>73</v>
      </c>
      <c r="D4198" s="1" t="s">
        <v>133</v>
      </c>
      <c r="E4198" s="1" t="s">
        <v>22</v>
      </c>
      <c r="F4198" s="1" t="s">
        <v>133</v>
      </c>
      <c r="G4198" s="1">
        <v>1</v>
      </c>
      <c r="H4198" s="1">
        <v>54248</v>
      </c>
      <c r="I4198" s="1">
        <v>0.15</v>
      </c>
      <c r="J4198" s="1">
        <v>46110.8</v>
      </c>
      <c r="K4198" s="1">
        <v>13620.95</v>
      </c>
      <c r="L4198" s="1" t="s">
        <v>17</v>
      </c>
      <c r="M4198" s="1" t="str">
        <f>TEXT(Table1[[#This Row],[Order Date]],"mmm")</f>
        <v>Mar</v>
      </c>
      <c r="N4198" s="1">
        <f>YEAR(Table1[[#This Row],[Order Date]])</f>
        <v>2024</v>
      </c>
    </row>
    <row r="4199" spans="1:14" x14ac:dyDescent="0.35">
      <c r="A4199" s="1" t="s">
        <v>4995</v>
      </c>
      <c r="B4199" s="1" t="s">
        <v>1043</v>
      </c>
      <c r="C4199" s="1" t="s">
        <v>349</v>
      </c>
      <c r="D4199" s="1" t="s">
        <v>41</v>
      </c>
      <c r="E4199" s="1" t="s">
        <v>16</v>
      </c>
      <c r="F4199" s="1" t="s">
        <v>41</v>
      </c>
      <c r="G4199" s="1">
        <v>9</v>
      </c>
      <c r="H4199" s="1">
        <v>50155</v>
      </c>
      <c r="I4199" s="1">
        <v>0.15</v>
      </c>
      <c r="J4199" s="1">
        <v>383685.75</v>
      </c>
      <c r="K4199" s="1">
        <v>102756.02</v>
      </c>
      <c r="L4199" s="1" t="s">
        <v>23</v>
      </c>
      <c r="M4199" s="1" t="str">
        <f>TEXT(Table1[[#This Row],[Order Date]],"mmm")</f>
        <v>Aug</v>
      </c>
      <c r="N4199" s="1">
        <f>YEAR(Table1[[#This Row],[Order Date]])</f>
        <v>2024</v>
      </c>
    </row>
    <row r="4200" spans="1:14" x14ac:dyDescent="0.35">
      <c r="A4200" s="1" t="s">
        <v>4996</v>
      </c>
      <c r="B4200" s="1" t="s">
        <v>1282</v>
      </c>
      <c r="C4200" s="1" t="s">
        <v>117</v>
      </c>
      <c r="D4200" s="1" t="s">
        <v>85</v>
      </c>
      <c r="E4200" s="1" t="s">
        <v>28</v>
      </c>
      <c r="F4200" s="1" t="s">
        <v>85</v>
      </c>
      <c r="G4200" s="1">
        <v>2</v>
      </c>
      <c r="H4200" s="1">
        <v>19380</v>
      </c>
      <c r="I4200" s="1">
        <v>0.1</v>
      </c>
      <c r="J4200" s="1">
        <v>34884</v>
      </c>
      <c r="K4200" s="1">
        <v>4308.99</v>
      </c>
      <c r="L4200" s="1" t="s">
        <v>45</v>
      </c>
      <c r="M4200" s="1" t="str">
        <f>TEXT(Table1[[#This Row],[Order Date]],"mmm")</f>
        <v>Sep</v>
      </c>
      <c r="N4200" s="1">
        <f>YEAR(Table1[[#This Row],[Order Date]])</f>
        <v>2023</v>
      </c>
    </row>
    <row r="4201" spans="1:14" x14ac:dyDescent="0.35">
      <c r="A4201" s="1" t="s">
        <v>4997</v>
      </c>
      <c r="B4201" s="1" t="s">
        <v>879</v>
      </c>
      <c r="C4201" s="1" t="s">
        <v>81</v>
      </c>
      <c r="D4201" s="1" t="s">
        <v>78</v>
      </c>
      <c r="E4201" s="1" t="s">
        <v>28</v>
      </c>
      <c r="F4201" s="1" t="s">
        <v>78</v>
      </c>
      <c r="G4201" s="1">
        <v>13</v>
      </c>
      <c r="H4201" s="1">
        <v>26660</v>
      </c>
      <c r="I4201" s="1">
        <v>0.15</v>
      </c>
      <c r="J4201" s="1">
        <v>294593</v>
      </c>
      <c r="K4201" s="1">
        <v>64061.2</v>
      </c>
      <c r="L4201" s="1" t="s">
        <v>45</v>
      </c>
      <c r="M4201" s="1" t="str">
        <f>TEXT(Table1[[#This Row],[Order Date]],"mmm")</f>
        <v>Jul</v>
      </c>
      <c r="N4201" s="1">
        <f>YEAR(Table1[[#This Row],[Order Date]])</f>
        <v>2023</v>
      </c>
    </row>
    <row r="4202" spans="1:14" x14ac:dyDescent="0.35">
      <c r="A4202" s="1" t="s">
        <v>4998</v>
      </c>
      <c r="B4202" s="1" t="s">
        <v>946</v>
      </c>
      <c r="C4202" s="1" t="s">
        <v>67</v>
      </c>
      <c r="D4202" s="1" t="s">
        <v>151</v>
      </c>
      <c r="E4202" s="1" t="s">
        <v>22</v>
      </c>
      <c r="F4202" s="1" t="s">
        <v>151</v>
      </c>
      <c r="G4202" s="1">
        <v>11</v>
      </c>
      <c r="H4202" s="1">
        <v>16560</v>
      </c>
      <c r="I4202" s="1">
        <v>0.1</v>
      </c>
      <c r="J4202" s="1">
        <v>163944</v>
      </c>
      <c r="K4202" s="1">
        <v>34247.31</v>
      </c>
      <c r="L4202" s="1" t="s">
        <v>70</v>
      </c>
      <c r="M4202" s="1" t="str">
        <f>TEXT(Table1[[#This Row],[Order Date]],"mmm")</f>
        <v>Jun</v>
      </c>
      <c r="N4202" s="1">
        <f>YEAR(Table1[[#This Row],[Order Date]])</f>
        <v>2024</v>
      </c>
    </row>
    <row r="4203" spans="1:14" x14ac:dyDescent="0.35">
      <c r="A4203" s="1" t="s">
        <v>4999</v>
      </c>
      <c r="B4203" s="1" t="s">
        <v>308</v>
      </c>
      <c r="C4203" s="1" t="s">
        <v>178</v>
      </c>
      <c r="D4203" s="1" t="s">
        <v>293</v>
      </c>
      <c r="E4203" s="1" t="s">
        <v>33</v>
      </c>
      <c r="F4203" s="1" t="s">
        <v>293</v>
      </c>
      <c r="G4203" s="1">
        <v>4</v>
      </c>
      <c r="H4203" s="1">
        <v>15781</v>
      </c>
      <c r="I4203" s="1">
        <v>0.2</v>
      </c>
      <c r="J4203" s="1">
        <v>50499.199999999997</v>
      </c>
      <c r="K4203" s="1">
        <v>11383.35</v>
      </c>
      <c r="L4203" s="1" t="s">
        <v>17</v>
      </c>
      <c r="M4203" s="1" t="str">
        <f>TEXT(Table1[[#This Row],[Order Date]],"mmm")</f>
        <v>Jul</v>
      </c>
      <c r="N4203" s="1">
        <f>YEAR(Table1[[#This Row],[Order Date]])</f>
        <v>2024</v>
      </c>
    </row>
    <row r="4204" spans="1:14" x14ac:dyDescent="0.35">
      <c r="A4204" s="1" t="s">
        <v>5000</v>
      </c>
      <c r="B4204" s="1" t="s">
        <v>1371</v>
      </c>
      <c r="C4204" s="1" t="s">
        <v>20</v>
      </c>
      <c r="D4204" s="1" t="s">
        <v>95</v>
      </c>
      <c r="E4204" s="1" t="s">
        <v>33</v>
      </c>
      <c r="F4204" s="1" t="s">
        <v>95</v>
      </c>
      <c r="G4204" s="1">
        <v>12</v>
      </c>
      <c r="H4204" s="1">
        <v>52352</v>
      </c>
      <c r="I4204" s="1">
        <v>0</v>
      </c>
      <c r="J4204" s="1">
        <v>628224</v>
      </c>
      <c r="K4204" s="1">
        <v>51589.36</v>
      </c>
      <c r="L4204" s="1" t="s">
        <v>45</v>
      </c>
      <c r="M4204" s="1" t="str">
        <f>TEXT(Table1[[#This Row],[Order Date]],"mmm")</f>
        <v>Jan</v>
      </c>
      <c r="N4204" s="1">
        <f>YEAR(Table1[[#This Row],[Order Date]])</f>
        <v>2023</v>
      </c>
    </row>
    <row r="4205" spans="1:14" x14ac:dyDescent="0.35">
      <c r="A4205" s="1" t="s">
        <v>5001</v>
      </c>
      <c r="B4205" s="1" t="s">
        <v>296</v>
      </c>
      <c r="C4205" s="1" t="s">
        <v>370</v>
      </c>
      <c r="D4205" s="1" t="s">
        <v>15</v>
      </c>
      <c r="E4205" s="1" t="s">
        <v>16</v>
      </c>
      <c r="F4205" s="1" t="s">
        <v>15</v>
      </c>
      <c r="G4205" s="1">
        <v>15</v>
      </c>
      <c r="H4205" s="1">
        <v>36231</v>
      </c>
      <c r="I4205" s="1">
        <v>0</v>
      </c>
      <c r="J4205" s="1">
        <v>543465</v>
      </c>
      <c r="K4205" s="1">
        <v>97938.1</v>
      </c>
      <c r="L4205" s="1" t="s">
        <v>70</v>
      </c>
      <c r="M4205" s="1" t="str">
        <f>TEXT(Table1[[#This Row],[Order Date]],"mmm")</f>
        <v>Aug</v>
      </c>
      <c r="N4205" s="1">
        <f>YEAR(Table1[[#This Row],[Order Date]])</f>
        <v>2023</v>
      </c>
    </row>
    <row r="4206" spans="1:14" x14ac:dyDescent="0.35">
      <c r="A4206" s="1" t="s">
        <v>5002</v>
      </c>
      <c r="B4206" s="1" t="s">
        <v>80</v>
      </c>
      <c r="C4206" s="1" t="s">
        <v>155</v>
      </c>
      <c r="D4206" s="1" t="s">
        <v>95</v>
      </c>
      <c r="E4206" s="1" t="s">
        <v>33</v>
      </c>
      <c r="F4206" s="1" t="s">
        <v>95</v>
      </c>
      <c r="G4206" s="1">
        <v>10</v>
      </c>
      <c r="H4206" s="1">
        <v>2527</v>
      </c>
      <c r="I4206" s="1">
        <v>0.15</v>
      </c>
      <c r="J4206" s="1">
        <v>21479.5</v>
      </c>
      <c r="K4206" s="1">
        <v>2973.54</v>
      </c>
      <c r="L4206" s="1" t="s">
        <v>23</v>
      </c>
      <c r="M4206" s="1" t="str">
        <f>TEXT(Table1[[#This Row],[Order Date]],"mmm")</f>
        <v>Jan</v>
      </c>
      <c r="N4206" s="1">
        <f>YEAR(Table1[[#This Row],[Order Date]])</f>
        <v>2023</v>
      </c>
    </row>
    <row r="4207" spans="1:14" x14ac:dyDescent="0.35">
      <c r="A4207" s="1" t="s">
        <v>5003</v>
      </c>
      <c r="B4207" s="1" t="s">
        <v>1240</v>
      </c>
      <c r="C4207" s="1" t="s">
        <v>88</v>
      </c>
      <c r="D4207" s="1" t="s">
        <v>85</v>
      </c>
      <c r="E4207" s="1" t="s">
        <v>28</v>
      </c>
      <c r="F4207" s="1" t="s">
        <v>85</v>
      </c>
      <c r="G4207" s="1">
        <v>2</v>
      </c>
      <c r="H4207" s="1">
        <v>59780</v>
      </c>
      <c r="I4207" s="1">
        <v>0.05</v>
      </c>
      <c r="J4207" s="1">
        <v>113582</v>
      </c>
      <c r="K4207" s="1">
        <v>25517.919999999998</v>
      </c>
      <c r="L4207" s="1" t="s">
        <v>23</v>
      </c>
      <c r="M4207" s="1" t="str">
        <f>TEXT(Table1[[#This Row],[Order Date]],"mmm")</f>
        <v>Jan</v>
      </c>
      <c r="N4207" s="1">
        <f>YEAR(Table1[[#This Row],[Order Date]])</f>
        <v>2024</v>
      </c>
    </row>
    <row r="4208" spans="1:14" x14ac:dyDescent="0.35">
      <c r="A4208" s="1" t="s">
        <v>5004</v>
      </c>
      <c r="B4208" s="1" t="s">
        <v>135</v>
      </c>
      <c r="C4208" s="1" t="s">
        <v>40</v>
      </c>
      <c r="D4208" s="1" t="s">
        <v>48</v>
      </c>
      <c r="E4208" s="1" t="s">
        <v>16</v>
      </c>
      <c r="F4208" s="1" t="s">
        <v>48</v>
      </c>
      <c r="G4208" s="1">
        <v>2</v>
      </c>
      <c r="H4208" s="1">
        <v>3298</v>
      </c>
      <c r="I4208" s="1">
        <v>0.15</v>
      </c>
      <c r="J4208" s="1">
        <v>5606.6</v>
      </c>
      <c r="K4208" s="1">
        <v>1014.4</v>
      </c>
      <c r="L4208" s="1" t="s">
        <v>45</v>
      </c>
      <c r="M4208" s="1" t="str">
        <f>TEXT(Table1[[#This Row],[Order Date]],"mmm")</f>
        <v>Sep</v>
      </c>
      <c r="N4208" s="1">
        <f>YEAR(Table1[[#This Row],[Order Date]])</f>
        <v>2024</v>
      </c>
    </row>
    <row r="4209" spans="1:14" x14ac:dyDescent="0.35">
      <c r="A4209" s="1" t="s">
        <v>5005</v>
      </c>
      <c r="B4209" s="1" t="s">
        <v>481</v>
      </c>
      <c r="C4209" s="1" t="s">
        <v>55</v>
      </c>
      <c r="D4209" s="1" t="s">
        <v>91</v>
      </c>
      <c r="E4209" s="1" t="s">
        <v>16</v>
      </c>
      <c r="F4209" s="1" t="s">
        <v>91</v>
      </c>
      <c r="G4209" s="1">
        <v>9</v>
      </c>
      <c r="H4209" s="1">
        <v>30357</v>
      </c>
      <c r="I4209" s="1">
        <v>0.2</v>
      </c>
      <c r="J4209" s="1">
        <v>218570.4</v>
      </c>
      <c r="K4209" s="1">
        <v>38765.19</v>
      </c>
      <c r="L4209" s="1" t="s">
        <v>70</v>
      </c>
      <c r="M4209" s="1" t="str">
        <f>TEXT(Table1[[#This Row],[Order Date]],"mmm")</f>
        <v>Oct</v>
      </c>
      <c r="N4209" s="1">
        <f>YEAR(Table1[[#This Row],[Order Date]])</f>
        <v>2024</v>
      </c>
    </row>
    <row r="4210" spans="1:14" x14ac:dyDescent="0.35">
      <c r="A4210" s="1" t="s">
        <v>5006</v>
      </c>
      <c r="B4210" s="1" t="s">
        <v>881</v>
      </c>
      <c r="C4210" s="1" t="s">
        <v>128</v>
      </c>
      <c r="D4210" s="1" t="s">
        <v>15</v>
      </c>
      <c r="E4210" s="1" t="s">
        <v>16</v>
      </c>
      <c r="F4210" s="1" t="s">
        <v>15</v>
      </c>
      <c r="G4210" s="1">
        <v>10</v>
      </c>
      <c r="H4210" s="1">
        <v>49014</v>
      </c>
      <c r="I4210" s="1">
        <v>0.15</v>
      </c>
      <c r="J4210" s="1">
        <v>416619</v>
      </c>
      <c r="K4210" s="1">
        <v>56589.279999999999</v>
      </c>
      <c r="L4210" s="1" t="s">
        <v>70</v>
      </c>
      <c r="M4210" s="1" t="str">
        <f>TEXT(Table1[[#This Row],[Order Date]],"mmm")</f>
        <v>Oct</v>
      </c>
      <c r="N4210" s="1">
        <f>YEAR(Table1[[#This Row],[Order Date]])</f>
        <v>2024</v>
      </c>
    </row>
    <row r="4211" spans="1:14" x14ac:dyDescent="0.35">
      <c r="A4211" s="1" t="s">
        <v>5007</v>
      </c>
      <c r="B4211" s="1" t="s">
        <v>327</v>
      </c>
      <c r="C4211" s="1" t="s">
        <v>158</v>
      </c>
      <c r="D4211" s="1" t="s">
        <v>27</v>
      </c>
      <c r="E4211" s="1" t="s">
        <v>28</v>
      </c>
      <c r="F4211" s="1" t="s">
        <v>27</v>
      </c>
      <c r="G4211" s="1">
        <v>14</v>
      </c>
      <c r="H4211" s="1">
        <v>19006</v>
      </c>
      <c r="I4211" s="1">
        <v>0.05</v>
      </c>
      <c r="J4211" s="1">
        <v>252779.8</v>
      </c>
      <c r="K4211" s="1">
        <v>35669.54</v>
      </c>
      <c r="L4211" s="1" t="s">
        <v>70</v>
      </c>
      <c r="M4211" s="1" t="str">
        <f>TEXT(Table1[[#This Row],[Order Date]],"mmm")</f>
        <v>Nov</v>
      </c>
      <c r="N4211" s="1">
        <f>YEAR(Table1[[#This Row],[Order Date]])</f>
        <v>2024</v>
      </c>
    </row>
    <row r="4212" spans="1:14" x14ac:dyDescent="0.35">
      <c r="A4212" s="1" t="s">
        <v>5008</v>
      </c>
      <c r="B4212" s="1" t="s">
        <v>360</v>
      </c>
      <c r="C4212" s="1" t="s">
        <v>125</v>
      </c>
      <c r="D4212" s="1" t="s">
        <v>52</v>
      </c>
      <c r="E4212" s="1" t="s">
        <v>28</v>
      </c>
      <c r="F4212" s="1" t="s">
        <v>52</v>
      </c>
      <c r="G4212" s="1">
        <v>6</v>
      </c>
      <c r="H4212" s="1">
        <v>59158</v>
      </c>
      <c r="I4212" s="1">
        <v>0.05</v>
      </c>
      <c r="J4212" s="1">
        <v>337200.6</v>
      </c>
      <c r="K4212" s="1">
        <v>51334.04</v>
      </c>
      <c r="L4212" s="1" t="s">
        <v>45</v>
      </c>
      <c r="M4212" s="1" t="str">
        <f>TEXT(Table1[[#This Row],[Order Date]],"mmm")</f>
        <v>Jun</v>
      </c>
      <c r="N4212" s="1">
        <f>YEAR(Table1[[#This Row],[Order Date]])</f>
        <v>2023</v>
      </c>
    </row>
    <row r="4213" spans="1:14" x14ac:dyDescent="0.35">
      <c r="A4213" s="1" t="s">
        <v>5009</v>
      </c>
      <c r="B4213" s="1" t="s">
        <v>2796</v>
      </c>
      <c r="C4213" s="1" t="s">
        <v>101</v>
      </c>
      <c r="D4213" s="1" t="s">
        <v>21</v>
      </c>
      <c r="E4213" s="1" t="s">
        <v>22</v>
      </c>
      <c r="F4213" s="1" t="s">
        <v>21</v>
      </c>
      <c r="G4213" s="1">
        <v>13</v>
      </c>
      <c r="H4213" s="1">
        <v>6532</v>
      </c>
      <c r="I4213" s="1">
        <v>0</v>
      </c>
      <c r="J4213" s="1">
        <v>84916</v>
      </c>
      <c r="K4213" s="1">
        <v>23586.29</v>
      </c>
      <c r="L4213" s="1" t="s">
        <v>70</v>
      </c>
      <c r="M4213" s="1" t="str">
        <f>TEXT(Table1[[#This Row],[Order Date]],"mmm")</f>
        <v>May</v>
      </c>
      <c r="N4213" s="1">
        <f>YEAR(Table1[[#This Row],[Order Date]])</f>
        <v>2024</v>
      </c>
    </row>
    <row r="4214" spans="1:14" x14ac:dyDescent="0.35">
      <c r="A4214" s="1" t="s">
        <v>5010</v>
      </c>
      <c r="B4214" s="1" t="s">
        <v>1391</v>
      </c>
      <c r="C4214" s="1" t="s">
        <v>162</v>
      </c>
      <c r="D4214" s="1" t="s">
        <v>15</v>
      </c>
      <c r="E4214" s="1" t="s">
        <v>16</v>
      </c>
      <c r="F4214" s="1" t="s">
        <v>15</v>
      </c>
      <c r="G4214" s="1">
        <v>14</v>
      </c>
      <c r="H4214" s="1">
        <v>36926</v>
      </c>
      <c r="I4214" s="1">
        <v>0.2</v>
      </c>
      <c r="J4214" s="1">
        <v>413571.2</v>
      </c>
      <c r="K4214" s="1">
        <v>72704.13</v>
      </c>
      <c r="L4214" s="1" t="s">
        <v>23</v>
      </c>
      <c r="M4214" s="1" t="str">
        <f>TEXT(Table1[[#This Row],[Order Date]],"mmm")</f>
        <v>Sep</v>
      </c>
      <c r="N4214" s="1">
        <f>YEAR(Table1[[#This Row],[Order Date]])</f>
        <v>2023</v>
      </c>
    </row>
    <row r="4215" spans="1:14" x14ac:dyDescent="0.35">
      <c r="A4215" s="1" t="s">
        <v>5011</v>
      </c>
      <c r="B4215" s="1" t="s">
        <v>130</v>
      </c>
      <c r="C4215" s="1" t="s">
        <v>162</v>
      </c>
      <c r="D4215" s="1" t="s">
        <v>133</v>
      </c>
      <c r="E4215" s="1" t="s">
        <v>22</v>
      </c>
      <c r="F4215" s="1" t="s">
        <v>133</v>
      </c>
      <c r="G4215" s="1">
        <v>3</v>
      </c>
      <c r="H4215" s="1">
        <v>44238</v>
      </c>
      <c r="I4215" s="1">
        <v>0</v>
      </c>
      <c r="J4215" s="1">
        <v>132714</v>
      </c>
      <c r="K4215" s="1">
        <v>11570.94</v>
      </c>
      <c r="L4215" s="1" t="s">
        <v>70</v>
      </c>
      <c r="M4215" s="1" t="str">
        <f>TEXT(Table1[[#This Row],[Order Date]],"mmm")</f>
        <v>May</v>
      </c>
      <c r="N4215" s="1">
        <f>YEAR(Table1[[#This Row],[Order Date]])</f>
        <v>2023</v>
      </c>
    </row>
    <row r="4216" spans="1:14" x14ac:dyDescent="0.35">
      <c r="A4216" s="1" t="s">
        <v>5012</v>
      </c>
      <c r="B4216" s="1" t="s">
        <v>1025</v>
      </c>
      <c r="C4216" s="1" t="s">
        <v>136</v>
      </c>
      <c r="D4216" s="1" t="s">
        <v>133</v>
      </c>
      <c r="E4216" s="1" t="s">
        <v>22</v>
      </c>
      <c r="F4216" s="1" t="s">
        <v>133</v>
      </c>
      <c r="G4216" s="1">
        <v>1</v>
      </c>
      <c r="H4216" s="1">
        <v>15776</v>
      </c>
      <c r="I4216" s="1">
        <v>0.05</v>
      </c>
      <c r="J4216" s="1">
        <v>14987.2</v>
      </c>
      <c r="K4216" s="1">
        <v>1273.4100000000001</v>
      </c>
      <c r="L4216" s="1" t="s">
        <v>23</v>
      </c>
      <c r="M4216" s="1" t="str">
        <f>TEXT(Table1[[#This Row],[Order Date]],"mmm")</f>
        <v>Mar</v>
      </c>
      <c r="N4216" s="1">
        <f>YEAR(Table1[[#This Row],[Order Date]])</f>
        <v>2023</v>
      </c>
    </row>
    <row r="4217" spans="1:14" x14ac:dyDescent="0.35">
      <c r="A4217" s="1" t="s">
        <v>5013</v>
      </c>
      <c r="B4217" s="1" t="s">
        <v>353</v>
      </c>
      <c r="C4217" s="1" t="s">
        <v>175</v>
      </c>
      <c r="D4217" s="1" t="s">
        <v>167</v>
      </c>
      <c r="E4217" s="1" t="s">
        <v>16</v>
      </c>
      <c r="F4217" s="1" t="s">
        <v>167</v>
      </c>
      <c r="G4217" s="1">
        <v>5</v>
      </c>
      <c r="H4217" s="1">
        <v>36184</v>
      </c>
      <c r="I4217" s="1">
        <v>0.2</v>
      </c>
      <c r="J4217" s="1">
        <v>144736</v>
      </c>
      <c r="K4217" s="1">
        <v>19178.54</v>
      </c>
      <c r="L4217" s="1" t="s">
        <v>23</v>
      </c>
      <c r="M4217" s="1" t="str">
        <f>TEXT(Table1[[#This Row],[Order Date]],"mmm")</f>
        <v>Apr</v>
      </c>
      <c r="N4217" s="1">
        <f>YEAR(Table1[[#This Row],[Order Date]])</f>
        <v>2024</v>
      </c>
    </row>
    <row r="4218" spans="1:14" x14ac:dyDescent="0.35">
      <c r="A4218" s="1" t="s">
        <v>5014</v>
      </c>
      <c r="B4218" s="1" t="s">
        <v>1926</v>
      </c>
      <c r="C4218" s="1" t="s">
        <v>84</v>
      </c>
      <c r="D4218" s="1" t="s">
        <v>151</v>
      </c>
      <c r="E4218" s="1" t="s">
        <v>22</v>
      </c>
      <c r="F4218" s="1" t="s">
        <v>151</v>
      </c>
      <c r="G4218" s="1">
        <v>14</v>
      </c>
      <c r="H4218" s="1">
        <v>37295</v>
      </c>
      <c r="I4218" s="1">
        <v>0.1</v>
      </c>
      <c r="J4218" s="1">
        <v>469917</v>
      </c>
      <c r="K4218" s="1">
        <v>81813.039999999994</v>
      </c>
      <c r="L4218" s="1" t="s">
        <v>70</v>
      </c>
      <c r="M4218" s="1" t="str">
        <f>TEXT(Table1[[#This Row],[Order Date]],"mmm")</f>
        <v>Oct</v>
      </c>
      <c r="N4218" s="1">
        <f>YEAR(Table1[[#This Row],[Order Date]])</f>
        <v>2023</v>
      </c>
    </row>
    <row r="4219" spans="1:14" x14ac:dyDescent="0.35">
      <c r="A4219" s="1" t="s">
        <v>5015</v>
      </c>
      <c r="B4219" s="1" t="s">
        <v>770</v>
      </c>
      <c r="C4219" s="1" t="s">
        <v>107</v>
      </c>
      <c r="D4219" s="1" t="s">
        <v>85</v>
      </c>
      <c r="E4219" s="1" t="s">
        <v>28</v>
      </c>
      <c r="F4219" s="1" t="s">
        <v>85</v>
      </c>
      <c r="G4219" s="1">
        <v>5</v>
      </c>
      <c r="H4219" s="1">
        <v>14724</v>
      </c>
      <c r="I4219" s="1">
        <v>0.05</v>
      </c>
      <c r="J4219" s="1">
        <v>69939</v>
      </c>
      <c r="K4219" s="1">
        <v>7503.13</v>
      </c>
      <c r="L4219" s="1" t="s">
        <v>23</v>
      </c>
      <c r="M4219" s="1" t="str">
        <f>TEXT(Table1[[#This Row],[Order Date]],"mmm")</f>
        <v>Feb</v>
      </c>
      <c r="N4219" s="1">
        <f>YEAR(Table1[[#This Row],[Order Date]])</f>
        <v>2024</v>
      </c>
    </row>
    <row r="4220" spans="1:14" x14ac:dyDescent="0.35">
      <c r="A4220" s="1" t="s">
        <v>5016</v>
      </c>
      <c r="B4220" s="1" t="s">
        <v>1788</v>
      </c>
      <c r="C4220" s="1" t="s">
        <v>349</v>
      </c>
      <c r="D4220" s="1" t="s">
        <v>74</v>
      </c>
      <c r="E4220" s="1" t="s">
        <v>22</v>
      </c>
      <c r="F4220" s="1" t="s">
        <v>74</v>
      </c>
      <c r="G4220" s="1">
        <v>1</v>
      </c>
      <c r="H4220" s="1">
        <v>31175</v>
      </c>
      <c r="I4220" s="1">
        <v>0.05</v>
      </c>
      <c r="J4220" s="1">
        <v>29616.25</v>
      </c>
      <c r="K4220" s="1">
        <v>8573.25</v>
      </c>
      <c r="L4220" s="1" t="s">
        <v>45</v>
      </c>
      <c r="M4220" s="1" t="str">
        <f>TEXT(Table1[[#This Row],[Order Date]],"mmm")</f>
        <v>Jun</v>
      </c>
      <c r="N4220" s="1">
        <f>YEAR(Table1[[#This Row],[Order Date]])</f>
        <v>2023</v>
      </c>
    </row>
    <row r="4221" spans="1:14" x14ac:dyDescent="0.35">
      <c r="A4221" s="1" t="s">
        <v>5017</v>
      </c>
      <c r="B4221" s="1" t="s">
        <v>636</v>
      </c>
      <c r="C4221" s="1" t="s">
        <v>170</v>
      </c>
      <c r="D4221" s="1" t="s">
        <v>114</v>
      </c>
      <c r="E4221" s="1" t="s">
        <v>16</v>
      </c>
      <c r="F4221" s="1" t="s">
        <v>114</v>
      </c>
      <c r="G4221" s="1">
        <v>7</v>
      </c>
      <c r="H4221" s="1">
        <v>11044</v>
      </c>
      <c r="I4221" s="1">
        <v>0.05</v>
      </c>
      <c r="J4221" s="1">
        <v>73442.600000000006</v>
      </c>
      <c r="K4221" s="1">
        <v>21057.040000000001</v>
      </c>
      <c r="L4221" s="1" t="s">
        <v>17</v>
      </c>
      <c r="M4221" s="1" t="str">
        <f>TEXT(Table1[[#This Row],[Order Date]],"mmm")</f>
        <v>Nov</v>
      </c>
      <c r="N4221" s="1">
        <f>YEAR(Table1[[#This Row],[Order Date]])</f>
        <v>2023</v>
      </c>
    </row>
    <row r="4222" spans="1:14" x14ac:dyDescent="0.35">
      <c r="A4222" s="1" t="s">
        <v>5018</v>
      </c>
      <c r="B4222" s="1" t="s">
        <v>475</v>
      </c>
      <c r="C4222" s="1" t="s">
        <v>146</v>
      </c>
      <c r="D4222" s="1" t="s">
        <v>95</v>
      </c>
      <c r="E4222" s="1" t="s">
        <v>33</v>
      </c>
      <c r="F4222" s="1" t="s">
        <v>95</v>
      </c>
      <c r="G4222" s="1">
        <v>3</v>
      </c>
      <c r="H4222" s="1">
        <v>26219</v>
      </c>
      <c r="I4222" s="1">
        <v>0.05</v>
      </c>
      <c r="J4222" s="1">
        <v>74724.149999999994</v>
      </c>
      <c r="K4222" s="1">
        <v>11669.8</v>
      </c>
      <c r="L4222" s="1" t="s">
        <v>70</v>
      </c>
      <c r="M4222" s="1" t="str">
        <f>TEXT(Table1[[#This Row],[Order Date]],"mmm")</f>
        <v>Jun</v>
      </c>
      <c r="N4222" s="1">
        <f>YEAR(Table1[[#This Row],[Order Date]])</f>
        <v>2023</v>
      </c>
    </row>
    <row r="4223" spans="1:14" x14ac:dyDescent="0.35">
      <c r="A4223" s="1" t="s">
        <v>5019</v>
      </c>
      <c r="B4223" s="1" t="s">
        <v>856</v>
      </c>
      <c r="C4223" s="1" t="s">
        <v>332</v>
      </c>
      <c r="D4223" s="1" t="s">
        <v>91</v>
      </c>
      <c r="E4223" s="1" t="s">
        <v>16</v>
      </c>
      <c r="F4223" s="1" t="s">
        <v>91</v>
      </c>
      <c r="G4223" s="1">
        <v>12</v>
      </c>
      <c r="H4223" s="1">
        <v>50997</v>
      </c>
      <c r="I4223" s="1">
        <v>0.15</v>
      </c>
      <c r="J4223" s="1">
        <v>520169.4</v>
      </c>
      <c r="K4223" s="1">
        <v>49484.52</v>
      </c>
      <c r="L4223" s="1" t="s">
        <v>45</v>
      </c>
      <c r="M4223" s="1" t="str">
        <f>TEXT(Table1[[#This Row],[Order Date]],"mmm")</f>
        <v>Oct</v>
      </c>
      <c r="N4223" s="1">
        <f>YEAR(Table1[[#This Row],[Order Date]])</f>
        <v>2024</v>
      </c>
    </row>
    <row r="4224" spans="1:14" x14ac:dyDescent="0.35">
      <c r="A4224" s="1" t="s">
        <v>5020</v>
      </c>
      <c r="B4224" s="1" t="s">
        <v>1232</v>
      </c>
      <c r="C4224" s="1" t="s">
        <v>84</v>
      </c>
      <c r="D4224" s="1" t="s">
        <v>108</v>
      </c>
      <c r="E4224" s="1" t="s">
        <v>22</v>
      </c>
      <c r="F4224" s="1" t="s">
        <v>108</v>
      </c>
      <c r="G4224" s="1">
        <v>1</v>
      </c>
      <c r="H4224" s="1">
        <v>40431</v>
      </c>
      <c r="I4224" s="1">
        <v>0.1</v>
      </c>
      <c r="J4224" s="1">
        <v>36387.9</v>
      </c>
      <c r="K4224" s="1">
        <v>7942.15</v>
      </c>
      <c r="L4224" s="1" t="s">
        <v>23</v>
      </c>
      <c r="M4224" s="1" t="str">
        <f>TEXT(Table1[[#This Row],[Order Date]],"mmm")</f>
        <v>Sep</v>
      </c>
      <c r="N4224" s="1">
        <f>YEAR(Table1[[#This Row],[Order Date]])</f>
        <v>2023</v>
      </c>
    </row>
    <row r="4225" spans="1:14" x14ac:dyDescent="0.35">
      <c r="A4225" s="1" t="s">
        <v>5021</v>
      </c>
      <c r="B4225" s="1" t="s">
        <v>116</v>
      </c>
      <c r="C4225" s="1" t="s">
        <v>59</v>
      </c>
      <c r="D4225" s="1" t="s">
        <v>32</v>
      </c>
      <c r="E4225" s="1" t="s">
        <v>33</v>
      </c>
      <c r="F4225" s="1" t="s">
        <v>32</v>
      </c>
      <c r="G4225" s="1">
        <v>3</v>
      </c>
      <c r="H4225" s="1">
        <v>54271</v>
      </c>
      <c r="I4225" s="1">
        <v>0.1</v>
      </c>
      <c r="J4225" s="1">
        <v>146531.70000000001</v>
      </c>
      <c r="K4225" s="1">
        <v>25197.08</v>
      </c>
      <c r="L4225" s="1" t="s">
        <v>45</v>
      </c>
      <c r="M4225" s="1" t="str">
        <f>TEXT(Table1[[#This Row],[Order Date]],"mmm")</f>
        <v>Jan</v>
      </c>
      <c r="N4225" s="1">
        <f>YEAR(Table1[[#This Row],[Order Date]])</f>
        <v>2023</v>
      </c>
    </row>
    <row r="4226" spans="1:14" x14ac:dyDescent="0.35">
      <c r="A4226" s="1" t="s">
        <v>5022</v>
      </c>
      <c r="B4226" s="1" t="s">
        <v>605</v>
      </c>
      <c r="C4226" s="1" t="s">
        <v>26</v>
      </c>
      <c r="D4226" s="1" t="s">
        <v>137</v>
      </c>
      <c r="E4226" s="1" t="s">
        <v>22</v>
      </c>
      <c r="F4226" s="1" t="s">
        <v>137</v>
      </c>
      <c r="G4226" s="1">
        <v>5</v>
      </c>
      <c r="H4226" s="1">
        <v>16264</v>
      </c>
      <c r="I4226" s="1">
        <v>0.05</v>
      </c>
      <c r="J4226" s="1">
        <v>77254</v>
      </c>
      <c r="K4226" s="1">
        <v>21487.8</v>
      </c>
      <c r="L4226" s="1" t="s">
        <v>17</v>
      </c>
      <c r="M4226" s="1" t="str">
        <f>TEXT(Table1[[#This Row],[Order Date]],"mmm")</f>
        <v>Oct</v>
      </c>
      <c r="N4226" s="1">
        <f>YEAR(Table1[[#This Row],[Order Date]])</f>
        <v>2023</v>
      </c>
    </row>
    <row r="4227" spans="1:14" x14ac:dyDescent="0.35">
      <c r="A4227" s="1" t="s">
        <v>5023</v>
      </c>
      <c r="B4227" s="1" t="s">
        <v>954</v>
      </c>
      <c r="C4227" s="1" t="s">
        <v>332</v>
      </c>
      <c r="D4227" s="1" t="s">
        <v>44</v>
      </c>
      <c r="E4227" s="1" t="s">
        <v>28</v>
      </c>
      <c r="F4227" s="1" t="s">
        <v>44</v>
      </c>
      <c r="G4227" s="1">
        <v>5</v>
      </c>
      <c r="H4227" s="1">
        <v>43987</v>
      </c>
      <c r="I4227" s="1">
        <v>0.05</v>
      </c>
      <c r="J4227" s="1">
        <v>208938.25</v>
      </c>
      <c r="K4227" s="1">
        <v>24513.11</v>
      </c>
      <c r="L4227" s="1" t="s">
        <v>17</v>
      </c>
      <c r="M4227" s="1" t="str">
        <f>TEXT(Table1[[#This Row],[Order Date]],"mmm")</f>
        <v>Jul</v>
      </c>
      <c r="N4227" s="1">
        <f>YEAR(Table1[[#This Row],[Order Date]])</f>
        <v>2024</v>
      </c>
    </row>
    <row r="4228" spans="1:14" x14ac:dyDescent="0.35">
      <c r="A4228" s="1" t="s">
        <v>5024</v>
      </c>
      <c r="B4228" s="1" t="s">
        <v>1918</v>
      </c>
      <c r="C4228" s="1" t="s">
        <v>146</v>
      </c>
      <c r="D4228" s="1" t="s">
        <v>21</v>
      </c>
      <c r="E4228" s="1" t="s">
        <v>22</v>
      </c>
      <c r="F4228" s="1" t="s">
        <v>21</v>
      </c>
      <c r="G4228" s="1">
        <v>5</v>
      </c>
      <c r="H4228" s="1">
        <v>6626</v>
      </c>
      <c r="I4228" s="1">
        <v>0.2</v>
      </c>
      <c r="J4228" s="1">
        <v>26504</v>
      </c>
      <c r="K4228" s="1">
        <v>3292.54</v>
      </c>
      <c r="L4228" s="1" t="s">
        <v>70</v>
      </c>
      <c r="M4228" s="1" t="str">
        <f>TEXT(Table1[[#This Row],[Order Date]],"mmm")</f>
        <v>Aug</v>
      </c>
      <c r="N4228" s="1">
        <f>YEAR(Table1[[#This Row],[Order Date]])</f>
        <v>2023</v>
      </c>
    </row>
    <row r="4229" spans="1:14" x14ac:dyDescent="0.35">
      <c r="A4229" s="1" t="s">
        <v>5025</v>
      </c>
      <c r="B4229" s="1" t="s">
        <v>2425</v>
      </c>
      <c r="C4229" s="1" t="s">
        <v>260</v>
      </c>
      <c r="D4229" s="1" t="s">
        <v>44</v>
      </c>
      <c r="E4229" s="1" t="s">
        <v>28</v>
      </c>
      <c r="F4229" s="1" t="s">
        <v>44</v>
      </c>
      <c r="G4229" s="1">
        <v>10</v>
      </c>
      <c r="H4229" s="1">
        <v>31018</v>
      </c>
      <c r="I4229" s="1">
        <v>0.05</v>
      </c>
      <c r="J4229" s="1">
        <v>294671</v>
      </c>
      <c r="K4229" s="1">
        <v>40934.559999999998</v>
      </c>
      <c r="L4229" s="1" t="s">
        <v>45</v>
      </c>
      <c r="M4229" s="1" t="str">
        <f>TEXT(Table1[[#This Row],[Order Date]],"mmm")</f>
        <v>Jun</v>
      </c>
      <c r="N4229" s="1">
        <f>YEAR(Table1[[#This Row],[Order Date]])</f>
        <v>2024</v>
      </c>
    </row>
    <row r="4230" spans="1:14" x14ac:dyDescent="0.35">
      <c r="A4230" s="1" t="s">
        <v>5026</v>
      </c>
      <c r="B4230" s="1" t="s">
        <v>262</v>
      </c>
      <c r="C4230" s="1" t="s">
        <v>640</v>
      </c>
      <c r="D4230" s="1" t="s">
        <v>108</v>
      </c>
      <c r="E4230" s="1" t="s">
        <v>22</v>
      </c>
      <c r="F4230" s="1" t="s">
        <v>108</v>
      </c>
      <c r="G4230" s="1">
        <v>7</v>
      </c>
      <c r="H4230" s="1">
        <v>12209</v>
      </c>
      <c r="I4230" s="1">
        <v>0</v>
      </c>
      <c r="J4230" s="1">
        <v>85463</v>
      </c>
      <c r="K4230" s="1">
        <v>9028.16</v>
      </c>
      <c r="L4230" s="1" t="s">
        <v>45</v>
      </c>
      <c r="M4230" s="1" t="str">
        <f>TEXT(Table1[[#This Row],[Order Date]],"mmm")</f>
        <v>Jul</v>
      </c>
      <c r="N4230" s="1">
        <f>YEAR(Table1[[#This Row],[Order Date]])</f>
        <v>2023</v>
      </c>
    </row>
    <row r="4231" spans="1:14" x14ac:dyDescent="0.35">
      <c r="A4231" s="1" t="s">
        <v>5027</v>
      </c>
      <c r="B4231" s="1" t="s">
        <v>1934</v>
      </c>
      <c r="C4231" s="1" t="s">
        <v>101</v>
      </c>
      <c r="D4231" s="1" t="s">
        <v>78</v>
      </c>
      <c r="E4231" s="1" t="s">
        <v>28</v>
      </c>
      <c r="F4231" s="1" t="s">
        <v>78</v>
      </c>
      <c r="G4231" s="1">
        <v>10</v>
      </c>
      <c r="H4231" s="1">
        <v>20931</v>
      </c>
      <c r="I4231" s="1">
        <v>0.15</v>
      </c>
      <c r="J4231" s="1">
        <v>177913.5</v>
      </c>
      <c r="K4231" s="1">
        <v>45055.45</v>
      </c>
      <c r="L4231" s="1" t="s">
        <v>23</v>
      </c>
      <c r="M4231" s="1" t="str">
        <f>TEXT(Table1[[#This Row],[Order Date]],"mmm")</f>
        <v>Jul</v>
      </c>
      <c r="N4231" s="1">
        <f>YEAR(Table1[[#This Row],[Order Date]])</f>
        <v>2024</v>
      </c>
    </row>
    <row r="4232" spans="1:14" x14ac:dyDescent="0.35">
      <c r="A4232" s="1" t="s">
        <v>5028</v>
      </c>
      <c r="B4232" s="1" t="s">
        <v>3119</v>
      </c>
      <c r="C4232" s="1" t="s">
        <v>178</v>
      </c>
      <c r="D4232" s="1" t="s">
        <v>108</v>
      </c>
      <c r="E4232" s="1" t="s">
        <v>22</v>
      </c>
      <c r="F4232" s="1" t="s">
        <v>108</v>
      </c>
      <c r="G4232" s="1">
        <v>3</v>
      </c>
      <c r="H4232" s="1">
        <v>53990</v>
      </c>
      <c r="I4232" s="1">
        <v>0.1</v>
      </c>
      <c r="J4232" s="1">
        <v>145773</v>
      </c>
      <c r="K4232" s="1">
        <v>26684.17</v>
      </c>
      <c r="L4232" s="1" t="s">
        <v>45</v>
      </c>
      <c r="M4232" s="1" t="str">
        <f>TEXT(Table1[[#This Row],[Order Date]],"mmm")</f>
        <v>Apr</v>
      </c>
      <c r="N4232" s="1">
        <f>YEAR(Table1[[#This Row],[Order Date]])</f>
        <v>2024</v>
      </c>
    </row>
    <row r="4233" spans="1:14" x14ac:dyDescent="0.35">
      <c r="A4233" s="1" t="s">
        <v>5029</v>
      </c>
      <c r="B4233" s="1" t="s">
        <v>2752</v>
      </c>
      <c r="C4233" s="1" t="s">
        <v>94</v>
      </c>
      <c r="D4233" s="1" t="s">
        <v>179</v>
      </c>
      <c r="E4233" s="1" t="s">
        <v>28</v>
      </c>
      <c r="F4233" s="1" t="s">
        <v>179</v>
      </c>
      <c r="G4233" s="1">
        <v>12</v>
      </c>
      <c r="H4233" s="1">
        <v>29585</v>
      </c>
      <c r="I4233" s="1">
        <v>0.2</v>
      </c>
      <c r="J4233" s="1">
        <v>284016</v>
      </c>
      <c r="K4233" s="1">
        <v>78760.7</v>
      </c>
      <c r="L4233" s="1" t="s">
        <v>17</v>
      </c>
      <c r="M4233" s="1" t="str">
        <f>TEXT(Table1[[#This Row],[Order Date]],"mmm")</f>
        <v>Jan</v>
      </c>
      <c r="N4233" s="1">
        <f>YEAR(Table1[[#This Row],[Order Date]])</f>
        <v>2023</v>
      </c>
    </row>
    <row r="4234" spans="1:14" x14ac:dyDescent="0.35">
      <c r="A4234" s="1" t="s">
        <v>5030</v>
      </c>
      <c r="B4234" s="1" t="s">
        <v>210</v>
      </c>
      <c r="C4234" s="1" t="s">
        <v>178</v>
      </c>
      <c r="D4234" s="1" t="s">
        <v>21</v>
      </c>
      <c r="E4234" s="1" t="s">
        <v>22</v>
      </c>
      <c r="F4234" s="1" t="s">
        <v>21</v>
      </c>
      <c r="G4234" s="1">
        <v>14</v>
      </c>
      <c r="H4234" s="1">
        <v>34622</v>
      </c>
      <c r="I4234" s="1">
        <v>0.2</v>
      </c>
      <c r="J4234" s="1">
        <v>387766.4</v>
      </c>
      <c r="K4234" s="1">
        <v>101243.3</v>
      </c>
      <c r="L4234" s="1" t="s">
        <v>70</v>
      </c>
      <c r="M4234" s="1" t="str">
        <f>TEXT(Table1[[#This Row],[Order Date]],"mmm")</f>
        <v>Jun</v>
      </c>
      <c r="N4234" s="1">
        <f>YEAR(Table1[[#This Row],[Order Date]])</f>
        <v>2023</v>
      </c>
    </row>
    <row r="4235" spans="1:14" x14ac:dyDescent="0.35">
      <c r="A4235" s="1" t="s">
        <v>5031</v>
      </c>
      <c r="B4235" s="1" t="s">
        <v>1258</v>
      </c>
      <c r="C4235" s="1" t="s">
        <v>370</v>
      </c>
      <c r="D4235" s="1" t="s">
        <v>179</v>
      </c>
      <c r="E4235" s="1" t="s">
        <v>28</v>
      </c>
      <c r="F4235" s="1" t="s">
        <v>179</v>
      </c>
      <c r="G4235" s="1">
        <v>9</v>
      </c>
      <c r="H4235" s="1">
        <v>52967</v>
      </c>
      <c r="I4235" s="1">
        <v>0</v>
      </c>
      <c r="J4235" s="1">
        <v>476703</v>
      </c>
      <c r="K4235" s="1">
        <v>114609.72</v>
      </c>
      <c r="L4235" s="1" t="s">
        <v>23</v>
      </c>
      <c r="M4235" s="1" t="str">
        <f>TEXT(Table1[[#This Row],[Order Date]],"mmm")</f>
        <v>Jun</v>
      </c>
      <c r="N4235" s="1">
        <f>YEAR(Table1[[#This Row],[Order Date]])</f>
        <v>2023</v>
      </c>
    </row>
    <row r="4236" spans="1:14" x14ac:dyDescent="0.35">
      <c r="A4236" s="1" t="s">
        <v>5032</v>
      </c>
      <c r="B4236" s="1" t="s">
        <v>296</v>
      </c>
      <c r="C4236" s="1" t="s">
        <v>63</v>
      </c>
      <c r="D4236" s="1" t="s">
        <v>151</v>
      </c>
      <c r="E4236" s="1" t="s">
        <v>22</v>
      </c>
      <c r="F4236" s="1" t="s">
        <v>151</v>
      </c>
      <c r="G4236" s="1">
        <v>9</v>
      </c>
      <c r="H4236" s="1">
        <v>13111</v>
      </c>
      <c r="I4236" s="1">
        <v>0.2</v>
      </c>
      <c r="J4236" s="1">
        <v>94399.2</v>
      </c>
      <c r="K4236" s="1">
        <v>27613.61</v>
      </c>
      <c r="L4236" s="1" t="s">
        <v>23</v>
      </c>
      <c r="M4236" s="1" t="str">
        <f>TEXT(Table1[[#This Row],[Order Date]],"mmm")</f>
        <v>Aug</v>
      </c>
      <c r="N4236" s="1">
        <f>YEAR(Table1[[#This Row],[Order Date]])</f>
        <v>2023</v>
      </c>
    </row>
    <row r="4237" spans="1:14" x14ac:dyDescent="0.35">
      <c r="A4237" s="1" t="s">
        <v>5033</v>
      </c>
      <c r="B4237" s="1" t="s">
        <v>425</v>
      </c>
      <c r="C4237" s="1" t="s">
        <v>335</v>
      </c>
      <c r="D4237" s="1" t="s">
        <v>52</v>
      </c>
      <c r="E4237" s="1" t="s">
        <v>28</v>
      </c>
      <c r="F4237" s="1" t="s">
        <v>52</v>
      </c>
      <c r="G4237" s="1">
        <v>13</v>
      </c>
      <c r="H4237" s="1">
        <v>28977</v>
      </c>
      <c r="I4237" s="1">
        <v>0.05</v>
      </c>
      <c r="J4237" s="1">
        <v>357865.95</v>
      </c>
      <c r="K4237" s="1">
        <v>30021.39</v>
      </c>
      <c r="L4237" s="1" t="s">
        <v>17</v>
      </c>
      <c r="M4237" s="1" t="str">
        <f>TEXT(Table1[[#This Row],[Order Date]],"mmm")</f>
        <v>Oct</v>
      </c>
      <c r="N4237" s="1">
        <f>YEAR(Table1[[#This Row],[Order Date]])</f>
        <v>2024</v>
      </c>
    </row>
    <row r="4238" spans="1:14" x14ac:dyDescent="0.35">
      <c r="A4238" s="1" t="s">
        <v>5034</v>
      </c>
      <c r="B4238" s="1" t="s">
        <v>1760</v>
      </c>
      <c r="C4238" s="1" t="s">
        <v>136</v>
      </c>
      <c r="D4238" s="1" t="s">
        <v>91</v>
      </c>
      <c r="E4238" s="1" t="s">
        <v>16</v>
      </c>
      <c r="F4238" s="1" t="s">
        <v>91</v>
      </c>
      <c r="G4238" s="1">
        <v>13</v>
      </c>
      <c r="H4238" s="1">
        <v>18931</v>
      </c>
      <c r="I4238" s="1">
        <v>0.2</v>
      </c>
      <c r="J4238" s="1">
        <v>196882.4</v>
      </c>
      <c r="K4238" s="1">
        <v>39005.839999999997</v>
      </c>
      <c r="L4238" s="1" t="s">
        <v>45</v>
      </c>
      <c r="M4238" s="1" t="str">
        <f>TEXT(Table1[[#This Row],[Order Date]],"mmm")</f>
        <v>Aug</v>
      </c>
      <c r="N4238" s="1">
        <f>YEAR(Table1[[#This Row],[Order Date]])</f>
        <v>2024</v>
      </c>
    </row>
    <row r="4239" spans="1:14" x14ac:dyDescent="0.35">
      <c r="A4239" s="1" t="s">
        <v>5035</v>
      </c>
      <c r="B4239" s="1" t="s">
        <v>1326</v>
      </c>
      <c r="C4239" s="1" t="s">
        <v>178</v>
      </c>
      <c r="D4239" s="1" t="s">
        <v>151</v>
      </c>
      <c r="E4239" s="1" t="s">
        <v>22</v>
      </c>
      <c r="F4239" s="1" t="s">
        <v>151</v>
      </c>
      <c r="G4239" s="1">
        <v>13</v>
      </c>
      <c r="H4239" s="1">
        <v>40180</v>
      </c>
      <c r="I4239" s="1">
        <v>0.15</v>
      </c>
      <c r="J4239" s="1">
        <v>443989</v>
      </c>
      <c r="K4239" s="1">
        <v>68691.13</v>
      </c>
      <c r="L4239" s="1" t="s">
        <v>70</v>
      </c>
      <c r="M4239" s="1" t="str">
        <f>TEXT(Table1[[#This Row],[Order Date]],"mmm")</f>
        <v>Dec</v>
      </c>
      <c r="N4239" s="1">
        <f>YEAR(Table1[[#This Row],[Order Date]])</f>
        <v>2023</v>
      </c>
    </row>
    <row r="4240" spans="1:14" x14ac:dyDescent="0.35">
      <c r="A4240" s="1" t="s">
        <v>5036</v>
      </c>
      <c r="B4240" s="1" t="s">
        <v>1198</v>
      </c>
      <c r="C4240" s="1" t="s">
        <v>117</v>
      </c>
      <c r="D4240" s="1" t="s">
        <v>37</v>
      </c>
      <c r="E4240" s="1" t="s">
        <v>16</v>
      </c>
      <c r="F4240" s="1" t="s">
        <v>37</v>
      </c>
      <c r="G4240" s="1">
        <v>15</v>
      </c>
      <c r="H4240" s="1">
        <v>35111</v>
      </c>
      <c r="I4240" s="1">
        <v>0.2</v>
      </c>
      <c r="J4240" s="1">
        <v>421332</v>
      </c>
      <c r="K4240" s="1">
        <v>83343.98</v>
      </c>
      <c r="L4240" s="1" t="s">
        <v>17</v>
      </c>
      <c r="M4240" s="1" t="str">
        <f>TEXT(Table1[[#This Row],[Order Date]],"mmm")</f>
        <v>Mar</v>
      </c>
      <c r="N4240" s="1">
        <f>YEAR(Table1[[#This Row],[Order Date]])</f>
        <v>2023</v>
      </c>
    </row>
    <row r="4241" spans="1:14" x14ac:dyDescent="0.35">
      <c r="A4241" s="1" t="s">
        <v>5037</v>
      </c>
      <c r="B4241" s="1" t="s">
        <v>667</v>
      </c>
      <c r="C4241" s="1" t="s">
        <v>104</v>
      </c>
      <c r="D4241" s="1" t="s">
        <v>44</v>
      </c>
      <c r="E4241" s="1" t="s">
        <v>28</v>
      </c>
      <c r="F4241" s="1" t="s">
        <v>44</v>
      </c>
      <c r="G4241" s="1">
        <v>15</v>
      </c>
      <c r="H4241" s="1">
        <v>51659</v>
      </c>
      <c r="I4241" s="1">
        <v>0.15</v>
      </c>
      <c r="J4241" s="1">
        <v>658652.25</v>
      </c>
      <c r="K4241" s="1">
        <v>126190.66</v>
      </c>
      <c r="L4241" s="1" t="s">
        <v>23</v>
      </c>
      <c r="M4241" s="1" t="str">
        <f>TEXT(Table1[[#This Row],[Order Date]],"mmm")</f>
        <v>Jun</v>
      </c>
      <c r="N4241" s="1">
        <f>YEAR(Table1[[#This Row],[Order Date]])</f>
        <v>2024</v>
      </c>
    </row>
    <row r="4242" spans="1:14" x14ac:dyDescent="0.35">
      <c r="A4242" s="1" t="s">
        <v>5038</v>
      </c>
      <c r="B4242" s="1" t="s">
        <v>1348</v>
      </c>
      <c r="C4242" s="1" t="s">
        <v>26</v>
      </c>
      <c r="D4242" s="1" t="s">
        <v>78</v>
      </c>
      <c r="E4242" s="1" t="s">
        <v>28</v>
      </c>
      <c r="F4242" s="1" t="s">
        <v>78</v>
      </c>
      <c r="G4242" s="1">
        <v>11</v>
      </c>
      <c r="H4242" s="1">
        <v>34667</v>
      </c>
      <c r="I4242" s="1">
        <v>0.1</v>
      </c>
      <c r="J4242" s="1">
        <v>343203.3</v>
      </c>
      <c r="K4242" s="1">
        <v>51358.879999999997</v>
      </c>
      <c r="L4242" s="1" t="s">
        <v>45</v>
      </c>
      <c r="M4242" s="1" t="str">
        <f>TEXT(Table1[[#This Row],[Order Date]],"mmm")</f>
        <v>Dec</v>
      </c>
      <c r="N4242" s="1">
        <f>YEAR(Table1[[#This Row],[Order Date]])</f>
        <v>2023</v>
      </c>
    </row>
    <row r="4243" spans="1:14" x14ac:dyDescent="0.35">
      <c r="A4243" s="1" t="s">
        <v>5039</v>
      </c>
      <c r="B4243" s="1" t="s">
        <v>453</v>
      </c>
      <c r="C4243" s="1" t="s">
        <v>67</v>
      </c>
      <c r="D4243" s="1" t="s">
        <v>32</v>
      </c>
      <c r="E4243" s="1" t="s">
        <v>33</v>
      </c>
      <c r="F4243" s="1" t="s">
        <v>32</v>
      </c>
      <c r="G4243" s="1">
        <v>3</v>
      </c>
      <c r="H4243" s="1">
        <v>31128</v>
      </c>
      <c r="I4243" s="1">
        <v>0.1</v>
      </c>
      <c r="J4243" s="1">
        <v>84045.6</v>
      </c>
      <c r="K4243" s="1">
        <v>17198.05</v>
      </c>
      <c r="L4243" s="1" t="s">
        <v>45</v>
      </c>
      <c r="M4243" s="1" t="str">
        <f>TEXT(Table1[[#This Row],[Order Date]],"mmm")</f>
        <v>Jul</v>
      </c>
      <c r="N4243" s="1">
        <f>YEAR(Table1[[#This Row],[Order Date]])</f>
        <v>2023</v>
      </c>
    </row>
    <row r="4244" spans="1:14" x14ac:dyDescent="0.35">
      <c r="A4244" s="1" t="s">
        <v>5040</v>
      </c>
      <c r="B4244" s="1" t="s">
        <v>991</v>
      </c>
      <c r="C4244" s="1" t="s">
        <v>170</v>
      </c>
      <c r="D4244" s="1" t="s">
        <v>41</v>
      </c>
      <c r="E4244" s="1" t="s">
        <v>16</v>
      </c>
      <c r="F4244" s="1" t="s">
        <v>41</v>
      </c>
      <c r="G4244" s="1">
        <v>12</v>
      </c>
      <c r="H4244" s="1">
        <v>13804</v>
      </c>
      <c r="I4244" s="1">
        <v>0.05</v>
      </c>
      <c r="J4244" s="1">
        <v>157365.6</v>
      </c>
      <c r="K4244" s="1">
        <v>41630.06</v>
      </c>
      <c r="L4244" s="1" t="s">
        <v>45</v>
      </c>
      <c r="M4244" s="1" t="str">
        <f>TEXT(Table1[[#This Row],[Order Date]],"mmm")</f>
        <v>Feb</v>
      </c>
      <c r="N4244" s="1">
        <f>YEAR(Table1[[#This Row],[Order Date]])</f>
        <v>2024</v>
      </c>
    </row>
    <row r="4245" spans="1:14" x14ac:dyDescent="0.35">
      <c r="A4245" s="1" t="s">
        <v>5041</v>
      </c>
      <c r="B4245" s="1" t="s">
        <v>1318</v>
      </c>
      <c r="C4245" s="1" t="s">
        <v>255</v>
      </c>
      <c r="D4245" s="1" t="s">
        <v>95</v>
      </c>
      <c r="E4245" s="1" t="s">
        <v>33</v>
      </c>
      <c r="F4245" s="1" t="s">
        <v>95</v>
      </c>
      <c r="G4245" s="1">
        <v>9</v>
      </c>
      <c r="H4245" s="1">
        <v>14170</v>
      </c>
      <c r="I4245" s="1">
        <v>0.2</v>
      </c>
      <c r="J4245" s="1">
        <v>102024</v>
      </c>
      <c r="K4245" s="1">
        <v>16409.13</v>
      </c>
      <c r="L4245" s="1" t="s">
        <v>23</v>
      </c>
      <c r="M4245" s="1" t="str">
        <f>TEXT(Table1[[#This Row],[Order Date]],"mmm")</f>
        <v>Feb</v>
      </c>
      <c r="N4245" s="1">
        <f>YEAR(Table1[[#This Row],[Order Date]])</f>
        <v>2023</v>
      </c>
    </row>
    <row r="4246" spans="1:14" x14ac:dyDescent="0.35">
      <c r="A4246" s="1" t="s">
        <v>5042</v>
      </c>
      <c r="B4246" s="1" t="s">
        <v>54</v>
      </c>
      <c r="C4246" s="1" t="s">
        <v>77</v>
      </c>
      <c r="D4246" s="1" t="s">
        <v>21</v>
      </c>
      <c r="E4246" s="1" t="s">
        <v>22</v>
      </c>
      <c r="F4246" s="1" t="s">
        <v>21</v>
      </c>
      <c r="G4246" s="1">
        <v>3</v>
      </c>
      <c r="H4246" s="1">
        <v>32642</v>
      </c>
      <c r="I4246" s="1">
        <v>0</v>
      </c>
      <c r="J4246" s="1">
        <v>97926</v>
      </c>
      <c r="K4246" s="1">
        <v>13431.09</v>
      </c>
      <c r="L4246" s="1" t="s">
        <v>70</v>
      </c>
      <c r="M4246" s="1" t="str">
        <f>TEXT(Table1[[#This Row],[Order Date]],"mmm")</f>
        <v>Mar</v>
      </c>
      <c r="N4246" s="1">
        <f>YEAR(Table1[[#This Row],[Order Date]])</f>
        <v>2023</v>
      </c>
    </row>
    <row r="4247" spans="1:14" x14ac:dyDescent="0.35">
      <c r="A4247" s="1" t="s">
        <v>5043</v>
      </c>
      <c r="B4247" s="1" t="s">
        <v>1563</v>
      </c>
      <c r="C4247" s="1" t="s">
        <v>175</v>
      </c>
      <c r="D4247" s="1" t="s">
        <v>64</v>
      </c>
      <c r="E4247" s="1" t="s">
        <v>33</v>
      </c>
      <c r="F4247" s="1" t="s">
        <v>64</v>
      </c>
      <c r="G4247" s="1">
        <v>5</v>
      </c>
      <c r="H4247" s="1">
        <v>55897</v>
      </c>
      <c r="I4247" s="1">
        <v>0.2</v>
      </c>
      <c r="J4247" s="1">
        <v>223588</v>
      </c>
      <c r="K4247" s="1">
        <v>61911.99</v>
      </c>
      <c r="L4247" s="1" t="s">
        <v>23</v>
      </c>
      <c r="M4247" s="1" t="str">
        <f>TEXT(Table1[[#This Row],[Order Date]],"mmm")</f>
        <v>Mar</v>
      </c>
      <c r="N4247" s="1">
        <f>YEAR(Table1[[#This Row],[Order Date]])</f>
        <v>2024</v>
      </c>
    </row>
    <row r="4248" spans="1:14" x14ac:dyDescent="0.35">
      <c r="A4248" s="1" t="s">
        <v>5044</v>
      </c>
      <c r="B4248" s="1" t="s">
        <v>199</v>
      </c>
      <c r="C4248" s="1" t="s">
        <v>107</v>
      </c>
      <c r="D4248" s="1" t="s">
        <v>114</v>
      </c>
      <c r="E4248" s="1" t="s">
        <v>16</v>
      </c>
      <c r="F4248" s="1" t="s">
        <v>114</v>
      </c>
      <c r="G4248" s="1">
        <v>15</v>
      </c>
      <c r="H4248" s="1">
        <v>42135</v>
      </c>
      <c r="I4248" s="1">
        <v>0.05</v>
      </c>
      <c r="J4248" s="1">
        <v>600423.75</v>
      </c>
      <c r="K4248" s="1">
        <v>132151.32999999999</v>
      </c>
      <c r="L4248" s="1" t="s">
        <v>23</v>
      </c>
      <c r="M4248" s="1" t="str">
        <f>TEXT(Table1[[#This Row],[Order Date]],"mmm")</f>
        <v>Nov</v>
      </c>
      <c r="N4248" s="1">
        <f>YEAR(Table1[[#This Row],[Order Date]])</f>
        <v>2023</v>
      </c>
    </row>
    <row r="4249" spans="1:14" x14ac:dyDescent="0.35">
      <c r="A4249" s="1" t="s">
        <v>5045</v>
      </c>
      <c r="B4249" s="1" t="s">
        <v>1595</v>
      </c>
      <c r="C4249" s="1" t="s">
        <v>36</v>
      </c>
      <c r="D4249" s="1" t="s">
        <v>74</v>
      </c>
      <c r="E4249" s="1" t="s">
        <v>22</v>
      </c>
      <c r="F4249" s="1" t="s">
        <v>74</v>
      </c>
      <c r="G4249" s="1">
        <v>3</v>
      </c>
      <c r="H4249" s="1">
        <v>9278</v>
      </c>
      <c r="I4249" s="1">
        <v>0.05</v>
      </c>
      <c r="J4249" s="1">
        <v>26442.3</v>
      </c>
      <c r="K4249" s="1">
        <v>5879.98</v>
      </c>
      <c r="L4249" s="1" t="s">
        <v>17</v>
      </c>
      <c r="M4249" s="1" t="str">
        <f>TEXT(Table1[[#This Row],[Order Date]],"mmm")</f>
        <v>Jul</v>
      </c>
      <c r="N4249" s="1">
        <f>YEAR(Table1[[#This Row],[Order Date]])</f>
        <v>2024</v>
      </c>
    </row>
    <row r="4250" spans="1:14" x14ac:dyDescent="0.35">
      <c r="A4250" s="1" t="s">
        <v>5046</v>
      </c>
      <c r="B4250" s="1" t="s">
        <v>901</v>
      </c>
      <c r="C4250" s="1" t="s">
        <v>349</v>
      </c>
      <c r="D4250" s="1" t="s">
        <v>15</v>
      </c>
      <c r="E4250" s="1" t="s">
        <v>16</v>
      </c>
      <c r="F4250" s="1" t="s">
        <v>15</v>
      </c>
      <c r="G4250" s="1">
        <v>12</v>
      </c>
      <c r="H4250" s="1">
        <v>4349</v>
      </c>
      <c r="I4250" s="1">
        <v>0.05</v>
      </c>
      <c r="J4250" s="1">
        <v>49578.6</v>
      </c>
      <c r="K4250" s="1">
        <v>8815.44</v>
      </c>
      <c r="L4250" s="1" t="s">
        <v>45</v>
      </c>
      <c r="M4250" s="1" t="str">
        <f>TEXT(Table1[[#This Row],[Order Date]],"mmm")</f>
        <v>May</v>
      </c>
      <c r="N4250" s="1">
        <f>YEAR(Table1[[#This Row],[Order Date]])</f>
        <v>2023</v>
      </c>
    </row>
    <row r="4251" spans="1:14" x14ac:dyDescent="0.35">
      <c r="A4251" s="1" t="s">
        <v>5047</v>
      </c>
      <c r="B4251" s="1" t="s">
        <v>705</v>
      </c>
      <c r="C4251" s="1" t="s">
        <v>98</v>
      </c>
      <c r="D4251" s="1" t="s">
        <v>27</v>
      </c>
      <c r="E4251" s="1" t="s">
        <v>28</v>
      </c>
      <c r="F4251" s="1" t="s">
        <v>27</v>
      </c>
      <c r="G4251" s="1">
        <v>15</v>
      </c>
      <c r="H4251" s="1">
        <v>22082</v>
      </c>
      <c r="I4251" s="1">
        <v>0.15</v>
      </c>
      <c r="J4251" s="1">
        <v>281545.5</v>
      </c>
      <c r="K4251" s="1">
        <v>47455.65</v>
      </c>
      <c r="L4251" s="1" t="s">
        <v>45</v>
      </c>
      <c r="M4251" s="1" t="str">
        <f>TEXT(Table1[[#This Row],[Order Date]],"mmm")</f>
        <v>May</v>
      </c>
      <c r="N4251" s="1">
        <f>YEAR(Table1[[#This Row],[Order Date]])</f>
        <v>2024</v>
      </c>
    </row>
    <row r="4252" spans="1:14" x14ac:dyDescent="0.35">
      <c r="A4252" s="1" t="s">
        <v>5048</v>
      </c>
      <c r="B4252" s="1" t="s">
        <v>2247</v>
      </c>
      <c r="C4252" s="1" t="s">
        <v>140</v>
      </c>
      <c r="D4252" s="1" t="s">
        <v>74</v>
      </c>
      <c r="E4252" s="1" t="s">
        <v>22</v>
      </c>
      <c r="F4252" s="1" t="s">
        <v>74</v>
      </c>
      <c r="G4252" s="1">
        <v>6</v>
      </c>
      <c r="H4252" s="1">
        <v>6233</v>
      </c>
      <c r="I4252" s="1">
        <v>0.15</v>
      </c>
      <c r="J4252" s="1">
        <v>31788.3</v>
      </c>
      <c r="K4252" s="1">
        <v>8173.69</v>
      </c>
      <c r="L4252" s="1" t="s">
        <v>17</v>
      </c>
      <c r="M4252" s="1" t="str">
        <f>TEXT(Table1[[#This Row],[Order Date]],"mmm")</f>
        <v>Apr</v>
      </c>
      <c r="N4252" s="1">
        <f>YEAR(Table1[[#This Row],[Order Date]])</f>
        <v>2024</v>
      </c>
    </row>
    <row r="4253" spans="1:14" x14ac:dyDescent="0.35">
      <c r="A4253" s="1" t="s">
        <v>5049</v>
      </c>
      <c r="B4253" s="1" t="s">
        <v>318</v>
      </c>
      <c r="C4253" s="1" t="s">
        <v>77</v>
      </c>
      <c r="D4253" s="1" t="s">
        <v>224</v>
      </c>
      <c r="E4253" s="1" t="s">
        <v>33</v>
      </c>
      <c r="F4253" s="1" t="s">
        <v>224</v>
      </c>
      <c r="G4253" s="1">
        <v>6</v>
      </c>
      <c r="H4253" s="1">
        <v>8439</v>
      </c>
      <c r="I4253" s="1">
        <v>0.1</v>
      </c>
      <c r="J4253" s="1">
        <v>45570.6</v>
      </c>
      <c r="K4253" s="1">
        <v>13368.38</v>
      </c>
      <c r="L4253" s="1" t="s">
        <v>70</v>
      </c>
      <c r="M4253" s="1" t="str">
        <f>TEXT(Table1[[#This Row],[Order Date]],"mmm")</f>
        <v>Aug</v>
      </c>
      <c r="N4253" s="1">
        <f>YEAR(Table1[[#This Row],[Order Date]])</f>
        <v>2023</v>
      </c>
    </row>
    <row r="4254" spans="1:14" x14ac:dyDescent="0.35">
      <c r="A4254" s="1" t="s">
        <v>5050</v>
      </c>
      <c r="B4254" s="1" t="s">
        <v>621</v>
      </c>
      <c r="C4254" s="1" t="s">
        <v>335</v>
      </c>
      <c r="D4254" s="1" t="s">
        <v>137</v>
      </c>
      <c r="E4254" s="1" t="s">
        <v>22</v>
      </c>
      <c r="F4254" s="1" t="s">
        <v>137</v>
      </c>
      <c r="G4254" s="1">
        <v>6</v>
      </c>
      <c r="H4254" s="1">
        <v>4750</v>
      </c>
      <c r="I4254" s="1">
        <v>0.15</v>
      </c>
      <c r="J4254" s="1">
        <v>24225</v>
      </c>
      <c r="K4254" s="1">
        <v>4603.71</v>
      </c>
      <c r="L4254" s="1" t="s">
        <v>17</v>
      </c>
      <c r="M4254" s="1" t="str">
        <f>TEXT(Table1[[#This Row],[Order Date]],"mmm")</f>
        <v>Jan</v>
      </c>
      <c r="N4254" s="1">
        <f>YEAR(Table1[[#This Row],[Order Date]])</f>
        <v>2024</v>
      </c>
    </row>
    <row r="4255" spans="1:14" x14ac:dyDescent="0.35">
      <c r="A4255" s="1" t="s">
        <v>5051</v>
      </c>
      <c r="B4255" s="1" t="s">
        <v>139</v>
      </c>
      <c r="C4255" s="1" t="s">
        <v>20</v>
      </c>
      <c r="D4255" s="1" t="s">
        <v>108</v>
      </c>
      <c r="E4255" s="1" t="s">
        <v>22</v>
      </c>
      <c r="F4255" s="1" t="s">
        <v>108</v>
      </c>
      <c r="G4255" s="1">
        <v>6</v>
      </c>
      <c r="H4255" s="1">
        <v>55325</v>
      </c>
      <c r="I4255" s="1">
        <v>0</v>
      </c>
      <c r="J4255" s="1">
        <v>331950</v>
      </c>
      <c r="K4255" s="1">
        <v>48759.42</v>
      </c>
      <c r="L4255" s="1" t="s">
        <v>23</v>
      </c>
      <c r="M4255" s="1" t="str">
        <f>TEXT(Table1[[#This Row],[Order Date]],"mmm")</f>
        <v>Dec</v>
      </c>
      <c r="N4255" s="1">
        <f>YEAR(Table1[[#This Row],[Order Date]])</f>
        <v>2023</v>
      </c>
    </row>
    <row r="4256" spans="1:14" x14ac:dyDescent="0.35">
      <c r="A4256" s="1" t="s">
        <v>5052</v>
      </c>
      <c r="B4256" s="1" t="s">
        <v>3080</v>
      </c>
      <c r="C4256" s="1" t="s">
        <v>26</v>
      </c>
      <c r="D4256" s="1" t="s">
        <v>48</v>
      </c>
      <c r="E4256" s="1" t="s">
        <v>16</v>
      </c>
      <c r="F4256" s="1" t="s">
        <v>48</v>
      </c>
      <c r="G4256" s="1">
        <v>10</v>
      </c>
      <c r="H4256" s="1">
        <v>24926</v>
      </c>
      <c r="I4256" s="1">
        <v>0.15</v>
      </c>
      <c r="J4256" s="1">
        <v>211871</v>
      </c>
      <c r="K4256" s="1">
        <v>34750.559999999998</v>
      </c>
      <c r="L4256" s="1" t="s">
        <v>70</v>
      </c>
      <c r="M4256" s="1" t="str">
        <f>TEXT(Table1[[#This Row],[Order Date]],"mmm")</f>
        <v>Oct</v>
      </c>
      <c r="N4256" s="1">
        <f>YEAR(Table1[[#This Row],[Order Date]])</f>
        <v>2024</v>
      </c>
    </row>
    <row r="4257" spans="1:14" x14ac:dyDescent="0.35">
      <c r="A4257" s="1" t="s">
        <v>5053</v>
      </c>
      <c r="B4257" s="1" t="s">
        <v>742</v>
      </c>
      <c r="C4257" s="1" t="s">
        <v>77</v>
      </c>
      <c r="D4257" s="1" t="s">
        <v>141</v>
      </c>
      <c r="E4257" s="1" t="s">
        <v>22</v>
      </c>
      <c r="F4257" s="1" t="s">
        <v>141</v>
      </c>
      <c r="G4257" s="1">
        <v>5</v>
      </c>
      <c r="H4257" s="1">
        <v>19445</v>
      </c>
      <c r="I4257" s="1">
        <v>0.2</v>
      </c>
      <c r="J4257" s="1">
        <v>77780</v>
      </c>
      <c r="K4257" s="1">
        <v>7650.74</v>
      </c>
      <c r="L4257" s="1" t="s">
        <v>70</v>
      </c>
      <c r="M4257" s="1" t="str">
        <f>TEXT(Table1[[#This Row],[Order Date]],"mmm")</f>
        <v>Aug</v>
      </c>
      <c r="N4257" s="1">
        <f>YEAR(Table1[[#This Row],[Order Date]])</f>
        <v>2023</v>
      </c>
    </row>
    <row r="4258" spans="1:14" x14ac:dyDescent="0.35">
      <c r="A4258" s="1" t="s">
        <v>5054</v>
      </c>
      <c r="B4258" s="1" t="s">
        <v>1059</v>
      </c>
      <c r="C4258" s="1" t="s">
        <v>98</v>
      </c>
      <c r="D4258" s="1" t="s">
        <v>15</v>
      </c>
      <c r="E4258" s="1" t="s">
        <v>16</v>
      </c>
      <c r="F4258" s="1" t="s">
        <v>15</v>
      </c>
      <c r="G4258" s="1">
        <v>7</v>
      </c>
      <c r="H4258" s="1">
        <v>1950</v>
      </c>
      <c r="I4258" s="1">
        <v>0.05</v>
      </c>
      <c r="J4258" s="1">
        <v>12967.5</v>
      </c>
      <c r="K4258" s="1">
        <v>2191.73</v>
      </c>
      <c r="L4258" s="1" t="s">
        <v>45</v>
      </c>
      <c r="M4258" s="1" t="str">
        <f>TEXT(Table1[[#This Row],[Order Date]],"mmm")</f>
        <v>Nov</v>
      </c>
      <c r="N4258" s="1">
        <f>YEAR(Table1[[#This Row],[Order Date]])</f>
        <v>2024</v>
      </c>
    </row>
    <row r="4259" spans="1:14" x14ac:dyDescent="0.35">
      <c r="A4259" s="1" t="s">
        <v>5055</v>
      </c>
      <c r="B4259" s="1" t="s">
        <v>1934</v>
      </c>
      <c r="C4259" s="1" t="s">
        <v>158</v>
      </c>
      <c r="D4259" s="1" t="s">
        <v>60</v>
      </c>
      <c r="E4259" s="1" t="s">
        <v>33</v>
      </c>
      <c r="F4259" s="1" t="s">
        <v>60</v>
      </c>
      <c r="G4259" s="1">
        <v>15</v>
      </c>
      <c r="H4259" s="1">
        <v>48217</v>
      </c>
      <c r="I4259" s="1">
        <v>0</v>
      </c>
      <c r="J4259" s="1">
        <v>723255</v>
      </c>
      <c r="K4259" s="1">
        <v>75975.179999999993</v>
      </c>
      <c r="L4259" s="1" t="s">
        <v>45</v>
      </c>
      <c r="M4259" s="1" t="str">
        <f>TEXT(Table1[[#This Row],[Order Date]],"mmm")</f>
        <v>Jul</v>
      </c>
      <c r="N4259" s="1">
        <f>YEAR(Table1[[#This Row],[Order Date]])</f>
        <v>2024</v>
      </c>
    </row>
    <row r="4260" spans="1:14" x14ac:dyDescent="0.35">
      <c r="A4260" s="1" t="s">
        <v>5056</v>
      </c>
      <c r="B4260" s="1" t="s">
        <v>650</v>
      </c>
      <c r="C4260" s="1" t="s">
        <v>203</v>
      </c>
      <c r="D4260" s="1" t="s">
        <v>179</v>
      </c>
      <c r="E4260" s="1" t="s">
        <v>28</v>
      </c>
      <c r="F4260" s="1" t="s">
        <v>179</v>
      </c>
      <c r="G4260" s="1">
        <v>1</v>
      </c>
      <c r="H4260" s="1">
        <v>11072</v>
      </c>
      <c r="I4260" s="1">
        <v>0.2</v>
      </c>
      <c r="J4260" s="1">
        <v>8857.6</v>
      </c>
      <c r="K4260" s="1">
        <v>1966.39</v>
      </c>
      <c r="L4260" s="1" t="s">
        <v>17</v>
      </c>
      <c r="M4260" s="1" t="str">
        <f>TEXT(Table1[[#This Row],[Order Date]],"mmm")</f>
        <v>Jun</v>
      </c>
      <c r="N4260" s="1">
        <f>YEAR(Table1[[#This Row],[Order Date]])</f>
        <v>2023</v>
      </c>
    </row>
    <row r="4261" spans="1:14" x14ac:dyDescent="0.35">
      <c r="A4261" s="1" t="s">
        <v>5057</v>
      </c>
      <c r="B4261" s="1" t="s">
        <v>867</v>
      </c>
      <c r="C4261" s="1" t="s">
        <v>26</v>
      </c>
      <c r="D4261" s="1" t="s">
        <v>37</v>
      </c>
      <c r="E4261" s="1" t="s">
        <v>16</v>
      </c>
      <c r="F4261" s="1" t="s">
        <v>37</v>
      </c>
      <c r="G4261" s="1">
        <v>11</v>
      </c>
      <c r="H4261" s="1">
        <v>14769</v>
      </c>
      <c r="I4261" s="1">
        <v>0.15</v>
      </c>
      <c r="J4261" s="1">
        <v>138090.15</v>
      </c>
      <c r="K4261" s="1">
        <v>31200.81</v>
      </c>
      <c r="L4261" s="1" t="s">
        <v>45</v>
      </c>
      <c r="M4261" s="1" t="str">
        <f>TEXT(Table1[[#This Row],[Order Date]],"mmm")</f>
        <v>Aug</v>
      </c>
      <c r="N4261" s="1">
        <f>YEAR(Table1[[#This Row],[Order Date]])</f>
        <v>2024</v>
      </c>
    </row>
    <row r="4262" spans="1:14" x14ac:dyDescent="0.35">
      <c r="A4262" s="1" t="s">
        <v>5058</v>
      </c>
      <c r="B4262" s="1" t="s">
        <v>601</v>
      </c>
      <c r="C4262" s="1" t="s">
        <v>140</v>
      </c>
      <c r="D4262" s="1" t="s">
        <v>293</v>
      </c>
      <c r="E4262" s="1" t="s">
        <v>33</v>
      </c>
      <c r="F4262" s="1" t="s">
        <v>293</v>
      </c>
      <c r="G4262" s="1">
        <v>13</v>
      </c>
      <c r="H4262" s="1">
        <v>8342</v>
      </c>
      <c r="I4262" s="1">
        <v>0</v>
      </c>
      <c r="J4262" s="1">
        <v>108446</v>
      </c>
      <c r="K4262" s="1">
        <v>8688.32</v>
      </c>
      <c r="L4262" s="1" t="s">
        <v>70</v>
      </c>
      <c r="M4262" s="1" t="str">
        <f>TEXT(Table1[[#This Row],[Order Date]],"mmm")</f>
        <v>Aug</v>
      </c>
      <c r="N4262" s="1">
        <f>YEAR(Table1[[#This Row],[Order Date]])</f>
        <v>2024</v>
      </c>
    </row>
    <row r="4263" spans="1:14" x14ac:dyDescent="0.35">
      <c r="A4263" s="1" t="s">
        <v>5059</v>
      </c>
      <c r="B4263" s="1" t="s">
        <v>2099</v>
      </c>
      <c r="C4263" s="1" t="s">
        <v>260</v>
      </c>
      <c r="D4263" s="1" t="s">
        <v>141</v>
      </c>
      <c r="E4263" s="1" t="s">
        <v>22</v>
      </c>
      <c r="F4263" s="1" t="s">
        <v>141</v>
      </c>
      <c r="G4263" s="1">
        <v>7</v>
      </c>
      <c r="H4263" s="1">
        <v>55704</v>
      </c>
      <c r="I4263" s="1">
        <v>0.05</v>
      </c>
      <c r="J4263" s="1">
        <v>370431.6</v>
      </c>
      <c r="K4263" s="1">
        <v>62165.09</v>
      </c>
      <c r="L4263" s="1" t="s">
        <v>70</v>
      </c>
      <c r="M4263" s="1" t="str">
        <f>TEXT(Table1[[#This Row],[Order Date]],"mmm")</f>
        <v>Jan</v>
      </c>
      <c r="N4263" s="1">
        <f>YEAR(Table1[[#This Row],[Order Date]])</f>
        <v>2024</v>
      </c>
    </row>
    <row r="4264" spans="1:14" x14ac:dyDescent="0.35">
      <c r="A4264" s="1" t="s">
        <v>5060</v>
      </c>
      <c r="B4264" s="1" t="s">
        <v>1645</v>
      </c>
      <c r="C4264" s="1" t="s">
        <v>260</v>
      </c>
      <c r="D4264" s="1" t="s">
        <v>74</v>
      </c>
      <c r="E4264" s="1" t="s">
        <v>22</v>
      </c>
      <c r="F4264" s="1" t="s">
        <v>74</v>
      </c>
      <c r="G4264" s="1">
        <v>6</v>
      </c>
      <c r="H4264" s="1">
        <v>14860</v>
      </c>
      <c r="I4264" s="1">
        <v>0.1</v>
      </c>
      <c r="J4264" s="1">
        <v>80244</v>
      </c>
      <c r="K4264" s="1">
        <v>21371.98</v>
      </c>
      <c r="L4264" s="1" t="s">
        <v>45</v>
      </c>
      <c r="M4264" s="1" t="str">
        <f>TEXT(Table1[[#This Row],[Order Date]],"mmm")</f>
        <v>Nov</v>
      </c>
      <c r="N4264" s="1">
        <f>YEAR(Table1[[#This Row],[Order Date]])</f>
        <v>2023</v>
      </c>
    </row>
    <row r="4265" spans="1:14" x14ac:dyDescent="0.35">
      <c r="A4265" s="1" t="s">
        <v>5061</v>
      </c>
      <c r="B4265" s="1" t="s">
        <v>1043</v>
      </c>
      <c r="C4265" s="1" t="s">
        <v>31</v>
      </c>
      <c r="D4265" s="1" t="s">
        <v>37</v>
      </c>
      <c r="E4265" s="1" t="s">
        <v>16</v>
      </c>
      <c r="F4265" s="1" t="s">
        <v>37</v>
      </c>
      <c r="G4265" s="1">
        <v>10</v>
      </c>
      <c r="H4265" s="1">
        <v>56538</v>
      </c>
      <c r="I4265" s="1">
        <v>0.2</v>
      </c>
      <c r="J4265" s="1">
        <v>452304</v>
      </c>
      <c r="K4265" s="1">
        <v>60583.29</v>
      </c>
      <c r="L4265" s="1" t="s">
        <v>23</v>
      </c>
      <c r="M4265" s="1" t="str">
        <f>TEXT(Table1[[#This Row],[Order Date]],"mmm")</f>
        <v>Aug</v>
      </c>
      <c r="N4265" s="1">
        <f>YEAR(Table1[[#This Row],[Order Date]])</f>
        <v>2024</v>
      </c>
    </row>
    <row r="4266" spans="1:14" x14ac:dyDescent="0.35">
      <c r="A4266" s="1" t="s">
        <v>5062</v>
      </c>
      <c r="B4266" s="1" t="s">
        <v>164</v>
      </c>
      <c r="C4266" s="1" t="s">
        <v>125</v>
      </c>
      <c r="D4266" s="1" t="s">
        <v>74</v>
      </c>
      <c r="E4266" s="1" t="s">
        <v>22</v>
      </c>
      <c r="F4266" s="1" t="s">
        <v>74</v>
      </c>
      <c r="G4266" s="1">
        <v>11</v>
      </c>
      <c r="H4266" s="1">
        <v>46467</v>
      </c>
      <c r="I4266" s="1">
        <v>0.15</v>
      </c>
      <c r="J4266" s="1">
        <v>434466.45</v>
      </c>
      <c r="K4266" s="1">
        <v>67020.460000000006</v>
      </c>
      <c r="L4266" s="1" t="s">
        <v>45</v>
      </c>
      <c r="M4266" s="1" t="str">
        <f>TEXT(Table1[[#This Row],[Order Date]],"mmm")</f>
        <v>May</v>
      </c>
      <c r="N4266" s="1">
        <f>YEAR(Table1[[#This Row],[Order Date]])</f>
        <v>2023</v>
      </c>
    </row>
    <row r="4267" spans="1:14" x14ac:dyDescent="0.35">
      <c r="A4267" s="1" t="s">
        <v>5063</v>
      </c>
      <c r="B4267" s="1" t="s">
        <v>103</v>
      </c>
      <c r="C4267" s="1" t="s">
        <v>84</v>
      </c>
      <c r="D4267" s="1" t="s">
        <v>179</v>
      </c>
      <c r="E4267" s="1" t="s">
        <v>28</v>
      </c>
      <c r="F4267" s="1" t="s">
        <v>179</v>
      </c>
      <c r="G4267" s="1">
        <v>14</v>
      </c>
      <c r="H4267" s="1">
        <v>41254</v>
      </c>
      <c r="I4267" s="1">
        <v>0.15</v>
      </c>
      <c r="J4267" s="1">
        <v>490922.6</v>
      </c>
      <c r="K4267" s="1">
        <v>66852.02</v>
      </c>
      <c r="L4267" s="1" t="s">
        <v>70</v>
      </c>
      <c r="M4267" s="1" t="str">
        <f>TEXT(Table1[[#This Row],[Order Date]],"mmm")</f>
        <v>Nov</v>
      </c>
      <c r="N4267" s="1">
        <f>YEAR(Table1[[#This Row],[Order Date]])</f>
        <v>2023</v>
      </c>
    </row>
    <row r="4268" spans="1:14" x14ac:dyDescent="0.35">
      <c r="A4268" s="1" t="s">
        <v>5064</v>
      </c>
      <c r="B4268" s="1" t="s">
        <v>679</v>
      </c>
      <c r="C4268" s="1" t="s">
        <v>349</v>
      </c>
      <c r="D4268" s="1" t="s">
        <v>52</v>
      </c>
      <c r="E4268" s="1" t="s">
        <v>28</v>
      </c>
      <c r="F4268" s="1" t="s">
        <v>52</v>
      </c>
      <c r="G4268" s="1">
        <v>5</v>
      </c>
      <c r="H4268" s="1">
        <v>30579</v>
      </c>
      <c r="I4268" s="1">
        <v>0.05</v>
      </c>
      <c r="J4268" s="1">
        <v>145250.25</v>
      </c>
      <c r="K4268" s="1">
        <v>13557.22</v>
      </c>
      <c r="L4268" s="1" t="s">
        <v>17</v>
      </c>
      <c r="M4268" s="1" t="str">
        <f>TEXT(Table1[[#This Row],[Order Date]],"mmm")</f>
        <v>Jul</v>
      </c>
      <c r="N4268" s="1">
        <f>YEAR(Table1[[#This Row],[Order Date]])</f>
        <v>2023</v>
      </c>
    </row>
    <row r="4269" spans="1:14" x14ac:dyDescent="0.35">
      <c r="A4269" s="1" t="s">
        <v>5065</v>
      </c>
      <c r="B4269" s="1" t="s">
        <v>1025</v>
      </c>
      <c r="C4269" s="1" t="s">
        <v>191</v>
      </c>
      <c r="D4269" s="1" t="s">
        <v>37</v>
      </c>
      <c r="E4269" s="1" t="s">
        <v>16</v>
      </c>
      <c r="F4269" s="1" t="s">
        <v>37</v>
      </c>
      <c r="G4269" s="1">
        <v>4</v>
      </c>
      <c r="H4269" s="1">
        <v>45814</v>
      </c>
      <c r="I4269" s="1">
        <v>0.15</v>
      </c>
      <c r="J4269" s="1">
        <v>155767.6</v>
      </c>
      <c r="K4269" s="1">
        <v>35482.980000000003</v>
      </c>
      <c r="L4269" s="1" t="s">
        <v>17</v>
      </c>
      <c r="M4269" s="1" t="str">
        <f>TEXT(Table1[[#This Row],[Order Date]],"mmm")</f>
        <v>Mar</v>
      </c>
      <c r="N4269" s="1">
        <f>YEAR(Table1[[#This Row],[Order Date]])</f>
        <v>2023</v>
      </c>
    </row>
    <row r="4270" spans="1:14" x14ac:dyDescent="0.35">
      <c r="A4270" s="1" t="s">
        <v>5066</v>
      </c>
      <c r="B4270" s="1" t="s">
        <v>3622</v>
      </c>
      <c r="C4270" s="1" t="s">
        <v>84</v>
      </c>
      <c r="D4270" s="1" t="s">
        <v>64</v>
      </c>
      <c r="E4270" s="1" t="s">
        <v>33</v>
      </c>
      <c r="F4270" s="1" t="s">
        <v>64</v>
      </c>
      <c r="G4270" s="1">
        <v>8</v>
      </c>
      <c r="H4270" s="1">
        <v>51041</v>
      </c>
      <c r="I4270" s="1">
        <v>0.05</v>
      </c>
      <c r="J4270" s="1">
        <v>387911.6</v>
      </c>
      <c r="K4270" s="1">
        <v>80882.14</v>
      </c>
      <c r="L4270" s="1" t="s">
        <v>17</v>
      </c>
      <c r="M4270" s="1" t="str">
        <f>TEXT(Table1[[#This Row],[Order Date]],"mmm")</f>
        <v>Oct</v>
      </c>
      <c r="N4270" s="1">
        <f>YEAR(Table1[[#This Row],[Order Date]])</f>
        <v>2023</v>
      </c>
    </row>
    <row r="4271" spans="1:14" x14ac:dyDescent="0.35">
      <c r="A4271" s="1" t="s">
        <v>5067</v>
      </c>
      <c r="B4271" s="1" t="s">
        <v>457</v>
      </c>
      <c r="C4271" s="1" t="s">
        <v>55</v>
      </c>
      <c r="D4271" s="1" t="s">
        <v>91</v>
      </c>
      <c r="E4271" s="1" t="s">
        <v>16</v>
      </c>
      <c r="F4271" s="1" t="s">
        <v>91</v>
      </c>
      <c r="G4271" s="1">
        <v>14</v>
      </c>
      <c r="H4271" s="1">
        <v>19365</v>
      </c>
      <c r="I4271" s="1">
        <v>0.1</v>
      </c>
      <c r="J4271" s="1">
        <v>243999</v>
      </c>
      <c r="K4271" s="1">
        <v>45395.51</v>
      </c>
      <c r="L4271" s="1" t="s">
        <v>23</v>
      </c>
      <c r="M4271" s="1" t="str">
        <f>TEXT(Table1[[#This Row],[Order Date]],"mmm")</f>
        <v>Mar</v>
      </c>
      <c r="N4271" s="1">
        <f>YEAR(Table1[[#This Row],[Order Date]])</f>
        <v>2024</v>
      </c>
    </row>
    <row r="4272" spans="1:14" x14ac:dyDescent="0.35">
      <c r="A4272" s="1" t="s">
        <v>5068</v>
      </c>
      <c r="B4272" s="1" t="s">
        <v>1842</v>
      </c>
      <c r="C4272" s="1" t="s">
        <v>40</v>
      </c>
      <c r="D4272" s="1" t="s">
        <v>44</v>
      </c>
      <c r="E4272" s="1" t="s">
        <v>28</v>
      </c>
      <c r="F4272" s="1" t="s">
        <v>44</v>
      </c>
      <c r="G4272" s="1">
        <v>1</v>
      </c>
      <c r="H4272" s="1">
        <v>21786</v>
      </c>
      <c r="I4272" s="1">
        <v>0.2</v>
      </c>
      <c r="J4272" s="1">
        <v>17428.8</v>
      </c>
      <c r="K4272" s="1">
        <v>4197.75</v>
      </c>
      <c r="L4272" s="1" t="s">
        <v>45</v>
      </c>
      <c r="M4272" s="1" t="str">
        <f>TEXT(Table1[[#This Row],[Order Date]],"mmm")</f>
        <v>Oct</v>
      </c>
      <c r="N4272" s="1">
        <f>YEAR(Table1[[#This Row],[Order Date]])</f>
        <v>2023</v>
      </c>
    </row>
    <row r="4273" spans="1:14" x14ac:dyDescent="0.35">
      <c r="A4273" s="1" t="s">
        <v>5069</v>
      </c>
      <c r="B4273" s="1" t="s">
        <v>617</v>
      </c>
      <c r="C4273" s="1" t="s">
        <v>26</v>
      </c>
      <c r="D4273" s="1" t="s">
        <v>21</v>
      </c>
      <c r="E4273" s="1" t="s">
        <v>22</v>
      </c>
      <c r="F4273" s="1" t="s">
        <v>21</v>
      </c>
      <c r="G4273" s="1">
        <v>4</v>
      </c>
      <c r="H4273" s="1">
        <v>40253</v>
      </c>
      <c r="I4273" s="1">
        <v>0</v>
      </c>
      <c r="J4273" s="1">
        <v>161012</v>
      </c>
      <c r="K4273" s="1">
        <v>20414.36</v>
      </c>
      <c r="L4273" s="1" t="s">
        <v>17</v>
      </c>
      <c r="M4273" s="1" t="str">
        <f>TEXT(Table1[[#This Row],[Order Date]],"mmm")</f>
        <v>Jul</v>
      </c>
      <c r="N4273" s="1">
        <f>YEAR(Table1[[#This Row],[Order Date]])</f>
        <v>2023</v>
      </c>
    </row>
    <row r="4274" spans="1:14" x14ac:dyDescent="0.35">
      <c r="A4274" s="1" t="s">
        <v>5070</v>
      </c>
      <c r="B4274" s="1" t="s">
        <v>160</v>
      </c>
      <c r="C4274" s="1" t="s">
        <v>208</v>
      </c>
      <c r="D4274" s="1" t="s">
        <v>108</v>
      </c>
      <c r="E4274" s="1" t="s">
        <v>22</v>
      </c>
      <c r="F4274" s="1" t="s">
        <v>108</v>
      </c>
      <c r="G4274" s="1">
        <v>12</v>
      </c>
      <c r="H4274" s="1">
        <v>26639</v>
      </c>
      <c r="I4274" s="1">
        <v>0.05</v>
      </c>
      <c r="J4274" s="1">
        <v>303684.59999999998</v>
      </c>
      <c r="K4274" s="1">
        <v>36795.08</v>
      </c>
      <c r="L4274" s="1" t="s">
        <v>45</v>
      </c>
      <c r="M4274" s="1" t="str">
        <f>TEXT(Table1[[#This Row],[Order Date]],"mmm")</f>
        <v>Feb</v>
      </c>
      <c r="N4274" s="1">
        <f>YEAR(Table1[[#This Row],[Order Date]])</f>
        <v>2023</v>
      </c>
    </row>
    <row r="4275" spans="1:14" x14ac:dyDescent="0.35">
      <c r="A4275" s="1" t="s">
        <v>5071</v>
      </c>
      <c r="B4275" s="1" t="s">
        <v>551</v>
      </c>
      <c r="C4275" s="1" t="s">
        <v>260</v>
      </c>
      <c r="D4275" s="1" t="s">
        <v>224</v>
      </c>
      <c r="E4275" s="1" t="s">
        <v>33</v>
      </c>
      <c r="F4275" s="1" t="s">
        <v>224</v>
      </c>
      <c r="G4275" s="1">
        <v>6</v>
      </c>
      <c r="H4275" s="1">
        <v>24290</v>
      </c>
      <c r="I4275" s="1">
        <v>0.05</v>
      </c>
      <c r="J4275" s="1">
        <v>138453</v>
      </c>
      <c r="K4275" s="1">
        <v>30045.62</v>
      </c>
      <c r="L4275" s="1" t="s">
        <v>70</v>
      </c>
      <c r="M4275" s="1" t="str">
        <f>TEXT(Table1[[#This Row],[Order Date]],"mmm")</f>
        <v>Apr</v>
      </c>
      <c r="N4275" s="1">
        <f>YEAR(Table1[[#This Row],[Order Date]])</f>
        <v>2024</v>
      </c>
    </row>
    <row r="4276" spans="1:14" x14ac:dyDescent="0.35">
      <c r="A4276" s="1" t="s">
        <v>5072</v>
      </c>
      <c r="B4276" s="1" t="s">
        <v>859</v>
      </c>
      <c r="C4276" s="1" t="s">
        <v>332</v>
      </c>
      <c r="D4276" s="1" t="s">
        <v>137</v>
      </c>
      <c r="E4276" s="1" t="s">
        <v>22</v>
      </c>
      <c r="F4276" s="1" t="s">
        <v>137</v>
      </c>
      <c r="G4276" s="1">
        <v>7</v>
      </c>
      <c r="H4276" s="1">
        <v>23727</v>
      </c>
      <c r="I4276" s="1">
        <v>0.2</v>
      </c>
      <c r="J4276" s="1">
        <v>132871.20000000001</v>
      </c>
      <c r="K4276" s="1">
        <v>33488.129999999997</v>
      </c>
      <c r="L4276" s="1" t="s">
        <v>45</v>
      </c>
      <c r="M4276" s="1" t="str">
        <f>TEXT(Table1[[#This Row],[Order Date]],"mmm")</f>
        <v>Mar</v>
      </c>
      <c r="N4276" s="1">
        <f>YEAR(Table1[[#This Row],[Order Date]])</f>
        <v>2023</v>
      </c>
    </row>
    <row r="4277" spans="1:14" x14ac:dyDescent="0.35">
      <c r="A4277" s="1" t="s">
        <v>5073</v>
      </c>
      <c r="B4277" s="1" t="s">
        <v>509</v>
      </c>
      <c r="C4277" s="1" t="s">
        <v>260</v>
      </c>
      <c r="D4277" s="1" t="s">
        <v>27</v>
      </c>
      <c r="E4277" s="1" t="s">
        <v>28</v>
      </c>
      <c r="F4277" s="1" t="s">
        <v>27</v>
      </c>
      <c r="G4277" s="1">
        <v>3</v>
      </c>
      <c r="H4277" s="1">
        <v>15023</v>
      </c>
      <c r="I4277" s="1">
        <v>0</v>
      </c>
      <c r="J4277" s="1">
        <v>45069</v>
      </c>
      <c r="K4277" s="1">
        <v>6716.82</v>
      </c>
      <c r="L4277" s="1" t="s">
        <v>45</v>
      </c>
      <c r="M4277" s="1" t="str">
        <f>TEXT(Table1[[#This Row],[Order Date]],"mmm")</f>
        <v>Jan</v>
      </c>
      <c r="N4277" s="1">
        <f>YEAR(Table1[[#This Row],[Order Date]])</f>
        <v>2023</v>
      </c>
    </row>
    <row r="4278" spans="1:14" x14ac:dyDescent="0.35">
      <c r="A4278" s="1" t="s">
        <v>5074</v>
      </c>
      <c r="B4278" s="1" t="s">
        <v>269</v>
      </c>
      <c r="C4278" s="1" t="s">
        <v>98</v>
      </c>
      <c r="D4278" s="1" t="s">
        <v>179</v>
      </c>
      <c r="E4278" s="1" t="s">
        <v>28</v>
      </c>
      <c r="F4278" s="1" t="s">
        <v>179</v>
      </c>
      <c r="G4278" s="1">
        <v>4</v>
      </c>
      <c r="H4278" s="1">
        <v>52950</v>
      </c>
      <c r="I4278" s="1">
        <v>0.2</v>
      </c>
      <c r="J4278" s="1">
        <v>169440</v>
      </c>
      <c r="K4278" s="1">
        <v>28459.59</v>
      </c>
      <c r="L4278" s="1" t="s">
        <v>23</v>
      </c>
      <c r="M4278" s="1" t="str">
        <f>TEXT(Table1[[#This Row],[Order Date]],"mmm")</f>
        <v>Dec</v>
      </c>
      <c r="N4278" s="1">
        <f>YEAR(Table1[[#This Row],[Order Date]])</f>
        <v>2023</v>
      </c>
    </row>
    <row r="4279" spans="1:14" x14ac:dyDescent="0.35">
      <c r="A4279" s="1" t="s">
        <v>5075</v>
      </c>
      <c r="B4279" s="1" t="s">
        <v>1483</v>
      </c>
      <c r="C4279" s="1" t="s">
        <v>111</v>
      </c>
      <c r="D4279" s="1" t="s">
        <v>44</v>
      </c>
      <c r="E4279" s="1" t="s">
        <v>28</v>
      </c>
      <c r="F4279" s="1" t="s">
        <v>44</v>
      </c>
      <c r="G4279" s="1">
        <v>15</v>
      </c>
      <c r="H4279" s="1">
        <v>19497</v>
      </c>
      <c r="I4279" s="1">
        <v>0</v>
      </c>
      <c r="J4279" s="1">
        <v>292455</v>
      </c>
      <c r="K4279" s="1">
        <v>28655.09</v>
      </c>
      <c r="L4279" s="1" t="s">
        <v>17</v>
      </c>
      <c r="M4279" s="1" t="str">
        <f>TEXT(Table1[[#This Row],[Order Date]],"mmm")</f>
        <v>Aug</v>
      </c>
      <c r="N4279" s="1">
        <f>YEAR(Table1[[#This Row],[Order Date]])</f>
        <v>2023</v>
      </c>
    </row>
    <row r="4280" spans="1:14" x14ac:dyDescent="0.35">
      <c r="A4280" s="1" t="s">
        <v>5076</v>
      </c>
      <c r="B4280" s="1" t="s">
        <v>3054</v>
      </c>
      <c r="C4280" s="1" t="s">
        <v>36</v>
      </c>
      <c r="D4280" s="1" t="s">
        <v>60</v>
      </c>
      <c r="E4280" s="1" t="s">
        <v>33</v>
      </c>
      <c r="F4280" s="1" t="s">
        <v>60</v>
      </c>
      <c r="G4280" s="1">
        <v>12</v>
      </c>
      <c r="H4280" s="1">
        <v>37158</v>
      </c>
      <c r="I4280" s="1">
        <v>0.2</v>
      </c>
      <c r="J4280" s="1">
        <v>356716.79999999999</v>
      </c>
      <c r="K4280" s="1">
        <v>104838.42</v>
      </c>
      <c r="L4280" s="1" t="s">
        <v>70</v>
      </c>
      <c r="M4280" s="1" t="str">
        <f>TEXT(Table1[[#This Row],[Order Date]],"mmm")</f>
        <v>Oct</v>
      </c>
      <c r="N4280" s="1">
        <f>YEAR(Table1[[#This Row],[Order Date]])</f>
        <v>2024</v>
      </c>
    </row>
    <row r="4281" spans="1:14" x14ac:dyDescent="0.35">
      <c r="A4281" s="1" t="s">
        <v>5077</v>
      </c>
      <c r="B4281" s="1" t="s">
        <v>528</v>
      </c>
      <c r="C4281" s="1" t="s">
        <v>51</v>
      </c>
      <c r="D4281" s="1" t="s">
        <v>15</v>
      </c>
      <c r="E4281" s="1" t="s">
        <v>16</v>
      </c>
      <c r="F4281" s="1" t="s">
        <v>15</v>
      </c>
      <c r="G4281" s="1">
        <v>12</v>
      </c>
      <c r="H4281" s="1">
        <v>36648</v>
      </c>
      <c r="I4281" s="1">
        <v>0.2</v>
      </c>
      <c r="J4281" s="1">
        <v>351820.79999999999</v>
      </c>
      <c r="K4281" s="1">
        <v>70493.539999999994</v>
      </c>
      <c r="L4281" s="1" t="s">
        <v>70</v>
      </c>
      <c r="M4281" s="1" t="str">
        <f>TEXT(Table1[[#This Row],[Order Date]],"mmm")</f>
        <v>Feb</v>
      </c>
      <c r="N4281" s="1">
        <f>YEAR(Table1[[#This Row],[Order Date]])</f>
        <v>2024</v>
      </c>
    </row>
    <row r="4282" spans="1:14" x14ac:dyDescent="0.35">
      <c r="A4282" s="1" t="s">
        <v>5078</v>
      </c>
      <c r="B4282" s="1" t="s">
        <v>513</v>
      </c>
      <c r="C4282" s="1" t="s">
        <v>101</v>
      </c>
      <c r="D4282" s="1" t="s">
        <v>85</v>
      </c>
      <c r="E4282" s="1" t="s">
        <v>28</v>
      </c>
      <c r="F4282" s="1" t="s">
        <v>85</v>
      </c>
      <c r="G4282" s="1">
        <v>7</v>
      </c>
      <c r="H4282" s="1">
        <v>42133</v>
      </c>
      <c r="I4282" s="1">
        <v>0.15</v>
      </c>
      <c r="J4282" s="1">
        <v>250691.35</v>
      </c>
      <c r="K4282" s="1">
        <v>70724.479999999996</v>
      </c>
      <c r="L4282" s="1" t="s">
        <v>45</v>
      </c>
      <c r="M4282" s="1" t="str">
        <f>TEXT(Table1[[#This Row],[Order Date]],"mmm")</f>
        <v>Sep</v>
      </c>
      <c r="N4282" s="1">
        <f>YEAR(Table1[[#This Row],[Order Date]])</f>
        <v>2023</v>
      </c>
    </row>
    <row r="4283" spans="1:14" x14ac:dyDescent="0.35">
      <c r="A4283" s="1" t="s">
        <v>5079</v>
      </c>
      <c r="B4283" s="1" t="s">
        <v>721</v>
      </c>
      <c r="C4283" s="1" t="s">
        <v>175</v>
      </c>
      <c r="D4283" s="1" t="s">
        <v>52</v>
      </c>
      <c r="E4283" s="1" t="s">
        <v>28</v>
      </c>
      <c r="F4283" s="1" t="s">
        <v>52</v>
      </c>
      <c r="G4283" s="1">
        <v>14</v>
      </c>
      <c r="H4283" s="1">
        <v>13683</v>
      </c>
      <c r="I4283" s="1">
        <v>0</v>
      </c>
      <c r="J4283" s="1">
        <v>191562</v>
      </c>
      <c r="K4283" s="1">
        <v>29607.19</v>
      </c>
      <c r="L4283" s="1" t="s">
        <v>17</v>
      </c>
      <c r="M4283" s="1" t="str">
        <f>TEXT(Table1[[#This Row],[Order Date]],"mmm")</f>
        <v>Sep</v>
      </c>
      <c r="N4283" s="1">
        <f>YEAR(Table1[[#This Row],[Order Date]])</f>
        <v>2023</v>
      </c>
    </row>
    <row r="4284" spans="1:14" x14ac:dyDescent="0.35">
      <c r="A4284" s="1" t="s">
        <v>5080</v>
      </c>
      <c r="B4284" s="1" t="s">
        <v>1278</v>
      </c>
      <c r="C4284" s="1" t="s">
        <v>14</v>
      </c>
      <c r="D4284" s="1" t="s">
        <v>78</v>
      </c>
      <c r="E4284" s="1" t="s">
        <v>28</v>
      </c>
      <c r="F4284" s="1" t="s">
        <v>78</v>
      </c>
      <c r="G4284" s="1">
        <v>1</v>
      </c>
      <c r="H4284" s="1">
        <v>22042</v>
      </c>
      <c r="I4284" s="1">
        <v>0.1</v>
      </c>
      <c r="J4284" s="1">
        <v>19837.8</v>
      </c>
      <c r="K4284" s="1">
        <v>3433.16</v>
      </c>
      <c r="L4284" s="1" t="s">
        <v>70</v>
      </c>
      <c r="M4284" s="1" t="str">
        <f>TEXT(Table1[[#This Row],[Order Date]],"mmm")</f>
        <v>Aug</v>
      </c>
      <c r="N4284" s="1">
        <f>YEAR(Table1[[#This Row],[Order Date]])</f>
        <v>2023</v>
      </c>
    </row>
    <row r="4285" spans="1:14" x14ac:dyDescent="0.35">
      <c r="A4285" s="1" t="s">
        <v>5081</v>
      </c>
      <c r="B4285" s="1" t="s">
        <v>655</v>
      </c>
      <c r="C4285" s="1" t="s">
        <v>349</v>
      </c>
      <c r="D4285" s="1" t="s">
        <v>141</v>
      </c>
      <c r="E4285" s="1" t="s">
        <v>22</v>
      </c>
      <c r="F4285" s="1" t="s">
        <v>141</v>
      </c>
      <c r="G4285" s="1">
        <v>15</v>
      </c>
      <c r="H4285" s="1">
        <v>29547</v>
      </c>
      <c r="I4285" s="1">
        <v>0.15</v>
      </c>
      <c r="J4285" s="1">
        <v>376724.25</v>
      </c>
      <c r="K4285" s="1">
        <v>91800.72</v>
      </c>
      <c r="L4285" s="1" t="s">
        <v>70</v>
      </c>
      <c r="M4285" s="1" t="str">
        <f>TEXT(Table1[[#This Row],[Order Date]],"mmm")</f>
        <v>Jul</v>
      </c>
      <c r="N4285" s="1">
        <f>YEAR(Table1[[#This Row],[Order Date]])</f>
        <v>2023</v>
      </c>
    </row>
    <row r="4286" spans="1:14" x14ac:dyDescent="0.35">
      <c r="A4286" s="1" t="s">
        <v>5082</v>
      </c>
      <c r="B4286" s="1" t="s">
        <v>2023</v>
      </c>
      <c r="C4286" s="1" t="s">
        <v>40</v>
      </c>
      <c r="D4286" s="1" t="s">
        <v>323</v>
      </c>
      <c r="E4286" s="1" t="s">
        <v>33</v>
      </c>
      <c r="F4286" s="1" t="s">
        <v>323</v>
      </c>
      <c r="G4286" s="1">
        <v>11</v>
      </c>
      <c r="H4286" s="1">
        <v>26532</v>
      </c>
      <c r="I4286" s="1">
        <v>0.2</v>
      </c>
      <c r="J4286" s="1">
        <v>233481.60000000001</v>
      </c>
      <c r="K4286" s="1">
        <v>49390.6</v>
      </c>
      <c r="L4286" s="1" t="s">
        <v>23</v>
      </c>
      <c r="M4286" s="1" t="str">
        <f>TEXT(Table1[[#This Row],[Order Date]],"mmm")</f>
        <v>Jul</v>
      </c>
      <c r="N4286" s="1">
        <f>YEAR(Table1[[#This Row],[Order Date]])</f>
        <v>2023</v>
      </c>
    </row>
    <row r="4287" spans="1:14" x14ac:dyDescent="0.35">
      <c r="A4287" s="1" t="s">
        <v>5083</v>
      </c>
      <c r="B4287" s="1" t="s">
        <v>1662</v>
      </c>
      <c r="C4287" s="1" t="s">
        <v>200</v>
      </c>
      <c r="D4287" s="1" t="s">
        <v>167</v>
      </c>
      <c r="E4287" s="1" t="s">
        <v>16</v>
      </c>
      <c r="F4287" s="1" t="s">
        <v>167</v>
      </c>
      <c r="G4287" s="1">
        <v>13</v>
      </c>
      <c r="H4287" s="1">
        <v>9296</v>
      </c>
      <c r="I4287" s="1">
        <v>0.15</v>
      </c>
      <c r="J4287" s="1">
        <v>102720.8</v>
      </c>
      <c r="K4287" s="1">
        <v>15859.69</v>
      </c>
      <c r="L4287" s="1" t="s">
        <v>70</v>
      </c>
      <c r="M4287" s="1" t="str">
        <f>TEXT(Table1[[#This Row],[Order Date]],"mmm")</f>
        <v>Aug</v>
      </c>
      <c r="N4287" s="1">
        <f>YEAR(Table1[[#This Row],[Order Date]])</f>
        <v>2024</v>
      </c>
    </row>
    <row r="4288" spans="1:14" x14ac:dyDescent="0.35">
      <c r="A4288" s="1" t="s">
        <v>5084</v>
      </c>
      <c r="B4288" s="1" t="s">
        <v>276</v>
      </c>
      <c r="C4288" s="1" t="s">
        <v>111</v>
      </c>
      <c r="D4288" s="1" t="s">
        <v>141</v>
      </c>
      <c r="E4288" s="1" t="s">
        <v>22</v>
      </c>
      <c r="F4288" s="1" t="s">
        <v>141</v>
      </c>
      <c r="G4288" s="1">
        <v>15</v>
      </c>
      <c r="H4288" s="1">
        <v>23336</v>
      </c>
      <c r="I4288" s="1">
        <v>0.1</v>
      </c>
      <c r="J4288" s="1">
        <v>315036</v>
      </c>
      <c r="K4288" s="1">
        <v>85356.42</v>
      </c>
      <c r="L4288" s="1" t="s">
        <v>45</v>
      </c>
      <c r="M4288" s="1" t="str">
        <f>TEXT(Table1[[#This Row],[Order Date]],"mmm")</f>
        <v>Apr</v>
      </c>
      <c r="N4288" s="1">
        <f>YEAR(Table1[[#This Row],[Order Date]])</f>
        <v>2024</v>
      </c>
    </row>
    <row r="4289" spans="1:14" x14ac:dyDescent="0.35">
      <c r="A4289" s="1" t="s">
        <v>5085</v>
      </c>
      <c r="B4289" s="1" t="s">
        <v>511</v>
      </c>
      <c r="C4289" s="1" t="s">
        <v>40</v>
      </c>
      <c r="D4289" s="1" t="s">
        <v>95</v>
      </c>
      <c r="E4289" s="1" t="s">
        <v>33</v>
      </c>
      <c r="F4289" s="1" t="s">
        <v>95</v>
      </c>
      <c r="G4289" s="1">
        <v>4</v>
      </c>
      <c r="H4289" s="1">
        <v>11595</v>
      </c>
      <c r="I4289" s="1">
        <v>0.2</v>
      </c>
      <c r="J4289" s="1">
        <v>37104</v>
      </c>
      <c r="K4289" s="1">
        <v>8897.31</v>
      </c>
      <c r="L4289" s="1" t="s">
        <v>23</v>
      </c>
      <c r="M4289" s="1" t="str">
        <f>TEXT(Table1[[#This Row],[Order Date]],"mmm")</f>
        <v>Sep</v>
      </c>
      <c r="N4289" s="1">
        <f>YEAR(Table1[[#This Row],[Order Date]])</f>
        <v>2023</v>
      </c>
    </row>
    <row r="4290" spans="1:14" x14ac:dyDescent="0.35">
      <c r="A4290" s="1" t="s">
        <v>5086</v>
      </c>
      <c r="B4290" s="1" t="s">
        <v>314</v>
      </c>
      <c r="C4290" s="1" t="s">
        <v>203</v>
      </c>
      <c r="D4290" s="1" t="s">
        <v>91</v>
      </c>
      <c r="E4290" s="1" t="s">
        <v>16</v>
      </c>
      <c r="F4290" s="1" t="s">
        <v>91</v>
      </c>
      <c r="G4290" s="1">
        <v>5</v>
      </c>
      <c r="H4290" s="1">
        <v>45300</v>
      </c>
      <c r="I4290" s="1">
        <v>0.05</v>
      </c>
      <c r="J4290" s="1">
        <v>215175</v>
      </c>
      <c r="K4290" s="1">
        <v>58961.85</v>
      </c>
      <c r="L4290" s="1" t="s">
        <v>45</v>
      </c>
      <c r="M4290" s="1" t="str">
        <f>TEXT(Table1[[#This Row],[Order Date]],"mmm")</f>
        <v>Nov</v>
      </c>
      <c r="N4290" s="1">
        <f>YEAR(Table1[[#This Row],[Order Date]])</f>
        <v>2024</v>
      </c>
    </row>
    <row r="4291" spans="1:14" x14ac:dyDescent="0.35">
      <c r="A4291" s="1" t="s">
        <v>5087</v>
      </c>
      <c r="B4291" s="1" t="s">
        <v>686</v>
      </c>
      <c r="C4291" s="1" t="s">
        <v>81</v>
      </c>
      <c r="D4291" s="1" t="s">
        <v>141</v>
      </c>
      <c r="E4291" s="1" t="s">
        <v>22</v>
      </c>
      <c r="F4291" s="1" t="s">
        <v>141</v>
      </c>
      <c r="G4291" s="1">
        <v>6</v>
      </c>
      <c r="H4291" s="1">
        <v>47514</v>
      </c>
      <c r="I4291" s="1">
        <v>0.05</v>
      </c>
      <c r="J4291" s="1">
        <v>270829.8</v>
      </c>
      <c r="K4291" s="1">
        <v>23677.11</v>
      </c>
      <c r="L4291" s="1" t="s">
        <v>23</v>
      </c>
      <c r="M4291" s="1" t="str">
        <f>TEXT(Table1[[#This Row],[Order Date]],"mmm")</f>
        <v>Jun</v>
      </c>
      <c r="N4291" s="1">
        <f>YEAR(Table1[[#This Row],[Order Date]])</f>
        <v>2023</v>
      </c>
    </row>
    <row r="4292" spans="1:14" x14ac:dyDescent="0.35">
      <c r="A4292" s="1" t="s">
        <v>5088</v>
      </c>
      <c r="B4292" s="1" t="s">
        <v>2239</v>
      </c>
      <c r="C4292" s="1" t="s">
        <v>362</v>
      </c>
      <c r="D4292" s="1" t="s">
        <v>48</v>
      </c>
      <c r="E4292" s="1" t="s">
        <v>16</v>
      </c>
      <c r="F4292" s="1" t="s">
        <v>48</v>
      </c>
      <c r="G4292" s="1">
        <v>6</v>
      </c>
      <c r="H4292" s="1">
        <v>22917</v>
      </c>
      <c r="I4292" s="1">
        <v>0.15</v>
      </c>
      <c r="J4292" s="1">
        <v>116876.7</v>
      </c>
      <c r="K4292" s="1">
        <v>30739.58</v>
      </c>
      <c r="L4292" s="1" t="s">
        <v>70</v>
      </c>
      <c r="M4292" s="1" t="str">
        <f>TEXT(Table1[[#This Row],[Order Date]],"mmm")</f>
        <v>Oct</v>
      </c>
      <c r="N4292" s="1">
        <f>YEAR(Table1[[#This Row],[Order Date]])</f>
        <v>2023</v>
      </c>
    </row>
    <row r="4293" spans="1:14" x14ac:dyDescent="0.35">
      <c r="A4293" s="1" t="s">
        <v>5089</v>
      </c>
      <c r="B4293" s="1" t="s">
        <v>617</v>
      </c>
      <c r="C4293" s="1" t="s">
        <v>31</v>
      </c>
      <c r="D4293" s="1" t="s">
        <v>56</v>
      </c>
      <c r="E4293" s="1" t="s">
        <v>22</v>
      </c>
      <c r="F4293" s="1" t="s">
        <v>56</v>
      </c>
      <c r="G4293" s="1">
        <v>4</v>
      </c>
      <c r="H4293" s="1">
        <v>8152</v>
      </c>
      <c r="I4293" s="1">
        <v>0.2</v>
      </c>
      <c r="J4293" s="1">
        <v>26086.400000000001</v>
      </c>
      <c r="K4293" s="1">
        <v>4363.47</v>
      </c>
      <c r="L4293" s="1" t="s">
        <v>45</v>
      </c>
      <c r="M4293" s="1" t="str">
        <f>TEXT(Table1[[#This Row],[Order Date]],"mmm")</f>
        <v>Jul</v>
      </c>
      <c r="N4293" s="1">
        <f>YEAR(Table1[[#This Row],[Order Date]])</f>
        <v>2023</v>
      </c>
    </row>
    <row r="4294" spans="1:14" x14ac:dyDescent="0.35">
      <c r="A4294" s="1" t="s">
        <v>5090</v>
      </c>
      <c r="B4294" s="1" t="s">
        <v>580</v>
      </c>
      <c r="C4294" s="1" t="s">
        <v>128</v>
      </c>
      <c r="D4294" s="1" t="s">
        <v>293</v>
      </c>
      <c r="E4294" s="1" t="s">
        <v>33</v>
      </c>
      <c r="F4294" s="1" t="s">
        <v>293</v>
      </c>
      <c r="G4294" s="1">
        <v>10</v>
      </c>
      <c r="H4294" s="1">
        <v>7900</v>
      </c>
      <c r="I4294" s="1">
        <v>0.15</v>
      </c>
      <c r="J4294" s="1">
        <v>67150</v>
      </c>
      <c r="K4294" s="1">
        <v>13517.93</v>
      </c>
      <c r="L4294" s="1" t="s">
        <v>23</v>
      </c>
      <c r="M4294" s="1" t="str">
        <f>TEXT(Table1[[#This Row],[Order Date]],"mmm")</f>
        <v>Nov</v>
      </c>
      <c r="N4294" s="1">
        <f>YEAR(Table1[[#This Row],[Order Date]])</f>
        <v>2024</v>
      </c>
    </row>
    <row r="4295" spans="1:14" x14ac:dyDescent="0.35">
      <c r="A4295" s="1" t="s">
        <v>5091</v>
      </c>
      <c r="B4295" s="1" t="s">
        <v>1774</v>
      </c>
      <c r="C4295" s="1" t="s">
        <v>140</v>
      </c>
      <c r="D4295" s="1" t="s">
        <v>48</v>
      </c>
      <c r="E4295" s="1" t="s">
        <v>16</v>
      </c>
      <c r="F4295" s="1" t="s">
        <v>48</v>
      </c>
      <c r="G4295" s="1">
        <v>10</v>
      </c>
      <c r="H4295" s="1">
        <v>49008</v>
      </c>
      <c r="I4295" s="1">
        <v>0.05</v>
      </c>
      <c r="J4295" s="1">
        <v>465576</v>
      </c>
      <c r="K4295" s="1">
        <v>85146.23</v>
      </c>
      <c r="L4295" s="1" t="s">
        <v>45</v>
      </c>
      <c r="M4295" s="1" t="str">
        <f>TEXT(Table1[[#This Row],[Order Date]],"mmm")</f>
        <v>Jun</v>
      </c>
      <c r="N4295" s="1">
        <f>YEAR(Table1[[#This Row],[Order Date]])</f>
        <v>2023</v>
      </c>
    </row>
    <row r="4296" spans="1:14" x14ac:dyDescent="0.35">
      <c r="A4296" s="1" t="s">
        <v>5092</v>
      </c>
      <c r="B4296" s="1" t="s">
        <v>2111</v>
      </c>
      <c r="C4296" s="1" t="s">
        <v>332</v>
      </c>
      <c r="D4296" s="1" t="s">
        <v>37</v>
      </c>
      <c r="E4296" s="1" t="s">
        <v>16</v>
      </c>
      <c r="F4296" s="1" t="s">
        <v>37</v>
      </c>
      <c r="G4296" s="1">
        <v>12</v>
      </c>
      <c r="H4296" s="1">
        <v>15275</v>
      </c>
      <c r="I4296" s="1">
        <v>0.1</v>
      </c>
      <c r="J4296" s="1">
        <v>164970</v>
      </c>
      <c r="K4296" s="1">
        <v>35528.639999999999</v>
      </c>
      <c r="L4296" s="1" t="s">
        <v>45</v>
      </c>
      <c r="M4296" s="1" t="str">
        <f>TEXT(Table1[[#This Row],[Order Date]],"mmm")</f>
        <v>May</v>
      </c>
      <c r="N4296" s="1">
        <f>YEAR(Table1[[#This Row],[Order Date]])</f>
        <v>2024</v>
      </c>
    </row>
    <row r="4297" spans="1:14" x14ac:dyDescent="0.35">
      <c r="A4297" s="1" t="s">
        <v>5093</v>
      </c>
      <c r="B4297" s="1" t="s">
        <v>1788</v>
      </c>
      <c r="C4297" s="1" t="s">
        <v>208</v>
      </c>
      <c r="D4297" s="1" t="s">
        <v>108</v>
      </c>
      <c r="E4297" s="1" t="s">
        <v>22</v>
      </c>
      <c r="F4297" s="1" t="s">
        <v>108</v>
      </c>
      <c r="G4297" s="1">
        <v>12</v>
      </c>
      <c r="H4297" s="1">
        <v>6634</v>
      </c>
      <c r="I4297" s="1">
        <v>0.2</v>
      </c>
      <c r="J4297" s="1">
        <v>63686.400000000001</v>
      </c>
      <c r="K4297" s="1">
        <v>11070.56</v>
      </c>
      <c r="L4297" s="1" t="s">
        <v>23</v>
      </c>
      <c r="M4297" s="1" t="str">
        <f>TEXT(Table1[[#This Row],[Order Date]],"mmm")</f>
        <v>Jun</v>
      </c>
      <c r="N4297" s="1">
        <f>YEAR(Table1[[#This Row],[Order Date]])</f>
        <v>2023</v>
      </c>
    </row>
    <row r="4298" spans="1:14" x14ac:dyDescent="0.35">
      <c r="A4298" s="1" t="s">
        <v>5094</v>
      </c>
      <c r="B4298" s="1" t="s">
        <v>193</v>
      </c>
      <c r="C4298" s="1" t="s">
        <v>51</v>
      </c>
      <c r="D4298" s="1" t="s">
        <v>224</v>
      </c>
      <c r="E4298" s="1" t="s">
        <v>33</v>
      </c>
      <c r="F4298" s="1" t="s">
        <v>224</v>
      </c>
      <c r="G4298" s="1">
        <v>5</v>
      </c>
      <c r="H4298" s="1">
        <v>44751</v>
      </c>
      <c r="I4298" s="1">
        <v>0.2</v>
      </c>
      <c r="J4298" s="1">
        <v>179004</v>
      </c>
      <c r="K4298" s="1">
        <v>36839.980000000003</v>
      </c>
      <c r="L4298" s="1" t="s">
        <v>17</v>
      </c>
      <c r="M4298" s="1" t="str">
        <f>TEXT(Table1[[#This Row],[Order Date]],"mmm")</f>
        <v>Jun</v>
      </c>
      <c r="N4298" s="1">
        <f>YEAR(Table1[[#This Row],[Order Date]])</f>
        <v>2023</v>
      </c>
    </row>
    <row r="4299" spans="1:14" x14ac:dyDescent="0.35">
      <c r="A4299" s="1" t="s">
        <v>5095</v>
      </c>
      <c r="B4299" s="1" t="s">
        <v>299</v>
      </c>
      <c r="C4299" s="1" t="s">
        <v>26</v>
      </c>
      <c r="D4299" s="1" t="s">
        <v>323</v>
      </c>
      <c r="E4299" s="1" t="s">
        <v>33</v>
      </c>
      <c r="F4299" s="1" t="s">
        <v>323</v>
      </c>
      <c r="G4299" s="1">
        <v>4</v>
      </c>
      <c r="H4299" s="1">
        <v>25589</v>
      </c>
      <c r="I4299" s="1">
        <v>0.15</v>
      </c>
      <c r="J4299" s="1">
        <v>87002.6</v>
      </c>
      <c r="K4299" s="1">
        <v>16470.95</v>
      </c>
      <c r="L4299" s="1" t="s">
        <v>70</v>
      </c>
      <c r="M4299" s="1" t="str">
        <f>TEXT(Table1[[#This Row],[Order Date]],"mmm")</f>
        <v>May</v>
      </c>
      <c r="N4299" s="1">
        <f>YEAR(Table1[[#This Row],[Order Date]])</f>
        <v>2023</v>
      </c>
    </row>
    <row r="4300" spans="1:14" x14ac:dyDescent="0.35">
      <c r="A4300" s="1" t="s">
        <v>5096</v>
      </c>
      <c r="B4300" s="1" t="s">
        <v>742</v>
      </c>
      <c r="C4300" s="1" t="s">
        <v>200</v>
      </c>
      <c r="D4300" s="1" t="s">
        <v>37</v>
      </c>
      <c r="E4300" s="1" t="s">
        <v>16</v>
      </c>
      <c r="F4300" s="1" t="s">
        <v>37</v>
      </c>
      <c r="G4300" s="1">
        <v>13</v>
      </c>
      <c r="H4300" s="1">
        <v>16747</v>
      </c>
      <c r="I4300" s="1">
        <v>0.2</v>
      </c>
      <c r="J4300" s="1">
        <v>174168.8</v>
      </c>
      <c r="K4300" s="1">
        <v>44278.12</v>
      </c>
      <c r="L4300" s="1" t="s">
        <v>70</v>
      </c>
      <c r="M4300" s="1" t="str">
        <f>TEXT(Table1[[#This Row],[Order Date]],"mmm")</f>
        <v>Aug</v>
      </c>
      <c r="N4300" s="1">
        <f>YEAR(Table1[[#This Row],[Order Date]])</f>
        <v>2023</v>
      </c>
    </row>
    <row r="4301" spans="1:14" x14ac:dyDescent="0.35">
      <c r="A4301" s="1" t="s">
        <v>5097</v>
      </c>
      <c r="B4301" s="1" t="s">
        <v>1220</v>
      </c>
      <c r="C4301" s="1" t="s">
        <v>117</v>
      </c>
      <c r="D4301" s="1" t="s">
        <v>85</v>
      </c>
      <c r="E4301" s="1" t="s">
        <v>28</v>
      </c>
      <c r="F4301" s="1" t="s">
        <v>85</v>
      </c>
      <c r="G4301" s="1">
        <v>15</v>
      </c>
      <c r="H4301" s="1">
        <v>59931</v>
      </c>
      <c r="I4301" s="1">
        <v>0</v>
      </c>
      <c r="J4301" s="1">
        <v>898965</v>
      </c>
      <c r="K4301" s="1">
        <v>109660.86</v>
      </c>
      <c r="L4301" s="1" t="s">
        <v>23</v>
      </c>
      <c r="M4301" s="1" t="str">
        <f>TEXT(Table1[[#This Row],[Order Date]],"mmm")</f>
        <v>Oct</v>
      </c>
      <c r="N4301" s="1">
        <f>YEAR(Table1[[#This Row],[Order Date]])</f>
        <v>2024</v>
      </c>
    </row>
    <row r="4302" spans="1:14" x14ac:dyDescent="0.35">
      <c r="A4302" s="1" t="s">
        <v>5098</v>
      </c>
      <c r="B4302" s="1" t="s">
        <v>532</v>
      </c>
      <c r="C4302" s="1" t="s">
        <v>362</v>
      </c>
      <c r="D4302" s="1" t="s">
        <v>108</v>
      </c>
      <c r="E4302" s="1" t="s">
        <v>22</v>
      </c>
      <c r="F4302" s="1" t="s">
        <v>108</v>
      </c>
      <c r="G4302" s="1">
        <v>7</v>
      </c>
      <c r="H4302" s="1">
        <v>47756</v>
      </c>
      <c r="I4302" s="1">
        <v>0.05</v>
      </c>
      <c r="J4302" s="1">
        <v>317577.40000000002</v>
      </c>
      <c r="K4302" s="1">
        <v>90365.5</v>
      </c>
      <c r="L4302" s="1" t="s">
        <v>17</v>
      </c>
      <c r="M4302" s="1" t="str">
        <f>TEXT(Table1[[#This Row],[Order Date]],"mmm")</f>
        <v>Jun</v>
      </c>
      <c r="N4302" s="1">
        <f>YEAR(Table1[[#This Row],[Order Date]])</f>
        <v>2024</v>
      </c>
    </row>
    <row r="4303" spans="1:14" x14ac:dyDescent="0.35">
      <c r="A4303" s="1" t="s">
        <v>5099</v>
      </c>
      <c r="B4303" s="1" t="s">
        <v>746</v>
      </c>
      <c r="C4303" s="1" t="s">
        <v>81</v>
      </c>
      <c r="D4303" s="1" t="s">
        <v>52</v>
      </c>
      <c r="E4303" s="1" t="s">
        <v>28</v>
      </c>
      <c r="F4303" s="1" t="s">
        <v>52</v>
      </c>
      <c r="G4303" s="1">
        <v>4</v>
      </c>
      <c r="H4303" s="1">
        <v>58319</v>
      </c>
      <c r="I4303" s="1">
        <v>0</v>
      </c>
      <c r="J4303" s="1">
        <v>233276</v>
      </c>
      <c r="K4303" s="1">
        <v>29393.53</v>
      </c>
      <c r="L4303" s="1" t="s">
        <v>23</v>
      </c>
      <c r="M4303" s="1" t="str">
        <f>TEXT(Table1[[#This Row],[Order Date]],"mmm")</f>
        <v>Mar</v>
      </c>
      <c r="N4303" s="1">
        <f>YEAR(Table1[[#This Row],[Order Date]])</f>
        <v>2024</v>
      </c>
    </row>
    <row r="4304" spans="1:14" x14ac:dyDescent="0.35">
      <c r="A4304" s="1" t="s">
        <v>5100</v>
      </c>
      <c r="B4304" s="1" t="s">
        <v>2421</v>
      </c>
      <c r="C4304" s="1" t="s">
        <v>104</v>
      </c>
      <c r="D4304" s="1" t="s">
        <v>167</v>
      </c>
      <c r="E4304" s="1" t="s">
        <v>16</v>
      </c>
      <c r="F4304" s="1" t="s">
        <v>167</v>
      </c>
      <c r="G4304" s="1">
        <v>5</v>
      </c>
      <c r="H4304" s="1">
        <v>1491</v>
      </c>
      <c r="I4304" s="1">
        <v>0.2</v>
      </c>
      <c r="J4304" s="1">
        <v>5964</v>
      </c>
      <c r="K4304" s="1">
        <v>1021.12</v>
      </c>
      <c r="L4304" s="1" t="s">
        <v>45</v>
      </c>
      <c r="M4304" s="1" t="str">
        <f>TEXT(Table1[[#This Row],[Order Date]],"mmm")</f>
        <v>Jun</v>
      </c>
      <c r="N4304" s="1">
        <f>YEAR(Table1[[#This Row],[Order Date]])</f>
        <v>2024</v>
      </c>
    </row>
    <row r="4305" spans="1:14" x14ac:dyDescent="0.35">
      <c r="A4305" s="1" t="s">
        <v>5101</v>
      </c>
      <c r="B4305" s="1" t="s">
        <v>501</v>
      </c>
      <c r="C4305" s="1" t="s">
        <v>20</v>
      </c>
      <c r="D4305" s="1" t="s">
        <v>48</v>
      </c>
      <c r="E4305" s="1" t="s">
        <v>16</v>
      </c>
      <c r="F4305" s="1" t="s">
        <v>48</v>
      </c>
      <c r="G4305" s="1">
        <v>6</v>
      </c>
      <c r="H4305" s="1">
        <v>39608</v>
      </c>
      <c r="I4305" s="1">
        <v>0.15</v>
      </c>
      <c r="J4305" s="1">
        <v>202000.8</v>
      </c>
      <c r="K4305" s="1">
        <v>26120.49</v>
      </c>
      <c r="L4305" s="1" t="s">
        <v>45</v>
      </c>
      <c r="M4305" s="1" t="str">
        <f>TEXT(Table1[[#This Row],[Order Date]],"mmm")</f>
        <v>Nov</v>
      </c>
      <c r="N4305" s="1">
        <f>YEAR(Table1[[#This Row],[Order Date]])</f>
        <v>2024</v>
      </c>
    </row>
    <row r="4306" spans="1:14" x14ac:dyDescent="0.35">
      <c r="A4306" s="1" t="s">
        <v>5102</v>
      </c>
      <c r="B4306" s="1" t="s">
        <v>757</v>
      </c>
      <c r="C4306" s="1" t="s">
        <v>640</v>
      </c>
      <c r="D4306" s="1" t="s">
        <v>323</v>
      </c>
      <c r="E4306" s="1" t="s">
        <v>33</v>
      </c>
      <c r="F4306" s="1" t="s">
        <v>323</v>
      </c>
      <c r="G4306" s="1">
        <v>8</v>
      </c>
      <c r="H4306" s="1">
        <v>9036</v>
      </c>
      <c r="I4306" s="1">
        <v>0.05</v>
      </c>
      <c r="J4306" s="1">
        <v>68673.600000000006</v>
      </c>
      <c r="K4306" s="1">
        <v>12510.32</v>
      </c>
      <c r="L4306" s="1" t="s">
        <v>70</v>
      </c>
      <c r="M4306" s="1" t="str">
        <f>TEXT(Table1[[#This Row],[Order Date]],"mmm")</f>
        <v>Dec</v>
      </c>
      <c r="N4306" s="1">
        <f>YEAR(Table1[[#This Row],[Order Date]])</f>
        <v>2023</v>
      </c>
    </row>
    <row r="4307" spans="1:14" x14ac:dyDescent="0.35">
      <c r="A4307" s="1" t="s">
        <v>5103</v>
      </c>
      <c r="B4307" s="1" t="s">
        <v>80</v>
      </c>
      <c r="C4307" s="1" t="s">
        <v>107</v>
      </c>
      <c r="D4307" s="1" t="s">
        <v>167</v>
      </c>
      <c r="E4307" s="1" t="s">
        <v>16</v>
      </c>
      <c r="F4307" s="1" t="s">
        <v>167</v>
      </c>
      <c r="G4307" s="1">
        <v>12</v>
      </c>
      <c r="H4307" s="1">
        <v>16922</v>
      </c>
      <c r="I4307" s="1">
        <v>0.2</v>
      </c>
      <c r="J4307" s="1">
        <v>162451.20000000001</v>
      </c>
      <c r="K4307" s="1">
        <v>21596.37</v>
      </c>
      <c r="L4307" s="1" t="s">
        <v>45</v>
      </c>
      <c r="M4307" s="1" t="str">
        <f>TEXT(Table1[[#This Row],[Order Date]],"mmm")</f>
        <v>Jan</v>
      </c>
      <c r="N4307" s="1">
        <f>YEAR(Table1[[#This Row],[Order Date]])</f>
        <v>2023</v>
      </c>
    </row>
    <row r="4308" spans="1:14" x14ac:dyDescent="0.35">
      <c r="A4308" s="1" t="s">
        <v>5104</v>
      </c>
      <c r="B4308" s="1" t="s">
        <v>1140</v>
      </c>
      <c r="C4308" s="1" t="s">
        <v>77</v>
      </c>
      <c r="D4308" s="1" t="s">
        <v>108</v>
      </c>
      <c r="E4308" s="1" t="s">
        <v>22</v>
      </c>
      <c r="F4308" s="1" t="s">
        <v>108</v>
      </c>
      <c r="G4308" s="1">
        <v>5</v>
      </c>
      <c r="H4308" s="1">
        <v>20758</v>
      </c>
      <c r="I4308" s="1">
        <v>0.1</v>
      </c>
      <c r="J4308" s="1">
        <v>93411</v>
      </c>
      <c r="K4308" s="1">
        <v>23442.36</v>
      </c>
      <c r="L4308" s="1" t="s">
        <v>45</v>
      </c>
      <c r="M4308" s="1" t="str">
        <f>TEXT(Table1[[#This Row],[Order Date]],"mmm")</f>
        <v>May</v>
      </c>
      <c r="N4308" s="1">
        <f>YEAR(Table1[[#This Row],[Order Date]])</f>
        <v>2024</v>
      </c>
    </row>
    <row r="4309" spans="1:14" x14ac:dyDescent="0.35">
      <c r="A4309" s="1" t="s">
        <v>5105</v>
      </c>
      <c r="B4309" s="1" t="s">
        <v>312</v>
      </c>
      <c r="C4309" s="1" t="s">
        <v>88</v>
      </c>
      <c r="D4309" s="1" t="s">
        <v>64</v>
      </c>
      <c r="E4309" s="1" t="s">
        <v>33</v>
      </c>
      <c r="F4309" s="1" t="s">
        <v>64</v>
      </c>
      <c r="G4309" s="1">
        <v>15</v>
      </c>
      <c r="H4309" s="1">
        <v>14041</v>
      </c>
      <c r="I4309" s="1">
        <v>0.1</v>
      </c>
      <c r="J4309" s="1">
        <v>189553.5</v>
      </c>
      <c r="K4309" s="1">
        <v>23993.61</v>
      </c>
      <c r="L4309" s="1" t="s">
        <v>70</v>
      </c>
      <c r="M4309" s="1" t="str">
        <f>TEXT(Table1[[#This Row],[Order Date]],"mmm")</f>
        <v>May</v>
      </c>
      <c r="N4309" s="1">
        <f>YEAR(Table1[[#This Row],[Order Date]])</f>
        <v>2024</v>
      </c>
    </row>
    <row r="4310" spans="1:14" x14ac:dyDescent="0.35">
      <c r="A4310" s="1" t="s">
        <v>5106</v>
      </c>
      <c r="B4310" s="1" t="s">
        <v>515</v>
      </c>
      <c r="C4310" s="1" t="s">
        <v>31</v>
      </c>
      <c r="D4310" s="1" t="s">
        <v>41</v>
      </c>
      <c r="E4310" s="1" t="s">
        <v>16</v>
      </c>
      <c r="F4310" s="1" t="s">
        <v>41</v>
      </c>
      <c r="G4310" s="1">
        <v>10</v>
      </c>
      <c r="H4310" s="1">
        <v>36795</v>
      </c>
      <c r="I4310" s="1">
        <v>0</v>
      </c>
      <c r="J4310" s="1">
        <v>367950</v>
      </c>
      <c r="K4310" s="1">
        <v>44162.400000000001</v>
      </c>
      <c r="L4310" s="1" t="s">
        <v>45</v>
      </c>
      <c r="M4310" s="1" t="str">
        <f>TEXT(Table1[[#This Row],[Order Date]],"mmm")</f>
        <v>Apr</v>
      </c>
      <c r="N4310" s="1">
        <f>YEAR(Table1[[#This Row],[Order Date]])</f>
        <v>2024</v>
      </c>
    </row>
    <row r="4311" spans="1:14" x14ac:dyDescent="0.35">
      <c r="A4311" s="1" t="s">
        <v>5107</v>
      </c>
      <c r="B4311" s="1" t="s">
        <v>893</v>
      </c>
      <c r="C4311" s="1" t="s">
        <v>507</v>
      </c>
      <c r="D4311" s="1" t="s">
        <v>91</v>
      </c>
      <c r="E4311" s="1" t="s">
        <v>16</v>
      </c>
      <c r="F4311" s="1" t="s">
        <v>91</v>
      </c>
      <c r="G4311" s="1">
        <v>10</v>
      </c>
      <c r="H4311" s="1">
        <v>58533</v>
      </c>
      <c r="I4311" s="1">
        <v>0</v>
      </c>
      <c r="J4311" s="1">
        <v>585330</v>
      </c>
      <c r="K4311" s="1">
        <v>164631.16</v>
      </c>
      <c r="L4311" s="1" t="s">
        <v>45</v>
      </c>
      <c r="M4311" s="1" t="str">
        <f>TEXT(Table1[[#This Row],[Order Date]],"mmm")</f>
        <v>Oct</v>
      </c>
      <c r="N4311" s="1">
        <f>YEAR(Table1[[#This Row],[Order Date]])</f>
        <v>2023</v>
      </c>
    </row>
    <row r="4312" spans="1:14" x14ac:dyDescent="0.35">
      <c r="A4312" s="1" t="s">
        <v>5108</v>
      </c>
      <c r="B4312" s="1" t="s">
        <v>1361</v>
      </c>
      <c r="C4312" s="1" t="s">
        <v>26</v>
      </c>
      <c r="D4312" s="1" t="s">
        <v>37</v>
      </c>
      <c r="E4312" s="1" t="s">
        <v>16</v>
      </c>
      <c r="F4312" s="1" t="s">
        <v>37</v>
      </c>
      <c r="G4312" s="1">
        <v>14</v>
      </c>
      <c r="H4312" s="1">
        <v>39617</v>
      </c>
      <c r="I4312" s="1">
        <v>0.15</v>
      </c>
      <c r="J4312" s="1">
        <v>471442.3</v>
      </c>
      <c r="K4312" s="1">
        <v>79700.960000000006</v>
      </c>
      <c r="L4312" s="1" t="s">
        <v>23</v>
      </c>
      <c r="M4312" s="1" t="str">
        <f>TEXT(Table1[[#This Row],[Order Date]],"mmm")</f>
        <v>Apr</v>
      </c>
      <c r="N4312" s="1">
        <f>YEAR(Table1[[#This Row],[Order Date]])</f>
        <v>2023</v>
      </c>
    </row>
    <row r="4313" spans="1:14" x14ac:dyDescent="0.35">
      <c r="A4313" s="1" t="s">
        <v>5109</v>
      </c>
      <c r="B4313" s="1" t="s">
        <v>1616</v>
      </c>
      <c r="C4313" s="1" t="s">
        <v>507</v>
      </c>
      <c r="D4313" s="1" t="s">
        <v>41</v>
      </c>
      <c r="E4313" s="1" t="s">
        <v>16</v>
      </c>
      <c r="F4313" s="1" t="s">
        <v>41</v>
      </c>
      <c r="G4313" s="1">
        <v>7</v>
      </c>
      <c r="H4313" s="1">
        <v>10207</v>
      </c>
      <c r="I4313" s="1">
        <v>0.15</v>
      </c>
      <c r="J4313" s="1">
        <v>60731.65</v>
      </c>
      <c r="K4313" s="1">
        <v>12235.2</v>
      </c>
      <c r="L4313" s="1" t="s">
        <v>23</v>
      </c>
      <c r="M4313" s="1" t="str">
        <f>TEXT(Table1[[#This Row],[Order Date]],"mmm")</f>
        <v>Aug</v>
      </c>
      <c r="N4313" s="1">
        <f>YEAR(Table1[[#This Row],[Order Date]])</f>
        <v>2023</v>
      </c>
    </row>
    <row r="4314" spans="1:14" x14ac:dyDescent="0.35">
      <c r="A4314" s="1" t="s">
        <v>5110</v>
      </c>
      <c r="B4314" s="1" t="s">
        <v>379</v>
      </c>
      <c r="C4314" s="1" t="s">
        <v>51</v>
      </c>
      <c r="D4314" s="1" t="s">
        <v>167</v>
      </c>
      <c r="E4314" s="1" t="s">
        <v>16</v>
      </c>
      <c r="F4314" s="1" t="s">
        <v>167</v>
      </c>
      <c r="G4314" s="1">
        <v>10</v>
      </c>
      <c r="H4314" s="1">
        <v>33264</v>
      </c>
      <c r="I4314" s="1">
        <v>0.1</v>
      </c>
      <c r="J4314" s="1">
        <v>299376</v>
      </c>
      <c r="K4314" s="1">
        <v>86323.839999999997</v>
      </c>
      <c r="L4314" s="1" t="s">
        <v>45</v>
      </c>
      <c r="M4314" s="1" t="str">
        <f>TEXT(Table1[[#This Row],[Order Date]],"mmm")</f>
        <v>Feb</v>
      </c>
      <c r="N4314" s="1">
        <f>YEAR(Table1[[#This Row],[Order Date]])</f>
        <v>2023</v>
      </c>
    </row>
    <row r="4315" spans="1:14" x14ac:dyDescent="0.35">
      <c r="A4315" s="1" t="s">
        <v>5111</v>
      </c>
      <c r="B4315" s="1" t="s">
        <v>587</v>
      </c>
      <c r="C4315" s="1" t="s">
        <v>175</v>
      </c>
      <c r="D4315" s="1" t="s">
        <v>27</v>
      </c>
      <c r="E4315" s="1" t="s">
        <v>28</v>
      </c>
      <c r="F4315" s="1" t="s">
        <v>27</v>
      </c>
      <c r="G4315" s="1">
        <v>9</v>
      </c>
      <c r="H4315" s="1">
        <v>54151</v>
      </c>
      <c r="I4315" s="1">
        <v>0.15</v>
      </c>
      <c r="J4315" s="1">
        <v>414255.15</v>
      </c>
      <c r="K4315" s="1">
        <v>39422.980000000003</v>
      </c>
      <c r="L4315" s="1" t="s">
        <v>45</v>
      </c>
      <c r="M4315" s="1" t="str">
        <f>TEXT(Table1[[#This Row],[Order Date]],"mmm")</f>
        <v>Oct</v>
      </c>
      <c r="N4315" s="1">
        <f>YEAR(Table1[[#This Row],[Order Date]])</f>
        <v>2024</v>
      </c>
    </row>
    <row r="4316" spans="1:14" x14ac:dyDescent="0.35">
      <c r="A4316" s="1" t="s">
        <v>5112</v>
      </c>
      <c r="B4316" s="1" t="s">
        <v>1705</v>
      </c>
      <c r="C4316" s="1" t="s">
        <v>227</v>
      </c>
      <c r="D4316" s="1" t="s">
        <v>15</v>
      </c>
      <c r="E4316" s="1" t="s">
        <v>16</v>
      </c>
      <c r="F4316" s="1" t="s">
        <v>15</v>
      </c>
      <c r="G4316" s="1">
        <v>2</v>
      </c>
      <c r="H4316" s="1">
        <v>5408</v>
      </c>
      <c r="I4316" s="1">
        <v>0.2</v>
      </c>
      <c r="J4316" s="1">
        <v>8652.7999999999993</v>
      </c>
      <c r="K4316" s="1">
        <v>898.83</v>
      </c>
      <c r="L4316" s="1" t="s">
        <v>45</v>
      </c>
      <c r="M4316" s="1" t="str">
        <f>TEXT(Table1[[#This Row],[Order Date]],"mmm")</f>
        <v>Oct</v>
      </c>
      <c r="N4316" s="1">
        <f>YEAR(Table1[[#This Row],[Order Date]])</f>
        <v>2024</v>
      </c>
    </row>
    <row r="4317" spans="1:14" x14ac:dyDescent="0.35">
      <c r="A4317" s="1" t="s">
        <v>5113</v>
      </c>
      <c r="B4317" s="1" t="s">
        <v>1085</v>
      </c>
      <c r="C4317" s="1" t="s">
        <v>107</v>
      </c>
      <c r="D4317" s="1" t="s">
        <v>133</v>
      </c>
      <c r="E4317" s="1" t="s">
        <v>22</v>
      </c>
      <c r="F4317" s="1" t="s">
        <v>133</v>
      </c>
      <c r="G4317" s="1">
        <v>10</v>
      </c>
      <c r="H4317" s="1">
        <v>52001</v>
      </c>
      <c r="I4317" s="1">
        <v>0.05</v>
      </c>
      <c r="J4317" s="1">
        <v>494009.5</v>
      </c>
      <c r="K4317" s="1">
        <v>77145.97</v>
      </c>
      <c r="L4317" s="1" t="s">
        <v>70</v>
      </c>
      <c r="M4317" s="1" t="str">
        <f>TEXT(Table1[[#This Row],[Order Date]],"mmm")</f>
        <v>Aug</v>
      </c>
      <c r="N4317" s="1">
        <f>YEAR(Table1[[#This Row],[Order Date]])</f>
        <v>2023</v>
      </c>
    </row>
    <row r="4318" spans="1:14" x14ac:dyDescent="0.35">
      <c r="A4318" s="1" t="s">
        <v>5114</v>
      </c>
      <c r="B4318" s="1" t="s">
        <v>190</v>
      </c>
      <c r="C4318" s="1" t="s">
        <v>40</v>
      </c>
      <c r="D4318" s="1" t="s">
        <v>44</v>
      </c>
      <c r="E4318" s="1" t="s">
        <v>28</v>
      </c>
      <c r="F4318" s="1" t="s">
        <v>44</v>
      </c>
      <c r="G4318" s="1">
        <v>1</v>
      </c>
      <c r="H4318" s="1">
        <v>14226</v>
      </c>
      <c r="I4318" s="1">
        <v>0.1</v>
      </c>
      <c r="J4318" s="1">
        <v>12803.4</v>
      </c>
      <c r="K4318" s="1">
        <v>3183.91</v>
      </c>
      <c r="L4318" s="1" t="s">
        <v>45</v>
      </c>
      <c r="M4318" s="1" t="str">
        <f>TEXT(Table1[[#This Row],[Order Date]],"mmm")</f>
        <v>Mar</v>
      </c>
      <c r="N4318" s="1">
        <f>YEAR(Table1[[#This Row],[Order Date]])</f>
        <v>2024</v>
      </c>
    </row>
    <row r="4319" spans="1:14" x14ac:dyDescent="0.35">
      <c r="A4319" s="1" t="s">
        <v>5115</v>
      </c>
      <c r="B4319" s="1" t="s">
        <v>737</v>
      </c>
      <c r="C4319" s="1" t="s">
        <v>136</v>
      </c>
      <c r="D4319" s="1" t="s">
        <v>137</v>
      </c>
      <c r="E4319" s="1" t="s">
        <v>22</v>
      </c>
      <c r="F4319" s="1" t="s">
        <v>137</v>
      </c>
      <c r="G4319" s="1">
        <v>3</v>
      </c>
      <c r="H4319" s="1">
        <v>16683</v>
      </c>
      <c r="I4319" s="1">
        <v>0</v>
      </c>
      <c r="J4319" s="1">
        <v>50049</v>
      </c>
      <c r="K4319" s="1">
        <v>13897.54</v>
      </c>
      <c r="L4319" s="1" t="s">
        <v>17</v>
      </c>
      <c r="M4319" s="1" t="str">
        <f>TEXT(Table1[[#This Row],[Order Date]],"mmm")</f>
        <v>Aug</v>
      </c>
      <c r="N4319" s="1">
        <f>YEAR(Table1[[#This Row],[Order Date]])</f>
        <v>2023</v>
      </c>
    </row>
    <row r="4320" spans="1:14" x14ac:dyDescent="0.35">
      <c r="A4320" s="1" t="s">
        <v>5116</v>
      </c>
      <c r="B4320" s="1" t="s">
        <v>1374</v>
      </c>
      <c r="C4320" s="1" t="s">
        <v>158</v>
      </c>
      <c r="D4320" s="1" t="s">
        <v>91</v>
      </c>
      <c r="E4320" s="1" t="s">
        <v>16</v>
      </c>
      <c r="F4320" s="1" t="s">
        <v>91</v>
      </c>
      <c r="G4320" s="1">
        <v>3</v>
      </c>
      <c r="H4320" s="1">
        <v>12981</v>
      </c>
      <c r="I4320" s="1">
        <v>0.2</v>
      </c>
      <c r="J4320" s="1">
        <v>31154.400000000001</v>
      </c>
      <c r="K4320" s="1">
        <v>7317.4</v>
      </c>
      <c r="L4320" s="1" t="s">
        <v>17</v>
      </c>
      <c r="M4320" s="1" t="str">
        <f>TEXT(Table1[[#This Row],[Order Date]],"mmm")</f>
        <v>May</v>
      </c>
      <c r="N4320" s="1">
        <f>YEAR(Table1[[#This Row],[Order Date]])</f>
        <v>2023</v>
      </c>
    </row>
    <row r="4321" spans="1:14" x14ac:dyDescent="0.35">
      <c r="A4321" s="1" t="s">
        <v>5117</v>
      </c>
      <c r="B4321" s="1" t="s">
        <v>1027</v>
      </c>
      <c r="C4321" s="1" t="s">
        <v>260</v>
      </c>
      <c r="D4321" s="1" t="s">
        <v>15</v>
      </c>
      <c r="E4321" s="1" t="s">
        <v>16</v>
      </c>
      <c r="F4321" s="1" t="s">
        <v>15</v>
      </c>
      <c r="G4321" s="1">
        <v>9</v>
      </c>
      <c r="H4321" s="1">
        <v>23262</v>
      </c>
      <c r="I4321" s="1">
        <v>0.05</v>
      </c>
      <c r="J4321" s="1">
        <v>198890.1</v>
      </c>
      <c r="K4321" s="1">
        <v>36779.22</v>
      </c>
      <c r="L4321" s="1" t="s">
        <v>45</v>
      </c>
      <c r="M4321" s="1" t="str">
        <f>TEXT(Table1[[#This Row],[Order Date]],"mmm")</f>
        <v>Nov</v>
      </c>
      <c r="N4321" s="1">
        <f>YEAR(Table1[[#This Row],[Order Date]])</f>
        <v>2023</v>
      </c>
    </row>
    <row r="4322" spans="1:14" x14ac:dyDescent="0.35">
      <c r="A4322" s="1" t="s">
        <v>5118</v>
      </c>
      <c r="B4322" s="1" t="s">
        <v>569</v>
      </c>
      <c r="C4322" s="1" t="s">
        <v>107</v>
      </c>
      <c r="D4322" s="1" t="s">
        <v>167</v>
      </c>
      <c r="E4322" s="1" t="s">
        <v>16</v>
      </c>
      <c r="F4322" s="1" t="s">
        <v>167</v>
      </c>
      <c r="G4322" s="1">
        <v>5</v>
      </c>
      <c r="H4322" s="1">
        <v>58493</v>
      </c>
      <c r="I4322" s="1">
        <v>0.15</v>
      </c>
      <c r="J4322" s="1">
        <v>248595.25</v>
      </c>
      <c r="K4322" s="1">
        <v>28602.22</v>
      </c>
      <c r="L4322" s="1" t="s">
        <v>17</v>
      </c>
      <c r="M4322" s="1" t="str">
        <f>TEXT(Table1[[#This Row],[Order Date]],"mmm")</f>
        <v>Sep</v>
      </c>
      <c r="N4322" s="1">
        <f>YEAR(Table1[[#This Row],[Order Date]])</f>
        <v>2024</v>
      </c>
    </row>
    <row r="4323" spans="1:14" x14ac:dyDescent="0.35">
      <c r="A4323" s="1" t="s">
        <v>5119</v>
      </c>
      <c r="B4323" s="1" t="s">
        <v>1585</v>
      </c>
      <c r="C4323" s="1" t="s">
        <v>362</v>
      </c>
      <c r="D4323" s="1" t="s">
        <v>108</v>
      </c>
      <c r="E4323" s="1" t="s">
        <v>22</v>
      </c>
      <c r="F4323" s="1" t="s">
        <v>108</v>
      </c>
      <c r="G4323" s="1">
        <v>8</v>
      </c>
      <c r="H4323" s="1">
        <v>23703</v>
      </c>
      <c r="I4323" s="1">
        <v>0.05</v>
      </c>
      <c r="J4323" s="1">
        <v>180142.8</v>
      </c>
      <c r="K4323" s="1">
        <v>44280.65</v>
      </c>
      <c r="L4323" s="1" t="s">
        <v>45</v>
      </c>
      <c r="M4323" s="1" t="str">
        <f>TEXT(Table1[[#This Row],[Order Date]],"mmm")</f>
        <v>Dec</v>
      </c>
      <c r="N4323" s="1">
        <f>YEAR(Table1[[#This Row],[Order Date]])</f>
        <v>2023</v>
      </c>
    </row>
    <row r="4324" spans="1:14" x14ac:dyDescent="0.35">
      <c r="A4324" s="1" t="s">
        <v>5120</v>
      </c>
      <c r="B4324" s="1" t="s">
        <v>724</v>
      </c>
      <c r="C4324" s="1" t="s">
        <v>63</v>
      </c>
      <c r="D4324" s="1" t="s">
        <v>151</v>
      </c>
      <c r="E4324" s="1" t="s">
        <v>22</v>
      </c>
      <c r="F4324" s="1" t="s">
        <v>151</v>
      </c>
      <c r="G4324" s="1">
        <v>1</v>
      </c>
      <c r="H4324" s="1">
        <v>9440</v>
      </c>
      <c r="I4324" s="1">
        <v>0.15</v>
      </c>
      <c r="J4324" s="1">
        <v>8024</v>
      </c>
      <c r="K4324" s="1">
        <v>969.47</v>
      </c>
      <c r="L4324" s="1" t="s">
        <v>23</v>
      </c>
      <c r="M4324" s="1" t="str">
        <f>TEXT(Table1[[#This Row],[Order Date]],"mmm")</f>
        <v>Feb</v>
      </c>
      <c r="N4324" s="1">
        <f>YEAR(Table1[[#This Row],[Order Date]])</f>
        <v>2023</v>
      </c>
    </row>
    <row r="4325" spans="1:14" x14ac:dyDescent="0.35">
      <c r="A4325" s="1" t="s">
        <v>5121</v>
      </c>
      <c r="B4325" s="1" t="s">
        <v>549</v>
      </c>
      <c r="C4325" s="1" t="s">
        <v>155</v>
      </c>
      <c r="D4325" s="1" t="s">
        <v>78</v>
      </c>
      <c r="E4325" s="1" t="s">
        <v>28</v>
      </c>
      <c r="F4325" s="1" t="s">
        <v>78</v>
      </c>
      <c r="G4325" s="1">
        <v>3</v>
      </c>
      <c r="H4325" s="1">
        <v>52457</v>
      </c>
      <c r="I4325" s="1">
        <v>0.05</v>
      </c>
      <c r="J4325" s="1">
        <v>149502.45000000001</v>
      </c>
      <c r="K4325" s="1">
        <v>43819.26</v>
      </c>
      <c r="L4325" s="1" t="s">
        <v>17</v>
      </c>
      <c r="M4325" s="1" t="str">
        <f>TEXT(Table1[[#This Row],[Order Date]],"mmm")</f>
        <v>Jan</v>
      </c>
      <c r="N4325" s="1">
        <f>YEAR(Table1[[#This Row],[Order Date]])</f>
        <v>2024</v>
      </c>
    </row>
    <row r="4326" spans="1:14" x14ac:dyDescent="0.35">
      <c r="A4326" s="1" t="s">
        <v>5122</v>
      </c>
      <c r="B4326" s="1" t="s">
        <v>459</v>
      </c>
      <c r="C4326" s="1" t="s">
        <v>111</v>
      </c>
      <c r="D4326" s="1" t="s">
        <v>64</v>
      </c>
      <c r="E4326" s="1" t="s">
        <v>33</v>
      </c>
      <c r="F4326" s="1" t="s">
        <v>64</v>
      </c>
      <c r="G4326" s="1">
        <v>12</v>
      </c>
      <c r="H4326" s="1">
        <v>22411</v>
      </c>
      <c r="I4326" s="1">
        <v>0.15</v>
      </c>
      <c r="J4326" s="1">
        <v>228592.2</v>
      </c>
      <c r="K4326" s="1">
        <v>19320.39</v>
      </c>
      <c r="L4326" s="1" t="s">
        <v>23</v>
      </c>
      <c r="M4326" s="1" t="str">
        <f>TEXT(Table1[[#This Row],[Order Date]],"mmm")</f>
        <v>Feb</v>
      </c>
      <c r="N4326" s="1">
        <f>YEAR(Table1[[#This Row],[Order Date]])</f>
        <v>2023</v>
      </c>
    </row>
    <row r="4327" spans="1:14" x14ac:dyDescent="0.35">
      <c r="A4327" s="1" t="s">
        <v>5123</v>
      </c>
      <c r="B4327" s="1" t="s">
        <v>1573</v>
      </c>
      <c r="C4327" s="1" t="s">
        <v>73</v>
      </c>
      <c r="D4327" s="1" t="s">
        <v>21</v>
      </c>
      <c r="E4327" s="1" t="s">
        <v>22</v>
      </c>
      <c r="F4327" s="1" t="s">
        <v>21</v>
      </c>
      <c r="G4327" s="1">
        <v>12</v>
      </c>
      <c r="H4327" s="1">
        <v>49806</v>
      </c>
      <c r="I4327" s="1">
        <v>0.05</v>
      </c>
      <c r="J4327" s="1">
        <v>567788.4</v>
      </c>
      <c r="K4327" s="1">
        <v>100717.14</v>
      </c>
      <c r="L4327" s="1" t="s">
        <v>23</v>
      </c>
      <c r="M4327" s="1" t="str">
        <f>TEXT(Table1[[#This Row],[Order Date]],"mmm")</f>
        <v>Aug</v>
      </c>
      <c r="N4327" s="1">
        <f>YEAR(Table1[[#This Row],[Order Date]])</f>
        <v>2024</v>
      </c>
    </row>
    <row r="4328" spans="1:14" x14ac:dyDescent="0.35">
      <c r="A4328" s="1" t="s">
        <v>5124</v>
      </c>
      <c r="B4328" s="1" t="s">
        <v>339</v>
      </c>
      <c r="C4328" s="1" t="s">
        <v>208</v>
      </c>
      <c r="D4328" s="1" t="s">
        <v>224</v>
      </c>
      <c r="E4328" s="1" t="s">
        <v>33</v>
      </c>
      <c r="F4328" s="1" t="s">
        <v>224</v>
      </c>
      <c r="G4328" s="1">
        <v>6</v>
      </c>
      <c r="H4328" s="1">
        <v>25442</v>
      </c>
      <c r="I4328" s="1">
        <v>0.05</v>
      </c>
      <c r="J4328" s="1">
        <v>145019.4</v>
      </c>
      <c r="K4328" s="1">
        <v>18329.03</v>
      </c>
      <c r="L4328" s="1" t="s">
        <v>70</v>
      </c>
      <c r="M4328" s="1" t="str">
        <f>TEXT(Table1[[#This Row],[Order Date]],"mmm")</f>
        <v>Jun</v>
      </c>
      <c r="N4328" s="1">
        <f>YEAR(Table1[[#This Row],[Order Date]])</f>
        <v>2024</v>
      </c>
    </row>
    <row r="4329" spans="1:14" x14ac:dyDescent="0.35">
      <c r="A4329" s="1" t="s">
        <v>5125</v>
      </c>
      <c r="B4329" s="1" t="s">
        <v>437</v>
      </c>
      <c r="C4329" s="1" t="s">
        <v>155</v>
      </c>
      <c r="D4329" s="1" t="s">
        <v>15</v>
      </c>
      <c r="E4329" s="1" t="s">
        <v>16</v>
      </c>
      <c r="F4329" s="1" t="s">
        <v>15</v>
      </c>
      <c r="G4329" s="1">
        <v>5</v>
      </c>
      <c r="H4329" s="1">
        <v>17109</v>
      </c>
      <c r="I4329" s="1">
        <v>0.05</v>
      </c>
      <c r="J4329" s="1">
        <v>81267.75</v>
      </c>
      <c r="K4329" s="1">
        <v>21738.46</v>
      </c>
      <c r="L4329" s="1" t="s">
        <v>17</v>
      </c>
      <c r="M4329" s="1" t="str">
        <f>TEXT(Table1[[#This Row],[Order Date]],"mmm")</f>
        <v>Mar</v>
      </c>
      <c r="N4329" s="1">
        <f>YEAR(Table1[[#This Row],[Order Date]])</f>
        <v>2023</v>
      </c>
    </row>
    <row r="4330" spans="1:14" x14ac:dyDescent="0.35">
      <c r="A4330" s="1" t="s">
        <v>5126</v>
      </c>
      <c r="B4330" s="1" t="s">
        <v>1443</v>
      </c>
      <c r="C4330" s="1" t="s">
        <v>640</v>
      </c>
      <c r="D4330" s="1" t="s">
        <v>323</v>
      </c>
      <c r="E4330" s="1" t="s">
        <v>33</v>
      </c>
      <c r="F4330" s="1" t="s">
        <v>323</v>
      </c>
      <c r="G4330" s="1">
        <v>13</v>
      </c>
      <c r="H4330" s="1">
        <v>10900</v>
      </c>
      <c r="I4330" s="1">
        <v>0</v>
      </c>
      <c r="J4330" s="1">
        <v>141700</v>
      </c>
      <c r="K4330" s="1">
        <v>23851.360000000001</v>
      </c>
      <c r="L4330" s="1" t="s">
        <v>45</v>
      </c>
      <c r="M4330" s="1" t="str">
        <f>TEXT(Table1[[#This Row],[Order Date]],"mmm")</f>
        <v>Aug</v>
      </c>
      <c r="N4330" s="1">
        <f>YEAR(Table1[[#This Row],[Order Date]])</f>
        <v>2023</v>
      </c>
    </row>
    <row r="4331" spans="1:14" x14ac:dyDescent="0.35">
      <c r="A4331" s="1" t="s">
        <v>5127</v>
      </c>
      <c r="B4331" s="1" t="s">
        <v>1792</v>
      </c>
      <c r="C4331" s="1" t="s">
        <v>175</v>
      </c>
      <c r="D4331" s="1" t="s">
        <v>48</v>
      </c>
      <c r="E4331" s="1" t="s">
        <v>16</v>
      </c>
      <c r="F4331" s="1" t="s">
        <v>48</v>
      </c>
      <c r="G4331" s="1">
        <v>15</v>
      </c>
      <c r="H4331" s="1">
        <v>18903</v>
      </c>
      <c r="I4331" s="1">
        <v>0.1</v>
      </c>
      <c r="J4331" s="1">
        <v>255190.5</v>
      </c>
      <c r="K4331" s="1">
        <v>56390.23</v>
      </c>
      <c r="L4331" s="1" t="s">
        <v>17</v>
      </c>
      <c r="M4331" s="1" t="str">
        <f>TEXT(Table1[[#This Row],[Order Date]],"mmm")</f>
        <v>Apr</v>
      </c>
      <c r="N4331" s="1">
        <f>YEAR(Table1[[#This Row],[Order Date]])</f>
        <v>2023</v>
      </c>
    </row>
    <row r="4332" spans="1:14" x14ac:dyDescent="0.35">
      <c r="A4332" s="1" t="s">
        <v>5128</v>
      </c>
      <c r="B4332" s="1" t="s">
        <v>684</v>
      </c>
      <c r="C4332" s="1" t="s">
        <v>208</v>
      </c>
      <c r="D4332" s="1" t="s">
        <v>21</v>
      </c>
      <c r="E4332" s="1" t="s">
        <v>22</v>
      </c>
      <c r="F4332" s="1" t="s">
        <v>21</v>
      </c>
      <c r="G4332" s="1">
        <v>2</v>
      </c>
      <c r="H4332" s="1">
        <v>8915</v>
      </c>
      <c r="I4332" s="1">
        <v>0.2</v>
      </c>
      <c r="J4332" s="1">
        <v>14264</v>
      </c>
      <c r="K4332" s="1">
        <v>1173.29</v>
      </c>
      <c r="L4332" s="1" t="s">
        <v>70</v>
      </c>
      <c r="M4332" s="1" t="str">
        <f>TEXT(Table1[[#This Row],[Order Date]],"mmm")</f>
        <v>May</v>
      </c>
      <c r="N4332" s="1">
        <f>YEAR(Table1[[#This Row],[Order Date]])</f>
        <v>2024</v>
      </c>
    </row>
    <row r="4333" spans="1:14" x14ac:dyDescent="0.35">
      <c r="A4333" s="1" t="s">
        <v>5129</v>
      </c>
      <c r="B4333" s="1" t="s">
        <v>1085</v>
      </c>
      <c r="C4333" s="1" t="s">
        <v>162</v>
      </c>
      <c r="D4333" s="1" t="s">
        <v>114</v>
      </c>
      <c r="E4333" s="1" t="s">
        <v>16</v>
      </c>
      <c r="F4333" s="1" t="s">
        <v>114</v>
      </c>
      <c r="G4333" s="1">
        <v>13</v>
      </c>
      <c r="H4333" s="1">
        <v>3813</v>
      </c>
      <c r="I4333" s="1">
        <v>0.05</v>
      </c>
      <c r="J4333" s="1">
        <v>47090.55</v>
      </c>
      <c r="K4333" s="1">
        <v>11445.32</v>
      </c>
      <c r="L4333" s="1" t="s">
        <v>17</v>
      </c>
      <c r="M4333" s="1" t="str">
        <f>TEXT(Table1[[#This Row],[Order Date]],"mmm")</f>
        <v>Aug</v>
      </c>
      <c r="N4333" s="1">
        <f>YEAR(Table1[[#This Row],[Order Date]])</f>
        <v>2023</v>
      </c>
    </row>
    <row r="4334" spans="1:14" x14ac:dyDescent="0.35">
      <c r="A4334" s="1" t="s">
        <v>5130</v>
      </c>
      <c r="B4334" s="1" t="s">
        <v>334</v>
      </c>
      <c r="C4334" s="1" t="s">
        <v>140</v>
      </c>
      <c r="D4334" s="1" t="s">
        <v>85</v>
      </c>
      <c r="E4334" s="1" t="s">
        <v>28</v>
      </c>
      <c r="F4334" s="1" t="s">
        <v>85</v>
      </c>
      <c r="G4334" s="1">
        <v>1</v>
      </c>
      <c r="H4334" s="1">
        <v>818</v>
      </c>
      <c r="I4334" s="1">
        <v>0.15</v>
      </c>
      <c r="J4334" s="1">
        <v>695.3</v>
      </c>
      <c r="K4334" s="1">
        <v>122.12</v>
      </c>
      <c r="L4334" s="1" t="s">
        <v>17</v>
      </c>
      <c r="M4334" s="1" t="str">
        <f>TEXT(Table1[[#This Row],[Order Date]],"mmm")</f>
        <v>Sep</v>
      </c>
      <c r="N4334" s="1">
        <f>YEAR(Table1[[#This Row],[Order Date]])</f>
        <v>2023</v>
      </c>
    </row>
    <row r="4335" spans="1:14" x14ac:dyDescent="0.35">
      <c r="A4335" s="1" t="s">
        <v>5131</v>
      </c>
      <c r="B4335" s="1" t="s">
        <v>2345</v>
      </c>
      <c r="C4335" s="1" t="s">
        <v>255</v>
      </c>
      <c r="D4335" s="1" t="s">
        <v>293</v>
      </c>
      <c r="E4335" s="1" t="s">
        <v>33</v>
      </c>
      <c r="F4335" s="1" t="s">
        <v>293</v>
      </c>
      <c r="G4335" s="1">
        <v>15</v>
      </c>
      <c r="H4335" s="1">
        <v>47919</v>
      </c>
      <c r="I4335" s="1">
        <v>0.05</v>
      </c>
      <c r="J4335" s="1">
        <v>682845.75</v>
      </c>
      <c r="K4335" s="1">
        <v>74532.06</v>
      </c>
      <c r="L4335" s="1" t="s">
        <v>45</v>
      </c>
      <c r="M4335" s="1" t="str">
        <f>TEXT(Table1[[#This Row],[Order Date]],"mmm")</f>
        <v>Oct</v>
      </c>
      <c r="N4335" s="1">
        <f>YEAR(Table1[[#This Row],[Order Date]])</f>
        <v>2023</v>
      </c>
    </row>
    <row r="4336" spans="1:14" x14ac:dyDescent="0.35">
      <c r="A4336" s="1" t="s">
        <v>5132</v>
      </c>
      <c r="B4336" s="1" t="s">
        <v>848</v>
      </c>
      <c r="C4336" s="1" t="s">
        <v>59</v>
      </c>
      <c r="D4336" s="1" t="s">
        <v>95</v>
      </c>
      <c r="E4336" s="1" t="s">
        <v>33</v>
      </c>
      <c r="F4336" s="1" t="s">
        <v>95</v>
      </c>
      <c r="G4336" s="1">
        <v>2</v>
      </c>
      <c r="H4336" s="1">
        <v>29549</v>
      </c>
      <c r="I4336" s="1">
        <v>0</v>
      </c>
      <c r="J4336" s="1">
        <v>59098</v>
      </c>
      <c r="K4336" s="1">
        <v>10115.85</v>
      </c>
      <c r="L4336" s="1" t="s">
        <v>45</v>
      </c>
      <c r="M4336" s="1" t="str">
        <f>TEXT(Table1[[#This Row],[Order Date]],"mmm")</f>
        <v>Mar</v>
      </c>
      <c r="N4336" s="1">
        <f>YEAR(Table1[[#This Row],[Order Date]])</f>
        <v>2024</v>
      </c>
    </row>
    <row r="4337" spans="1:14" x14ac:dyDescent="0.35">
      <c r="A4337" s="1" t="s">
        <v>5133</v>
      </c>
      <c r="B4337" s="1" t="s">
        <v>3891</v>
      </c>
      <c r="C4337" s="1" t="s">
        <v>40</v>
      </c>
      <c r="D4337" s="1" t="s">
        <v>27</v>
      </c>
      <c r="E4337" s="1" t="s">
        <v>28</v>
      </c>
      <c r="F4337" s="1" t="s">
        <v>27</v>
      </c>
      <c r="G4337" s="1">
        <v>10</v>
      </c>
      <c r="H4337" s="1">
        <v>42885</v>
      </c>
      <c r="I4337" s="1">
        <v>0.2</v>
      </c>
      <c r="J4337" s="1">
        <v>343080</v>
      </c>
      <c r="K4337" s="1">
        <v>95685.98</v>
      </c>
      <c r="L4337" s="1" t="s">
        <v>23</v>
      </c>
      <c r="M4337" s="1" t="str">
        <f>TEXT(Table1[[#This Row],[Order Date]],"mmm")</f>
        <v>Jan</v>
      </c>
      <c r="N4337" s="1">
        <f>YEAR(Table1[[#This Row],[Order Date]])</f>
        <v>2023</v>
      </c>
    </row>
    <row r="4338" spans="1:14" x14ac:dyDescent="0.35">
      <c r="A4338" s="1" t="s">
        <v>5134</v>
      </c>
      <c r="B4338" s="1" t="s">
        <v>1760</v>
      </c>
      <c r="C4338" s="1" t="s">
        <v>111</v>
      </c>
      <c r="D4338" s="1" t="s">
        <v>48</v>
      </c>
      <c r="E4338" s="1" t="s">
        <v>16</v>
      </c>
      <c r="F4338" s="1" t="s">
        <v>48</v>
      </c>
      <c r="G4338" s="1">
        <v>13</v>
      </c>
      <c r="H4338" s="1">
        <v>18275</v>
      </c>
      <c r="I4338" s="1">
        <v>0</v>
      </c>
      <c r="J4338" s="1">
        <v>237575</v>
      </c>
      <c r="K4338" s="1">
        <v>67986.350000000006</v>
      </c>
      <c r="L4338" s="1" t="s">
        <v>45</v>
      </c>
      <c r="M4338" s="1" t="str">
        <f>TEXT(Table1[[#This Row],[Order Date]],"mmm")</f>
        <v>Aug</v>
      </c>
      <c r="N4338" s="1">
        <f>YEAR(Table1[[#This Row],[Order Date]])</f>
        <v>2024</v>
      </c>
    </row>
    <row r="4339" spans="1:14" x14ac:dyDescent="0.35">
      <c r="A4339" s="1" t="s">
        <v>5135</v>
      </c>
      <c r="B4339" s="1" t="s">
        <v>299</v>
      </c>
      <c r="C4339" s="1" t="s">
        <v>640</v>
      </c>
      <c r="D4339" s="1" t="s">
        <v>108</v>
      </c>
      <c r="E4339" s="1" t="s">
        <v>22</v>
      </c>
      <c r="F4339" s="1" t="s">
        <v>108</v>
      </c>
      <c r="G4339" s="1">
        <v>14</v>
      </c>
      <c r="H4339" s="1">
        <v>20668</v>
      </c>
      <c r="I4339" s="1">
        <v>0.05</v>
      </c>
      <c r="J4339" s="1">
        <v>274884.40000000002</v>
      </c>
      <c r="K4339" s="1">
        <v>65633.27</v>
      </c>
      <c r="L4339" s="1" t="s">
        <v>70</v>
      </c>
      <c r="M4339" s="1" t="str">
        <f>TEXT(Table1[[#This Row],[Order Date]],"mmm")</f>
        <v>May</v>
      </c>
      <c r="N4339" s="1">
        <f>YEAR(Table1[[#This Row],[Order Date]])</f>
        <v>2023</v>
      </c>
    </row>
    <row r="4340" spans="1:14" x14ac:dyDescent="0.35">
      <c r="A4340" s="1" t="s">
        <v>5136</v>
      </c>
      <c r="B4340" s="1" t="s">
        <v>1107</v>
      </c>
      <c r="C4340" s="1" t="s">
        <v>51</v>
      </c>
      <c r="D4340" s="1" t="s">
        <v>52</v>
      </c>
      <c r="E4340" s="1" t="s">
        <v>28</v>
      </c>
      <c r="F4340" s="1" t="s">
        <v>52</v>
      </c>
      <c r="G4340" s="1">
        <v>14</v>
      </c>
      <c r="H4340" s="1">
        <v>51218</v>
      </c>
      <c r="I4340" s="1">
        <v>0.15</v>
      </c>
      <c r="J4340" s="1">
        <v>609494.19999999995</v>
      </c>
      <c r="K4340" s="1">
        <v>67228.88</v>
      </c>
      <c r="L4340" s="1" t="s">
        <v>23</v>
      </c>
      <c r="M4340" s="1" t="str">
        <f>TEXT(Table1[[#This Row],[Order Date]],"mmm")</f>
        <v>Dec</v>
      </c>
      <c r="N4340" s="1">
        <f>YEAR(Table1[[#This Row],[Order Date]])</f>
        <v>2023</v>
      </c>
    </row>
    <row r="4341" spans="1:14" x14ac:dyDescent="0.35">
      <c r="A4341" s="1" t="s">
        <v>5137</v>
      </c>
      <c r="B4341" s="1" t="s">
        <v>1235</v>
      </c>
      <c r="C4341" s="1" t="s">
        <v>26</v>
      </c>
      <c r="D4341" s="1" t="s">
        <v>56</v>
      </c>
      <c r="E4341" s="1" t="s">
        <v>22</v>
      </c>
      <c r="F4341" s="1" t="s">
        <v>56</v>
      </c>
      <c r="G4341" s="1">
        <v>15</v>
      </c>
      <c r="H4341" s="1">
        <v>53631</v>
      </c>
      <c r="I4341" s="1">
        <v>0.1</v>
      </c>
      <c r="J4341" s="1">
        <v>724018.5</v>
      </c>
      <c r="K4341" s="1">
        <v>190954.12</v>
      </c>
      <c r="L4341" s="1" t="s">
        <v>70</v>
      </c>
      <c r="M4341" s="1" t="str">
        <f>TEXT(Table1[[#This Row],[Order Date]],"mmm")</f>
        <v>Oct</v>
      </c>
      <c r="N4341" s="1">
        <f>YEAR(Table1[[#This Row],[Order Date]])</f>
        <v>2024</v>
      </c>
    </row>
    <row r="4342" spans="1:14" x14ac:dyDescent="0.35">
      <c r="A4342" s="1" t="s">
        <v>5138</v>
      </c>
      <c r="B4342" s="1" t="s">
        <v>2291</v>
      </c>
      <c r="C4342" s="1" t="s">
        <v>162</v>
      </c>
      <c r="D4342" s="1" t="s">
        <v>167</v>
      </c>
      <c r="E4342" s="1" t="s">
        <v>16</v>
      </c>
      <c r="F4342" s="1" t="s">
        <v>167</v>
      </c>
      <c r="G4342" s="1">
        <v>12</v>
      </c>
      <c r="H4342" s="1">
        <v>2980</v>
      </c>
      <c r="I4342" s="1">
        <v>0.2</v>
      </c>
      <c r="J4342" s="1">
        <v>28608</v>
      </c>
      <c r="K4342" s="1">
        <v>3978.2</v>
      </c>
      <c r="L4342" s="1" t="s">
        <v>45</v>
      </c>
      <c r="M4342" s="1" t="str">
        <f>TEXT(Table1[[#This Row],[Order Date]],"mmm")</f>
        <v>Sep</v>
      </c>
      <c r="N4342" s="1">
        <f>YEAR(Table1[[#This Row],[Order Date]])</f>
        <v>2023</v>
      </c>
    </row>
    <row r="4343" spans="1:14" x14ac:dyDescent="0.35">
      <c r="A4343" s="1" t="s">
        <v>5139</v>
      </c>
      <c r="B4343" s="1" t="s">
        <v>511</v>
      </c>
      <c r="C4343" s="1" t="s">
        <v>14</v>
      </c>
      <c r="D4343" s="1" t="s">
        <v>78</v>
      </c>
      <c r="E4343" s="1" t="s">
        <v>28</v>
      </c>
      <c r="F4343" s="1" t="s">
        <v>78</v>
      </c>
      <c r="G4343" s="1">
        <v>1</v>
      </c>
      <c r="H4343" s="1">
        <v>53708</v>
      </c>
      <c r="I4343" s="1">
        <v>0.2</v>
      </c>
      <c r="J4343" s="1">
        <v>42966.400000000001</v>
      </c>
      <c r="K4343" s="1">
        <v>10336.370000000001</v>
      </c>
      <c r="L4343" s="1" t="s">
        <v>23</v>
      </c>
      <c r="M4343" s="1" t="str">
        <f>TEXT(Table1[[#This Row],[Order Date]],"mmm")</f>
        <v>Sep</v>
      </c>
      <c r="N4343" s="1">
        <f>YEAR(Table1[[#This Row],[Order Date]])</f>
        <v>2023</v>
      </c>
    </row>
    <row r="4344" spans="1:14" x14ac:dyDescent="0.35">
      <c r="A4344" s="1" t="s">
        <v>5140</v>
      </c>
      <c r="B4344" s="1" t="s">
        <v>2068</v>
      </c>
      <c r="C4344" s="1" t="s">
        <v>170</v>
      </c>
      <c r="D4344" s="1" t="s">
        <v>224</v>
      </c>
      <c r="E4344" s="1" t="s">
        <v>33</v>
      </c>
      <c r="F4344" s="1" t="s">
        <v>224</v>
      </c>
      <c r="G4344" s="1">
        <v>12</v>
      </c>
      <c r="H4344" s="1">
        <v>47968</v>
      </c>
      <c r="I4344" s="1">
        <v>0</v>
      </c>
      <c r="J4344" s="1">
        <v>575616</v>
      </c>
      <c r="K4344" s="1">
        <v>53439.53</v>
      </c>
      <c r="L4344" s="1" t="s">
        <v>70</v>
      </c>
      <c r="M4344" s="1" t="str">
        <f>TEXT(Table1[[#This Row],[Order Date]],"mmm")</f>
        <v>Oct</v>
      </c>
      <c r="N4344" s="1">
        <f>YEAR(Table1[[#This Row],[Order Date]])</f>
        <v>2023</v>
      </c>
    </row>
    <row r="4345" spans="1:14" x14ac:dyDescent="0.35">
      <c r="A4345" s="1" t="s">
        <v>5141</v>
      </c>
      <c r="B4345" s="1" t="s">
        <v>848</v>
      </c>
      <c r="C4345" s="1" t="s">
        <v>260</v>
      </c>
      <c r="D4345" s="1" t="s">
        <v>56</v>
      </c>
      <c r="E4345" s="1" t="s">
        <v>22</v>
      </c>
      <c r="F4345" s="1" t="s">
        <v>56</v>
      </c>
      <c r="G4345" s="1">
        <v>1</v>
      </c>
      <c r="H4345" s="1">
        <v>57535</v>
      </c>
      <c r="I4345" s="1">
        <v>0.15</v>
      </c>
      <c r="J4345" s="1">
        <v>48904.75</v>
      </c>
      <c r="K4345" s="1">
        <v>5310.73</v>
      </c>
      <c r="L4345" s="1" t="s">
        <v>23</v>
      </c>
      <c r="M4345" s="1" t="str">
        <f>TEXT(Table1[[#This Row],[Order Date]],"mmm")</f>
        <v>Mar</v>
      </c>
      <c r="N4345" s="1">
        <f>YEAR(Table1[[#This Row],[Order Date]])</f>
        <v>2024</v>
      </c>
    </row>
    <row r="4346" spans="1:14" x14ac:dyDescent="0.35">
      <c r="A4346" s="1" t="s">
        <v>5142</v>
      </c>
      <c r="B4346" s="1" t="s">
        <v>702</v>
      </c>
      <c r="C4346" s="1" t="s">
        <v>188</v>
      </c>
      <c r="D4346" s="1" t="s">
        <v>60</v>
      </c>
      <c r="E4346" s="1" t="s">
        <v>33</v>
      </c>
      <c r="F4346" s="1" t="s">
        <v>60</v>
      </c>
      <c r="G4346" s="1">
        <v>3</v>
      </c>
      <c r="H4346" s="1">
        <v>22115</v>
      </c>
      <c r="I4346" s="1">
        <v>0.15</v>
      </c>
      <c r="J4346" s="1">
        <v>56393.25</v>
      </c>
      <c r="K4346" s="1">
        <v>8527.4599999999991</v>
      </c>
      <c r="L4346" s="1" t="s">
        <v>70</v>
      </c>
      <c r="M4346" s="1" t="str">
        <f>TEXT(Table1[[#This Row],[Order Date]],"mmm")</f>
        <v>Aug</v>
      </c>
      <c r="N4346" s="1">
        <f>YEAR(Table1[[#This Row],[Order Date]])</f>
        <v>2023</v>
      </c>
    </row>
    <row r="4347" spans="1:14" x14ac:dyDescent="0.35">
      <c r="A4347" s="1" t="s">
        <v>5143</v>
      </c>
      <c r="B4347" s="1" t="s">
        <v>130</v>
      </c>
      <c r="C4347" s="1" t="s">
        <v>51</v>
      </c>
      <c r="D4347" s="1" t="s">
        <v>108</v>
      </c>
      <c r="E4347" s="1" t="s">
        <v>22</v>
      </c>
      <c r="F4347" s="1" t="s">
        <v>108</v>
      </c>
      <c r="G4347" s="1">
        <v>13</v>
      </c>
      <c r="H4347" s="1">
        <v>13005</v>
      </c>
      <c r="I4347" s="1">
        <v>0.15</v>
      </c>
      <c r="J4347" s="1">
        <v>143705.25</v>
      </c>
      <c r="K4347" s="1">
        <v>41325.25</v>
      </c>
      <c r="L4347" s="1" t="s">
        <v>45</v>
      </c>
      <c r="M4347" s="1" t="str">
        <f>TEXT(Table1[[#This Row],[Order Date]],"mmm")</f>
        <v>May</v>
      </c>
      <c r="N4347" s="1">
        <f>YEAR(Table1[[#This Row],[Order Date]])</f>
        <v>2023</v>
      </c>
    </row>
    <row r="4348" spans="1:14" x14ac:dyDescent="0.35">
      <c r="A4348" s="1" t="s">
        <v>5144</v>
      </c>
      <c r="B4348" s="1" t="s">
        <v>2619</v>
      </c>
      <c r="C4348" s="1" t="s">
        <v>158</v>
      </c>
      <c r="D4348" s="1" t="s">
        <v>179</v>
      </c>
      <c r="E4348" s="1" t="s">
        <v>28</v>
      </c>
      <c r="F4348" s="1" t="s">
        <v>179</v>
      </c>
      <c r="G4348" s="1">
        <v>1</v>
      </c>
      <c r="H4348" s="1">
        <v>16233</v>
      </c>
      <c r="I4348" s="1">
        <v>0.05</v>
      </c>
      <c r="J4348" s="1">
        <v>15421.35</v>
      </c>
      <c r="K4348" s="1">
        <v>3224.3</v>
      </c>
      <c r="L4348" s="1" t="s">
        <v>70</v>
      </c>
      <c r="M4348" s="1" t="str">
        <f>TEXT(Table1[[#This Row],[Order Date]],"mmm")</f>
        <v>Mar</v>
      </c>
      <c r="N4348" s="1">
        <f>YEAR(Table1[[#This Row],[Order Date]])</f>
        <v>2024</v>
      </c>
    </row>
    <row r="4349" spans="1:14" x14ac:dyDescent="0.35">
      <c r="A4349" s="1" t="s">
        <v>5145</v>
      </c>
      <c r="B4349" s="1" t="s">
        <v>1333</v>
      </c>
      <c r="C4349" s="1" t="s">
        <v>26</v>
      </c>
      <c r="D4349" s="1" t="s">
        <v>108</v>
      </c>
      <c r="E4349" s="1" t="s">
        <v>22</v>
      </c>
      <c r="F4349" s="1" t="s">
        <v>108</v>
      </c>
      <c r="G4349" s="1">
        <v>2</v>
      </c>
      <c r="H4349" s="1">
        <v>48905</v>
      </c>
      <c r="I4349" s="1">
        <v>0</v>
      </c>
      <c r="J4349" s="1">
        <v>97810</v>
      </c>
      <c r="K4349" s="1">
        <v>8438.3799999999992</v>
      </c>
      <c r="L4349" s="1" t="s">
        <v>17</v>
      </c>
      <c r="M4349" s="1" t="str">
        <f>TEXT(Table1[[#This Row],[Order Date]],"mmm")</f>
        <v>Jan</v>
      </c>
      <c r="N4349" s="1">
        <f>YEAR(Table1[[#This Row],[Order Date]])</f>
        <v>2024</v>
      </c>
    </row>
    <row r="4350" spans="1:14" x14ac:dyDescent="0.35">
      <c r="A4350" s="1" t="s">
        <v>5146</v>
      </c>
      <c r="B4350" s="1" t="s">
        <v>1201</v>
      </c>
      <c r="C4350" s="1" t="s">
        <v>335</v>
      </c>
      <c r="D4350" s="1" t="s">
        <v>167</v>
      </c>
      <c r="E4350" s="1" t="s">
        <v>16</v>
      </c>
      <c r="F4350" s="1" t="s">
        <v>167</v>
      </c>
      <c r="G4350" s="1">
        <v>3</v>
      </c>
      <c r="H4350" s="1">
        <v>43963</v>
      </c>
      <c r="I4350" s="1">
        <v>0.2</v>
      </c>
      <c r="J4350" s="1">
        <v>105511.2</v>
      </c>
      <c r="K4350" s="1">
        <v>16076.77</v>
      </c>
      <c r="L4350" s="1" t="s">
        <v>17</v>
      </c>
      <c r="M4350" s="1" t="str">
        <f>TEXT(Table1[[#This Row],[Order Date]],"mmm")</f>
        <v>Nov</v>
      </c>
      <c r="N4350" s="1">
        <f>YEAR(Table1[[#This Row],[Order Date]])</f>
        <v>2024</v>
      </c>
    </row>
    <row r="4351" spans="1:14" x14ac:dyDescent="0.35">
      <c r="A4351" s="1" t="s">
        <v>5147</v>
      </c>
      <c r="B4351" s="1" t="s">
        <v>69</v>
      </c>
      <c r="C4351" s="1" t="s">
        <v>362</v>
      </c>
      <c r="D4351" s="1" t="s">
        <v>151</v>
      </c>
      <c r="E4351" s="1" t="s">
        <v>22</v>
      </c>
      <c r="F4351" s="1" t="s">
        <v>151</v>
      </c>
      <c r="G4351" s="1">
        <v>5</v>
      </c>
      <c r="H4351" s="1">
        <v>19783</v>
      </c>
      <c r="I4351" s="1">
        <v>0.05</v>
      </c>
      <c r="J4351" s="1">
        <v>93969.25</v>
      </c>
      <c r="K4351" s="1">
        <v>11460.38</v>
      </c>
      <c r="L4351" s="1" t="s">
        <v>23</v>
      </c>
      <c r="M4351" s="1" t="str">
        <f>TEXT(Table1[[#This Row],[Order Date]],"mmm")</f>
        <v>Mar</v>
      </c>
      <c r="N4351" s="1">
        <f>YEAR(Table1[[#This Row],[Order Date]])</f>
        <v>2023</v>
      </c>
    </row>
    <row r="4352" spans="1:14" x14ac:dyDescent="0.35">
      <c r="A4352" s="1" t="s">
        <v>5148</v>
      </c>
      <c r="B4352" s="1" t="s">
        <v>1339</v>
      </c>
      <c r="C4352" s="1" t="s">
        <v>191</v>
      </c>
      <c r="D4352" s="1" t="s">
        <v>151</v>
      </c>
      <c r="E4352" s="1" t="s">
        <v>22</v>
      </c>
      <c r="F4352" s="1" t="s">
        <v>151</v>
      </c>
      <c r="G4352" s="1">
        <v>15</v>
      </c>
      <c r="H4352" s="1">
        <v>9920</v>
      </c>
      <c r="I4352" s="1">
        <v>0.15</v>
      </c>
      <c r="J4352" s="1">
        <v>126480</v>
      </c>
      <c r="K4352" s="1">
        <v>35141.839999999997</v>
      </c>
      <c r="L4352" s="1" t="s">
        <v>23</v>
      </c>
      <c r="M4352" s="1" t="str">
        <f>TEXT(Table1[[#This Row],[Order Date]],"mmm")</f>
        <v>Jul</v>
      </c>
      <c r="N4352" s="1">
        <f>YEAR(Table1[[#This Row],[Order Date]])</f>
        <v>2023</v>
      </c>
    </row>
    <row r="4353" spans="1:14" x14ac:dyDescent="0.35">
      <c r="A4353" s="1" t="s">
        <v>5149</v>
      </c>
      <c r="B4353" s="1" t="s">
        <v>787</v>
      </c>
      <c r="C4353" s="1" t="s">
        <v>175</v>
      </c>
      <c r="D4353" s="1" t="s">
        <v>52</v>
      </c>
      <c r="E4353" s="1" t="s">
        <v>28</v>
      </c>
      <c r="F4353" s="1" t="s">
        <v>52</v>
      </c>
      <c r="G4353" s="1">
        <v>13</v>
      </c>
      <c r="H4353" s="1">
        <v>6279</v>
      </c>
      <c r="I4353" s="1">
        <v>0</v>
      </c>
      <c r="J4353" s="1">
        <v>81627</v>
      </c>
      <c r="K4353" s="1">
        <v>23170.81</v>
      </c>
      <c r="L4353" s="1" t="s">
        <v>45</v>
      </c>
      <c r="M4353" s="1" t="str">
        <f>TEXT(Table1[[#This Row],[Order Date]],"mmm")</f>
        <v>Feb</v>
      </c>
      <c r="N4353" s="1">
        <f>YEAR(Table1[[#This Row],[Order Date]])</f>
        <v>2023</v>
      </c>
    </row>
    <row r="4354" spans="1:14" x14ac:dyDescent="0.35">
      <c r="A4354" s="1" t="s">
        <v>5150</v>
      </c>
      <c r="B4354" s="1" t="s">
        <v>2225</v>
      </c>
      <c r="C4354" s="1" t="s">
        <v>104</v>
      </c>
      <c r="D4354" s="1" t="s">
        <v>85</v>
      </c>
      <c r="E4354" s="1" t="s">
        <v>28</v>
      </c>
      <c r="F4354" s="1" t="s">
        <v>85</v>
      </c>
      <c r="G4354" s="1">
        <v>13</v>
      </c>
      <c r="H4354" s="1">
        <v>27801</v>
      </c>
      <c r="I4354" s="1">
        <v>0.05</v>
      </c>
      <c r="J4354" s="1">
        <v>343342.35</v>
      </c>
      <c r="K4354" s="1">
        <v>60720.56</v>
      </c>
      <c r="L4354" s="1" t="s">
        <v>70</v>
      </c>
      <c r="M4354" s="1" t="str">
        <f>TEXT(Table1[[#This Row],[Order Date]],"mmm")</f>
        <v>Nov</v>
      </c>
      <c r="N4354" s="1">
        <f>YEAR(Table1[[#This Row],[Order Date]])</f>
        <v>2023</v>
      </c>
    </row>
    <row r="4355" spans="1:14" x14ac:dyDescent="0.35">
      <c r="A4355" s="1" t="s">
        <v>5151</v>
      </c>
      <c r="B4355" s="1" t="s">
        <v>724</v>
      </c>
      <c r="C4355" s="1" t="s">
        <v>125</v>
      </c>
      <c r="D4355" s="1" t="s">
        <v>323</v>
      </c>
      <c r="E4355" s="1" t="s">
        <v>33</v>
      </c>
      <c r="F4355" s="1" t="s">
        <v>323</v>
      </c>
      <c r="G4355" s="1">
        <v>7</v>
      </c>
      <c r="H4355" s="1">
        <v>48800</v>
      </c>
      <c r="I4355" s="1">
        <v>0.15</v>
      </c>
      <c r="J4355" s="1">
        <v>290360</v>
      </c>
      <c r="K4355" s="1">
        <v>44435.43</v>
      </c>
      <c r="L4355" s="1" t="s">
        <v>17</v>
      </c>
      <c r="M4355" s="1" t="str">
        <f>TEXT(Table1[[#This Row],[Order Date]],"mmm")</f>
        <v>Feb</v>
      </c>
      <c r="N4355" s="1">
        <f>YEAR(Table1[[#This Row],[Order Date]])</f>
        <v>2023</v>
      </c>
    </row>
    <row r="4356" spans="1:14" x14ac:dyDescent="0.35">
      <c r="A4356" s="1" t="s">
        <v>5152</v>
      </c>
      <c r="B4356" s="1" t="s">
        <v>2049</v>
      </c>
      <c r="C4356" s="1" t="s">
        <v>507</v>
      </c>
      <c r="D4356" s="1" t="s">
        <v>27</v>
      </c>
      <c r="E4356" s="1" t="s">
        <v>28</v>
      </c>
      <c r="F4356" s="1" t="s">
        <v>27</v>
      </c>
      <c r="G4356" s="1">
        <v>1</v>
      </c>
      <c r="H4356" s="1">
        <v>12333</v>
      </c>
      <c r="I4356" s="1">
        <v>0.2</v>
      </c>
      <c r="J4356" s="1">
        <v>9866.4</v>
      </c>
      <c r="K4356" s="1">
        <v>1686.43</v>
      </c>
      <c r="L4356" s="1" t="s">
        <v>17</v>
      </c>
      <c r="M4356" s="1" t="str">
        <f>TEXT(Table1[[#This Row],[Order Date]],"mmm")</f>
        <v>Apr</v>
      </c>
      <c r="N4356" s="1">
        <f>YEAR(Table1[[#This Row],[Order Date]])</f>
        <v>2024</v>
      </c>
    </row>
    <row r="4357" spans="1:14" x14ac:dyDescent="0.35">
      <c r="A4357" s="1" t="s">
        <v>5153</v>
      </c>
      <c r="B4357" s="1" t="s">
        <v>916</v>
      </c>
      <c r="C4357" s="1" t="s">
        <v>140</v>
      </c>
      <c r="D4357" s="1" t="s">
        <v>60</v>
      </c>
      <c r="E4357" s="1" t="s">
        <v>33</v>
      </c>
      <c r="F4357" s="1" t="s">
        <v>60</v>
      </c>
      <c r="G4357" s="1">
        <v>13</v>
      </c>
      <c r="H4357" s="1">
        <v>5040</v>
      </c>
      <c r="I4357" s="1">
        <v>0.05</v>
      </c>
      <c r="J4357" s="1">
        <v>62244</v>
      </c>
      <c r="K4357" s="1">
        <v>6024.99</v>
      </c>
      <c r="L4357" s="1" t="s">
        <v>70</v>
      </c>
      <c r="M4357" s="1" t="str">
        <f>TEXT(Table1[[#This Row],[Order Date]],"mmm")</f>
        <v>Sep</v>
      </c>
      <c r="N4357" s="1">
        <f>YEAR(Table1[[#This Row],[Order Date]])</f>
        <v>2023</v>
      </c>
    </row>
    <row r="4358" spans="1:14" x14ac:dyDescent="0.35">
      <c r="A4358" s="1" t="s">
        <v>5154</v>
      </c>
      <c r="B4358" s="1" t="s">
        <v>1929</v>
      </c>
      <c r="C4358" s="1" t="s">
        <v>208</v>
      </c>
      <c r="D4358" s="1" t="s">
        <v>108</v>
      </c>
      <c r="E4358" s="1" t="s">
        <v>22</v>
      </c>
      <c r="F4358" s="1" t="s">
        <v>108</v>
      </c>
      <c r="G4358" s="1">
        <v>8</v>
      </c>
      <c r="H4358" s="1">
        <v>42796</v>
      </c>
      <c r="I4358" s="1">
        <v>0.15</v>
      </c>
      <c r="J4358" s="1">
        <v>291012.8</v>
      </c>
      <c r="K4358" s="1">
        <v>51941.17</v>
      </c>
      <c r="L4358" s="1" t="s">
        <v>17</v>
      </c>
      <c r="M4358" s="1" t="str">
        <f>TEXT(Table1[[#This Row],[Order Date]],"mmm")</f>
        <v>Jan</v>
      </c>
      <c r="N4358" s="1">
        <f>YEAR(Table1[[#This Row],[Order Date]])</f>
        <v>2024</v>
      </c>
    </row>
    <row r="4359" spans="1:14" x14ac:dyDescent="0.35">
      <c r="A4359" s="1" t="s">
        <v>5155</v>
      </c>
      <c r="B4359" s="1" t="s">
        <v>1570</v>
      </c>
      <c r="C4359" s="1" t="s">
        <v>362</v>
      </c>
      <c r="D4359" s="1" t="s">
        <v>91</v>
      </c>
      <c r="E4359" s="1" t="s">
        <v>16</v>
      </c>
      <c r="F4359" s="1" t="s">
        <v>91</v>
      </c>
      <c r="G4359" s="1">
        <v>14</v>
      </c>
      <c r="H4359" s="1">
        <v>7670</v>
      </c>
      <c r="I4359" s="1">
        <v>0.05</v>
      </c>
      <c r="J4359" s="1">
        <v>102011</v>
      </c>
      <c r="K4359" s="1">
        <v>22909.93</v>
      </c>
      <c r="L4359" s="1" t="s">
        <v>70</v>
      </c>
      <c r="M4359" s="1" t="str">
        <f>TEXT(Table1[[#This Row],[Order Date]],"mmm")</f>
        <v>Apr</v>
      </c>
      <c r="N4359" s="1">
        <f>YEAR(Table1[[#This Row],[Order Date]])</f>
        <v>2024</v>
      </c>
    </row>
    <row r="4360" spans="1:14" x14ac:dyDescent="0.35">
      <c r="A4360" s="1" t="s">
        <v>5156</v>
      </c>
      <c r="B4360" s="1" t="s">
        <v>478</v>
      </c>
      <c r="C4360" s="1" t="s">
        <v>40</v>
      </c>
      <c r="D4360" s="1" t="s">
        <v>293</v>
      </c>
      <c r="E4360" s="1" t="s">
        <v>33</v>
      </c>
      <c r="F4360" s="1" t="s">
        <v>293</v>
      </c>
      <c r="G4360" s="1">
        <v>3</v>
      </c>
      <c r="H4360" s="1">
        <v>22786</v>
      </c>
      <c r="I4360" s="1">
        <v>0.1</v>
      </c>
      <c r="J4360" s="1">
        <v>61522.2</v>
      </c>
      <c r="K4360" s="1">
        <v>13364.88</v>
      </c>
      <c r="L4360" s="1" t="s">
        <v>17</v>
      </c>
      <c r="M4360" s="1" t="str">
        <f>TEXT(Table1[[#This Row],[Order Date]],"mmm")</f>
        <v>May</v>
      </c>
      <c r="N4360" s="1">
        <f>YEAR(Table1[[#This Row],[Order Date]])</f>
        <v>2024</v>
      </c>
    </row>
    <row r="4361" spans="1:14" x14ac:dyDescent="0.35">
      <c r="A4361" s="1" t="s">
        <v>5157</v>
      </c>
      <c r="B4361" s="1" t="s">
        <v>2592</v>
      </c>
      <c r="C4361" s="1" t="s">
        <v>335</v>
      </c>
      <c r="D4361" s="1" t="s">
        <v>141</v>
      </c>
      <c r="E4361" s="1" t="s">
        <v>22</v>
      </c>
      <c r="F4361" s="1" t="s">
        <v>141</v>
      </c>
      <c r="G4361" s="1">
        <v>6</v>
      </c>
      <c r="H4361" s="1">
        <v>29322</v>
      </c>
      <c r="I4361" s="1">
        <v>0</v>
      </c>
      <c r="J4361" s="1">
        <v>175932</v>
      </c>
      <c r="K4361" s="1">
        <v>22862.38</v>
      </c>
      <c r="L4361" s="1" t="s">
        <v>70</v>
      </c>
      <c r="M4361" s="1" t="str">
        <f>TEXT(Table1[[#This Row],[Order Date]],"mmm")</f>
        <v>May</v>
      </c>
      <c r="N4361" s="1">
        <f>YEAR(Table1[[#This Row],[Order Date]])</f>
        <v>2023</v>
      </c>
    </row>
    <row r="4362" spans="1:14" x14ac:dyDescent="0.35">
      <c r="A4362" s="1" t="s">
        <v>5158</v>
      </c>
      <c r="B4362" s="1" t="s">
        <v>478</v>
      </c>
      <c r="C4362" s="1" t="s">
        <v>175</v>
      </c>
      <c r="D4362" s="1" t="s">
        <v>179</v>
      </c>
      <c r="E4362" s="1" t="s">
        <v>28</v>
      </c>
      <c r="F4362" s="1" t="s">
        <v>179</v>
      </c>
      <c r="G4362" s="1">
        <v>5</v>
      </c>
      <c r="H4362" s="1">
        <v>16849</v>
      </c>
      <c r="I4362" s="1">
        <v>0</v>
      </c>
      <c r="J4362" s="1">
        <v>84245</v>
      </c>
      <c r="K4362" s="1">
        <v>7240.55</v>
      </c>
      <c r="L4362" s="1" t="s">
        <v>45</v>
      </c>
      <c r="M4362" s="1" t="str">
        <f>TEXT(Table1[[#This Row],[Order Date]],"mmm")</f>
        <v>May</v>
      </c>
      <c r="N4362" s="1">
        <f>YEAR(Table1[[#This Row],[Order Date]])</f>
        <v>2024</v>
      </c>
    </row>
    <row r="4363" spans="1:14" x14ac:dyDescent="0.35">
      <c r="A4363" s="1" t="s">
        <v>5159</v>
      </c>
      <c r="B4363" s="1" t="s">
        <v>1568</v>
      </c>
      <c r="C4363" s="1" t="s">
        <v>101</v>
      </c>
      <c r="D4363" s="1" t="s">
        <v>167</v>
      </c>
      <c r="E4363" s="1" t="s">
        <v>16</v>
      </c>
      <c r="F4363" s="1" t="s">
        <v>167</v>
      </c>
      <c r="G4363" s="1">
        <v>1</v>
      </c>
      <c r="H4363" s="1">
        <v>18072</v>
      </c>
      <c r="I4363" s="1">
        <v>0.2</v>
      </c>
      <c r="J4363" s="1">
        <v>14457.6</v>
      </c>
      <c r="K4363" s="1">
        <v>4123.62</v>
      </c>
      <c r="L4363" s="1" t="s">
        <v>23</v>
      </c>
      <c r="M4363" s="1" t="str">
        <f>TEXT(Table1[[#This Row],[Order Date]],"mmm")</f>
        <v>Feb</v>
      </c>
      <c r="N4363" s="1">
        <f>YEAR(Table1[[#This Row],[Order Date]])</f>
        <v>2024</v>
      </c>
    </row>
    <row r="4364" spans="1:14" x14ac:dyDescent="0.35">
      <c r="A4364" s="1" t="s">
        <v>5160</v>
      </c>
      <c r="B4364" s="1" t="s">
        <v>735</v>
      </c>
      <c r="C4364" s="1" t="s">
        <v>370</v>
      </c>
      <c r="D4364" s="1" t="s">
        <v>293</v>
      </c>
      <c r="E4364" s="1" t="s">
        <v>33</v>
      </c>
      <c r="F4364" s="1" t="s">
        <v>293</v>
      </c>
      <c r="G4364" s="1">
        <v>4</v>
      </c>
      <c r="H4364" s="1">
        <v>9654</v>
      </c>
      <c r="I4364" s="1">
        <v>0</v>
      </c>
      <c r="J4364" s="1">
        <v>38616</v>
      </c>
      <c r="K4364" s="1">
        <v>5949.35</v>
      </c>
      <c r="L4364" s="1" t="s">
        <v>23</v>
      </c>
      <c r="M4364" s="1" t="str">
        <f>TEXT(Table1[[#This Row],[Order Date]],"mmm")</f>
        <v>Aug</v>
      </c>
      <c r="N4364" s="1">
        <f>YEAR(Table1[[#This Row],[Order Date]])</f>
        <v>2024</v>
      </c>
    </row>
    <row r="4365" spans="1:14" x14ac:dyDescent="0.35">
      <c r="A4365" s="1" t="s">
        <v>5161</v>
      </c>
      <c r="B4365" s="1" t="s">
        <v>312</v>
      </c>
      <c r="C4365" s="1" t="s">
        <v>203</v>
      </c>
      <c r="D4365" s="1" t="s">
        <v>141</v>
      </c>
      <c r="E4365" s="1" t="s">
        <v>22</v>
      </c>
      <c r="F4365" s="1" t="s">
        <v>141</v>
      </c>
      <c r="G4365" s="1">
        <v>4</v>
      </c>
      <c r="H4365" s="1">
        <v>52673</v>
      </c>
      <c r="I4365" s="1">
        <v>0.05</v>
      </c>
      <c r="J4365" s="1">
        <v>200157.4</v>
      </c>
      <c r="K4365" s="1">
        <v>20664.919999999998</v>
      </c>
      <c r="L4365" s="1" t="s">
        <v>23</v>
      </c>
      <c r="M4365" s="1" t="str">
        <f>TEXT(Table1[[#This Row],[Order Date]],"mmm")</f>
        <v>May</v>
      </c>
      <c r="N4365" s="1">
        <f>YEAR(Table1[[#This Row],[Order Date]])</f>
        <v>2024</v>
      </c>
    </row>
    <row r="4366" spans="1:14" x14ac:dyDescent="0.35">
      <c r="A4366" s="1" t="s">
        <v>5162</v>
      </c>
      <c r="B4366" s="1" t="s">
        <v>453</v>
      </c>
      <c r="C4366" s="1" t="s">
        <v>31</v>
      </c>
      <c r="D4366" s="1" t="s">
        <v>137</v>
      </c>
      <c r="E4366" s="1" t="s">
        <v>22</v>
      </c>
      <c r="F4366" s="1" t="s">
        <v>137</v>
      </c>
      <c r="G4366" s="1">
        <v>4</v>
      </c>
      <c r="H4366" s="1">
        <v>47059</v>
      </c>
      <c r="I4366" s="1">
        <v>0.15</v>
      </c>
      <c r="J4366" s="1">
        <v>160000.6</v>
      </c>
      <c r="K4366" s="1">
        <v>44861.29</v>
      </c>
      <c r="L4366" s="1" t="s">
        <v>70</v>
      </c>
      <c r="M4366" s="1" t="str">
        <f>TEXT(Table1[[#This Row],[Order Date]],"mmm")</f>
        <v>Jul</v>
      </c>
      <c r="N4366" s="1">
        <f>YEAR(Table1[[#This Row],[Order Date]])</f>
        <v>2023</v>
      </c>
    </row>
    <row r="4367" spans="1:14" x14ac:dyDescent="0.35">
      <c r="A4367" s="1" t="s">
        <v>5163</v>
      </c>
      <c r="B4367" s="1" t="s">
        <v>560</v>
      </c>
      <c r="C4367" s="1" t="s">
        <v>51</v>
      </c>
      <c r="D4367" s="1" t="s">
        <v>179</v>
      </c>
      <c r="E4367" s="1" t="s">
        <v>28</v>
      </c>
      <c r="F4367" s="1" t="s">
        <v>179</v>
      </c>
      <c r="G4367" s="1">
        <v>4</v>
      </c>
      <c r="H4367" s="1">
        <v>42217</v>
      </c>
      <c r="I4367" s="1">
        <v>0.1</v>
      </c>
      <c r="J4367" s="1">
        <v>151981.20000000001</v>
      </c>
      <c r="K4367" s="1">
        <v>31491.24</v>
      </c>
      <c r="L4367" s="1" t="s">
        <v>23</v>
      </c>
      <c r="M4367" s="1" t="str">
        <f>TEXT(Table1[[#This Row],[Order Date]],"mmm")</f>
        <v>Aug</v>
      </c>
      <c r="N4367" s="1">
        <f>YEAR(Table1[[#This Row],[Order Date]])</f>
        <v>2023</v>
      </c>
    </row>
    <row r="4368" spans="1:14" x14ac:dyDescent="0.35">
      <c r="A4368" s="1" t="s">
        <v>5164</v>
      </c>
      <c r="B4368" s="1" t="s">
        <v>501</v>
      </c>
      <c r="C4368" s="1" t="s">
        <v>101</v>
      </c>
      <c r="D4368" s="1" t="s">
        <v>323</v>
      </c>
      <c r="E4368" s="1" t="s">
        <v>33</v>
      </c>
      <c r="F4368" s="1" t="s">
        <v>323</v>
      </c>
      <c r="G4368" s="1">
        <v>7</v>
      </c>
      <c r="H4368" s="1">
        <v>15972</v>
      </c>
      <c r="I4368" s="1">
        <v>0</v>
      </c>
      <c r="J4368" s="1">
        <v>111804</v>
      </c>
      <c r="K4368" s="1">
        <v>19342.29</v>
      </c>
      <c r="L4368" s="1" t="s">
        <v>17</v>
      </c>
      <c r="M4368" s="1" t="str">
        <f>TEXT(Table1[[#This Row],[Order Date]],"mmm")</f>
        <v>Nov</v>
      </c>
      <c r="N4368" s="1">
        <f>YEAR(Table1[[#This Row],[Order Date]])</f>
        <v>2024</v>
      </c>
    </row>
    <row r="4369" spans="1:14" x14ac:dyDescent="0.35">
      <c r="A4369" s="1" t="s">
        <v>5165</v>
      </c>
      <c r="B4369" s="1" t="s">
        <v>269</v>
      </c>
      <c r="C4369" s="1" t="s">
        <v>640</v>
      </c>
      <c r="D4369" s="1" t="s">
        <v>108</v>
      </c>
      <c r="E4369" s="1" t="s">
        <v>22</v>
      </c>
      <c r="F4369" s="1" t="s">
        <v>108</v>
      </c>
      <c r="G4369" s="1">
        <v>15</v>
      </c>
      <c r="H4369" s="1">
        <v>44159</v>
      </c>
      <c r="I4369" s="1">
        <v>0.2</v>
      </c>
      <c r="J4369" s="1">
        <v>529908</v>
      </c>
      <c r="K4369" s="1">
        <v>139931.4</v>
      </c>
      <c r="L4369" s="1" t="s">
        <v>45</v>
      </c>
      <c r="M4369" s="1" t="str">
        <f>TEXT(Table1[[#This Row],[Order Date]],"mmm")</f>
        <v>Dec</v>
      </c>
      <c r="N4369" s="1">
        <f>YEAR(Table1[[#This Row],[Order Date]])</f>
        <v>2023</v>
      </c>
    </row>
    <row r="4370" spans="1:14" x14ac:dyDescent="0.35">
      <c r="A4370" s="1" t="s">
        <v>5166</v>
      </c>
      <c r="B4370" s="1" t="s">
        <v>648</v>
      </c>
      <c r="C4370" s="1" t="s">
        <v>175</v>
      </c>
      <c r="D4370" s="1" t="s">
        <v>91</v>
      </c>
      <c r="E4370" s="1" t="s">
        <v>16</v>
      </c>
      <c r="F4370" s="1" t="s">
        <v>91</v>
      </c>
      <c r="G4370" s="1">
        <v>6</v>
      </c>
      <c r="H4370" s="1">
        <v>40568</v>
      </c>
      <c r="I4370" s="1">
        <v>0.15</v>
      </c>
      <c r="J4370" s="1">
        <v>206896.8</v>
      </c>
      <c r="K4370" s="1">
        <v>52962.85</v>
      </c>
      <c r="L4370" s="1" t="s">
        <v>17</v>
      </c>
      <c r="M4370" s="1" t="str">
        <f>TEXT(Table1[[#This Row],[Order Date]],"mmm")</f>
        <v>Jan</v>
      </c>
      <c r="N4370" s="1">
        <f>YEAR(Table1[[#This Row],[Order Date]])</f>
        <v>2024</v>
      </c>
    </row>
    <row r="4371" spans="1:14" x14ac:dyDescent="0.35">
      <c r="A4371" s="1" t="s">
        <v>5167</v>
      </c>
      <c r="B4371" s="1" t="s">
        <v>113</v>
      </c>
      <c r="C4371" s="1" t="s">
        <v>55</v>
      </c>
      <c r="D4371" s="1" t="s">
        <v>141</v>
      </c>
      <c r="E4371" s="1" t="s">
        <v>22</v>
      </c>
      <c r="F4371" s="1" t="s">
        <v>141</v>
      </c>
      <c r="G4371" s="1">
        <v>15</v>
      </c>
      <c r="H4371" s="1">
        <v>56954</v>
      </c>
      <c r="I4371" s="1">
        <v>0.1</v>
      </c>
      <c r="J4371" s="1">
        <v>768879</v>
      </c>
      <c r="K4371" s="1">
        <v>221648.08</v>
      </c>
      <c r="L4371" s="1" t="s">
        <v>70</v>
      </c>
      <c r="M4371" s="1" t="str">
        <f>TEXT(Table1[[#This Row],[Order Date]],"mmm")</f>
        <v>Jul</v>
      </c>
      <c r="N4371" s="1">
        <f>YEAR(Table1[[#This Row],[Order Date]])</f>
        <v>2023</v>
      </c>
    </row>
    <row r="4372" spans="1:14" x14ac:dyDescent="0.35">
      <c r="A4372" s="1" t="s">
        <v>5168</v>
      </c>
      <c r="B4372" s="1" t="s">
        <v>334</v>
      </c>
      <c r="C4372" s="1" t="s">
        <v>335</v>
      </c>
      <c r="D4372" s="1" t="s">
        <v>85</v>
      </c>
      <c r="E4372" s="1" t="s">
        <v>28</v>
      </c>
      <c r="F4372" s="1" t="s">
        <v>85</v>
      </c>
      <c r="G4372" s="1">
        <v>6</v>
      </c>
      <c r="H4372" s="1">
        <v>1817</v>
      </c>
      <c r="I4372" s="1">
        <v>0.2</v>
      </c>
      <c r="J4372" s="1">
        <v>8721.6</v>
      </c>
      <c r="K4372" s="1">
        <v>844.93</v>
      </c>
      <c r="L4372" s="1" t="s">
        <v>17</v>
      </c>
      <c r="M4372" s="1" t="str">
        <f>TEXT(Table1[[#This Row],[Order Date]],"mmm")</f>
        <v>Sep</v>
      </c>
      <c r="N4372" s="1">
        <f>YEAR(Table1[[#This Row],[Order Date]])</f>
        <v>2023</v>
      </c>
    </row>
    <row r="4373" spans="1:14" x14ac:dyDescent="0.35">
      <c r="A4373" s="1" t="s">
        <v>5169</v>
      </c>
      <c r="B4373" s="1" t="s">
        <v>601</v>
      </c>
      <c r="C4373" s="1" t="s">
        <v>36</v>
      </c>
      <c r="D4373" s="1" t="s">
        <v>52</v>
      </c>
      <c r="E4373" s="1" t="s">
        <v>28</v>
      </c>
      <c r="F4373" s="1" t="s">
        <v>52</v>
      </c>
      <c r="G4373" s="1">
        <v>9</v>
      </c>
      <c r="H4373" s="1">
        <v>37157</v>
      </c>
      <c r="I4373" s="1">
        <v>0.2</v>
      </c>
      <c r="J4373" s="1">
        <v>267530.40000000002</v>
      </c>
      <c r="K4373" s="1">
        <v>25084.240000000002</v>
      </c>
      <c r="L4373" s="1" t="s">
        <v>17</v>
      </c>
      <c r="M4373" s="1" t="str">
        <f>TEXT(Table1[[#This Row],[Order Date]],"mmm")</f>
        <v>Aug</v>
      </c>
      <c r="N4373" s="1">
        <f>YEAR(Table1[[#This Row],[Order Date]])</f>
        <v>2024</v>
      </c>
    </row>
    <row r="4374" spans="1:14" x14ac:dyDescent="0.35">
      <c r="A4374" s="1" t="s">
        <v>5170</v>
      </c>
      <c r="B4374" s="1" t="s">
        <v>728</v>
      </c>
      <c r="C4374" s="1" t="s">
        <v>67</v>
      </c>
      <c r="D4374" s="1" t="s">
        <v>32</v>
      </c>
      <c r="E4374" s="1" t="s">
        <v>33</v>
      </c>
      <c r="F4374" s="1" t="s">
        <v>32</v>
      </c>
      <c r="G4374" s="1">
        <v>2</v>
      </c>
      <c r="H4374" s="1">
        <v>21137</v>
      </c>
      <c r="I4374" s="1">
        <v>0</v>
      </c>
      <c r="J4374" s="1">
        <v>42274</v>
      </c>
      <c r="K4374" s="1">
        <v>5778.33</v>
      </c>
      <c r="L4374" s="1" t="s">
        <v>17</v>
      </c>
      <c r="M4374" s="1" t="str">
        <f>TEXT(Table1[[#This Row],[Order Date]],"mmm")</f>
        <v>Oct</v>
      </c>
      <c r="N4374" s="1">
        <f>YEAR(Table1[[#This Row],[Order Date]])</f>
        <v>2023</v>
      </c>
    </row>
    <row r="4375" spans="1:14" x14ac:dyDescent="0.35">
      <c r="A4375" s="1" t="s">
        <v>5171</v>
      </c>
      <c r="B4375" s="1" t="s">
        <v>534</v>
      </c>
      <c r="C4375" s="1" t="s">
        <v>111</v>
      </c>
      <c r="D4375" s="1" t="s">
        <v>323</v>
      </c>
      <c r="E4375" s="1" t="s">
        <v>33</v>
      </c>
      <c r="F4375" s="1" t="s">
        <v>323</v>
      </c>
      <c r="G4375" s="1">
        <v>5</v>
      </c>
      <c r="H4375" s="1">
        <v>17336</v>
      </c>
      <c r="I4375" s="1">
        <v>0.05</v>
      </c>
      <c r="J4375" s="1">
        <v>82346</v>
      </c>
      <c r="K4375" s="1">
        <v>11739.89</v>
      </c>
      <c r="L4375" s="1" t="s">
        <v>23</v>
      </c>
      <c r="M4375" s="1" t="str">
        <f>TEXT(Table1[[#This Row],[Order Date]],"mmm")</f>
        <v>Apr</v>
      </c>
      <c r="N4375" s="1">
        <f>YEAR(Table1[[#This Row],[Order Date]])</f>
        <v>2023</v>
      </c>
    </row>
    <row r="4376" spans="1:14" x14ac:dyDescent="0.35">
      <c r="A4376" s="1" t="s">
        <v>5172</v>
      </c>
      <c r="B4376" s="1" t="s">
        <v>1341</v>
      </c>
      <c r="C4376" s="1" t="s">
        <v>146</v>
      </c>
      <c r="D4376" s="1" t="s">
        <v>323</v>
      </c>
      <c r="E4376" s="1" t="s">
        <v>33</v>
      </c>
      <c r="F4376" s="1" t="s">
        <v>323</v>
      </c>
      <c r="G4376" s="1">
        <v>3</v>
      </c>
      <c r="H4376" s="1">
        <v>22639</v>
      </c>
      <c r="I4376" s="1">
        <v>0</v>
      </c>
      <c r="J4376" s="1">
        <v>67917</v>
      </c>
      <c r="K4376" s="1">
        <v>20034.09</v>
      </c>
      <c r="L4376" s="1" t="s">
        <v>17</v>
      </c>
      <c r="M4376" s="1" t="str">
        <f>TEXT(Table1[[#This Row],[Order Date]],"mmm")</f>
        <v>Oct</v>
      </c>
      <c r="N4376" s="1">
        <f>YEAR(Table1[[#This Row],[Order Date]])</f>
        <v>2024</v>
      </c>
    </row>
    <row r="4377" spans="1:14" x14ac:dyDescent="0.35">
      <c r="A4377" s="1" t="s">
        <v>5173</v>
      </c>
      <c r="B4377" s="1" t="s">
        <v>573</v>
      </c>
      <c r="C4377" s="1" t="s">
        <v>31</v>
      </c>
      <c r="D4377" s="1" t="s">
        <v>44</v>
      </c>
      <c r="E4377" s="1" t="s">
        <v>28</v>
      </c>
      <c r="F4377" s="1" t="s">
        <v>44</v>
      </c>
      <c r="G4377" s="1">
        <v>9</v>
      </c>
      <c r="H4377" s="1">
        <v>13132</v>
      </c>
      <c r="I4377" s="1">
        <v>0.1</v>
      </c>
      <c r="J4377" s="1">
        <v>106369.2</v>
      </c>
      <c r="K4377" s="1">
        <v>13122.14</v>
      </c>
      <c r="L4377" s="1" t="s">
        <v>17</v>
      </c>
      <c r="M4377" s="1" t="str">
        <f>TEXT(Table1[[#This Row],[Order Date]],"mmm")</f>
        <v>Sep</v>
      </c>
      <c r="N4377" s="1">
        <f>YEAR(Table1[[#This Row],[Order Date]])</f>
        <v>2024</v>
      </c>
    </row>
    <row r="4378" spans="1:14" x14ac:dyDescent="0.35">
      <c r="A4378" s="1" t="s">
        <v>5174</v>
      </c>
      <c r="B4378" s="1" t="s">
        <v>1029</v>
      </c>
      <c r="C4378" s="1" t="s">
        <v>63</v>
      </c>
      <c r="D4378" s="1" t="s">
        <v>91</v>
      </c>
      <c r="E4378" s="1" t="s">
        <v>16</v>
      </c>
      <c r="F4378" s="1" t="s">
        <v>91</v>
      </c>
      <c r="G4378" s="1">
        <v>2</v>
      </c>
      <c r="H4378" s="1">
        <v>50770</v>
      </c>
      <c r="I4378" s="1">
        <v>0</v>
      </c>
      <c r="J4378" s="1">
        <v>101540</v>
      </c>
      <c r="K4378" s="1">
        <v>8544.48</v>
      </c>
      <c r="L4378" s="1" t="s">
        <v>45</v>
      </c>
      <c r="M4378" s="1" t="str">
        <f>TEXT(Table1[[#This Row],[Order Date]],"mmm")</f>
        <v>Nov</v>
      </c>
      <c r="N4378" s="1">
        <f>YEAR(Table1[[#This Row],[Order Date]])</f>
        <v>2024</v>
      </c>
    </row>
    <row r="4379" spans="1:14" x14ac:dyDescent="0.35">
      <c r="A4379" s="1" t="s">
        <v>5175</v>
      </c>
      <c r="B4379" s="1" t="s">
        <v>250</v>
      </c>
      <c r="C4379" s="1" t="s">
        <v>55</v>
      </c>
      <c r="D4379" s="1" t="s">
        <v>48</v>
      </c>
      <c r="E4379" s="1" t="s">
        <v>16</v>
      </c>
      <c r="F4379" s="1" t="s">
        <v>48</v>
      </c>
      <c r="G4379" s="1">
        <v>13</v>
      </c>
      <c r="H4379" s="1">
        <v>22439</v>
      </c>
      <c r="I4379" s="1">
        <v>0.05</v>
      </c>
      <c r="J4379" s="1">
        <v>277121.65000000002</v>
      </c>
      <c r="K4379" s="1">
        <v>25348.880000000001</v>
      </c>
      <c r="L4379" s="1" t="s">
        <v>70</v>
      </c>
      <c r="M4379" s="1" t="str">
        <f>TEXT(Table1[[#This Row],[Order Date]],"mmm")</f>
        <v>Aug</v>
      </c>
      <c r="N4379" s="1">
        <f>YEAR(Table1[[#This Row],[Order Date]])</f>
        <v>2023</v>
      </c>
    </row>
    <row r="4380" spans="1:14" x14ac:dyDescent="0.35">
      <c r="A4380" s="1" t="s">
        <v>5176</v>
      </c>
      <c r="B4380" s="1" t="s">
        <v>1240</v>
      </c>
      <c r="C4380" s="1" t="s">
        <v>158</v>
      </c>
      <c r="D4380" s="1" t="s">
        <v>60</v>
      </c>
      <c r="E4380" s="1" t="s">
        <v>33</v>
      </c>
      <c r="F4380" s="1" t="s">
        <v>60</v>
      </c>
      <c r="G4380" s="1">
        <v>11</v>
      </c>
      <c r="H4380" s="1">
        <v>13203</v>
      </c>
      <c r="I4380" s="1">
        <v>0.05</v>
      </c>
      <c r="J4380" s="1">
        <v>137971.35</v>
      </c>
      <c r="K4380" s="1">
        <v>17797.759999999998</v>
      </c>
      <c r="L4380" s="1" t="s">
        <v>70</v>
      </c>
      <c r="M4380" s="1" t="str">
        <f>TEXT(Table1[[#This Row],[Order Date]],"mmm")</f>
        <v>Jan</v>
      </c>
      <c r="N4380" s="1">
        <f>YEAR(Table1[[#This Row],[Order Date]])</f>
        <v>2024</v>
      </c>
    </row>
    <row r="4381" spans="1:14" x14ac:dyDescent="0.35">
      <c r="A4381" s="1" t="s">
        <v>5177</v>
      </c>
      <c r="B4381" s="1" t="s">
        <v>493</v>
      </c>
      <c r="C4381" s="1" t="s">
        <v>125</v>
      </c>
      <c r="D4381" s="1" t="s">
        <v>137</v>
      </c>
      <c r="E4381" s="1" t="s">
        <v>22</v>
      </c>
      <c r="F4381" s="1" t="s">
        <v>137</v>
      </c>
      <c r="G4381" s="1">
        <v>5</v>
      </c>
      <c r="H4381" s="1">
        <v>44510</v>
      </c>
      <c r="I4381" s="1">
        <v>0.15</v>
      </c>
      <c r="J4381" s="1">
        <v>189167.5</v>
      </c>
      <c r="K4381" s="1">
        <v>17115.07</v>
      </c>
      <c r="L4381" s="1" t="s">
        <v>23</v>
      </c>
      <c r="M4381" s="1" t="str">
        <f>TEXT(Table1[[#This Row],[Order Date]],"mmm")</f>
        <v>Nov</v>
      </c>
      <c r="N4381" s="1">
        <f>YEAR(Table1[[#This Row],[Order Date]])</f>
        <v>2024</v>
      </c>
    </row>
    <row r="4382" spans="1:14" x14ac:dyDescent="0.35">
      <c r="A4382" s="1" t="s">
        <v>5178</v>
      </c>
      <c r="B4382" s="1" t="s">
        <v>1500</v>
      </c>
      <c r="C4382" s="1" t="s">
        <v>128</v>
      </c>
      <c r="D4382" s="1" t="s">
        <v>41</v>
      </c>
      <c r="E4382" s="1" t="s">
        <v>16</v>
      </c>
      <c r="F4382" s="1" t="s">
        <v>41</v>
      </c>
      <c r="G4382" s="1">
        <v>7</v>
      </c>
      <c r="H4382" s="1">
        <v>30030</v>
      </c>
      <c r="I4382" s="1">
        <v>0.2</v>
      </c>
      <c r="J4382" s="1">
        <v>168168</v>
      </c>
      <c r="K4382" s="1">
        <v>42947.15</v>
      </c>
      <c r="L4382" s="1" t="s">
        <v>70</v>
      </c>
      <c r="M4382" s="1" t="str">
        <f>TEXT(Table1[[#This Row],[Order Date]],"mmm")</f>
        <v>Jun</v>
      </c>
      <c r="N4382" s="1">
        <f>YEAR(Table1[[#This Row],[Order Date]])</f>
        <v>2023</v>
      </c>
    </row>
    <row r="4383" spans="1:14" x14ac:dyDescent="0.35">
      <c r="A4383" s="1" t="s">
        <v>5179</v>
      </c>
      <c r="B4383" s="1" t="s">
        <v>2178</v>
      </c>
      <c r="C4383" s="1" t="s">
        <v>140</v>
      </c>
      <c r="D4383" s="1" t="s">
        <v>15</v>
      </c>
      <c r="E4383" s="1" t="s">
        <v>16</v>
      </c>
      <c r="F4383" s="1" t="s">
        <v>15</v>
      </c>
      <c r="G4383" s="1">
        <v>12</v>
      </c>
      <c r="H4383" s="1">
        <v>40698</v>
      </c>
      <c r="I4383" s="1">
        <v>0.1</v>
      </c>
      <c r="J4383" s="1">
        <v>439538.4</v>
      </c>
      <c r="K4383" s="1">
        <v>68719.820000000007</v>
      </c>
      <c r="L4383" s="1" t="s">
        <v>17</v>
      </c>
      <c r="M4383" s="1" t="str">
        <f>TEXT(Table1[[#This Row],[Order Date]],"mmm")</f>
        <v>Jul</v>
      </c>
      <c r="N4383" s="1">
        <f>YEAR(Table1[[#This Row],[Order Date]])</f>
        <v>2023</v>
      </c>
    </row>
    <row r="4384" spans="1:14" x14ac:dyDescent="0.35">
      <c r="A4384" s="1" t="s">
        <v>5180</v>
      </c>
      <c r="B4384" s="1" t="s">
        <v>2454</v>
      </c>
      <c r="C4384" s="1" t="s">
        <v>120</v>
      </c>
      <c r="D4384" s="1" t="s">
        <v>74</v>
      </c>
      <c r="E4384" s="1" t="s">
        <v>22</v>
      </c>
      <c r="F4384" s="1" t="s">
        <v>74</v>
      </c>
      <c r="G4384" s="1">
        <v>12</v>
      </c>
      <c r="H4384" s="1">
        <v>45106</v>
      </c>
      <c r="I4384" s="1">
        <v>0.1</v>
      </c>
      <c r="J4384" s="1">
        <v>487144.8</v>
      </c>
      <c r="K4384" s="1">
        <v>111415.53</v>
      </c>
      <c r="L4384" s="1" t="s">
        <v>23</v>
      </c>
      <c r="M4384" s="1" t="str">
        <f>TEXT(Table1[[#This Row],[Order Date]],"mmm")</f>
        <v>Sep</v>
      </c>
      <c r="N4384" s="1">
        <f>YEAR(Table1[[#This Row],[Order Date]])</f>
        <v>2023</v>
      </c>
    </row>
    <row r="4385" spans="1:14" x14ac:dyDescent="0.35">
      <c r="A4385" s="1" t="s">
        <v>5181</v>
      </c>
      <c r="B4385" s="1" t="s">
        <v>1790</v>
      </c>
      <c r="C4385" s="1" t="s">
        <v>188</v>
      </c>
      <c r="D4385" s="1" t="s">
        <v>224</v>
      </c>
      <c r="E4385" s="1" t="s">
        <v>33</v>
      </c>
      <c r="F4385" s="1" t="s">
        <v>224</v>
      </c>
      <c r="G4385" s="1">
        <v>1</v>
      </c>
      <c r="H4385" s="1">
        <v>32552</v>
      </c>
      <c r="I4385" s="1">
        <v>0</v>
      </c>
      <c r="J4385" s="1">
        <v>32552</v>
      </c>
      <c r="K4385" s="1">
        <v>6533.78</v>
      </c>
      <c r="L4385" s="1" t="s">
        <v>23</v>
      </c>
      <c r="M4385" s="1" t="str">
        <f>TEXT(Table1[[#This Row],[Order Date]],"mmm")</f>
        <v>Jan</v>
      </c>
      <c r="N4385" s="1">
        <f>YEAR(Table1[[#This Row],[Order Date]])</f>
        <v>2023</v>
      </c>
    </row>
    <row r="4386" spans="1:14" x14ac:dyDescent="0.35">
      <c r="A4386" s="1" t="s">
        <v>5182</v>
      </c>
      <c r="B4386" s="1" t="s">
        <v>124</v>
      </c>
      <c r="C4386" s="1" t="s">
        <v>59</v>
      </c>
      <c r="D4386" s="1" t="s">
        <v>52</v>
      </c>
      <c r="E4386" s="1" t="s">
        <v>28</v>
      </c>
      <c r="F4386" s="1" t="s">
        <v>52</v>
      </c>
      <c r="G4386" s="1">
        <v>11</v>
      </c>
      <c r="H4386" s="1">
        <v>3845</v>
      </c>
      <c r="I4386" s="1">
        <v>0.2</v>
      </c>
      <c r="J4386" s="1">
        <v>33836</v>
      </c>
      <c r="K4386" s="1">
        <v>7127.34</v>
      </c>
      <c r="L4386" s="1" t="s">
        <v>70</v>
      </c>
      <c r="M4386" s="1" t="str">
        <f>TEXT(Table1[[#This Row],[Order Date]],"mmm")</f>
        <v>Apr</v>
      </c>
      <c r="N4386" s="1">
        <f>YEAR(Table1[[#This Row],[Order Date]])</f>
        <v>2024</v>
      </c>
    </row>
    <row r="4387" spans="1:14" x14ac:dyDescent="0.35">
      <c r="A4387" s="1" t="s">
        <v>5183</v>
      </c>
      <c r="B4387" s="1" t="s">
        <v>221</v>
      </c>
      <c r="C4387" s="1" t="s">
        <v>507</v>
      </c>
      <c r="D4387" s="1" t="s">
        <v>224</v>
      </c>
      <c r="E4387" s="1" t="s">
        <v>33</v>
      </c>
      <c r="F4387" s="1" t="s">
        <v>224</v>
      </c>
      <c r="G4387" s="1">
        <v>3</v>
      </c>
      <c r="H4387" s="1">
        <v>32501</v>
      </c>
      <c r="I4387" s="1">
        <v>0.2</v>
      </c>
      <c r="J4387" s="1">
        <v>78002.399999999994</v>
      </c>
      <c r="K4387" s="1">
        <v>15484.56</v>
      </c>
      <c r="L4387" s="1" t="s">
        <v>23</v>
      </c>
      <c r="M4387" s="1" t="str">
        <f>TEXT(Table1[[#This Row],[Order Date]],"mmm")</f>
        <v>Dec</v>
      </c>
      <c r="N4387" s="1">
        <f>YEAR(Table1[[#This Row],[Order Date]])</f>
        <v>2023</v>
      </c>
    </row>
    <row r="4388" spans="1:14" x14ac:dyDescent="0.35">
      <c r="A4388" s="1" t="s">
        <v>5184</v>
      </c>
      <c r="B4388" s="1" t="s">
        <v>776</v>
      </c>
      <c r="C4388" s="1" t="s">
        <v>98</v>
      </c>
      <c r="D4388" s="1" t="s">
        <v>151</v>
      </c>
      <c r="E4388" s="1" t="s">
        <v>22</v>
      </c>
      <c r="F4388" s="1" t="s">
        <v>151</v>
      </c>
      <c r="G4388" s="1">
        <v>4</v>
      </c>
      <c r="H4388" s="1">
        <v>54869</v>
      </c>
      <c r="I4388" s="1">
        <v>0.1</v>
      </c>
      <c r="J4388" s="1">
        <v>197528.4</v>
      </c>
      <c r="K4388" s="1">
        <v>26356.400000000001</v>
      </c>
      <c r="L4388" s="1" t="s">
        <v>45</v>
      </c>
      <c r="M4388" s="1" t="str">
        <f>TEXT(Table1[[#This Row],[Order Date]],"mmm")</f>
        <v>Feb</v>
      </c>
      <c r="N4388" s="1">
        <f>YEAR(Table1[[#This Row],[Order Date]])</f>
        <v>2024</v>
      </c>
    </row>
    <row r="4389" spans="1:14" x14ac:dyDescent="0.35">
      <c r="A4389" s="1" t="s">
        <v>5185</v>
      </c>
      <c r="B4389" s="1" t="s">
        <v>2068</v>
      </c>
      <c r="C4389" s="1" t="s">
        <v>94</v>
      </c>
      <c r="D4389" s="1" t="s">
        <v>95</v>
      </c>
      <c r="E4389" s="1" t="s">
        <v>33</v>
      </c>
      <c r="F4389" s="1" t="s">
        <v>95</v>
      </c>
      <c r="G4389" s="1">
        <v>2</v>
      </c>
      <c r="H4389" s="1">
        <v>1451</v>
      </c>
      <c r="I4389" s="1">
        <v>0.2</v>
      </c>
      <c r="J4389" s="1">
        <v>2321.6</v>
      </c>
      <c r="K4389" s="1">
        <v>233.74</v>
      </c>
      <c r="L4389" s="1" t="s">
        <v>17</v>
      </c>
      <c r="M4389" s="1" t="str">
        <f>TEXT(Table1[[#This Row],[Order Date]],"mmm")</f>
        <v>Oct</v>
      </c>
      <c r="N4389" s="1">
        <f>YEAR(Table1[[#This Row],[Order Date]])</f>
        <v>2023</v>
      </c>
    </row>
    <row r="4390" spans="1:14" x14ac:dyDescent="0.35">
      <c r="A4390" s="1" t="s">
        <v>5186</v>
      </c>
      <c r="B4390" s="1" t="s">
        <v>792</v>
      </c>
      <c r="C4390" s="1" t="s">
        <v>107</v>
      </c>
      <c r="D4390" s="1" t="s">
        <v>64</v>
      </c>
      <c r="E4390" s="1" t="s">
        <v>33</v>
      </c>
      <c r="F4390" s="1" t="s">
        <v>64</v>
      </c>
      <c r="G4390" s="1">
        <v>9</v>
      </c>
      <c r="H4390" s="1">
        <v>55571</v>
      </c>
      <c r="I4390" s="1">
        <v>0.2</v>
      </c>
      <c r="J4390" s="1">
        <v>400111.2</v>
      </c>
      <c r="K4390" s="1">
        <v>105799.01</v>
      </c>
      <c r="L4390" s="1" t="s">
        <v>23</v>
      </c>
      <c r="M4390" s="1" t="str">
        <f>TEXT(Table1[[#This Row],[Order Date]],"mmm")</f>
        <v>Aug</v>
      </c>
      <c r="N4390" s="1">
        <f>YEAR(Table1[[#This Row],[Order Date]])</f>
        <v>2023</v>
      </c>
    </row>
    <row r="4391" spans="1:14" x14ac:dyDescent="0.35">
      <c r="A4391" s="1" t="s">
        <v>5187</v>
      </c>
      <c r="B4391" s="1" t="s">
        <v>127</v>
      </c>
      <c r="C4391" s="1" t="s">
        <v>158</v>
      </c>
      <c r="D4391" s="1" t="s">
        <v>293</v>
      </c>
      <c r="E4391" s="1" t="s">
        <v>33</v>
      </c>
      <c r="F4391" s="1" t="s">
        <v>293</v>
      </c>
      <c r="G4391" s="1">
        <v>11</v>
      </c>
      <c r="H4391" s="1">
        <v>25366</v>
      </c>
      <c r="I4391" s="1">
        <v>0</v>
      </c>
      <c r="J4391" s="1">
        <v>279026</v>
      </c>
      <c r="K4391" s="1">
        <v>26661.79</v>
      </c>
      <c r="L4391" s="1" t="s">
        <v>70</v>
      </c>
      <c r="M4391" s="1" t="str">
        <f>TEXT(Table1[[#This Row],[Order Date]],"mmm")</f>
        <v>Nov</v>
      </c>
      <c r="N4391" s="1">
        <f>YEAR(Table1[[#This Row],[Order Date]])</f>
        <v>2024</v>
      </c>
    </row>
    <row r="4392" spans="1:14" x14ac:dyDescent="0.35">
      <c r="A4392" s="1" t="s">
        <v>5188</v>
      </c>
      <c r="B4392" s="1" t="s">
        <v>2746</v>
      </c>
      <c r="C4392" s="1" t="s">
        <v>227</v>
      </c>
      <c r="D4392" s="1" t="s">
        <v>133</v>
      </c>
      <c r="E4392" s="1" t="s">
        <v>22</v>
      </c>
      <c r="F4392" s="1" t="s">
        <v>133</v>
      </c>
      <c r="G4392" s="1">
        <v>15</v>
      </c>
      <c r="H4392" s="1">
        <v>32398</v>
      </c>
      <c r="I4392" s="1">
        <v>0.1</v>
      </c>
      <c r="J4392" s="1">
        <v>437373</v>
      </c>
      <c r="K4392" s="1">
        <v>43141.88</v>
      </c>
      <c r="L4392" s="1" t="s">
        <v>45</v>
      </c>
      <c r="M4392" s="1" t="str">
        <f>TEXT(Table1[[#This Row],[Order Date]],"mmm")</f>
        <v>Jan</v>
      </c>
      <c r="N4392" s="1">
        <f>YEAR(Table1[[#This Row],[Order Date]])</f>
        <v>2023</v>
      </c>
    </row>
    <row r="4393" spans="1:14" x14ac:dyDescent="0.35">
      <c r="A4393" s="1" t="s">
        <v>5189</v>
      </c>
      <c r="B4393" s="1" t="s">
        <v>3353</v>
      </c>
      <c r="C4393" s="1" t="s">
        <v>117</v>
      </c>
      <c r="D4393" s="1" t="s">
        <v>56</v>
      </c>
      <c r="E4393" s="1" t="s">
        <v>22</v>
      </c>
      <c r="F4393" s="1" t="s">
        <v>56</v>
      </c>
      <c r="G4393" s="1">
        <v>1</v>
      </c>
      <c r="H4393" s="1">
        <v>5879</v>
      </c>
      <c r="I4393" s="1">
        <v>0.15</v>
      </c>
      <c r="J4393" s="1">
        <v>4997.1499999999996</v>
      </c>
      <c r="K4393" s="1">
        <v>1039.27</v>
      </c>
      <c r="L4393" s="1" t="s">
        <v>23</v>
      </c>
      <c r="M4393" s="1" t="str">
        <f>TEXT(Table1[[#This Row],[Order Date]],"mmm")</f>
        <v>Sep</v>
      </c>
      <c r="N4393" s="1">
        <f>YEAR(Table1[[#This Row],[Order Date]])</f>
        <v>2023</v>
      </c>
    </row>
    <row r="4394" spans="1:14" x14ac:dyDescent="0.35">
      <c r="A4394" s="1" t="s">
        <v>5190</v>
      </c>
      <c r="B4394" s="1" t="s">
        <v>2004</v>
      </c>
      <c r="C4394" s="1" t="s">
        <v>84</v>
      </c>
      <c r="D4394" s="1" t="s">
        <v>133</v>
      </c>
      <c r="E4394" s="1" t="s">
        <v>22</v>
      </c>
      <c r="F4394" s="1" t="s">
        <v>133</v>
      </c>
      <c r="G4394" s="1">
        <v>13</v>
      </c>
      <c r="H4394" s="1">
        <v>59562</v>
      </c>
      <c r="I4394" s="1">
        <v>0</v>
      </c>
      <c r="J4394" s="1">
        <v>774306</v>
      </c>
      <c r="K4394" s="1">
        <v>125199.56</v>
      </c>
      <c r="L4394" s="1" t="s">
        <v>17</v>
      </c>
      <c r="M4394" s="1" t="str">
        <f>TEXT(Table1[[#This Row],[Order Date]],"mmm")</f>
        <v>May</v>
      </c>
      <c r="N4394" s="1">
        <f>YEAR(Table1[[#This Row],[Order Date]])</f>
        <v>2023</v>
      </c>
    </row>
    <row r="4395" spans="1:14" x14ac:dyDescent="0.35">
      <c r="A4395" s="1" t="s">
        <v>5191</v>
      </c>
      <c r="B4395" s="1" t="s">
        <v>731</v>
      </c>
      <c r="C4395" s="1" t="s">
        <v>20</v>
      </c>
      <c r="D4395" s="1" t="s">
        <v>133</v>
      </c>
      <c r="E4395" s="1" t="s">
        <v>22</v>
      </c>
      <c r="F4395" s="1" t="s">
        <v>133</v>
      </c>
      <c r="G4395" s="1">
        <v>1</v>
      </c>
      <c r="H4395" s="1">
        <v>41853</v>
      </c>
      <c r="I4395" s="1">
        <v>0.05</v>
      </c>
      <c r="J4395" s="1">
        <v>39760.35</v>
      </c>
      <c r="K4395" s="1">
        <v>4499.45</v>
      </c>
      <c r="L4395" s="1" t="s">
        <v>70</v>
      </c>
      <c r="M4395" s="1" t="str">
        <f>TEXT(Table1[[#This Row],[Order Date]],"mmm")</f>
        <v>Mar</v>
      </c>
      <c r="N4395" s="1">
        <f>YEAR(Table1[[#This Row],[Order Date]])</f>
        <v>2023</v>
      </c>
    </row>
    <row r="4396" spans="1:14" x14ac:dyDescent="0.35">
      <c r="A4396" s="1" t="s">
        <v>5192</v>
      </c>
      <c r="B4396" s="1" t="s">
        <v>1638</v>
      </c>
      <c r="C4396" s="1" t="s">
        <v>158</v>
      </c>
      <c r="D4396" s="1" t="s">
        <v>323</v>
      </c>
      <c r="E4396" s="1" t="s">
        <v>33</v>
      </c>
      <c r="F4396" s="1" t="s">
        <v>323</v>
      </c>
      <c r="G4396" s="1">
        <v>10</v>
      </c>
      <c r="H4396" s="1">
        <v>12760</v>
      </c>
      <c r="I4396" s="1">
        <v>0.1</v>
      </c>
      <c r="J4396" s="1">
        <v>114840</v>
      </c>
      <c r="K4396" s="1">
        <v>12692.87</v>
      </c>
      <c r="L4396" s="1" t="s">
        <v>17</v>
      </c>
      <c r="M4396" s="1" t="str">
        <f>TEXT(Table1[[#This Row],[Order Date]],"mmm")</f>
        <v>Feb</v>
      </c>
      <c r="N4396" s="1">
        <f>YEAR(Table1[[#This Row],[Order Date]])</f>
        <v>2023</v>
      </c>
    </row>
    <row r="4397" spans="1:14" x14ac:dyDescent="0.35">
      <c r="A4397" s="1" t="s">
        <v>5193</v>
      </c>
      <c r="B4397" s="1" t="s">
        <v>2009</v>
      </c>
      <c r="C4397" s="1" t="s">
        <v>188</v>
      </c>
      <c r="D4397" s="1" t="s">
        <v>85</v>
      </c>
      <c r="E4397" s="1" t="s">
        <v>28</v>
      </c>
      <c r="F4397" s="1" t="s">
        <v>85</v>
      </c>
      <c r="G4397" s="1">
        <v>4</v>
      </c>
      <c r="H4397" s="1">
        <v>44026</v>
      </c>
      <c r="I4397" s="1">
        <v>0.15</v>
      </c>
      <c r="J4397" s="1">
        <v>149688.4</v>
      </c>
      <c r="K4397" s="1">
        <v>17962.509999999998</v>
      </c>
      <c r="L4397" s="1" t="s">
        <v>17</v>
      </c>
      <c r="M4397" s="1" t="str">
        <f>TEXT(Table1[[#This Row],[Order Date]],"mmm")</f>
        <v>Jun</v>
      </c>
      <c r="N4397" s="1">
        <f>YEAR(Table1[[#This Row],[Order Date]])</f>
        <v>2024</v>
      </c>
    </row>
    <row r="4398" spans="1:14" x14ac:dyDescent="0.35">
      <c r="A4398" s="1" t="s">
        <v>5194</v>
      </c>
      <c r="B4398" s="1" t="s">
        <v>1320</v>
      </c>
      <c r="C4398" s="1" t="s">
        <v>155</v>
      </c>
      <c r="D4398" s="1" t="s">
        <v>37</v>
      </c>
      <c r="E4398" s="1" t="s">
        <v>16</v>
      </c>
      <c r="F4398" s="1" t="s">
        <v>37</v>
      </c>
      <c r="G4398" s="1">
        <v>13</v>
      </c>
      <c r="H4398" s="1">
        <v>49516</v>
      </c>
      <c r="I4398" s="1">
        <v>0.1</v>
      </c>
      <c r="J4398" s="1">
        <v>579337.19999999995</v>
      </c>
      <c r="K4398" s="1">
        <v>59552.31</v>
      </c>
      <c r="L4398" s="1" t="s">
        <v>23</v>
      </c>
      <c r="M4398" s="1" t="str">
        <f>TEXT(Table1[[#This Row],[Order Date]],"mmm")</f>
        <v>Mar</v>
      </c>
      <c r="N4398" s="1">
        <f>YEAR(Table1[[#This Row],[Order Date]])</f>
        <v>2023</v>
      </c>
    </row>
    <row r="4399" spans="1:14" x14ac:dyDescent="0.35">
      <c r="A4399" s="1" t="s">
        <v>5195</v>
      </c>
      <c r="B4399" s="1" t="s">
        <v>1341</v>
      </c>
      <c r="C4399" s="1" t="s">
        <v>63</v>
      </c>
      <c r="D4399" s="1" t="s">
        <v>293</v>
      </c>
      <c r="E4399" s="1" t="s">
        <v>33</v>
      </c>
      <c r="F4399" s="1" t="s">
        <v>293</v>
      </c>
      <c r="G4399" s="1">
        <v>12</v>
      </c>
      <c r="H4399" s="1">
        <v>28266</v>
      </c>
      <c r="I4399" s="1">
        <v>0.1</v>
      </c>
      <c r="J4399" s="1">
        <v>305272.8</v>
      </c>
      <c r="K4399" s="1">
        <v>38821.56</v>
      </c>
      <c r="L4399" s="1" t="s">
        <v>70</v>
      </c>
      <c r="M4399" s="1" t="str">
        <f>TEXT(Table1[[#This Row],[Order Date]],"mmm")</f>
        <v>Oct</v>
      </c>
      <c r="N4399" s="1">
        <f>YEAR(Table1[[#This Row],[Order Date]])</f>
        <v>2024</v>
      </c>
    </row>
    <row r="4400" spans="1:14" x14ac:dyDescent="0.35">
      <c r="A4400" s="1" t="s">
        <v>5196</v>
      </c>
      <c r="B4400" s="1" t="s">
        <v>1140</v>
      </c>
      <c r="C4400" s="1" t="s">
        <v>59</v>
      </c>
      <c r="D4400" s="1" t="s">
        <v>85</v>
      </c>
      <c r="E4400" s="1" t="s">
        <v>28</v>
      </c>
      <c r="F4400" s="1" t="s">
        <v>85</v>
      </c>
      <c r="G4400" s="1">
        <v>13</v>
      </c>
      <c r="H4400" s="1">
        <v>16139</v>
      </c>
      <c r="I4400" s="1">
        <v>0.05</v>
      </c>
      <c r="J4400" s="1">
        <v>199316.65</v>
      </c>
      <c r="K4400" s="1">
        <v>26587.37</v>
      </c>
      <c r="L4400" s="1" t="s">
        <v>17</v>
      </c>
      <c r="M4400" s="1" t="str">
        <f>TEXT(Table1[[#This Row],[Order Date]],"mmm")</f>
        <v>May</v>
      </c>
      <c r="N4400" s="1">
        <f>YEAR(Table1[[#This Row],[Order Date]])</f>
        <v>2024</v>
      </c>
    </row>
    <row r="4401" spans="1:14" x14ac:dyDescent="0.35">
      <c r="A4401" s="1" t="s">
        <v>5197</v>
      </c>
      <c r="B4401" s="1" t="s">
        <v>30</v>
      </c>
      <c r="C4401" s="1" t="s">
        <v>36</v>
      </c>
      <c r="D4401" s="1" t="s">
        <v>37</v>
      </c>
      <c r="E4401" s="1" t="s">
        <v>16</v>
      </c>
      <c r="F4401" s="1" t="s">
        <v>37</v>
      </c>
      <c r="G4401" s="1">
        <v>8</v>
      </c>
      <c r="H4401" s="1">
        <v>11280</v>
      </c>
      <c r="I4401" s="1">
        <v>0.05</v>
      </c>
      <c r="J4401" s="1">
        <v>85728</v>
      </c>
      <c r="K4401" s="1">
        <v>12647.73</v>
      </c>
      <c r="L4401" s="1" t="s">
        <v>17</v>
      </c>
      <c r="M4401" s="1" t="str">
        <f>TEXT(Table1[[#This Row],[Order Date]],"mmm")</f>
        <v>Apr</v>
      </c>
      <c r="N4401" s="1">
        <f>YEAR(Table1[[#This Row],[Order Date]])</f>
        <v>2023</v>
      </c>
    </row>
    <row r="4402" spans="1:14" x14ac:dyDescent="0.35">
      <c r="A4402" s="1" t="s">
        <v>5198</v>
      </c>
      <c r="B4402" s="1" t="s">
        <v>442</v>
      </c>
      <c r="C4402" s="1" t="s">
        <v>191</v>
      </c>
      <c r="D4402" s="1" t="s">
        <v>56</v>
      </c>
      <c r="E4402" s="1" t="s">
        <v>22</v>
      </c>
      <c r="F4402" s="1" t="s">
        <v>56</v>
      </c>
      <c r="G4402" s="1">
        <v>14</v>
      </c>
      <c r="H4402" s="1">
        <v>43694</v>
      </c>
      <c r="I4402" s="1">
        <v>0.2</v>
      </c>
      <c r="J4402" s="1">
        <v>489372.8</v>
      </c>
      <c r="K4402" s="1">
        <v>135459.44</v>
      </c>
      <c r="L4402" s="1" t="s">
        <v>23</v>
      </c>
      <c r="M4402" s="1" t="str">
        <f>TEXT(Table1[[#This Row],[Order Date]],"mmm")</f>
        <v>Jul</v>
      </c>
      <c r="N4402" s="1">
        <f>YEAR(Table1[[#This Row],[Order Date]])</f>
        <v>2024</v>
      </c>
    </row>
    <row r="4403" spans="1:14" x14ac:dyDescent="0.35">
      <c r="A4403" s="1" t="s">
        <v>5199</v>
      </c>
      <c r="B4403" s="1" t="s">
        <v>1951</v>
      </c>
      <c r="C4403" s="1" t="s">
        <v>104</v>
      </c>
      <c r="D4403" s="1" t="s">
        <v>27</v>
      </c>
      <c r="E4403" s="1" t="s">
        <v>28</v>
      </c>
      <c r="F4403" s="1" t="s">
        <v>27</v>
      </c>
      <c r="G4403" s="1">
        <v>9</v>
      </c>
      <c r="H4403" s="1">
        <v>39418</v>
      </c>
      <c r="I4403" s="1">
        <v>0.1</v>
      </c>
      <c r="J4403" s="1">
        <v>319285.8</v>
      </c>
      <c r="K4403" s="1">
        <v>71866.41</v>
      </c>
      <c r="L4403" s="1" t="s">
        <v>45</v>
      </c>
      <c r="M4403" s="1" t="str">
        <f>TEXT(Table1[[#This Row],[Order Date]],"mmm")</f>
        <v>May</v>
      </c>
      <c r="N4403" s="1">
        <f>YEAR(Table1[[#This Row],[Order Date]])</f>
        <v>2024</v>
      </c>
    </row>
    <row r="4404" spans="1:14" x14ac:dyDescent="0.35">
      <c r="A4404" s="1" t="s">
        <v>5200</v>
      </c>
      <c r="B4404" s="1" t="s">
        <v>346</v>
      </c>
      <c r="C4404" s="1" t="s">
        <v>63</v>
      </c>
      <c r="D4404" s="1" t="s">
        <v>74</v>
      </c>
      <c r="E4404" s="1" t="s">
        <v>22</v>
      </c>
      <c r="F4404" s="1" t="s">
        <v>74</v>
      </c>
      <c r="G4404" s="1">
        <v>9</v>
      </c>
      <c r="H4404" s="1">
        <v>16718</v>
      </c>
      <c r="I4404" s="1">
        <v>0.05</v>
      </c>
      <c r="J4404" s="1">
        <v>142938.9</v>
      </c>
      <c r="K4404" s="1">
        <v>31616.5</v>
      </c>
      <c r="L4404" s="1" t="s">
        <v>45</v>
      </c>
      <c r="M4404" s="1" t="str">
        <f>TEXT(Table1[[#This Row],[Order Date]],"mmm")</f>
        <v>Oct</v>
      </c>
      <c r="N4404" s="1">
        <f>YEAR(Table1[[#This Row],[Order Date]])</f>
        <v>2023</v>
      </c>
    </row>
    <row r="4405" spans="1:14" x14ac:dyDescent="0.35">
      <c r="A4405" s="1" t="s">
        <v>5201</v>
      </c>
      <c r="B4405" s="1" t="s">
        <v>2342</v>
      </c>
      <c r="C4405" s="1" t="s">
        <v>125</v>
      </c>
      <c r="D4405" s="1" t="s">
        <v>293</v>
      </c>
      <c r="E4405" s="1" t="s">
        <v>33</v>
      </c>
      <c r="F4405" s="1" t="s">
        <v>293</v>
      </c>
      <c r="G4405" s="1">
        <v>10</v>
      </c>
      <c r="H4405" s="1">
        <v>37336</v>
      </c>
      <c r="I4405" s="1">
        <v>0</v>
      </c>
      <c r="J4405" s="1">
        <v>373360</v>
      </c>
      <c r="K4405" s="1">
        <v>103799.46</v>
      </c>
      <c r="L4405" s="1" t="s">
        <v>45</v>
      </c>
      <c r="M4405" s="1" t="str">
        <f>TEXT(Table1[[#This Row],[Order Date]],"mmm")</f>
        <v>Mar</v>
      </c>
      <c r="N4405" s="1">
        <f>YEAR(Table1[[#This Row],[Order Date]])</f>
        <v>2023</v>
      </c>
    </row>
    <row r="4406" spans="1:14" x14ac:dyDescent="0.35">
      <c r="A4406" s="1" t="s">
        <v>5202</v>
      </c>
      <c r="B4406" s="1" t="s">
        <v>257</v>
      </c>
      <c r="C4406" s="1" t="s">
        <v>81</v>
      </c>
      <c r="D4406" s="1" t="s">
        <v>48</v>
      </c>
      <c r="E4406" s="1" t="s">
        <v>16</v>
      </c>
      <c r="F4406" s="1" t="s">
        <v>48</v>
      </c>
      <c r="G4406" s="1">
        <v>8</v>
      </c>
      <c r="H4406" s="1">
        <v>55313</v>
      </c>
      <c r="I4406" s="1">
        <v>0.2</v>
      </c>
      <c r="J4406" s="1">
        <v>354003.20000000001</v>
      </c>
      <c r="K4406" s="1">
        <v>106041.48</v>
      </c>
      <c r="L4406" s="1" t="s">
        <v>70</v>
      </c>
      <c r="M4406" s="1" t="str">
        <f>TEXT(Table1[[#This Row],[Order Date]],"mmm")</f>
        <v>Aug</v>
      </c>
      <c r="N4406" s="1">
        <f>YEAR(Table1[[#This Row],[Order Date]])</f>
        <v>2024</v>
      </c>
    </row>
    <row r="4407" spans="1:14" x14ac:dyDescent="0.35">
      <c r="A4407" s="1" t="s">
        <v>5203</v>
      </c>
      <c r="B4407" s="1" t="s">
        <v>1411</v>
      </c>
      <c r="C4407" s="1" t="s">
        <v>162</v>
      </c>
      <c r="D4407" s="1" t="s">
        <v>91</v>
      </c>
      <c r="E4407" s="1" t="s">
        <v>16</v>
      </c>
      <c r="F4407" s="1" t="s">
        <v>91</v>
      </c>
      <c r="G4407" s="1">
        <v>3</v>
      </c>
      <c r="H4407" s="1">
        <v>50292</v>
      </c>
      <c r="I4407" s="1">
        <v>0.2</v>
      </c>
      <c r="J4407" s="1">
        <v>120700.8</v>
      </c>
      <c r="K4407" s="1">
        <v>18127.37</v>
      </c>
      <c r="L4407" s="1" t="s">
        <v>45</v>
      </c>
      <c r="M4407" s="1" t="str">
        <f>TEXT(Table1[[#This Row],[Order Date]],"mmm")</f>
        <v>Oct</v>
      </c>
      <c r="N4407" s="1">
        <f>YEAR(Table1[[#This Row],[Order Date]])</f>
        <v>2023</v>
      </c>
    </row>
    <row r="4408" spans="1:14" x14ac:dyDescent="0.35">
      <c r="A4408" s="1" t="s">
        <v>5204</v>
      </c>
      <c r="B4408" s="1" t="s">
        <v>621</v>
      </c>
      <c r="C4408" s="1" t="s">
        <v>227</v>
      </c>
      <c r="D4408" s="1" t="s">
        <v>44</v>
      </c>
      <c r="E4408" s="1" t="s">
        <v>28</v>
      </c>
      <c r="F4408" s="1" t="s">
        <v>44</v>
      </c>
      <c r="G4408" s="1">
        <v>2</v>
      </c>
      <c r="H4408" s="1">
        <v>3612</v>
      </c>
      <c r="I4408" s="1">
        <v>0.2</v>
      </c>
      <c r="J4408" s="1">
        <v>5779.2</v>
      </c>
      <c r="K4408" s="1">
        <v>495.8</v>
      </c>
      <c r="L4408" s="1" t="s">
        <v>70</v>
      </c>
      <c r="M4408" s="1" t="str">
        <f>TEXT(Table1[[#This Row],[Order Date]],"mmm")</f>
        <v>Jan</v>
      </c>
      <c r="N4408" s="1">
        <f>YEAR(Table1[[#This Row],[Order Date]])</f>
        <v>2024</v>
      </c>
    </row>
    <row r="4409" spans="1:14" x14ac:dyDescent="0.35">
      <c r="A4409" s="1" t="s">
        <v>5205</v>
      </c>
      <c r="B4409" s="1" t="s">
        <v>1834</v>
      </c>
      <c r="C4409" s="1" t="s">
        <v>84</v>
      </c>
      <c r="D4409" s="1" t="s">
        <v>44</v>
      </c>
      <c r="E4409" s="1" t="s">
        <v>28</v>
      </c>
      <c r="F4409" s="1" t="s">
        <v>44</v>
      </c>
      <c r="G4409" s="1">
        <v>11</v>
      </c>
      <c r="H4409" s="1">
        <v>56176</v>
      </c>
      <c r="I4409" s="1">
        <v>0.2</v>
      </c>
      <c r="J4409" s="1">
        <v>494348.79999999999</v>
      </c>
      <c r="K4409" s="1">
        <v>43576.01</v>
      </c>
      <c r="L4409" s="1" t="s">
        <v>23</v>
      </c>
      <c r="M4409" s="1" t="str">
        <f>TEXT(Table1[[#This Row],[Order Date]],"mmm")</f>
        <v>Nov</v>
      </c>
      <c r="N4409" s="1">
        <f>YEAR(Table1[[#This Row],[Order Date]])</f>
        <v>2023</v>
      </c>
    </row>
    <row r="4410" spans="1:14" x14ac:dyDescent="0.35">
      <c r="A4410" s="1" t="s">
        <v>5206</v>
      </c>
      <c r="B4410" s="1" t="s">
        <v>205</v>
      </c>
      <c r="C4410" s="1" t="s">
        <v>88</v>
      </c>
      <c r="D4410" s="1" t="s">
        <v>224</v>
      </c>
      <c r="E4410" s="1" t="s">
        <v>33</v>
      </c>
      <c r="F4410" s="1" t="s">
        <v>224</v>
      </c>
      <c r="G4410" s="1">
        <v>13</v>
      </c>
      <c r="H4410" s="1">
        <v>50222</v>
      </c>
      <c r="I4410" s="1">
        <v>0.2</v>
      </c>
      <c r="J4410" s="1">
        <v>522308.8</v>
      </c>
      <c r="K4410" s="1">
        <v>124560.5</v>
      </c>
      <c r="L4410" s="1" t="s">
        <v>23</v>
      </c>
      <c r="M4410" s="1" t="str">
        <f>TEXT(Table1[[#This Row],[Order Date]],"mmm")</f>
        <v>Feb</v>
      </c>
      <c r="N4410" s="1">
        <f>YEAR(Table1[[#This Row],[Order Date]])</f>
        <v>2023</v>
      </c>
    </row>
    <row r="4411" spans="1:14" x14ac:dyDescent="0.35">
      <c r="A4411" s="1" t="s">
        <v>5207</v>
      </c>
      <c r="B4411" s="1" t="s">
        <v>322</v>
      </c>
      <c r="C4411" s="1" t="s">
        <v>507</v>
      </c>
      <c r="D4411" s="1" t="s">
        <v>48</v>
      </c>
      <c r="E4411" s="1" t="s">
        <v>16</v>
      </c>
      <c r="F4411" s="1" t="s">
        <v>48</v>
      </c>
      <c r="G4411" s="1">
        <v>12</v>
      </c>
      <c r="H4411" s="1">
        <v>44564</v>
      </c>
      <c r="I4411" s="1">
        <v>0.15</v>
      </c>
      <c r="J4411" s="1">
        <v>454552.8</v>
      </c>
      <c r="K4411" s="1">
        <v>130255.13</v>
      </c>
      <c r="L4411" s="1" t="s">
        <v>17</v>
      </c>
      <c r="M4411" s="1" t="str">
        <f>TEXT(Table1[[#This Row],[Order Date]],"mmm")</f>
        <v>Sep</v>
      </c>
      <c r="N4411" s="1">
        <f>YEAR(Table1[[#This Row],[Order Date]])</f>
        <v>2023</v>
      </c>
    </row>
    <row r="4412" spans="1:14" x14ac:dyDescent="0.35">
      <c r="A4412" s="1" t="s">
        <v>5208</v>
      </c>
      <c r="B4412" s="1" t="s">
        <v>504</v>
      </c>
      <c r="C4412" s="1" t="s">
        <v>51</v>
      </c>
      <c r="D4412" s="1" t="s">
        <v>52</v>
      </c>
      <c r="E4412" s="1" t="s">
        <v>28</v>
      </c>
      <c r="F4412" s="1" t="s">
        <v>52</v>
      </c>
      <c r="G4412" s="1">
        <v>2</v>
      </c>
      <c r="H4412" s="1">
        <v>59934</v>
      </c>
      <c r="I4412" s="1">
        <v>0.1</v>
      </c>
      <c r="J4412" s="1">
        <v>107881.2</v>
      </c>
      <c r="K4412" s="1">
        <v>21239.39</v>
      </c>
      <c r="L4412" s="1" t="s">
        <v>70</v>
      </c>
      <c r="M4412" s="1" t="str">
        <f>TEXT(Table1[[#This Row],[Order Date]],"mmm")</f>
        <v>Aug</v>
      </c>
      <c r="N4412" s="1">
        <f>YEAR(Table1[[#This Row],[Order Date]])</f>
        <v>2023</v>
      </c>
    </row>
    <row r="4413" spans="1:14" x14ac:dyDescent="0.35">
      <c r="A4413" s="1" t="s">
        <v>5209</v>
      </c>
      <c r="B4413" s="1" t="s">
        <v>636</v>
      </c>
      <c r="C4413" s="1" t="s">
        <v>178</v>
      </c>
      <c r="D4413" s="1" t="s">
        <v>224</v>
      </c>
      <c r="E4413" s="1" t="s">
        <v>33</v>
      </c>
      <c r="F4413" s="1" t="s">
        <v>224</v>
      </c>
      <c r="G4413" s="1">
        <v>2</v>
      </c>
      <c r="H4413" s="1">
        <v>30641</v>
      </c>
      <c r="I4413" s="1">
        <v>0</v>
      </c>
      <c r="J4413" s="1">
        <v>61282</v>
      </c>
      <c r="K4413" s="1">
        <v>4978.68</v>
      </c>
      <c r="L4413" s="1" t="s">
        <v>45</v>
      </c>
      <c r="M4413" s="1" t="str">
        <f>TEXT(Table1[[#This Row],[Order Date]],"mmm")</f>
        <v>Nov</v>
      </c>
      <c r="N4413" s="1">
        <f>YEAR(Table1[[#This Row],[Order Date]])</f>
        <v>2023</v>
      </c>
    </row>
    <row r="4414" spans="1:14" x14ac:dyDescent="0.35">
      <c r="A4414" s="1" t="s">
        <v>5210</v>
      </c>
      <c r="B4414" s="1" t="s">
        <v>839</v>
      </c>
      <c r="C4414" s="1" t="s">
        <v>191</v>
      </c>
      <c r="D4414" s="1" t="s">
        <v>151</v>
      </c>
      <c r="E4414" s="1" t="s">
        <v>22</v>
      </c>
      <c r="F4414" s="1" t="s">
        <v>151</v>
      </c>
      <c r="G4414" s="1">
        <v>6</v>
      </c>
      <c r="H4414" s="1">
        <v>29997</v>
      </c>
      <c r="I4414" s="1">
        <v>0.1</v>
      </c>
      <c r="J4414" s="1">
        <v>161983.79999999999</v>
      </c>
      <c r="K4414" s="1">
        <v>44405.11</v>
      </c>
      <c r="L4414" s="1" t="s">
        <v>23</v>
      </c>
      <c r="M4414" s="1" t="str">
        <f>TEXT(Table1[[#This Row],[Order Date]],"mmm")</f>
        <v>Aug</v>
      </c>
      <c r="N4414" s="1">
        <f>YEAR(Table1[[#This Row],[Order Date]])</f>
        <v>2024</v>
      </c>
    </row>
    <row r="4415" spans="1:14" x14ac:dyDescent="0.35">
      <c r="A4415" s="1" t="s">
        <v>5211</v>
      </c>
      <c r="B4415" s="1" t="s">
        <v>1068</v>
      </c>
      <c r="C4415" s="1" t="s">
        <v>170</v>
      </c>
      <c r="D4415" s="1" t="s">
        <v>64</v>
      </c>
      <c r="E4415" s="1" t="s">
        <v>33</v>
      </c>
      <c r="F4415" s="1" t="s">
        <v>64</v>
      </c>
      <c r="G4415" s="1">
        <v>5</v>
      </c>
      <c r="H4415" s="1">
        <v>25906</v>
      </c>
      <c r="I4415" s="1">
        <v>0.1</v>
      </c>
      <c r="J4415" s="1">
        <v>116577</v>
      </c>
      <c r="K4415" s="1">
        <v>12290.54</v>
      </c>
      <c r="L4415" s="1" t="s">
        <v>23</v>
      </c>
      <c r="M4415" s="1" t="str">
        <f>TEXT(Table1[[#This Row],[Order Date]],"mmm")</f>
        <v>Apr</v>
      </c>
      <c r="N4415" s="1">
        <f>YEAR(Table1[[#This Row],[Order Date]])</f>
        <v>2023</v>
      </c>
    </row>
    <row r="4416" spans="1:14" x14ac:dyDescent="0.35">
      <c r="A4416" s="1" t="s">
        <v>5212</v>
      </c>
      <c r="B4416" s="1" t="s">
        <v>3622</v>
      </c>
      <c r="C4416" s="1" t="s">
        <v>158</v>
      </c>
      <c r="D4416" s="1" t="s">
        <v>37</v>
      </c>
      <c r="E4416" s="1" t="s">
        <v>16</v>
      </c>
      <c r="F4416" s="1" t="s">
        <v>37</v>
      </c>
      <c r="G4416" s="1">
        <v>1</v>
      </c>
      <c r="H4416" s="1">
        <v>39926</v>
      </c>
      <c r="I4416" s="1">
        <v>0.05</v>
      </c>
      <c r="J4416" s="1">
        <v>37929.699999999997</v>
      </c>
      <c r="K4416" s="1">
        <v>7493.11</v>
      </c>
      <c r="L4416" s="1" t="s">
        <v>23</v>
      </c>
      <c r="M4416" s="1" t="str">
        <f>TEXT(Table1[[#This Row],[Order Date]],"mmm")</f>
        <v>Oct</v>
      </c>
      <c r="N4416" s="1">
        <f>YEAR(Table1[[#This Row],[Order Date]])</f>
        <v>2023</v>
      </c>
    </row>
    <row r="4417" spans="1:14" x14ac:dyDescent="0.35">
      <c r="A4417" s="1" t="s">
        <v>5213</v>
      </c>
      <c r="B4417" s="1" t="s">
        <v>1660</v>
      </c>
      <c r="C4417" s="1" t="s">
        <v>26</v>
      </c>
      <c r="D4417" s="1" t="s">
        <v>137</v>
      </c>
      <c r="E4417" s="1" t="s">
        <v>22</v>
      </c>
      <c r="F4417" s="1" t="s">
        <v>137</v>
      </c>
      <c r="G4417" s="1">
        <v>1</v>
      </c>
      <c r="H4417" s="1">
        <v>36458</v>
      </c>
      <c r="I4417" s="1">
        <v>0.2</v>
      </c>
      <c r="J4417" s="1">
        <v>29166.400000000001</v>
      </c>
      <c r="K4417" s="1">
        <v>6008.28</v>
      </c>
      <c r="L4417" s="1" t="s">
        <v>45</v>
      </c>
      <c r="M4417" s="1" t="str">
        <f>TEXT(Table1[[#This Row],[Order Date]],"mmm")</f>
        <v>Jun</v>
      </c>
      <c r="N4417" s="1">
        <f>YEAR(Table1[[#This Row],[Order Date]])</f>
        <v>2023</v>
      </c>
    </row>
    <row r="4418" spans="1:14" x14ac:dyDescent="0.35">
      <c r="A4418" s="1" t="s">
        <v>5214</v>
      </c>
      <c r="B4418" s="1" t="s">
        <v>746</v>
      </c>
      <c r="C4418" s="1" t="s">
        <v>14</v>
      </c>
      <c r="D4418" s="1" t="s">
        <v>78</v>
      </c>
      <c r="E4418" s="1" t="s">
        <v>28</v>
      </c>
      <c r="F4418" s="1" t="s">
        <v>78</v>
      </c>
      <c r="G4418" s="1">
        <v>13</v>
      </c>
      <c r="H4418" s="1">
        <v>15508</v>
      </c>
      <c r="I4418" s="1">
        <v>0</v>
      </c>
      <c r="J4418" s="1">
        <v>201604</v>
      </c>
      <c r="K4418" s="1">
        <v>26117.46</v>
      </c>
      <c r="L4418" s="1" t="s">
        <v>45</v>
      </c>
      <c r="M4418" s="1" t="str">
        <f>TEXT(Table1[[#This Row],[Order Date]],"mmm")</f>
        <v>Mar</v>
      </c>
      <c r="N4418" s="1">
        <f>YEAR(Table1[[#This Row],[Order Date]])</f>
        <v>2024</v>
      </c>
    </row>
    <row r="4419" spans="1:14" x14ac:dyDescent="0.35">
      <c r="A4419" s="1" t="s">
        <v>5215</v>
      </c>
      <c r="B4419" s="1" t="s">
        <v>1107</v>
      </c>
      <c r="C4419" s="1" t="s">
        <v>335</v>
      </c>
      <c r="D4419" s="1" t="s">
        <v>91</v>
      </c>
      <c r="E4419" s="1" t="s">
        <v>16</v>
      </c>
      <c r="F4419" s="1" t="s">
        <v>91</v>
      </c>
      <c r="G4419" s="1">
        <v>8</v>
      </c>
      <c r="H4419" s="1">
        <v>45129</v>
      </c>
      <c r="I4419" s="1">
        <v>0.15</v>
      </c>
      <c r="J4419" s="1">
        <v>306877.2</v>
      </c>
      <c r="K4419" s="1">
        <v>43593.15</v>
      </c>
      <c r="L4419" s="1" t="s">
        <v>23</v>
      </c>
      <c r="M4419" s="1" t="str">
        <f>TEXT(Table1[[#This Row],[Order Date]],"mmm")</f>
        <v>Dec</v>
      </c>
      <c r="N4419" s="1">
        <f>YEAR(Table1[[#This Row],[Order Date]])</f>
        <v>2023</v>
      </c>
    </row>
    <row r="4420" spans="1:14" x14ac:dyDescent="0.35">
      <c r="A4420" s="1" t="s">
        <v>5216</v>
      </c>
      <c r="B4420" s="1" t="s">
        <v>766</v>
      </c>
      <c r="C4420" s="1" t="s">
        <v>349</v>
      </c>
      <c r="D4420" s="1" t="s">
        <v>64</v>
      </c>
      <c r="E4420" s="1" t="s">
        <v>33</v>
      </c>
      <c r="F4420" s="1" t="s">
        <v>64</v>
      </c>
      <c r="G4420" s="1">
        <v>9</v>
      </c>
      <c r="H4420" s="1">
        <v>44416</v>
      </c>
      <c r="I4420" s="1">
        <v>0.1</v>
      </c>
      <c r="J4420" s="1">
        <v>359769.59999999998</v>
      </c>
      <c r="K4420" s="1">
        <v>73076.53</v>
      </c>
      <c r="L4420" s="1" t="s">
        <v>17</v>
      </c>
      <c r="M4420" s="1" t="str">
        <f>TEXT(Table1[[#This Row],[Order Date]],"mmm")</f>
        <v>Feb</v>
      </c>
      <c r="N4420" s="1">
        <f>YEAR(Table1[[#This Row],[Order Date]])</f>
        <v>2023</v>
      </c>
    </row>
    <row r="4421" spans="1:14" x14ac:dyDescent="0.35">
      <c r="A4421" s="1" t="s">
        <v>5217</v>
      </c>
      <c r="B4421" s="1" t="s">
        <v>528</v>
      </c>
      <c r="C4421" s="1" t="s">
        <v>117</v>
      </c>
      <c r="D4421" s="1" t="s">
        <v>48</v>
      </c>
      <c r="E4421" s="1" t="s">
        <v>16</v>
      </c>
      <c r="F4421" s="1" t="s">
        <v>48</v>
      </c>
      <c r="G4421" s="1">
        <v>12</v>
      </c>
      <c r="H4421" s="1">
        <v>6363</v>
      </c>
      <c r="I4421" s="1">
        <v>0.1</v>
      </c>
      <c r="J4421" s="1">
        <v>68720.399999999994</v>
      </c>
      <c r="K4421" s="1">
        <v>20552.16</v>
      </c>
      <c r="L4421" s="1" t="s">
        <v>45</v>
      </c>
      <c r="M4421" s="1" t="str">
        <f>TEXT(Table1[[#This Row],[Order Date]],"mmm")</f>
        <v>Feb</v>
      </c>
      <c r="N4421" s="1">
        <f>YEAR(Table1[[#This Row],[Order Date]])</f>
        <v>2024</v>
      </c>
    </row>
    <row r="4422" spans="1:14" x14ac:dyDescent="0.35">
      <c r="A4422" s="1" t="s">
        <v>5218</v>
      </c>
      <c r="B4422" s="1" t="s">
        <v>792</v>
      </c>
      <c r="C4422" s="1" t="s">
        <v>26</v>
      </c>
      <c r="D4422" s="1" t="s">
        <v>293</v>
      </c>
      <c r="E4422" s="1" t="s">
        <v>33</v>
      </c>
      <c r="F4422" s="1" t="s">
        <v>293</v>
      </c>
      <c r="G4422" s="1">
        <v>5</v>
      </c>
      <c r="H4422" s="1">
        <v>4598</v>
      </c>
      <c r="I4422" s="1">
        <v>0</v>
      </c>
      <c r="J4422" s="1">
        <v>22990</v>
      </c>
      <c r="K4422" s="1">
        <v>2179.91</v>
      </c>
      <c r="L4422" s="1" t="s">
        <v>70</v>
      </c>
      <c r="M4422" s="1" t="str">
        <f>TEXT(Table1[[#This Row],[Order Date]],"mmm")</f>
        <v>Aug</v>
      </c>
      <c r="N4422" s="1">
        <f>YEAR(Table1[[#This Row],[Order Date]])</f>
        <v>2023</v>
      </c>
    </row>
    <row r="4423" spans="1:14" x14ac:dyDescent="0.35">
      <c r="A4423" s="1" t="s">
        <v>5219</v>
      </c>
      <c r="B4423" s="1" t="s">
        <v>996</v>
      </c>
      <c r="C4423" s="1" t="s">
        <v>507</v>
      </c>
      <c r="D4423" s="1" t="s">
        <v>41</v>
      </c>
      <c r="E4423" s="1" t="s">
        <v>16</v>
      </c>
      <c r="F4423" s="1" t="s">
        <v>41</v>
      </c>
      <c r="G4423" s="1">
        <v>1</v>
      </c>
      <c r="H4423" s="1">
        <v>13095</v>
      </c>
      <c r="I4423" s="1">
        <v>0.2</v>
      </c>
      <c r="J4423" s="1">
        <v>10476</v>
      </c>
      <c r="K4423" s="1">
        <v>1127.5899999999999</v>
      </c>
      <c r="L4423" s="1" t="s">
        <v>23</v>
      </c>
      <c r="M4423" s="1" t="str">
        <f>TEXT(Table1[[#This Row],[Order Date]],"mmm")</f>
        <v>Feb</v>
      </c>
      <c r="N4423" s="1">
        <f>YEAR(Table1[[#This Row],[Order Date]])</f>
        <v>2024</v>
      </c>
    </row>
    <row r="4424" spans="1:14" x14ac:dyDescent="0.35">
      <c r="A4424" s="1" t="s">
        <v>5220</v>
      </c>
      <c r="B4424" s="1" t="s">
        <v>726</v>
      </c>
      <c r="C4424" s="1" t="s">
        <v>178</v>
      </c>
      <c r="D4424" s="1" t="s">
        <v>44</v>
      </c>
      <c r="E4424" s="1" t="s">
        <v>28</v>
      </c>
      <c r="F4424" s="1" t="s">
        <v>44</v>
      </c>
      <c r="G4424" s="1">
        <v>2</v>
      </c>
      <c r="H4424" s="1">
        <v>28339</v>
      </c>
      <c r="I4424" s="1">
        <v>0</v>
      </c>
      <c r="J4424" s="1">
        <v>56678</v>
      </c>
      <c r="K4424" s="1">
        <v>13279.85</v>
      </c>
      <c r="L4424" s="1" t="s">
        <v>17</v>
      </c>
      <c r="M4424" s="1" t="str">
        <f>TEXT(Table1[[#This Row],[Order Date]],"mmm")</f>
        <v>Apr</v>
      </c>
      <c r="N4424" s="1">
        <f>YEAR(Table1[[#This Row],[Order Date]])</f>
        <v>2024</v>
      </c>
    </row>
    <row r="4425" spans="1:14" x14ac:dyDescent="0.35">
      <c r="A4425" s="1" t="s">
        <v>5221</v>
      </c>
      <c r="B4425" s="1" t="s">
        <v>1045</v>
      </c>
      <c r="C4425" s="1" t="s">
        <v>51</v>
      </c>
      <c r="D4425" s="1" t="s">
        <v>293</v>
      </c>
      <c r="E4425" s="1" t="s">
        <v>33</v>
      </c>
      <c r="F4425" s="1" t="s">
        <v>293</v>
      </c>
      <c r="G4425" s="1">
        <v>13</v>
      </c>
      <c r="H4425" s="1">
        <v>46241</v>
      </c>
      <c r="I4425" s="1">
        <v>0.05</v>
      </c>
      <c r="J4425" s="1">
        <v>571076.35</v>
      </c>
      <c r="K4425" s="1">
        <v>95408.57</v>
      </c>
      <c r="L4425" s="1" t="s">
        <v>45</v>
      </c>
      <c r="M4425" s="1" t="str">
        <f>TEXT(Table1[[#This Row],[Order Date]],"mmm")</f>
        <v>Feb</v>
      </c>
      <c r="N4425" s="1">
        <f>YEAR(Table1[[#This Row],[Order Date]])</f>
        <v>2023</v>
      </c>
    </row>
    <row r="4426" spans="1:14" x14ac:dyDescent="0.35">
      <c r="A4426" s="1" t="s">
        <v>5222</v>
      </c>
      <c r="B4426" s="1" t="s">
        <v>415</v>
      </c>
      <c r="C4426" s="1" t="s">
        <v>349</v>
      </c>
      <c r="D4426" s="1" t="s">
        <v>323</v>
      </c>
      <c r="E4426" s="1" t="s">
        <v>33</v>
      </c>
      <c r="F4426" s="1" t="s">
        <v>323</v>
      </c>
      <c r="G4426" s="1">
        <v>5</v>
      </c>
      <c r="H4426" s="1">
        <v>25693</v>
      </c>
      <c r="I4426" s="1">
        <v>0.15</v>
      </c>
      <c r="J4426" s="1">
        <v>109195.25</v>
      </c>
      <c r="K4426" s="1">
        <v>24095.78</v>
      </c>
      <c r="L4426" s="1" t="s">
        <v>70</v>
      </c>
      <c r="M4426" s="1" t="str">
        <f>TEXT(Table1[[#This Row],[Order Date]],"mmm")</f>
        <v>Jan</v>
      </c>
      <c r="N4426" s="1">
        <f>YEAR(Table1[[#This Row],[Order Date]])</f>
        <v>2024</v>
      </c>
    </row>
    <row r="4427" spans="1:14" x14ac:dyDescent="0.35">
      <c r="A4427" s="1" t="s">
        <v>5223</v>
      </c>
      <c r="B4427" s="1" t="s">
        <v>1029</v>
      </c>
      <c r="C4427" s="1" t="s">
        <v>332</v>
      </c>
      <c r="D4427" s="1" t="s">
        <v>293</v>
      </c>
      <c r="E4427" s="1" t="s">
        <v>33</v>
      </c>
      <c r="F4427" s="1" t="s">
        <v>293</v>
      </c>
      <c r="G4427" s="1">
        <v>13</v>
      </c>
      <c r="H4427" s="1">
        <v>49619</v>
      </c>
      <c r="I4427" s="1">
        <v>0.1</v>
      </c>
      <c r="J4427" s="1">
        <v>580542.30000000005</v>
      </c>
      <c r="K4427" s="1">
        <v>159252.37</v>
      </c>
      <c r="L4427" s="1" t="s">
        <v>23</v>
      </c>
      <c r="M4427" s="1" t="str">
        <f>TEXT(Table1[[#This Row],[Order Date]],"mmm")</f>
        <v>Nov</v>
      </c>
      <c r="N4427" s="1">
        <f>YEAR(Table1[[#This Row],[Order Date]])</f>
        <v>2024</v>
      </c>
    </row>
    <row r="4428" spans="1:14" x14ac:dyDescent="0.35">
      <c r="A4428" s="1" t="s">
        <v>5224</v>
      </c>
      <c r="B4428" s="1" t="s">
        <v>1032</v>
      </c>
      <c r="C4428" s="1" t="s">
        <v>77</v>
      </c>
      <c r="D4428" s="1" t="s">
        <v>32</v>
      </c>
      <c r="E4428" s="1" t="s">
        <v>33</v>
      </c>
      <c r="F4428" s="1" t="s">
        <v>32</v>
      </c>
      <c r="G4428" s="1">
        <v>5</v>
      </c>
      <c r="H4428" s="1">
        <v>58547</v>
      </c>
      <c r="I4428" s="1">
        <v>0.1</v>
      </c>
      <c r="J4428" s="1">
        <v>263461.5</v>
      </c>
      <c r="K4428" s="1">
        <v>60099.69</v>
      </c>
      <c r="L4428" s="1" t="s">
        <v>23</v>
      </c>
      <c r="M4428" s="1" t="str">
        <f>TEXT(Table1[[#This Row],[Order Date]],"mmm")</f>
        <v>May</v>
      </c>
      <c r="N4428" s="1">
        <f>YEAR(Table1[[#This Row],[Order Date]])</f>
        <v>2024</v>
      </c>
    </row>
    <row r="4429" spans="1:14" x14ac:dyDescent="0.35">
      <c r="A4429" s="1" t="s">
        <v>5225</v>
      </c>
      <c r="B4429" s="1" t="s">
        <v>172</v>
      </c>
      <c r="C4429" s="1" t="s">
        <v>73</v>
      </c>
      <c r="D4429" s="1" t="s">
        <v>64</v>
      </c>
      <c r="E4429" s="1" t="s">
        <v>33</v>
      </c>
      <c r="F4429" s="1" t="s">
        <v>64</v>
      </c>
      <c r="G4429" s="1">
        <v>10</v>
      </c>
      <c r="H4429" s="1">
        <v>31855</v>
      </c>
      <c r="I4429" s="1">
        <v>0.15</v>
      </c>
      <c r="J4429" s="1">
        <v>270767.5</v>
      </c>
      <c r="K4429" s="1">
        <v>55362.400000000001</v>
      </c>
      <c r="L4429" s="1" t="s">
        <v>70</v>
      </c>
      <c r="M4429" s="1" t="str">
        <f>TEXT(Table1[[#This Row],[Order Date]],"mmm")</f>
        <v>Mar</v>
      </c>
      <c r="N4429" s="1">
        <f>YEAR(Table1[[#This Row],[Order Date]])</f>
        <v>2023</v>
      </c>
    </row>
    <row r="4430" spans="1:14" x14ac:dyDescent="0.35">
      <c r="A4430" s="1" t="s">
        <v>5226</v>
      </c>
      <c r="B4430" s="1" t="s">
        <v>1478</v>
      </c>
      <c r="C4430" s="1" t="s">
        <v>63</v>
      </c>
      <c r="D4430" s="1" t="s">
        <v>48</v>
      </c>
      <c r="E4430" s="1" t="s">
        <v>16</v>
      </c>
      <c r="F4430" s="1" t="s">
        <v>48</v>
      </c>
      <c r="G4430" s="1">
        <v>6</v>
      </c>
      <c r="H4430" s="1">
        <v>12909</v>
      </c>
      <c r="I4430" s="1">
        <v>0</v>
      </c>
      <c r="J4430" s="1">
        <v>77454</v>
      </c>
      <c r="K4430" s="1">
        <v>7752.51</v>
      </c>
      <c r="L4430" s="1" t="s">
        <v>17</v>
      </c>
      <c r="M4430" s="1" t="str">
        <f>TEXT(Table1[[#This Row],[Order Date]],"mmm")</f>
        <v>Jan</v>
      </c>
      <c r="N4430" s="1">
        <f>YEAR(Table1[[#This Row],[Order Date]])</f>
        <v>2024</v>
      </c>
    </row>
    <row r="4431" spans="1:14" x14ac:dyDescent="0.35">
      <c r="A4431" s="1" t="s">
        <v>5227</v>
      </c>
      <c r="B4431" s="1" t="s">
        <v>1295</v>
      </c>
      <c r="C4431" s="1" t="s">
        <v>200</v>
      </c>
      <c r="D4431" s="1" t="s">
        <v>108</v>
      </c>
      <c r="E4431" s="1" t="s">
        <v>22</v>
      </c>
      <c r="F4431" s="1" t="s">
        <v>108</v>
      </c>
      <c r="G4431" s="1">
        <v>5</v>
      </c>
      <c r="H4431" s="1">
        <v>31295</v>
      </c>
      <c r="I4431" s="1">
        <v>0.05</v>
      </c>
      <c r="J4431" s="1">
        <v>148651.25</v>
      </c>
      <c r="K4431" s="1">
        <v>32906.39</v>
      </c>
      <c r="L4431" s="1" t="s">
        <v>45</v>
      </c>
      <c r="M4431" s="1" t="str">
        <f>TEXT(Table1[[#This Row],[Order Date]],"mmm")</f>
        <v>Oct</v>
      </c>
      <c r="N4431" s="1">
        <f>YEAR(Table1[[#This Row],[Order Date]])</f>
        <v>2024</v>
      </c>
    </row>
    <row r="4432" spans="1:14" x14ac:dyDescent="0.35">
      <c r="A4432" s="1" t="s">
        <v>5228</v>
      </c>
      <c r="B4432" s="1" t="s">
        <v>1573</v>
      </c>
      <c r="C4432" s="1" t="s">
        <v>63</v>
      </c>
      <c r="D4432" s="1" t="s">
        <v>133</v>
      </c>
      <c r="E4432" s="1" t="s">
        <v>22</v>
      </c>
      <c r="F4432" s="1" t="s">
        <v>133</v>
      </c>
      <c r="G4432" s="1">
        <v>4</v>
      </c>
      <c r="H4432" s="1">
        <v>31693</v>
      </c>
      <c r="I4432" s="1">
        <v>0.2</v>
      </c>
      <c r="J4432" s="1">
        <v>101417.60000000001</v>
      </c>
      <c r="K4432" s="1">
        <v>26810.39</v>
      </c>
      <c r="L4432" s="1" t="s">
        <v>23</v>
      </c>
      <c r="M4432" s="1" t="str">
        <f>TEXT(Table1[[#This Row],[Order Date]],"mmm")</f>
        <v>Aug</v>
      </c>
      <c r="N4432" s="1">
        <f>YEAR(Table1[[#This Row],[Order Date]])</f>
        <v>2024</v>
      </c>
    </row>
    <row r="4433" spans="1:14" x14ac:dyDescent="0.35">
      <c r="A4433" s="1" t="s">
        <v>5229</v>
      </c>
      <c r="B4433" s="1" t="s">
        <v>1032</v>
      </c>
      <c r="C4433" s="1" t="s">
        <v>507</v>
      </c>
      <c r="D4433" s="1" t="s">
        <v>141</v>
      </c>
      <c r="E4433" s="1" t="s">
        <v>22</v>
      </c>
      <c r="F4433" s="1" t="s">
        <v>141</v>
      </c>
      <c r="G4433" s="1">
        <v>12</v>
      </c>
      <c r="H4433" s="1">
        <v>15403</v>
      </c>
      <c r="I4433" s="1">
        <v>0.05</v>
      </c>
      <c r="J4433" s="1">
        <v>175594.2</v>
      </c>
      <c r="K4433" s="1">
        <v>51153.19</v>
      </c>
      <c r="L4433" s="1" t="s">
        <v>17</v>
      </c>
      <c r="M4433" s="1" t="str">
        <f>TEXT(Table1[[#This Row],[Order Date]],"mmm")</f>
        <v>May</v>
      </c>
      <c r="N4433" s="1">
        <f>YEAR(Table1[[#This Row],[Order Date]])</f>
        <v>2024</v>
      </c>
    </row>
    <row r="4434" spans="1:14" x14ac:dyDescent="0.35">
      <c r="A4434" s="1" t="s">
        <v>5230</v>
      </c>
      <c r="B4434" s="1" t="s">
        <v>1716</v>
      </c>
      <c r="C4434" s="1" t="s">
        <v>191</v>
      </c>
      <c r="D4434" s="1" t="s">
        <v>179</v>
      </c>
      <c r="E4434" s="1" t="s">
        <v>28</v>
      </c>
      <c r="F4434" s="1" t="s">
        <v>179</v>
      </c>
      <c r="G4434" s="1">
        <v>8</v>
      </c>
      <c r="H4434" s="1">
        <v>15240</v>
      </c>
      <c r="I4434" s="1">
        <v>0.1</v>
      </c>
      <c r="J4434" s="1">
        <v>109728</v>
      </c>
      <c r="K4434" s="1">
        <v>16339.33</v>
      </c>
      <c r="L4434" s="1" t="s">
        <v>17</v>
      </c>
      <c r="M4434" s="1" t="str">
        <f>TEXT(Table1[[#This Row],[Order Date]],"mmm")</f>
        <v>Jul</v>
      </c>
      <c r="N4434" s="1">
        <f>YEAR(Table1[[#This Row],[Order Date]])</f>
        <v>2024</v>
      </c>
    </row>
    <row r="4435" spans="1:14" x14ac:dyDescent="0.35">
      <c r="A4435" s="1" t="s">
        <v>5231</v>
      </c>
      <c r="B4435" s="1" t="s">
        <v>1507</v>
      </c>
      <c r="C4435" s="1" t="s">
        <v>170</v>
      </c>
      <c r="D4435" s="1" t="s">
        <v>52</v>
      </c>
      <c r="E4435" s="1" t="s">
        <v>28</v>
      </c>
      <c r="F4435" s="1" t="s">
        <v>52</v>
      </c>
      <c r="G4435" s="1">
        <v>13</v>
      </c>
      <c r="H4435" s="1">
        <v>7411</v>
      </c>
      <c r="I4435" s="1">
        <v>0</v>
      </c>
      <c r="J4435" s="1">
        <v>96343</v>
      </c>
      <c r="K4435" s="1">
        <v>21210.12</v>
      </c>
      <c r="L4435" s="1" t="s">
        <v>70</v>
      </c>
      <c r="M4435" s="1" t="str">
        <f>TEXT(Table1[[#This Row],[Order Date]],"mmm")</f>
        <v>Nov</v>
      </c>
      <c r="N4435" s="1">
        <f>YEAR(Table1[[#This Row],[Order Date]])</f>
        <v>2023</v>
      </c>
    </row>
    <row r="4436" spans="1:14" x14ac:dyDescent="0.35">
      <c r="A4436" s="1" t="s">
        <v>5232</v>
      </c>
      <c r="B4436" s="1" t="s">
        <v>3015</v>
      </c>
      <c r="C4436" s="1" t="s">
        <v>362</v>
      </c>
      <c r="D4436" s="1" t="s">
        <v>95</v>
      </c>
      <c r="E4436" s="1" t="s">
        <v>33</v>
      </c>
      <c r="F4436" s="1" t="s">
        <v>95</v>
      </c>
      <c r="G4436" s="1">
        <v>8</v>
      </c>
      <c r="H4436" s="1">
        <v>43470</v>
      </c>
      <c r="I4436" s="1">
        <v>0.1</v>
      </c>
      <c r="J4436" s="1">
        <v>312984</v>
      </c>
      <c r="K4436" s="1">
        <v>35161.24</v>
      </c>
      <c r="L4436" s="1" t="s">
        <v>23</v>
      </c>
      <c r="M4436" s="1" t="str">
        <f>TEXT(Table1[[#This Row],[Order Date]],"mmm")</f>
        <v>Jan</v>
      </c>
      <c r="N4436" s="1">
        <f>YEAR(Table1[[#This Row],[Order Date]])</f>
        <v>2024</v>
      </c>
    </row>
    <row r="4437" spans="1:14" x14ac:dyDescent="0.35">
      <c r="A4437" s="1" t="s">
        <v>5233</v>
      </c>
      <c r="B4437" s="1" t="s">
        <v>1675</v>
      </c>
      <c r="C4437" s="1" t="s">
        <v>101</v>
      </c>
      <c r="D4437" s="1" t="s">
        <v>41</v>
      </c>
      <c r="E4437" s="1" t="s">
        <v>16</v>
      </c>
      <c r="F4437" s="1" t="s">
        <v>41</v>
      </c>
      <c r="G4437" s="1">
        <v>2</v>
      </c>
      <c r="H4437" s="1">
        <v>13614</v>
      </c>
      <c r="I4437" s="1">
        <v>0.1</v>
      </c>
      <c r="J4437" s="1">
        <v>24505.200000000001</v>
      </c>
      <c r="K4437" s="1">
        <v>4860.7700000000004</v>
      </c>
      <c r="L4437" s="1" t="s">
        <v>70</v>
      </c>
      <c r="M4437" s="1" t="str">
        <f>TEXT(Table1[[#This Row],[Order Date]],"mmm")</f>
        <v>Aug</v>
      </c>
      <c r="N4437" s="1">
        <f>YEAR(Table1[[#This Row],[Order Date]])</f>
        <v>2023</v>
      </c>
    </row>
    <row r="4438" spans="1:14" x14ac:dyDescent="0.35">
      <c r="A4438" s="1" t="s">
        <v>5234</v>
      </c>
      <c r="B4438" s="1" t="s">
        <v>1735</v>
      </c>
      <c r="C4438" s="1" t="s">
        <v>178</v>
      </c>
      <c r="D4438" s="1" t="s">
        <v>95</v>
      </c>
      <c r="E4438" s="1" t="s">
        <v>33</v>
      </c>
      <c r="F4438" s="1" t="s">
        <v>95</v>
      </c>
      <c r="G4438" s="1">
        <v>8</v>
      </c>
      <c r="H4438" s="1">
        <v>59063</v>
      </c>
      <c r="I4438" s="1">
        <v>0.15</v>
      </c>
      <c r="J4438" s="1">
        <v>401628.4</v>
      </c>
      <c r="K4438" s="1">
        <v>107555.37</v>
      </c>
      <c r="L4438" s="1" t="s">
        <v>17</v>
      </c>
      <c r="M4438" s="1" t="str">
        <f>TEXT(Table1[[#This Row],[Order Date]],"mmm")</f>
        <v>Sep</v>
      </c>
      <c r="N4438" s="1">
        <f>YEAR(Table1[[#This Row],[Order Date]])</f>
        <v>2023</v>
      </c>
    </row>
    <row r="4439" spans="1:14" x14ac:dyDescent="0.35">
      <c r="A4439" s="1" t="s">
        <v>5235</v>
      </c>
      <c r="B4439" s="1" t="s">
        <v>202</v>
      </c>
      <c r="C4439" s="1" t="s">
        <v>81</v>
      </c>
      <c r="D4439" s="1" t="s">
        <v>133</v>
      </c>
      <c r="E4439" s="1" t="s">
        <v>22</v>
      </c>
      <c r="F4439" s="1" t="s">
        <v>133</v>
      </c>
      <c r="G4439" s="1">
        <v>8</v>
      </c>
      <c r="H4439" s="1">
        <v>32758</v>
      </c>
      <c r="I4439" s="1">
        <v>0</v>
      </c>
      <c r="J4439" s="1">
        <v>262064</v>
      </c>
      <c r="K4439" s="1">
        <v>74004.289999999994</v>
      </c>
      <c r="L4439" s="1" t="s">
        <v>17</v>
      </c>
      <c r="M4439" s="1" t="str">
        <f>TEXT(Table1[[#This Row],[Order Date]],"mmm")</f>
        <v>Jun</v>
      </c>
      <c r="N4439" s="1">
        <f>YEAR(Table1[[#This Row],[Order Date]])</f>
        <v>2023</v>
      </c>
    </row>
    <row r="4440" spans="1:14" x14ac:dyDescent="0.35">
      <c r="A4440" s="1" t="s">
        <v>5236</v>
      </c>
      <c r="B4440" s="1" t="s">
        <v>643</v>
      </c>
      <c r="C4440" s="1" t="s">
        <v>332</v>
      </c>
      <c r="D4440" s="1" t="s">
        <v>293</v>
      </c>
      <c r="E4440" s="1" t="s">
        <v>33</v>
      </c>
      <c r="F4440" s="1" t="s">
        <v>293</v>
      </c>
      <c r="G4440" s="1">
        <v>6</v>
      </c>
      <c r="H4440" s="1">
        <v>28434</v>
      </c>
      <c r="I4440" s="1">
        <v>0.05</v>
      </c>
      <c r="J4440" s="1">
        <v>162073.79999999999</v>
      </c>
      <c r="K4440" s="1">
        <v>27996.86</v>
      </c>
      <c r="L4440" s="1" t="s">
        <v>17</v>
      </c>
      <c r="M4440" s="1" t="str">
        <f>TEXT(Table1[[#This Row],[Order Date]],"mmm")</f>
        <v>Aug</v>
      </c>
      <c r="N4440" s="1">
        <f>YEAR(Table1[[#This Row],[Order Date]])</f>
        <v>2024</v>
      </c>
    </row>
    <row r="4441" spans="1:14" x14ac:dyDescent="0.35">
      <c r="A4441" s="1" t="s">
        <v>5237</v>
      </c>
      <c r="B4441" s="1" t="s">
        <v>1559</v>
      </c>
      <c r="C4441" s="1" t="s">
        <v>31</v>
      </c>
      <c r="D4441" s="1" t="s">
        <v>56</v>
      </c>
      <c r="E4441" s="1" t="s">
        <v>22</v>
      </c>
      <c r="F4441" s="1" t="s">
        <v>56</v>
      </c>
      <c r="G4441" s="1">
        <v>7</v>
      </c>
      <c r="H4441" s="1">
        <v>38627</v>
      </c>
      <c r="I4441" s="1">
        <v>0.2</v>
      </c>
      <c r="J4441" s="1">
        <v>216311.2</v>
      </c>
      <c r="K4441" s="1">
        <v>47334.91</v>
      </c>
      <c r="L4441" s="1" t="s">
        <v>70</v>
      </c>
      <c r="M4441" s="1" t="str">
        <f>TEXT(Table1[[#This Row],[Order Date]],"mmm")</f>
        <v>Jan</v>
      </c>
      <c r="N4441" s="1">
        <f>YEAR(Table1[[#This Row],[Order Date]])</f>
        <v>2023</v>
      </c>
    </row>
    <row r="4442" spans="1:14" x14ac:dyDescent="0.35">
      <c r="A4442" s="1" t="s">
        <v>5238</v>
      </c>
      <c r="B4442" s="1" t="s">
        <v>1854</v>
      </c>
      <c r="C4442" s="1" t="s">
        <v>107</v>
      </c>
      <c r="D4442" s="1" t="s">
        <v>56</v>
      </c>
      <c r="E4442" s="1" t="s">
        <v>22</v>
      </c>
      <c r="F4442" s="1" t="s">
        <v>56</v>
      </c>
      <c r="G4442" s="1">
        <v>15</v>
      </c>
      <c r="H4442" s="1">
        <v>37552</v>
      </c>
      <c r="I4442" s="1">
        <v>0.05</v>
      </c>
      <c r="J4442" s="1">
        <v>535116</v>
      </c>
      <c r="K4442" s="1">
        <v>155365.47</v>
      </c>
      <c r="L4442" s="1" t="s">
        <v>70</v>
      </c>
      <c r="M4442" s="1" t="str">
        <f>TEXT(Table1[[#This Row],[Order Date]],"mmm")</f>
        <v>Jul</v>
      </c>
      <c r="N4442" s="1">
        <f>YEAR(Table1[[#This Row],[Order Date]])</f>
        <v>2023</v>
      </c>
    </row>
    <row r="4443" spans="1:14" x14ac:dyDescent="0.35">
      <c r="A4443" s="1" t="s">
        <v>5239</v>
      </c>
      <c r="B4443" s="1" t="s">
        <v>1559</v>
      </c>
      <c r="C4443" s="1" t="s">
        <v>191</v>
      </c>
      <c r="D4443" s="1" t="s">
        <v>21</v>
      </c>
      <c r="E4443" s="1" t="s">
        <v>22</v>
      </c>
      <c r="F4443" s="1" t="s">
        <v>21</v>
      </c>
      <c r="G4443" s="1">
        <v>7</v>
      </c>
      <c r="H4443" s="1">
        <v>25549</v>
      </c>
      <c r="I4443" s="1">
        <v>0</v>
      </c>
      <c r="J4443" s="1">
        <v>178843</v>
      </c>
      <c r="K4443" s="1">
        <v>52880.1</v>
      </c>
      <c r="L4443" s="1" t="s">
        <v>70</v>
      </c>
      <c r="M4443" s="1" t="str">
        <f>TEXT(Table1[[#This Row],[Order Date]],"mmm")</f>
        <v>Jan</v>
      </c>
      <c r="N4443" s="1">
        <f>YEAR(Table1[[#This Row],[Order Date]])</f>
        <v>2023</v>
      </c>
    </row>
    <row r="4444" spans="1:14" x14ac:dyDescent="0.35">
      <c r="A4444" s="1" t="s">
        <v>5240</v>
      </c>
      <c r="B4444" s="1" t="s">
        <v>1688</v>
      </c>
      <c r="C4444" s="1" t="s">
        <v>94</v>
      </c>
      <c r="D4444" s="1" t="s">
        <v>151</v>
      </c>
      <c r="E4444" s="1" t="s">
        <v>22</v>
      </c>
      <c r="F4444" s="1" t="s">
        <v>151</v>
      </c>
      <c r="G4444" s="1">
        <v>2</v>
      </c>
      <c r="H4444" s="1">
        <v>36097</v>
      </c>
      <c r="I4444" s="1">
        <v>0</v>
      </c>
      <c r="J4444" s="1">
        <v>72194</v>
      </c>
      <c r="K4444" s="1">
        <v>12459.33</v>
      </c>
      <c r="L4444" s="1" t="s">
        <v>45</v>
      </c>
      <c r="M4444" s="1" t="str">
        <f>TEXT(Table1[[#This Row],[Order Date]],"mmm")</f>
        <v>Jul</v>
      </c>
      <c r="N4444" s="1">
        <f>YEAR(Table1[[#This Row],[Order Date]])</f>
        <v>2024</v>
      </c>
    </row>
    <row r="4445" spans="1:14" x14ac:dyDescent="0.35">
      <c r="A4445" s="1" t="s">
        <v>5241</v>
      </c>
      <c r="B4445" s="1" t="s">
        <v>425</v>
      </c>
      <c r="C4445" s="1" t="s">
        <v>175</v>
      </c>
      <c r="D4445" s="1" t="s">
        <v>78</v>
      </c>
      <c r="E4445" s="1" t="s">
        <v>28</v>
      </c>
      <c r="F4445" s="1" t="s">
        <v>78</v>
      </c>
      <c r="G4445" s="1">
        <v>5</v>
      </c>
      <c r="H4445" s="1">
        <v>11930</v>
      </c>
      <c r="I4445" s="1">
        <v>0.1</v>
      </c>
      <c r="J4445" s="1">
        <v>53685</v>
      </c>
      <c r="K4445" s="1">
        <v>5684.83</v>
      </c>
      <c r="L4445" s="1" t="s">
        <v>23</v>
      </c>
      <c r="M4445" s="1" t="str">
        <f>TEXT(Table1[[#This Row],[Order Date]],"mmm")</f>
        <v>Oct</v>
      </c>
      <c r="N4445" s="1">
        <f>YEAR(Table1[[#This Row],[Order Date]])</f>
        <v>2024</v>
      </c>
    </row>
    <row r="4446" spans="1:14" x14ac:dyDescent="0.35">
      <c r="A4446" s="1" t="s">
        <v>5242</v>
      </c>
      <c r="B4446" s="1" t="s">
        <v>1267</v>
      </c>
      <c r="C4446" s="1" t="s">
        <v>59</v>
      </c>
      <c r="D4446" s="1" t="s">
        <v>27</v>
      </c>
      <c r="E4446" s="1" t="s">
        <v>28</v>
      </c>
      <c r="F4446" s="1" t="s">
        <v>27</v>
      </c>
      <c r="G4446" s="1">
        <v>2</v>
      </c>
      <c r="H4446" s="1">
        <v>19800</v>
      </c>
      <c r="I4446" s="1">
        <v>0.1</v>
      </c>
      <c r="J4446" s="1">
        <v>35640</v>
      </c>
      <c r="K4446" s="1">
        <v>6812.57</v>
      </c>
      <c r="L4446" s="1" t="s">
        <v>70</v>
      </c>
      <c r="M4446" s="1" t="str">
        <f>TEXT(Table1[[#This Row],[Order Date]],"mmm")</f>
        <v>Jan</v>
      </c>
      <c r="N4446" s="1">
        <f>YEAR(Table1[[#This Row],[Order Date]])</f>
        <v>2023</v>
      </c>
    </row>
    <row r="4447" spans="1:14" x14ac:dyDescent="0.35">
      <c r="A4447" s="1" t="s">
        <v>5243</v>
      </c>
      <c r="B4447" s="1" t="s">
        <v>1720</v>
      </c>
      <c r="C4447" s="1" t="s">
        <v>101</v>
      </c>
      <c r="D4447" s="1" t="s">
        <v>224</v>
      </c>
      <c r="E4447" s="1" t="s">
        <v>33</v>
      </c>
      <c r="F4447" s="1" t="s">
        <v>224</v>
      </c>
      <c r="G4447" s="1">
        <v>3</v>
      </c>
      <c r="H4447" s="1">
        <v>6429</v>
      </c>
      <c r="I4447" s="1">
        <v>0.2</v>
      </c>
      <c r="J4447" s="1">
        <v>15429.6</v>
      </c>
      <c r="K4447" s="1">
        <v>2036.55</v>
      </c>
      <c r="L4447" s="1" t="s">
        <v>45</v>
      </c>
      <c r="M4447" s="1" t="str">
        <f>TEXT(Table1[[#This Row],[Order Date]],"mmm")</f>
        <v>Jan</v>
      </c>
      <c r="N4447" s="1">
        <f>YEAR(Table1[[#This Row],[Order Date]])</f>
        <v>2023</v>
      </c>
    </row>
    <row r="4448" spans="1:14" x14ac:dyDescent="0.35">
      <c r="A4448" s="1" t="s">
        <v>5244</v>
      </c>
      <c r="B4448" s="1" t="s">
        <v>1059</v>
      </c>
      <c r="C4448" s="1" t="s">
        <v>104</v>
      </c>
      <c r="D4448" s="1" t="s">
        <v>41</v>
      </c>
      <c r="E4448" s="1" t="s">
        <v>16</v>
      </c>
      <c r="F4448" s="1" t="s">
        <v>41</v>
      </c>
      <c r="G4448" s="1">
        <v>2</v>
      </c>
      <c r="H4448" s="1">
        <v>43350</v>
      </c>
      <c r="I4448" s="1">
        <v>0.1</v>
      </c>
      <c r="J4448" s="1">
        <v>78030</v>
      </c>
      <c r="K4448" s="1">
        <v>15790.6</v>
      </c>
      <c r="L4448" s="1" t="s">
        <v>17</v>
      </c>
      <c r="M4448" s="1" t="str">
        <f>TEXT(Table1[[#This Row],[Order Date]],"mmm")</f>
        <v>Nov</v>
      </c>
      <c r="N4448" s="1">
        <f>YEAR(Table1[[#This Row],[Order Date]])</f>
        <v>2024</v>
      </c>
    </row>
    <row r="4449" spans="1:14" x14ac:dyDescent="0.35">
      <c r="A4449" s="1" t="s">
        <v>5245</v>
      </c>
      <c r="B4449" s="1" t="s">
        <v>2421</v>
      </c>
      <c r="C4449" s="1" t="s">
        <v>51</v>
      </c>
      <c r="D4449" s="1" t="s">
        <v>114</v>
      </c>
      <c r="E4449" s="1" t="s">
        <v>16</v>
      </c>
      <c r="F4449" s="1" t="s">
        <v>114</v>
      </c>
      <c r="G4449" s="1">
        <v>8</v>
      </c>
      <c r="H4449" s="1">
        <v>11333</v>
      </c>
      <c r="I4449" s="1">
        <v>0.05</v>
      </c>
      <c r="J4449" s="1">
        <v>86130.8</v>
      </c>
      <c r="K4449" s="1">
        <v>22339.05</v>
      </c>
      <c r="L4449" s="1" t="s">
        <v>23</v>
      </c>
      <c r="M4449" s="1" t="str">
        <f>TEXT(Table1[[#This Row],[Order Date]],"mmm")</f>
        <v>Jun</v>
      </c>
      <c r="N4449" s="1">
        <f>YEAR(Table1[[#This Row],[Order Date]])</f>
        <v>2024</v>
      </c>
    </row>
    <row r="4450" spans="1:14" x14ac:dyDescent="0.35">
      <c r="A4450" s="1" t="s">
        <v>5246</v>
      </c>
      <c r="B4450" s="1" t="s">
        <v>1359</v>
      </c>
      <c r="C4450" s="1" t="s">
        <v>158</v>
      </c>
      <c r="D4450" s="1" t="s">
        <v>56</v>
      </c>
      <c r="E4450" s="1" t="s">
        <v>22</v>
      </c>
      <c r="F4450" s="1" t="s">
        <v>56</v>
      </c>
      <c r="G4450" s="1">
        <v>2</v>
      </c>
      <c r="H4450" s="1">
        <v>12422</v>
      </c>
      <c r="I4450" s="1">
        <v>0.2</v>
      </c>
      <c r="J4450" s="1">
        <v>19875.2</v>
      </c>
      <c r="K4450" s="1">
        <v>3631.73</v>
      </c>
      <c r="L4450" s="1" t="s">
        <v>70</v>
      </c>
      <c r="M4450" s="1" t="str">
        <f>TEXT(Table1[[#This Row],[Order Date]],"mmm")</f>
        <v>Jul</v>
      </c>
      <c r="N4450" s="1">
        <f>YEAR(Table1[[#This Row],[Order Date]])</f>
        <v>2023</v>
      </c>
    </row>
    <row r="4451" spans="1:14" x14ac:dyDescent="0.35">
      <c r="A4451" s="1" t="s">
        <v>5247</v>
      </c>
      <c r="B4451" s="1" t="s">
        <v>774</v>
      </c>
      <c r="C4451" s="1" t="s">
        <v>14</v>
      </c>
      <c r="D4451" s="1" t="s">
        <v>21</v>
      </c>
      <c r="E4451" s="1" t="s">
        <v>22</v>
      </c>
      <c r="F4451" s="1" t="s">
        <v>21</v>
      </c>
      <c r="G4451" s="1">
        <v>15</v>
      </c>
      <c r="H4451" s="1">
        <v>6137</v>
      </c>
      <c r="I4451" s="1">
        <v>0</v>
      </c>
      <c r="J4451" s="1">
        <v>92055</v>
      </c>
      <c r="K4451" s="1">
        <v>8417.3700000000008</v>
      </c>
      <c r="L4451" s="1" t="s">
        <v>45</v>
      </c>
      <c r="M4451" s="1" t="str">
        <f>TEXT(Table1[[#This Row],[Order Date]],"mmm")</f>
        <v>Mar</v>
      </c>
      <c r="N4451" s="1">
        <f>YEAR(Table1[[#This Row],[Order Date]])</f>
        <v>2024</v>
      </c>
    </row>
    <row r="4452" spans="1:14" x14ac:dyDescent="0.35">
      <c r="A4452" s="1" t="s">
        <v>5248</v>
      </c>
      <c r="B4452" s="1" t="s">
        <v>848</v>
      </c>
      <c r="C4452" s="1" t="s">
        <v>125</v>
      </c>
      <c r="D4452" s="1" t="s">
        <v>137</v>
      </c>
      <c r="E4452" s="1" t="s">
        <v>22</v>
      </c>
      <c r="F4452" s="1" t="s">
        <v>137</v>
      </c>
      <c r="G4452" s="1">
        <v>8</v>
      </c>
      <c r="H4452" s="1">
        <v>1234</v>
      </c>
      <c r="I4452" s="1">
        <v>0.2</v>
      </c>
      <c r="J4452" s="1">
        <v>7897.6</v>
      </c>
      <c r="K4452" s="1">
        <v>688.78</v>
      </c>
      <c r="L4452" s="1" t="s">
        <v>17</v>
      </c>
      <c r="M4452" s="1" t="str">
        <f>TEXT(Table1[[#This Row],[Order Date]],"mmm")</f>
        <v>Mar</v>
      </c>
      <c r="N4452" s="1">
        <f>YEAR(Table1[[#This Row],[Order Date]])</f>
        <v>2024</v>
      </c>
    </row>
    <row r="4453" spans="1:14" x14ac:dyDescent="0.35">
      <c r="A4453" s="1" t="s">
        <v>5249</v>
      </c>
      <c r="B4453" s="1" t="s">
        <v>952</v>
      </c>
      <c r="C4453" s="1" t="s">
        <v>101</v>
      </c>
      <c r="D4453" s="1" t="s">
        <v>64</v>
      </c>
      <c r="E4453" s="1" t="s">
        <v>33</v>
      </c>
      <c r="F4453" s="1" t="s">
        <v>64</v>
      </c>
      <c r="G4453" s="1">
        <v>7</v>
      </c>
      <c r="H4453" s="1">
        <v>7139</v>
      </c>
      <c r="I4453" s="1">
        <v>0.2</v>
      </c>
      <c r="J4453" s="1">
        <v>39978.400000000001</v>
      </c>
      <c r="K4453" s="1">
        <v>3759.87</v>
      </c>
      <c r="L4453" s="1" t="s">
        <v>45</v>
      </c>
      <c r="M4453" s="1" t="str">
        <f>TEXT(Table1[[#This Row],[Order Date]],"mmm")</f>
        <v>Oct</v>
      </c>
      <c r="N4453" s="1">
        <f>YEAR(Table1[[#This Row],[Order Date]])</f>
        <v>2023</v>
      </c>
    </row>
    <row r="4454" spans="1:14" x14ac:dyDescent="0.35">
      <c r="A4454" s="1" t="s">
        <v>5250</v>
      </c>
      <c r="B4454" s="1" t="s">
        <v>2154</v>
      </c>
      <c r="C4454" s="1" t="s">
        <v>107</v>
      </c>
      <c r="D4454" s="1" t="s">
        <v>91</v>
      </c>
      <c r="E4454" s="1" t="s">
        <v>16</v>
      </c>
      <c r="F4454" s="1" t="s">
        <v>91</v>
      </c>
      <c r="G4454" s="1">
        <v>5</v>
      </c>
      <c r="H4454" s="1">
        <v>28732</v>
      </c>
      <c r="I4454" s="1">
        <v>0.15</v>
      </c>
      <c r="J4454" s="1">
        <v>122111</v>
      </c>
      <c r="K4454" s="1">
        <v>11613.13</v>
      </c>
      <c r="L4454" s="1" t="s">
        <v>45</v>
      </c>
      <c r="M4454" s="1" t="str">
        <f>TEXT(Table1[[#This Row],[Order Date]],"mmm")</f>
        <v>Oct</v>
      </c>
      <c r="N4454" s="1">
        <f>YEAR(Table1[[#This Row],[Order Date]])</f>
        <v>2024</v>
      </c>
    </row>
    <row r="4455" spans="1:14" x14ac:dyDescent="0.35">
      <c r="A4455" s="1" t="s">
        <v>5251</v>
      </c>
      <c r="B4455" s="1" t="s">
        <v>1823</v>
      </c>
      <c r="C4455" s="1" t="s">
        <v>59</v>
      </c>
      <c r="D4455" s="1" t="s">
        <v>151</v>
      </c>
      <c r="E4455" s="1" t="s">
        <v>22</v>
      </c>
      <c r="F4455" s="1" t="s">
        <v>151</v>
      </c>
      <c r="G4455" s="1">
        <v>8</v>
      </c>
      <c r="H4455" s="1">
        <v>7081</v>
      </c>
      <c r="I4455" s="1">
        <v>0.05</v>
      </c>
      <c r="J4455" s="1">
        <v>53815.6</v>
      </c>
      <c r="K4455" s="1">
        <v>7025.43</v>
      </c>
      <c r="L4455" s="1" t="s">
        <v>45</v>
      </c>
      <c r="M4455" s="1" t="str">
        <f>TEXT(Table1[[#This Row],[Order Date]],"mmm")</f>
        <v>Feb</v>
      </c>
      <c r="N4455" s="1">
        <f>YEAR(Table1[[#This Row],[Order Date]])</f>
        <v>2023</v>
      </c>
    </row>
    <row r="4456" spans="1:14" x14ac:dyDescent="0.35">
      <c r="A4456" s="1" t="s">
        <v>5252</v>
      </c>
      <c r="B4456" s="1" t="s">
        <v>183</v>
      </c>
      <c r="C4456" s="1" t="s">
        <v>73</v>
      </c>
      <c r="D4456" s="1" t="s">
        <v>60</v>
      </c>
      <c r="E4456" s="1" t="s">
        <v>33</v>
      </c>
      <c r="F4456" s="1" t="s">
        <v>60</v>
      </c>
      <c r="G4456" s="1">
        <v>1</v>
      </c>
      <c r="H4456" s="1">
        <v>20735</v>
      </c>
      <c r="I4456" s="1">
        <v>0.1</v>
      </c>
      <c r="J4456" s="1">
        <v>18661.5</v>
      </c>
      <c r="K4456" s="1">
        <v>4276.68</v>
      </c>
      <c r="L4456" s="1" t="s">
        <v>70</v>
      </c>
      <c r="M4456" s="1" t="str">
        <f>TEXT(Table1[[#This Row],[Order Date]],"mmm")</f>
        <v>Jul</v>
      </c>
      <c r="N4456" s="1">
        <f>YEAR(Table1[[#This Row],[Order Date]])</f>
        <v>2024</v>
      </c>
    </row>
    <row r="4457" spans="1:14" x14ac:dyDescent="0.35">
      <c r="A4457" s="1" t="s">
        <v>5253</v>
      </c>
      <c r="B4457" s="1" t="s">
        <v>881</v>
      </c>
      <c r="C4457" s="1" t="s">
        <v>136</v>
      </c>
      <c r="D4457" s="1" t="s">
        <v>78</v>
      </c>
      <c r="E4457" s="1" t="s">
        <v>28</v>
      </c>
      <c r="F4457" s="1" t="s">
        <v>78</v>
      </c>
      <c r="G4457" s="1">
        <v>8</v>
      </c>
      <c r="H4457" s="1">
        <v>58924</v>
      </c>
      <c r="I4457" s="1">
        <v>0.05</v>
      </c>
      <c r="J4457" s="1">
        <v>447822.4</v>
      </c>
      <c r="K4457" s="1">
        <v>105483.78</v>
      </c>
      <c r="L4457" s="1" t="s">
        <v>70</v>
      </c>
      <c r="M4457" s="1" t="str">
        <f>TEXT(Table1[[#This Row],[Order Date]],"mmm")</f>
        <v>Oct</v>
      </c>
      <c r="N4457" s="1">
        <f>YEAR(Table1[[#This Row],[Order Date]])</f>
        <v>2024</v>
      </c>
    </row>
    <row r="4458" spans="1:14" x14ac:dyDescent="0.35">
      <c r="A4458" s="1" t="s">
        <v>5254</v>
      </c>
      <c r="B4458" s="1" t="s">
        <v>575</v>
      </c>
      <c r="C4458" s="1" t="s">
        <v>203</v>
      </c>
      <c r="D4458" s="1" t="s">
        <v>114</v>
      </c>
      <c r="E4458" s="1" t="s">
        <v>16</v>
      </c>
      <c r="F4458" s="1" t="s">
        <v>114</v>
      </c>
      <c r="G4458" s="1">
        <v>5</v>
      </c>
      <c r="H4458" s="1">
        <v>9420</v>
      </c>
      <c r="I4458" s="1">
        <v>0.1</v>
      </c>
      <c r="J4458" s="1">
        <v>42390</v>
      </c>
      <c r="K4458" s="1">
        <v>9453.7900000000009</v>
      </c>
      <c r="L4458" s="1" t="s">
        <v>70</v>
      </c>
      <c r="M4458" s="1" t="str">
        <f>TEXT(Table1[[#This Row],[Order Date]],"mmm")</f>
        <v>Jul</v>
      </c>
      <c r="N4458" s="1">
        <f>YEAR(Table1[[#This Row],[Order Date]])</f>
        <v>2024</v>
      </c>
    </row>
    <row r="4459" spans="1:14" x14ac:dyDescent="0.35">
      <c r="A4459" s="1" t="s">
        <v>5255</v>
      </c>
      <c r="B4459" s="1" t="s">
        <v>757</v>
      </c>
      <c r="C4459" s="1" t="s">
        <v>55</v>
      </c>
      <c r="D4459" s="1" t="s">
        <v>179</v>
      </c>
      <c r="E4459" s="1" t="s">
        <v>28</v>
      </c>
      <c r="F4459" s="1" t="s">
        <v>179</v>
      </c>
      <c r="G4459" s="1">
        <v>5</v>
      </c>
      <c r="H4459" s="1">
        <v>20297</v>
      </c>
      <c r="I4459" s="1">
        <v>0.05</v>
      </c>
      <c r="J4459" s="1">
        <v>96410.75</v>
      </c>
      <c r="K4459" s="1">
        <v>8481.0300000000007</v>
      </c>
      <c r="L4459" s="1" t="s">
        <v>45</v>
      </c>
      <c r="M4459" s="1" t="str">
        <f>TEXT(Table1[[#This Row],[Order Date]],"mmm")</f>
        <v>Dec</v>
      </c>
      <c r="N4459" s="1">
        <f>YEAR(Table1[[#This Row],[Order Date]])</f>
        <v>2023</v>
      </c>
    </row>
    <row r="4460" spans="1:14" x14ac:dyDescent="0.35">
      <c r="A4460" s="1" t="s">
        <v>5256</v>
      </c>
      <c r="B4460" s="1" t="s">
        <v>1121</v>
      </c>
      <c r="C4460" s="1" t="s">
        <v>640</v>
      </c>
      <c r="D4460" s="1" t="s">
        <v>60</v>
      </c>
      <c r="E4460" s="1" t="s">
        <v>33</v>
      </c>
      <c r="F4460" s="1" t="s">
        <v>60</v>
      </c>
      <c r="G4460" s="1">
        <v>1</v>
      </c>
      <c r="H4460" s="1">
        <v>28795</v>
      </c>
      <c r="I4460" s="1">
        <v>0.05</v>
      </c>
      <c r="J4460" s="1">
        <v>27355.25</v>
      </c>
      <c r="K4460" s="1">
        <v>8074.61</v>
      </c>
      <c r="L4460" s="1" t="s">
        <v>70</v>
      </c>
      <c r="M4460" s="1" t="str">
        <f>TEXT(Table1[[#This Row],[Order Date]],"mmm")</f>
        <v>Nov</v>
      </c>
      <c r="N4460" s="1">
        <f>YEAR(Table1[[#This Row],[Order Date]])</f>
        <v>2024</v>
      </c>
    </row>
    <row r="4461" spans="1:14" x14ac:dyDescent="0.35">
      <c r="A4461" s="1" t="s">
        <v>5257</v>
      </c>
      <c r="B4461" s="1" t="s">
        <v>1029</v>
      </c>
      <c r="C4461" s="1" t="s">
        <v>208</v>
      </c>
      <c r="D4461" s="1" t="s">
        <v>179</v>
      </c>
      <c r="E4461" s="1" t="s">
        <v>28</v>
      </c>
      <c r="F4461" s="1" t="s">
        <v>179</v>
      </c>
      <c r="G4461" s="1">
        <v>14</v>
      </c>
      <c r="H4461" s="1">
        <v>5142</v>
      </c>
      <c r="I4461" s="1">
        <v>0.15</v>
      </c>
      <c r="J4461" s="1">
        <v>61189.8</v>
      </c>
      <c r="K4461" s="1">
        <v>15864.79</v>
      </c>
      <c r="L4461" s="1" t="s">
        <v>17</v>
      </c>
      <c r="M4461" s="1" t="str">
        <f>TEXT(Table1[[#This Row],[Order Date]],"mmm")</f>
        <v>Nov</v>
      </c>
      <c r="N4461" s="1">
        <f>YEAR(Table1[[#This Row],[Order Date]])</f>
        <v>2024</v>
      </c>
    </row>
    <row r="4462" spans="1:14" x14ac:dyDescent="0.35">
      <c r="A4462" s="1" t="s">
        <v>5258</v>
      </c>
      <c r="B4462" s="1" t="s">
        <v>417</v>
      </c>
      <c r="C4462" s="1" t="s">
        <v>203</v>
      </c>
      <c r="D4462" s="1" t="s">
        <v>108</v>
      </c>
      <c r="E4462" s="1" t="s">
        <v>22</v>
      </c>
      <c r="F4462" s="1" t="s">
        <v>108</v>
      </c>
      <c r="G4462" s="1">
        <v>14</v>
      </c>
      <c r="H4462" s="1">
        <v>29781</v>
      </c>
      <c r="I4462" s="1">
        <v>0.2</v>
      </c>
      <c r="J4462" s="1">
        <v>333547.2</v>
      </c>
      <c r="K4462" s="1">
        <v>72742.649999999994</v>
      </c>
      <c r="L4462" s="1" t="s">
        <v>45</v>
      </c>
      <c r="M4462" s="1" t="str">
        <f>TEXT(Table1[[#This Row],[Order Date]],"mmm")</f>
        <v>Jul</v>
      </c>
      <c r="N4462" s="1">
        <f>YEAR(Table1[[#This Row],[Order Date]])</f>
        <v>2024</v>
      </c>
    </row>
    <row r="4463" spans="1:14" x14ac:dyDescent="0.35">
      <c r="A4463" s="1" t="s">
        <v>5259</v>
      </c>
      <c r="B4463" s="1" t="s">
        <v>402</v>
      </c>
      <c r="C4463" s="1" t="s">
        <v>84</v>
      </c>
      <c r="D4463" s="1" t="s">
        <v>78</v>
      </c>
      <c r="E4463" s="1" t="s">
        <v>28</v>
      </c>
      <c r="F4463" s="1" t="s">
        <v>78</v>
      </c>
      <c r="G4463" s="1">
        <v>11</v>
      </c>
      <c r="H4463" s="1">
        <v>12145</v>
      </c>
      <c r="I4463" s="1">
        <v>0.1</v>
      </c>
      <c r="J4463" s="1">
        <v>120235.5</v>
      </c>
      <c r="K4463" s="1">
        <v>31114.21</v>
      </c>
      <c r="L4463" s="1" t="s">
        <v>45</v>
      </c>
      <c r="M4463" s="1" t="str">
        <f>TEXT(Table1[[#This Row],[Order Date]],"mmm")</f>
        <v>Feb</v>
      </c>
      <c r="N4463" s="1">
        <f>YEAR(Table1[[#This Row],[Order Date]])</f>
        <v>2023</v>
      </c>
    </row>
    <row r="4464" spans="1:14" x14ac:dyDescent="0.35">
      <c r="A4464" s="1" t="s">
        <v>5260</v>
      </c>
      <c r="B4464" s="1" t="s">
        <v>1205</v>
      </c>
      <c r="C4464" s="1" t="s">
        <v>155</v>
      </c>
      <c r="D4464" s="1" t="s">
        <v>60</v>
      </c>
      <c r="E4464" s="1" t="s">
        <v>33</v>
      </c>
      <c r="F4464" s="1" t="s">
        <v>60</v>
      </c>
      <c r="G4464" s="1">
        <v>8</v>
      </c>
      <c r="H4464" s="1">
        <v>27534</v>
      </c>
      <c r="I4464" s="1">
        <v>0.15</v>
      </c>
      <c r="J4464" s="1">
        <v>187231.2</v>
      </c>
      <c r="K4464" s="1">
        <v>25577</v>
      </c>
      <c r="L4464" s="1" t="s">
        <v>45</v>
      </c>
      <c r="M4464" s="1" t="str">
        <f>TEXT(Table1[[#This Row],[Order Date]],"mmm")</f>
        <v>Dec</v>
      </c>
      <c r="N4464" s="1">
        <f>YEAR(Table1[[#This Row],[Order Date]])</f>
        <v>2023</v>
      </c>
    </row>
    <row r="4465" spans="1:14" x14ac:dyDescent="0.35">
      <c r="A4465" s="1" t="s">
        <v>5261</v>
      </c>
      <c r="B4465" s="1" t="s">
        <v>1781</v>
      </c>
      <c r="C4465" s="1" t="s">
        <v>107</v>
      </c>
      <c r="D4465" s="1" t="s">
        <v>85</v>
      </c>
      <c r="E4465" s="1" t="s">
        <v>28</v>
      </c>
      <c r="F4465" s="1" t="s">
        <v>85</v>
      </c>
      <c r="G4465" s="1">
        <v>11</v>
      </c>
      <c r="H4465" s="1">
        <v>28166</v>
      </c>
      <c r="I4465" s="1">
        <v>0.15</v>
      </c>
      <c r="J4465" s="1">
        <v>263352.09999999998</v>
      </c>
      <c r="K4465" s="1">
        <v>45424.72</v>
      </c>
      <c r="L4465" s="1" t="s">
        <v>23</v>
      </c>
      <c r="M4465" s="1" t="str">
        <f>TEXT(Table1[[#This Row],[Order Date]],"mmm")</f>
        <v>Sep</v>
      </c>
      <c r="N4465" s="1">
        <f>YEAR(Table1[[#This Row],[Order Date]])</f>
        <v>2024</v>
      </c>
    </row>
    <row r="4466" spans="1:14" x14ac:dyDescent="0.35">
      <c r="A4466" s="1" t="s">
        <v>5262</v>
      </c>
      <c r="B4466" s="1" t="s">
        <v>1942</v>
      </c>
      <c r="C4466" s="1" t="s">
        <v>128</v>
      </c>
      <c r="D4466" s="1" t="s">
        <v>48</v>
      </c>
      <c r="E4466" s="1" t="s">
        <v>16</v>
      </c>
      <c r="F4466" s="1" t="s">
        <v>48</v>
      </c>
      <c r="G4466" s="1">
        <v>10</v>
      </c>
      <c r="H4466" s="1">
        <v>25633</v>
      </c>
      <c r="I4466" s="1">
        <v>0.2</v>
      </c>
      <c r="J4466" s="1">
        <v>205064</v>
      </c>
      <c r="K4466" s="1">
        <v>41811.25</v>
      </c>
      <c r="L4466" s="1" t="s">
        <v>23</v>
      </c>
      <c r="M4466" s="1" t="str">
        <f>TEXT(Table1[[#This Row],[Order Date]],"mmm")</f>
        <v>Jul</v>
      </c>
      <c r="N4466" s="1">
        <f>YEAR(Table1[[#This Row],[Order Date]])</f>
        <v>2023</v>
      </c>
    </row>
    <row r="4467" spans="1:14" x14ac:dyDescent="0.35">
      <c r="A4467" s="1" t="s">
        <v>5263</v>
      </c>
      <c r="B4467" s="1" t="s">
        <v>1184</v>
      </c>
      <c r="C4467" s="1" t="s">
        <v>51</v>
      </c>
      <c r="D4467" s="1" t="s">
        <v>167</v>
      </c>
      <c r="E4467" s="1" t="s">
        <v>16</v>
      </c>
      <c r="F4467" s="1" t="s">
        <v>167</v>
      </c>
      <c r="G4467" s="1">
        <v>12</v>
      </c>
      <c r="H4467" s="1">
        <v>14348</v>
      </c>
      <c r="I4467" s="1">
        <v>0</v>
      </c>
      <c r="J4467" s="1">
        <v>172176</v>
      </c>
      <c r="K4467" s="1">
        <v>18492.8</v>
      </c>
      <c r="L4467" s="1" t="s">
        <v>23</v>
      </c>
      <c r="M4467" s="1" t="str">
        <f>TEXT(Table1[[#This Row],[Order Date]],"mmm")</f>
        <v>Oct</v>
      </c>
      <c r="N4467" s="1">
        <f>YEAR(Table1[[#This Row],[Order Date]])</f>
        <v>2023</v>
      </c>
    </row>
    <row r="4468" spans="1:14" x14ac:dyDescent="0.35">
      <c r="A4468" s="1" t="s">
        <v>5264</v>
      </c>
      <c r="B4468" s="1" t="s">
        <v>1191</v>
      </c>
      <c r="C4468" s="1" t="s">
        <v>88</v>
      </c>
      <c r="D4468" s="1" t="s">
        <v>224</v>
      </c>
      <c r="E4468" s="1" t="s">
        <v>33</v>
      </c>
      <c r="F4468" s="1" t="s">
        <v>224</v>
      </c>
      <c r="G4468" s="1">
        <v>9</v>
      </c>
      <c r="H4468" s="1">
        <v>39038</v>
      </c>
      <c r="I4468" s="1">
        <v>0.15</v>
      </c>
      <c r="J4468" s="1">
        <v>298640.7</v>
      </c>
      <c r="K4468" s="1">
        <v>46474.97</v>
      </c>
      <c r="L4468" s="1" t="s">
        <v>45</v>
      </c>
      <c r="M4468" s="1" t="str">
        <f>TEXT(Table1[[#This Row],[Order Date]],"mmm")</f>
        <v>Aug</v>
      </c>
      <c r="N4468" s="1">
        <f>YEAR(Table1[[#This Row],[Order Date]])</f>
        <v>2024</v>
      </c>
    </row>
    <row r="4469" spans="1:14" x14ac:dyDescent="0.35">
      <c r="A4469" s="1" t="s">
        <v>5265</v>
      </c>
      <c r="B4469" s="1" t="s">
        <v>282</v>
      </c>
      <c r="C4469" s="1" t="s">
        <v>146</v>
      </c>
      <c r="D4469" s="1" t="s">
        <v>27</v>
      </c>
      <c r="E4469" s="1" t="s">
        <v>28</v>
      </c>
      <c r="F4469" s="1" t="s">
        <v>27</v>
      </c>
      <c r="G4469" s="1">
        <v>14</v>
      </c>
      <c r="H4469" s="1">
        <v>19539</v>
      </c>
      <c r="I4469" s="1">
        <v>0.15</v>
      </c>
      <c r="J4469" s="1">
        <v>232514.1</v>
      </c>
      <c r="K4469" s="1">
        <v>65525.279999999999</v>
      </c>
      <c r="L4469" s="1" t="s">
        <v>23</v>
      </c>
      <c r="M4469" s="1" t="str">
        <f>TEXT(Table1[[#This Row],[Order Date]],"mmm")</f>
        <v>Nov</v>
      </c>
      <c r="N4469" s="1">
        <f>YEAR(Table1[[#This Row],[Order Date]])</f>
        <v>2024</v>
      </c>
    </row>
    <row r="4470" spans="1:14" x14ac:dyDescent="0.35">
      <c r="A4470" s="1" t="s">
        <v>5266</v>
      </c>
      <c r="B4470" s="1" t="s">
        <v>705</v>
      </c>
      <c r="C4470" s="1" t="s">
        <v>94</v>
      </c>
      <c r="D4470" s="1" t="s">
        <v>224</v>
      </c>
      <c r="E4470" s="1" t="s">
        <v>33</v>
      </c>
      <c r="F4470" s="1" t="s">
        <v>224</v>
      </c>
      <c r="G4470" s="1">
        <v>10</v>
      </c>
      <c r="H4470" s="1">
        <v>33775</v>
      </c>
      <c r="I4470" s="1">
        <v>0.15</v>
      </c>
      <c r="J4470" s="1">
        <v>287087.5</v>
      </c>
      <c r="K4470" s="1">
        <v>81035.94</v>
      </c>
      <c r="L4470" s="1" t="s">
        <v>70</v>
      </c>
      <c r="M4470" s="1" t="str">
        <f>TEXT(Table1[[#This Row],[Order Date]],"mmm")</f>
        <v>May</v>
      </c>
      <c r="N4470" s="1">
        <f>YEAR(Table1[[#This Row],[Order Date]])</f>
        <v>2024</v>
      </c>
    </row>
    <row r="4471" spans="1:14" x14ac:dyDescent="0.35">
      <c r="A4471" s="1" t="s">
        <v>5267</v>
      </c>
      <c r="B4471" s="1" t="s">
        <v>815</v>
      </c>
      <c r="C4471" s="1" t="s">
        <v>14</v>
      </c>
      <c r="D4471" s="1" t="s">
        <v>224</v>
      </c>
      <c r="E4471" s="1" t="s">
        <v>33</v>
      </c>
      <c r="F4471" s="1" t="s">
        <v>224</v>
      </c>
      <c r="G4471" s="1">
        <v>8</v>
      </c>
      <c r="H4471" s="1">
        <v>15121</v>
      </c>
      <c r="I4471" s="1">
        <v>0.05</v>
      </c>
      <c r="J4471" s="1">
        <v>114919.6</v>
      </c>
      <c r="K4471" s="1">
        <v>20850.669999999998</v>
      </c>
      <c r="L4471" s="1" t="s">
        <v>45</v>
      </c>
      <c r="M4471" s="1" t="str">
        <f>TEXT(Table1[[#This Row],[Order Date]],"mmm")</f>
        <v>Mar</v>
      </c>
      <c r="N4471" s="1">
        <f>YEAR(Table1[[#This Row],[Order Date]])</f>
        <v>2023</v>
      </c>
    </row>
    <row r="4472" spans="1:14" x14ac:dyDescent="0.35">
      <c r="A4472" s="1" t="s">
        <v>5268</v>
      </c>
      <c r="B4472" s="1" t="s">
        <v>1705</v>
      </c>
      <c r="C4472" s="1" t="s">
        <v>107</v>
      </c>
      <c r="D4472" s="1" t="s">
        <v>323</v>
      </c>
      <c r="E4472" s="1" t="s">
        <v>33</v>
      </c>
      <c r="F4472" s="1" t="s">
        <v>323</v>
      </c>
      <c r="G4472" s="1">
        <v>4</v>
      </c>
      <c r="H4472" s="1">
        <v>56428</v>
      </c>
      <c r="I4472" s="1">
        <v>0.15</v>
      </c>
      <c r="J4472" s="1">
        <v>191855.2</v>
      </c>
      <c r="K4472" s="1">
        <v>23809.85</v>
      </c>
      <c r="L4472" s="1" t="s">
        <v>70</v>
      </c>
      <c r="M4472" s="1" t="str">
        <f>TEXT(Table1[[#This Row],[Order Date]],"mmm")</f>
        <v>Oct</v>
      </c>
      <c r="N4472" s="1">
        <f>YEAR(Table1[[#This Row],[Order Date]])</f>
        <v>2024</v>
      </c>
    </row>
    <row r="4473" spans="1:14" x14ac:dyDescent="0.35">
      <c r="A4473" s="1" t="s">
        <v>5269</v>
      </c>
      <c r="B4473" s="1" t="s">
        <v>599</v>
      </c>
      <c r="C4473" s="1" t="s">
        <v>188</v>
      </c>
      <c r="D4473" s="1" t="s">
        <v>108</v>
      </c>
      <c r="E4473" s="1" t="s">
        <v>22</v>
      </c>
      <c r="F4473" s="1" t="s">
        <v>108</v>
      </c>
      <c r="G4473" s="1">
        <v>1</v>
      </c>
      <c r="H4473" s="1">
        <v>30839</v>
      </c>
      <c r="I4473" s="1">
        <v>0.05</v>
      </c>
      <c r="J4473" s="1">
        <v>29297.05</v>
      </c>
      <c r="K4473" s="1">
        <v>3243.46</v>
      </c>
      <c r="L4473" s="1" t="s">
        <v>45</v>
      </c>
      <c r="M4473" s="1" t="str">
        <f>TEXT(Table1[[#This Row],[Order Date]],"mmm")</f>
        <v>May</v>
      </c>
      <c r="N4473" s="1">
        <f>YEAR(Table1[[#This Row],[Order Date]])</f>
        <v>2023</v>
      </c>
    </row>
    <row r="4474" spans="1:14" x14ac:dyDescent="0.35">
      <c r="A4474" s="1" t="s">
        <v>5270</v>
      </c>
      <c r="B4474" s="1" t="s">
        <v>25</v>
      </c>
      <c r="C4474" s="1" t="s">
        <v>260</v>
      </c>
      <c r="D4474" s="1" t="s">
        <v>167</v>
      </c>
      <c r="E4474" s="1" t="s">
        <v>16</v>
      </c>
      <c r="F4474" s="1" t="s">
        <v>167</v>
      </c>
      <c r="G4474" s="1">
        <v>8</v>
      </c>
      <c r="H4474" s="1">
        <v>38274</v>
      </c>
      <c r="I4474" s="1">
        <v>0.05</v>
      </c>
      <c r="J4474" s="1">
        <v>290882.40000000002</v>
      </c>
      <c r="K4474" s="1">
        <v>57112.34</v>
      </c>
      <c r="L4474" s="1" t="s">
        <v>17</v>
      </c>
      <c r="M4474" s="1" t="str">
        <f>TEXT(Table1[[#This Row],[Order Date]],"mmm")</f>
        <v>Apr</v>
      </c>
      <c r="N4474" s="1">
        <f>YEAR(Table1[[#This Row],[Order Date]])</f>
        <v>2023</v>
      </c>
    </row>
    <row r="4475" spans="1:14" x14ac:dyDescent="0.35">
      <c r="A4475" s="1" t="s">
        <v>5271</v>
      </c>
      <c r="B4475" s="1" t="s">
        <v>744</v>
      </c>
      <c r="C4475" s="1" t="s">
        <v>51</v>
      </c>
      <c r="D4475" s="1" t="s">
        <v>323</v>
      </c>
      <c r="E4475" s="1" t="s">
        <v>33</v>
      </c>
      <c r="F4475" s="1" t="s">
        <v>323</v>
      </c>
      <c r="G4475" s="1">
        <v>2</v>
      </c>
      <c r="H4475" s="1">
        <v>9364</v>
      </c>
      <c r="I4475" s="1">
        <v>0.2</v>
      </c>
      <c r="J4475" s="1">
        <v>14982.4</v>
      </c>
      <c r="K4475" s="1">
        <v>3406.85</v>
      </c>
      <c r="L4475" s="1" t="s">
        <v>70</v>
      </c>
      <c r="M4475" s="1" t="str">
        <f>TEXT(Table1[[#This Row],[Order Date]],"mmm")</f>
        <v>May</v>
      </c>
      <c r="N4475" s="1">
        <f>YEAR(Table1[[#This Row],[Order Date]])</f>
        <v>2023</v>
      </c>
    </row>
    <row r="4476" spans="1:14" x14ac:dyDescent="0.35">
      <c r="A4476" s="1" t="s">
        <v>5272</v>
      </c>
      <c r="B4476" s="1" t="s">
        <v>1361</v>
      </c>
      <c r="C4476" s="1" t="s">
        <v>140</v>
      </c>
      <c r="D4476" s="1" t="s">
        <v>52</v>
      </c>
      <c r="E4476" s="1" t="s">
        <v>28</v>
      </c>
      <c r="F4476" s="1" t="s">
        <v>52</v>
      </c>
      <c r="G4476" s="1">
        <v>1</v>
      </c>
      <c r="H4476" s="1">
        <v>4678</v>
      </c>
      <c r="I4476" s="1">
        <v>0.2</v>
      </c>
      <c r="J4476" s="1">
        <v>3742.4</v>
      </c>
      <c r="K4476" s="1">
        <v>922.6</v>
      </c>
      <c r="L4476" s="1" t="s">
        <v>23</v>
      </c>
      <c r="M4476" s="1" t="str">
        <f>TEXT(Table1[[#This Row],[Order Date]],"mmm")</f>
        <v>Apr</v>
      </c>
      <c r="N4476" s="1">
        <f>YEAR(Table1[[#This Row],[Order Date]])</f>
        <v>2023</v>
      </c>
    </row>
    <row r="4477" spans="1:14" x14ac:dyDescent="0.35">
      <c r="A4477" s="1" t="s">
        <v>5273</v>
      </c>
      <c r="B4477" s="1" t="s">
        <v>709</v>
      </c>
      <c r="C4477" s="1" t="s">
        <v>94</v>
      </c>
      <c r="D4477" s="1" t="s">
        <v>78</v>
      </c>
      <c r="E4477" s="1" t="s">
        <v>28</v>
      </c>
      <c r="F4477" s="1" t="s">
        <v>78</v>
      </c>
      <c r="G4477" s="1">
        <v>12</v>
      </c>
      <c r="H4477" s="1">
        <v>59598</v>
      </c>
      <c r="I4477" s="1">
        <v>0.15</v>
      </c>
      <c r="J4477" s="1">
        <v>607899.6</v>
      </c>
      <c r="K4477" s="1">
        <v>137514.41</v>
      </c>
      <c r="L4477" s="1" t="s">
        <v>17</v>
      </c>
      <c r="M4477" s="1" t="str">
        <f>TEXT(Table1[[#This Row],[Order Date]],"mmm")</f>
        <v>Feb</v>
      </c>
      <c r="N4477" s="1">
        <f>YEAR(Table1[[#This Row],[Order Date]])</f>
        <v>2023</v>
      </c>
    </row>
    <row r="4478" spans="1:14" x14ac:dyDescent="0.35">
      <c r="A4478" s="1" t="s">
        <v>5274</v>
      </c>
      <c r="B4478" s="1" t="s">
        <v>1153</v>
      </c>
      <c r="C4478" s="1" t="s">
        <v>111</v>
      </c>
      <c r="D4478" s="1" t="s">
        <v>151</v>
      </c>
      <c r="E4478" s="1" t="s">
        <v>22</v>
      </c>
      <c r="F4478" s="1" t="s">
        <v>151</v>
      </c>
      <c r="G4478" s="1">
        <v>6</v>
      </c>
      <c r="H4478" s="1">
        <v>35293</v>
      </c>
      <c r="I4478" s="1">
        <v>0.2</v>
      </c>
      <c r="J4478" s="1">
        <v>169406.4</v>
      </c>
      <c r="K4478" s="1">
        <v>26121.43</v>
      </c>
      <c r="L4478" s="1" t="s">
        <v>70</v>
      </c>
      <c r="M4478" s="1" t="str">
        <f>TEXT(Table1[[#This Row],[Order Date]],"mmm")</f>
        <v>Feb</v>
      </c>
      <c r="N4478" s="1">
        <f>YEAR(Table1[[#This Row],[Order Date]])</f>
        <v>2024</v>
      </c>
    </row>
    <row r="4479" spans="1:14" x14ac:dyDescent="0.35">
      <c r="A4479" s="1" t="s">
        <v>5275</v>
      </c>
      <c r="B4479" s="1" t="s">
        <v>464</v>
      </c>
      <c r="C4479" s="1" t="s">
        <v>191</v>
      </c>
      <c r="D4479" s="1" t="s">
        <v>141</v>
      </c>
      <c r="E4479" s="1" t="s">
        <v>22</v>
      </c>
      <c r="F4479" s="1" t="s">
        <v>141</v>
      </c>
      <c r="G4479" s="1">
        <v>3</v>
      </c>
      <c r="H4479" s="1">
        <v>8462</v>
      </c>
      <c r="I4479" s="1">
        <v>0.1</v>
      </c>
      <c r="J4479" s="1">
        <v>22847.4</v>
      </c>
      <c r="K4479" s="1">
        <v>2893.52</v>
      </c>
      <c r="L4479" s="1" t="s">
        <v>17</v>
      </c>
      <c r="M4479" s="1" t="str">
        <f>TEXT(Table1[[#This Row],[Order Date]],"mmm")</f>
        <v>Mar</v>
      </c>
      <c r="N4479" s="1">
        <f>YEAR(Table1[[#This Row],[Order Date]])</f>
        <v>2024</v>
      </c>
    </row>
    <row r="4480" spans="1:14" x14ac:dyDescent="0.35">
      <c r="A4480" s="1" t="s">
        <v>5276</v>
      </c>
      <c r="B4480" s="1" t="s">
        <v>2908</v>
      </c>
      <c r="C4480" s="1" t="s">
        <v>362</v>
      </c>
      <c r="D4480" s="1" t="s">
        <v>91</v>
      </c>
      <c r="E4480" s="1" t="s">
        <v>16</v>
      </c>
      <c r="F4480" s="1" t="s">
        <v>91</v>
      </c>
      <c r="G4480" s="1">
        <v>10</v>
      </c>
      <c r="H4480" s="1">
        <v>37769</v>
      </c>
      <c r="I4480" s="1">
        <v>0</v>
      </c>
      <c r="J4480" s="1">
        <v>377690</v>
      </c>
      <c r="K4480" s="1">
        <v>31964.28</v>
      </c>
      <c r="L4480" s="1" t="s">
        <v>45</v>
      </c>
      <c r="M4480" s="1" t="str">
        <f>TEXT(Table1[[#This Row],[Order Date]],"mmm")</f>
        <v>Sep</v>
      </c>
      <c r="N4480" s="1">
        <f>YEAR(Table1[[#This Row],[Order Date]])</f>
        <v>2024</v>
      </c>
    </row>
    <row r="4481" spans="1:14" x14ac:dyDescent="0.35">
      <c r="A4481" s="1" t="s">
        <v>5277</v>
      </c>
      <c r="B4481" s="1" t="s">
        <v>681</v>
      </c>
      <c r="C4481" s="1" t="s">
        <v>175</v>
      </c>
      <c r="D4481" s="1" t="s">
        <v>114</v>
      </c>
      <c r="E4481" s="1" t="s">
        <v>16</v>
      </c>
      <c r="F4481" s="1" t="s">
        <v>114</v>
      </c>
      <c r="G4481" s="1">
        <v>3</v>
      </c>
      <c r="H4481" s="1">
        <v>9045</v>
      </c>
      <c r="I4481" s="1">
        <v>0.2</v>
      </c>
      <c r="J4481" s="1">
        <v>21708</v>
      </c>
      <c r="K4481" s="1">
        <v>5116.09</v>
      </c>
      <c r="L4481" s="1" t="s">
        <v>70</v>
      </c>
      <c r="M4481" s="1" t="str">
        <f>TEXT(Table1[[#This Row],[Order Date]],"mmm")</f>
        <v>Apr</v>
      </c>
      <c r="N4481" s="1">
        <f>YEAR(Table1[[#This Row],[Order Date]])</f>
        <v>2024</v>
      </c>
    </row>
    <row r="4482" spans="1:14" x14ac:dyDescent="0.35">
      <c r="A4482" s="1" t="s">
        <v>5278</v>
      </c>
      <c r="B4482" s="1" t="s">
        <v>449</v>
      </c>
      <c r="C4482" s="1" t="s">
        <v>107</v>
      </c>
      <c r="D4482" s="1" t="s">
        <v>167</v>
      </c>
      <c r="E4482" s="1" t="s">
        <v>16</v>
      </c>
      <c r="F4482" s="1" t="s">
        <v>167</v>
      </c>
      <c r="G4482" s="1">
        <v>13</v>
      </c>
      <c r="H4482" s="1">
        <v>56521</v>
      </c>
      <c r="I4482" s="1">
        <v>0.2</v>
      </c>
      <c r="J4482" s="1">
        <v>587818.4</v>
      </c>
      <c r="K4482" s="1">
        <v>63231.78</v>
      </c>
      <c r="L4482" s="1" t="s">
        <v>70</v>
      </c>
      <c r="M4482" s="1" t="str">
        <f>TEXT(Table1[[#This Row],[Order Date]],"mmm")</f>
        <v>Jan</v>
      </c>
      <c r="N4482" s="1">
        <f>YEAR(Table1[[#This Row],[Order Date]])</f>
        <v>2024</v>
      </c>
    </row>
    <row r="4483" spans="1:14" x14ac:dyDescent="0.35">
      <c r="A4483" s="1" t="s">
        <v>5279</v>
      </c>
      <c r="B4483" s="1" t="s">
        <v>210</v>
      </c>
      <c r="C4483" s="1" t="s">
        <v>640</v>
      </c>
      <c r="D4483" s="1" t="s">
        <v>52</v>
      </c>
      <c r="E4483" s="1" t="s">
        <v>28</v>
      </c>
      <c r="F4483" s="1" t="s">
        <v>52</v>
      </c>
      <c r="G4483" s="1">
        <v>10</v>
      </c>
      <c r="H4483" s="1">
        <v>52474</v>
      </c>
      <c r="I4483" s="1">
        <v>0</v>
      </c>
      <c r="J4483" s="1">
        <v>524740</v>
      </c>
      <c r="K4483" s="1">
        <v>135017.34</v>
      </c>
      <c r="L4483" s="1" t="s">
        <v>45</v>
      </c>
      <c r="M4483" s="1" t="str">
        <f>TEXT(Table1[[#This Row],[Order Date]],"mmm")</f>
        <v>Jun</v>
      </c>
      <c r="N4483" s="1">
        <f>YEAR(Table1[[#This Row],[Order Date]])</f>
        <v>2023</v>
      </c>
    </row>
    <row r="4484" spans="1:14" x14ac:dyDescent="0.35">
      <c r="A4484" s="1" t="s">
        <v>5280</v>
      </c>
      <c r="B4484" s="1" t="s">
        <v>1240</v>
      </c>
      <c r="C4484" s="1" t="s">
        <v>81</v>
      </c>
      <c r="D4484" s="1" t="s">
        <v>137</v>
      </c>
      <c r="E4484" s="1" t="s">
        <v>22</v>
      </c>
      <c r="F4484" s="1" t="s">
        <v>137</v>
      </c>
      <c r="G4484" s="1">
        <v>6</v>
      </c>
      <c r="H4484" s="1">
        <v>37565</v>
      </c>
      <c r="I4484" s="1">
        <v>0.05</v>
      </c>
      <c r="J4484" s="1">
        <v>214120.5</v>
      </c>
      <c r="K4484" s="1">
        <v>38098.57</v>
      </c>
      <c r="L4484" s="1" t="s">
        <v>45</v>
      </c>
      <c r="M4484" s="1" t="str">
        <f>TEXT(Table1[[#This Row],[Order Date]],"mmm")</f>
        <v>Jan</v>
      </c>
      <c r="N4484" s="1">
        <f>YEAR(Table1[[#This Row],[Order Date]])</f>
        <v>2024</v>
      </c>
    </row>
    <row r="4485" spans="1:14" x14ac:dyDescent="0.35">
      <c r="A4485" s="1" t="s">
        <v>5281</v>
      </c>
      <c r="B4485" s="1" t="s">
        <v>43</v>
      </c>
      <c r="C4485" s="1" t="s">
        <v>332</v>
      </c>
      <c r="D4485" s="1" t="s">
        <v>151</v>
      </c>
      <c r="E4485" s="1" t="s">
        <v>22</v>
      </c>
      <c r="F4485" s="1" t="s">
        <v>151</v>
      </c>
      <c r="G4485" s="1">
        <v>7</v>
      </c>
      <c r="H4485" s="1">
        <v>49430</v>
      </c>
      <c r="I4485" s="1">
        <v>0.05</v>
      </c>
      <c r="J4485" s="1">
        <v>328709.5</v>
      </c>
      <c r="K4485" s="1">
        <v>44082.41</v>
      </c>
      <c r="L4485" s="1" t="s">
        <v>70</v>
      </c>
      <c r="M4485" s="1" t="str">
        <f>TEXT(Table1[[#This Row],[Order Date]],"mmm")</f>
        <v>Jun</v>
      </c>
      <c r="N4485" s="1">
        <f>YEAR(Table1[[#This Row],[Order Date]])</f>
        <v>2023</v>
      </c>
    </row>
    <row r="4486" spans="1:14" x14ac:dyDescent="0.35">
      <c r="A4486" s="1" t="s">
        <v>5282</v>
      </c>
      <c r="B4486" s="1" t="s">
        <v>1209</v>
      </c>
      <c r="C4486" s="1" t="s">
        <v>63</v>
      </c>
      <c r="D4486" s="1" t="s">
        <v>85</v>
      </c>
      <c r="E4486" s="1" t="s">
        <v>28</v>
      </c>
      <c r="F4486" s="1" t="s">
        <v>85</v>
      </c>
      <c r="G4486" s="1">
        <v>1</v>
      </c>
      <c r="H4486" s="1">
        <v>38093</v>
      </c>
      <c r="I4486" s="1">
        <v>0</v>
      </c>
      <c r="J4486" s="1">
        <v>38093</v>
      </c>
      <c r="K4486" s="1">
        <v>9871.2000000000007</v>
      </c>
      <c r="L4486" s="1" t="s">
        <v>45</v>
      </c>
      <c r="M4486" s="1" t="str">
        <f>TEXT(Table1[[#This Row],[Order Date]],"mmm")</f>
        <v>Jan</v>
      </c>
      <c r="N4486" s="1">
        <f>YEAR(Table1[[#This Row],[Order Date]])</f>
        <v>2023</v>
      </c>
    </row>
    <row r="4487" spans="1:14" x14ac:dyDescent="0.35">
      <c r="A4487" s="1" t="s">
        <v>5283</v>
      </c>
      <c r="B4487" s="1" t="s">
        <v>3479</v>
      </c>
      <c r="C4487" s="1" t="s">
        <v>203</v>
      </c>
      <c r="D4487" s="1" t="s">
        <v>15</v>
      </c>
      <c r="E4487" s="1" t="s">
        <v>16</v>
      </c>
      <c r="F4487" s="1" t="s">
        <v>15</v>
      </c>
      <c r="G4487" s="1">
        <v>12</v>
      </c>
      <c r="H4487" s="1">
        <v>46294</v>
      </c>
      <c r="I4487" s="1">
        <v>0</v>
      </c>
      <c r="J4487" s="1">
        <v>555528</v>
      </c>
      <c r="K4487" s="1">
        <v>157037.68</v>
      </c>
      <c r="L4487" s="1" t="s">
        <v>17</v>
      </c>
      <c r="M4487" s="1" t="str">
        <f>TEXT(Table1[[#This Row],[Order Date]],"mmm")</f>
        <v>Oct</v>
      </c>
      <c r="N4487" s="1">
        <f>YEAR(Table1[[#This Row],[Order Date]])</f>
        <v>2024</v>
      </c>
    </row>
    <row r="4488" spans="1:14" x14ac:dyDescent="0.35">
      <c r="A4488" s="1" t="s">
        <v>5284</v>
      </c>
      <c r="B4488" s="1" t="s">
        <v>1278</v>
      </c>
      <c r="C4488" s="1" t="s">
        <v>335</v>
      </c>
      <c r="D4488" s="1" t="s">
        <v>108</v>
      </c>
      <c r="E4488" s="1" t="s">
        <v>22</v>
      </c>
      <c r="F4488" s="1" t="s">
        <v>108</v>
      </c>
      <c r="G4488" s="1">
        <v>6</v>
      </c>
      <c r="H4488" s="1">
        <v>52059</v>
      </c>
      <c r="I4488" s="1">
        <v>0</v>
      </c>
      <c r="J4488" s="1">
        <v>312354</v>
      </c>
      <c r="K4488" s="1">
        <v>91940.57</v>
      </c>
      <c r="L4488" s="1" t="s">
        <v>23</v>
      </c>
      <c r="M4488" s="1" t="str">
        <f>TEXT(Table1[[#This Row],[Order Date]],"mmm")</f>
        <v>Aug</v>
      </c>
      <c r="N4488" s="1">
        <f>YEAR(Table1[[#This Row],[Order Date]])</f>
        <v>2023</v>
      </c>
    </row>
    <row r="4489" spans="1:14" x14ac:dyDescent="0.35">
      <c r="A4489" s="1" t="s">
        <v>5285</v>
      </c>
      <c r="B4489" s="1" t="s">
        <v>193</v>
      </c>
      <c r="C4489" s="1" t="s">
        <v>31</v>
      </c>
      <c r="D4489" s="1" t="s">
        <v>167</v>
      </c>
      <c r="E4489" s="1" t="s">
        <v>16</v>
      </c>
      <c r="F4489" s="1" t="s">
        <v>167</v>
      </c>
      <c r="G4489" s="1">
        <v>14</v>
      </c>
      <c r="H4489" s="1">
        <v>22813</v>
      </c>
      <c r="I4489" s="1">
        <v>0.1</v>
      </c>
      <c r="J4489" s="1">
        <v>287443.8</v>
      </c>
      <c r="K4489" s="1">
        <v>46651.35</v>
      </c>
      <c r="L4489" s="1" t="s">
        <v>70</v>
      </c>
      <c r="M4489" s="1" t="str">
        <f>TEXT(Table1[[#This Row],[Order Date]],"mmm")</f>
        <v>Jun</v>
      </c>
      <c r="N4489" s="1">
        <f>YEAR(Table1[[#This Row],[Order Date]])</f>
        <v>2023</v>
      </c>
    </row>
    <row r="4490" spans="1:14" x14ac:dyDescent="0.35">
      <c r="A4490" s="1" t="s">
        <v>5286</v>
      </c>
      <c r="B4490" s="1" t="s">
        <v>744</v>
      </c>
      <c r="C4490" s="1" t="s">
        <v>332</v>
      </c>
      <c r="D4490" s="1" t="s">
        <v>41</v>
      </c>
      <c r="E4490" s="1" t="s">
        <v>16</v>
      </c>
      <c r="F4490" s="1" t="s">
        <v>41</v>
      </c>
      <c r="G4490" s="1">
        <v>3</v>
      </c>
      <c r="H4490" s="1">
        <v>43270</v>
      </c>
      <c r="I4490" s="1">
        <v>0.2</v>
      </c>
      <c r="J4490" s="1">
        <v>103848</v>
      </c>
      <c r="K4490" s="1">
        <v>17900.080000000002</v>
      </c>
      <c r="L4490" s="1" t="s">
        <v>45</v>
      </c>
      <c r="M4490" s="1" t="str">
        <f>TEXT(Table1[[#This Row],[Order Date]],"mmm")</f>
        <v>May</v>
      </c>
      <c r="N4490" s="1">
        <f>YEAR(Table1[[#This Row],[Order Date]])</f>
        <v>2023</v>
      </c>
    </row>
    <row r="4491" spans="1:14" x14ac:dyDescent="0.35">
      <c r="A4491" s="1" t="s">
        <v>5287</v>
      </c>
      <c r="B4491" s="1" t="s">
        <v>965</v>
      </c>
      <c r="C4491" s="1" t="s">
        <v>63</v>
      </c>
      <c r="D4491" s="1" t="s">
        <v>78</v>
      </c>
      <c r="E4491" s="1" t="s">
        <v>28</v>
      </c>
      <c r="F4491" s="1" t="s">
        <v>78</v>
      </c>
      <c r="G4491" s="1">
        <v>9</v>
      </c>
      <c r="H4491" s="1">
        <v>1977</v>
      </c>
      <c r="I4491" s="1">
        <v>0.1</v>
      </c>
      <c r="J4491" s="1">
        <v>16013.7</v>
      </c>
      <c r="K4491" s="1">
        <v>3953.7</v>
      </c>
      <c r="L4491" s="1" t="s">
        <v>45</v>
      </c>
      <c r="M4491" s="1" t="str">
        <f>TEXT(Table1[[#This Row],[Order Date]],"mmm")</f>
        <v>Jan</v>
      </c>
      <c r="N4491" s="1">
        <f>YEAR(Table1[[#This Row],[Order Date]])</f>
        <v>2024</v>
      </c>
    </row>
    <row r="4492" spans="1:14" x14ac:dyDescent="0.35">
      <c r="A4492" s="1" t="s">
        <v>5288</v>
      </c>
      <c r="B4492" s="1" t="s">
        <v>62</v>
      </c>
      <c r="C4492" s="1" t="s">
        <v>140</v>
      </c>
      <c r="D4492" s="1" t="s">
        <v>41</v>
      </c>
      <c r="E4492" s="1" t="s">
        <v>16</v>
      </c>
      <c r="F4492" s="1" t="s">
        <v>41</v>
      </c>
      <c r="G4492" s="1">
        <v>10</v>
      </c>
      <c r="H4492" s="1">
        <v>6694</v>
      </c>
      <c r="I4492" s="1">
        <v>0</v>
      </c>
      <c r="J4492" s="1">
        <v>66940</v>
      </c>
      <c r="K4492" s="1">
        <v>15115.8</v>
      </c>
      <c r="L4492" s="1" t="s">
        <v>70</v>
      </c>
      <c r="M4492" s="1" t="str">
        <f>TEXT(Table1[[#This Row],[Order Date]],"mmm")</f>
        <v>Dec</v>
      </c>
      <c r="N4492" s="1">
        <f>YEAR(Table1[[#This Row],[Order Date]])</f>
        <v>2023</v>
      </c>
    </row>
    <row r="4493" spans="1:14" x14ac:dyDescent="0.35">
      <c r="A4493" s="1" t="s">
        <v>5289</v>
      </c>
      <c r="B4493" s="1" t="s">
        <v>810</v>
      </c>
      <c r="C4493" s="1" t="s">
        <v>84</v>
      </c>
      <c r="D4493" s="1" t="s">
        <v>323</v>
      </c>
      <c r="E4493" s="1" t="s">
        <v>33</v>
      </c>
      <c r="F4493" s="1" t="s">
        <v>323</v>
      </c>
      <c r="G4493" s="1">
        <v>8</v>
      </c>
      <c r="H4493" s="1">
        <v>29750</v>
      </c>
      <c r="I4493" s="1">
        <v>0.1</v>
      </c>
      <c r="J4493" s="1">
        <v>214200</v>
      </c>
      <c r="K4493" s="1">
        <v>62237.09</v>
      </c>
      <c r="L4493" s="1" t="s">
        <v>45</v>
      </c>
      <c r="M4493" s="1" t="str">
        <f>TEXT(Table1[[#This Row],[Order Date]],"mmm")</f>
        <v>Sep</v>
      </c>
      <c r="N4493" s="1">
        <f>YEAR(Table1[[#This Row],[Order Date]])</f>
        <v>2024</v>
      </c>
    </row>
    <row r="4494" spans="1:14" x14ac:dyDescent="0.35">
      <c r="A4494" s="1" t="s">
        <v>5290</v>
      </c>
      <c r="B4494" s="1" t="s">
        <v>1496</v>
      </c>
      <c r="C4494" s="1" t="s">
        <v>158</v>
      </c>
      <c r="D4494" s="1" t="s">
        <v>137</v>
      </c>
      <c r="E4494" s="1" t="s">
        <v>22</v>
      </c>
      <c r="F4494" s="1" t="s">
        <v>137</v>
      </c>
      <c r="G4494" s="1">
        <v>4</v>
      </c>
      <c r="H4494" s="1">
        <v>27601</v>
      </c>
      <c r="I4494" s="1">
        <v>0.2</v>
      </c>
      <c r="J4494" s="1">
        <v>88323.199999999997</v>
      </c>
      <c r="K4494" s="1">
        <v>9335.09</v>
      </c>
      <c r="L4494" s="1" t="s">
        <v>70</v>
      </c>
      <c r="M4494" s="1" t="str">
        <f>TEXT(Table1[[#This Row],[Order Date]],"mmm")</f>
        <v>Jan</v>
      </c>
      <c r="N4494" s="1">
        <f>YEAR(Table1[[#This Row],[Order Date]])</f>
        <v>2024</v>
      </c>
    </row>
    <row r="4495" spans="1:14" x14ac:dyDescent="0.35">
      <c r="A4495" s="1" t="s">
        <v>5291</v>
      </c>
      <c r="B4495" s="1" t="s">
        <v>907</v>
      </c>
      <c r="C4495" s="1" t="s">
        <v>370</v>
      </c>
      <c r="D4495" s="1" t="s">
        <v>224</v>
      </c>
      <c r="E4495" s="1" t="s">
        <v>33</v>
      </c>
      <c r="F4495" s="1" t="s">
        <v>224</v>
      </c>
      <c r="G4495" s="1">
        <v>8</v>
      </c>
      <c r="H4495" s="1">
        <v>42037</v>
      </c>
      <c r="I4495" s="1">
        <v>0.15</v>
      </c>
      <c r="J4495" s="1">
        <v>285851.59999999998</v>
      </c>
      <c r="K4495" s="1">
        <v>77409.679999999993</v>
      </c>
      <c r="L4495" s="1" t="s">
        <v>17</v>
      </c>
      <c r="M4495" s="1" t="str">
        <f>TEXT(Table1[[#This Row],[Order Date]],"mmm")</f>
        <v>Mar</v>
      </c>
      <c r="N4495" s="1">
        <f>YEAR(Table1[[#This Row],[Order Date]])</f>
        <v>2023</v>
      </c>
    </row>
    <row r="4496" spans="1:14" x14ac:dyDescent="0.35">
      <c r="A4496" s="1" t="s">
        <v>5292</v>
      </c>
      <c r="B4496" s="1" t="s">
        <v>343</v>
      </c>
      <c r="C4496" s="1" t="s">
        <v>88</v>
      </c>
      <c r="D4496" s="1" t="s">
        <v>167</v>
      </c>
      <c r="E4496" s="1" t="s">
        <v>16</v>
      </c>
      <c r="F4496" s="1" t="s">
        <v>167</v>
      </c>
      <c r="G4496" s="1">
        <v>11</v>
      </c>
      <c r="H4496" s="1">
        <v>40250</v>
      </c>
      <c r="I4496" s="1">
        <v>0.15</v>
      </c>
      <c r="J4496" s="1">
        <v>376337.5</v>
      </c>
      <c r="K4496" s="1">
        <v>90592.62</v>
      </c>
      <c r="L4496" s="1" t="s">
        <v>45</v>
      </c>
      <c r="M4496" s="1" t="str">
        <f>TEXT(Table1[[#This Row],[Order Date]],"mmm")</f>
        <v>Feb</v>
      </c>
      <c r="N4496" s="1">
        <f>YEAR(Table1[[#This Row],[Order Date]])</f>
        <v>2024</v>
      </c>
    </row>
    <row r="4497" spans="1:14" x14ac:dyDescent="0.35">
      <c r="A4497" s="1" t="s">
        <v>5293</v>
      </c>
      <c r="B4497" s="1" t="s">
        <v>478</v>
      </c>
      <c r="C4497" s="1" t="s">
        <v>40</v>
      </c>
      <c r="D4497" s="1" t="s">
        <v>137</v>
      </c>
      <c r="E4497" s="1" t="s">
        <v>22</v>
      </c>
      <c r="F4497" s="1" t="s">
        <v>137</v>
      </c>
      <c r="G4497" s="1">
        <v>14</v>
      </c>
      <c r="H4497" s="1">
        <v>35964</v>
      </c>
      <c r="I4497" s="1">
        <v>0.2</v>
      </c>
      <c r="J4497" s="1">
        <v>402796.79999999999</v>
      </c>
      <c r="K4497" s="1">
        <v>64085.03</v>
      </c>
      <c r="L4497" s="1" t="s">
        <v>17</v>
      </c>
      <c r="M4497" s="1" t="str">
        <f>TEXT(Table1[[#This Row],[Order Date]],"mmm")</f>
        <v>May</v>
      </c>
      <c r="N4497" s="1">
        <f>YEAR(Table1[[#This Row],[Order Date]])</f>
        <v>2024</v>
      </c>
    </row>
    <row r="4498" spans="1:14" x14ac:dyDescent="0.35">
      <c r="A4498" s="1" t="s">
        <v>5294</v>
      </c>
      <c r="B4498" s="1" t="s">
        <v>2023</v>
      </c>
      <c r="C4498" s="1" t="s">
        <v>98</v>
      </c>
      <c r="D4498" s="1" t="s">
        <v>37</v>
      </c>
      <c r="E4498" s="1" t="s">
        <v>16</v>
      </c>
      <c r="F4498" s="1" t="s">
        <v>37</v>
      </c>
      <c r="G4498" s="1">
        <v>4</v>
      </c>
      <c r="H4498" s="1">
        <v>32876</v>
      </c>
      <c r="I4498" s="1">
        <v>0.2</v>
      </c>
      <c r="J4498" s="1">
        <v>105203.2</v>
      </c>
      <c r="K4498" s="1">
        <v>25824.560000000001</v>
      </c>
      <c r="L4498" s="1" t="s">
        <v>70</v>
      </c>
      <c r="M4498" s="1" t="str">
        <f>TEXT(Table1[[#This Row],[Order Date]],"mmm")</f>
        <v>Jul</v>
      </c>
      <c r="N4498" s="1">
        <f>YEAR(Table1[[#This Row],[Order Date]])</f>
        <v>2023</v>
      </c>
    </row>
    <row r="4499" spans="1:14" x14ac:dyDescent="0.35">
      <c r="A4499" s="1" t="s">
        <v>5295</v>
      </c>
      <c r="B4499" s="1" t="s">
        <v>374</v>
      </c>
      <c r="C4499" s="1" t="s">
        <v>128</v>
      </c>
      <c r="D4499" s="1" t="s">
        <v>293</v>
      </c>
      <c r="E4499" s="1" t="s">
        <v>33</v>
      </c>
      <c r="F4499" s="1" t="s">
        <v>293</v>
      </c>
      <c r="G4499" s="1">
        <v>5</v>
      </c>
      <c r="H4499" s="1">
        <v>22603</v>
      </c>
      <c r="I4499" s="1">
        <v>0</v>
      </c>
      <c r="J4499" s="1">
        <v>113015</v>
      </c>
      <c r="K4499" s="1">
        <v>26141.43</v>
      </c>
      <c r="L4499" s="1" t="s">
        <v>17</v>
      </c>
      <c r="M4499" s="1" t="str">
        <f>TEXT(Table1[[#This Row],[Order Date]],"mmm")</f>
        <v>Oct</v>
      </c>
      <c r="N4499" s="1">
        <f>YEAR(Table1[[#This Row],[Order Date]])</f>
        <v>2023</v>
      </c>
    </row>
    <row r="4500" spans="1:14" x14ac:dyDescent="0.35">
      <c r="A4500" s="1" t="s">
        <v>5296</v>
      </c>
      <c r="B4500" s="1" t="s">
        <v>148</v>
      </c>
      <c r="C4500" s="1" t="s">
        <v>188</v>
      </c>
      <c r="D4500" s="1" t="s">
        <v>95</v>
      </c>
      <c r="E4500" s="1" t="s">
        <v>33</v>
      </c>
      <c r="F4500" s="1" t="s">
        <v>95</v>
      </c>
      <c r="G4500" s="1">
        <v>9</v>
      </c>
      <c r="H4500" s="1">
        <v>36233</v>
      </c>
      <c r="I4500" s="1">
        <v>0</v>
      </c>
      <c r="J4500" s="1">
        <v>326097</v>
      </c>
      <c r="K4500" s="1">
        <v>59054.25</v>
      </c>
      <c r="L4500" s="1" t="s">
        <v>70</v>
      </c>
      <c r="M4500" s="1" t="str">
        <f>TEXT(Table1[[#This Row],[Order Date]],"mmm")</f>
        <v>Jan</v>
      </c>
      <c r="N4500" s="1">
        <f>YEAR(Table1[[#This Row],[Order Date]])</f>
        <v>2024</v>
      </c>
    </row>
    <row r="4501" spans="1:14" x14ac:dyDescent="0.35">
      <c r="A4501" s="1" t="s">
        <v>5297</v>
      </c>
      <c r="B4501" s="1" t="s">
        <v>956</v>
      </c>
      <c r="C4501" s="1" t="s">
        <v>59</v>
      </c>
      <c r="D4501" s="1" t="s">
        <v>141</v>
      </c>
      <c r="E4501" s="1" t="s">
        <v>22</v>
      </c>
      <c r="F4501" s="1" t="s">
        <v>141</v>
      </c>
      <c r="G4501" s="1">
        <v>8</v>
      </c>
      <c r="H4501" s="1">
        <v>54230</v>
      </c>
      <c r="I4501" s="1">
        <v>0.05</v>
      </c>
      <c r="J4501" s="1">
        <v>412148</v>
      </c>
      <c r="K4501" s="1">
        <v>89878.63</v>
      </c>
      <c r="L4501" s="1" t="s">
        <v>17</v>
      </c>
      <c r="M4501" s="1" t="str">
        <f>TEXT(Table1[[#This Row],[Order Date]],"mmm")</f>
        <v>Aug</v>
      </c>
      <c r="N4501" s="1">
        <f>YEAR(Table1[[#This Row],[Order Date]])</f>
        <v>2024</v>
      </c>
    </row>
    <row r="4502" spans="1:14" x14ac:dyDescent="0.35">
      <c r="A4502" s="1" t="s">
        <v>5298</v>
      </c>
      <c r="B4502" s="1" t="s">
        <v>423</v>
      </c>
      <c r="C4502" s="1" t="s">
        <v>117</v>
      </c>
      <c r="D4502" s="1" t="s">
        <v>95</v>
      </c>
      <c r="E4502" s="1" t="s">
        <v>33</v>
      </c>
      <c r="F4502" s="1" t="s">
        <v>95</v>
      </c>
      <c r="G4502" s="1">
        <v>15</v>
      </c>
      <c r="H4502" s="1">
        <v>5665</v>
      </c>
      <c r="I4502" s="1">
        <v>0.2</v>
      </c>
      <c r="J4502" s="1">
        <v>67980</v>
      </c>
      <c r="K4502" s="1">
        <v>6003.09</v>
      </c>
      <c r="L4502" s="1" t="s">
        <v>70</v>
      </c>
      <c r="M4502" s="1" t="str">
        <f>TEXT(Table1[[#This Row],[Order Date]],"mmm")</f>
        <v>May</v>
      </c>
      <c r="N4502" s="1">
        <f>YEAR(Table1[[#This Row],[Order Date]])</f>
        <v>2023</v>
      </c>
    </row>
    <row r="4503" spans="1:14" x14ac:dyDescent="0.35">
      <c r="A4503" s="1" t="s">
        <v>5299</v>
      </c>
      <c r="B4503" s="1" t="s">
        <v>3000</v>
      </c>
      <c r="C4503" s="1" t="s">
        <v>36</v>
      </c>
      <c r="D4503" s="1" t="s">
        <v>293</v>
      </c>
      <c r="E4503" s="1" t="s">
        <v>33</v>
      </c>
      <c r="F4503" s="1" t="s">
        <v>293</v>
      </c>
      <c r="G4503" s="1">
        <v>2</v>
      </c>
      <c r="H4503" s="1">
        <v>35605</v>
      </c>
      <c r="I4503" s="1">
        <v>0.1</v>
      </c>
      <c r="J4503" s="1">
        <v>64089</v>
      </c>
      <c r="K4503" s="1">
        <v>9890.83</v>
      </c>
      <c r="L4503" s="1" t="s">
        <v>23</v>
      </c>
      <c r="M4503" s="1" t="str">
        <f>TEXT(Table1[[#This Row],[Order Date]],"mmm")</f>
        <v>Mar</v>
      </c>
      <c r="N4503" s="1">
        <f>YEAR(Table1[[#This Row],[Order Date]])</f>
        <v>2024</v>
      </c>
    </row>
    <row r="4504" spans="1:14" x14ac:dyDescent="0.35">
      <c r="A4504" s="1" t="s">
        <v>5300</v>
      </c>
      <c r="B4504" s="1" t="s">
        <v>2247</v>
      </c>
      <c r="C4504" s="1" t="s">
        <v>208</v>
      </c>
      <c r="D4504" s="1" t="s">
        <v>15</v>
      </c>
      <c r="E4504" s="1" t="s">
        <v>16</v>
      </c>
      <c r="F4504" s="1" t="s">
        <v>15</v>
      </c>
      <c r="G4504" s="1">
        <v>5</v>
      </c>
      <c r="H4504" s="1">
        <v>54450</v>
      </c>
      <c r="I4504" s="1">
        <v>0.2</v>
      </c>
      <c r="J4504" s="1">
        <v>217800</v>
      </c>
      <c r="K4504" s="1">
        <v>36812.69</v>
      </c>
      <c r="L4504" s="1" t="s">
        <v>70</v>
      </c>
      <c r="M4504" s="1" t="str">
        <f>TEXT(Table1[[#This Row],[Order Date]],"mmm")</f>
        <v>Apr</v>
      </c>
      <c r="N4504" s="1">
        <f>YEAR(Table1[[#This Row],[Order Date]])</f>
        <v>2024</v>
      </c>
    </row>
    <row r="4505" spans="1:14" x14ac:dyDescent="0.35">
      <c r="A4505" s="1" t="s">
        <v>5301</v>
      </c>
      <c r="B4505" s="1" t="s">
        <v>504</v>
      </c>
      <c r="C4505" s="1" t="s">
        <v>120</v>
      </c>
      <c r="D4505" s="1" t="s">
        <v>141</v>
      </c>
      <c r="E4505" s="1" t="s">
        <v>22</v>
      </c>
      <c r="F4505" s="1" t="s">
        <v>141</v>
      </c>
      <c r="G4505" s="1">
        <v>6</v>
      </c>
      <c r="H4505" s="1">
        <v>28806</v>
      </c>
      <c r="I4505" s="1">
        <v>0.2</v>
      </c>
      <c r="J4505" s="1">
        <v>138268.79999999999</v>
      </c>
      <c r="K4505" s="1">
        <v>17710.849999999999</v>
      </c>
      <c r="L4505" s="1" t="s">
        <v>23</v>
      </c>
      <c r="M4505" s="1" t="str">
        <f>TEXT(Table1[[#This Row],[Order Date]],"mmm")</f>
        <v>Aug</v>
      </c>
      <c r="N4505" s="1">
        <f>YEAR(Table1[[#This Row],[Order Date]])</f>
        <v>2023</v>
      </c>
    </row>
    <row r="4506" spans="1:14" x14ac:dyDescent="0.35">
      <c r="A4506" s="1" t="s">
        <v>5302</v>
      </c>
      <c r="B4506" s="1" t="s">
        <v>1092</v>
      </c>
      <c r="C4506" s="1" t="s">
        <v>200</v>
      </c>
      <c r="D4506" s="1" t="s">
        <v>27</v>
      </c>
      <c r="E4506" s="1" t="s">
        <v>28</v>
      </c>
      <c r="F4506" s="1" t="s">
        <v>27</v>
      </c>
      <c r="G4506" s="1">
        <v>12</v>
      </c>
      <c r="H4506" s="1">
        <v>2611</v>
      </c>
      <c r="I4506" s="1">
        <v>0.1</v>
      </c>
      <c r="J4506" s="1">
        <v>28198.799999999999</v>
      </c>
      <c r="K4506" s="1">
        <v>4126.2</v>
      </c>
      <c r="L4506" s="1" t="s">
        <v>17</v>
      </c>
      <c r="M4506" s="1" t="str">
        <f>TEXT(Table1[[#This Row],[Order Date]],"mmm")</f>
        <v>Feb</v>
      </c>
      <c r="N4506" s="1">
        <f>YEAR(Table1[[#This Row],[Order Date]])</f>
        <v>2024</v>
      </c>
    </row>
    <row r="4507" spans="1:14" x14ac:dyDescent="0.35">
      <c r="A4507" s="1" t="s">
        <v>5303</v>
      </c>
      <c r="B4507" s="1" t="s">
        <v>873</v>
      </c>
      <c r="C4507" s="1" t="s">
        <v>59</v>
      </c>
      <c r="D4507" s="1" t="s">
        <v>21</v>
      </c>
      <c r="E4507" s="1" t="s">
        <v>22</v>
      </c>
      <c r="F4507" s="1" t="s">
        <v>21</v>
      </c>
      <c r="G4507" s="1">
        <v>12</v>
      </c>
      <c r="H4507" s="1">
        <v>58734</v>
      </c>
      <c r="I4507" s="1">
        <v>0.2</v>
      </c>
      <c r="J4507" s="1">
        <v>563846.40000000002</v>
      </c>
      <c r="K4507" s="1">
        <v>95974.1</v>
      </c>
      <c r="L4507" s="1" t="s">
        <v>45</v>
      </c>
      <c r="M4507" s="1" t="str">
        <f>TEXT(Table1[[#This Row],[Order Date]],"mmm")</f>
        <v>Dec</v>
      </c>
      <c r="N4507" s="1">
        <f>YEAR(Table1[[#This Row],[Order Date]])</f>
        <v>2023</v>
      </c>
    </row>
    <row r="4508" spans="1:14" x14ac:dyDescent="0.35">
      <c r="A4508" s="1" t="s">
        <v>5304</v>
      </c>
      <c r="B4508" s="1" t="s">
        <v>423</v>
      </c>
      <c r="C4508" s="1" t="s">
        <v>507</v>
      </c>
      <c r="D4508" s="1" t="s">
        <v>141</v>
      </c>
      <c r="E4508" s="1" t="s">
        <v>22</v>
      </c>
      <c r="F4508" s="1" t="s">
        <v>141</v>
      </c>
      <c r="G4508" s="1">
        <v>1</v>
      </c>
      <c r="H4508" s="1">
        <v>7432</v>
      </c>
      <c r="I4508" s="1">
        <v>0.15</v>
      </c>
      <c r="J4508" s="1">
        <v>6317.2</v>
      </c>
      <c r="K4508" s="1">
        <v>1313.2</v>
      </c>
      <c r="L4508" s="1" t="s">
        <v>17</v>
      </c>
      <c r="M4508" s="1" t="str">
        <f>TEXT(Table1[[#This Row],[Order Date]],"mmm")</f>
        <v>May</v>
      </c>
      <c r="N4508" s="1">
        <f>YEAR(Table1[[#This Row],[Order Date]])</f>
        <v>2023</v>
      </c>
    </row>
    <row r="4509" spans="1:14" x14ac:dyDescent="0.35">
      <c r="A4509" s="1" t="s">
        <v>5305</v>
      </c>
      <c r="B4509" s="1" t="s">
        <v>1115</v>
      </c>
      <c r="C4509" s="1" t="s">
        <v>20</v>
      </c>
      <c r="D4509" s="1" t="s">
        <v>74</v>
      </c>
      <c r="E4509" s="1" t="s">
        <v>22</v>
      </c>
      <c r="F4509" s="1" t="s">
        <v>74</v>
      </c>
      <c r="G4509" s="1">
        <v>11</v>
      </c>
      <c r="H4509" s="1">
        <v>1820</v>
      </c>
      <c r="I4509" s="1">
        <v>0</v>
      </c>
      <c r="J4509" s="1">
        <v>20020</v>
      </c>
      <c r="K4509" s="1">
        <v>3299.92</v>
      </c>
      <c r="L4509" s="1" t="s">
        <v>17</v>
      </c>
      <c r="M4509" s="1" t="str">
        <f>TEXT(Table1[[#This Row],[Order Date]],"mmm")</f>
        <v>Jan</v>
      </c>
      <c r="N4509" s="1">
        <f>YEAR(Table1[[#This Row],[Order Date]])</f>
        <v>2024</v>
      </c>
    </row>
    <row r="4510" spans="1:14" x14ac:dyDescent="0.35">
      <c r="A4510" s="1" t="s">
        <v>5306</v>
      </c>
      <c r="B4510" s="1" t="s">
        <v>556</v>
      </c>
      <c r="C4510" s="1" t="s">
        <v>335</v>
      </c>
      <c r="D4510" s="1" t="s">
        <v>44</v>
      </c>
      <c r="E4510" s="1" t="s">
        <v>28</v>
      </c>
      <c r="F4510" s="1" t="s">
        <v>44</v>
      </c>
      <c r="G4510" s="1">
        <v>5</v>
      </c>
      <c r="H4510" s="1">
        <v>7959</v>
      </c>
      <c r="I4510" s="1">
        <v>0.15</v>
      </c>
      <c r="J4510" s="1">
        <v>33825.75</v>
      </c>
      <c r="K4510" s="1">
        <v>4927.8100000000004</v>
      </c>
      <c r="L4510" s="1" t="s">
        <v>70</v>
      </c>
      <c r="M4510" s="1" t="str">
        <f>TEXT(Table1[[#This Row],[Order Date]],"mmm")</f>
        <v>Nov</v>
      </c>
      <c r="N4510" s="1">
        <f>YEAR(Table1[[#This Row],[Order Date]])</f>
        <v>2024</v>
      </c>
    </row>
    <row r="4511" spans="1:14" x14ac:dyDescent="0.35">
      <c r="A4511" s="1" t="s">
        <v>5307</v>
      </c>
      <c r="B4511" s="1" t="s">
        <v>543</v>
      </c>
      <c r="C4511" s="1" t="s">
        <v>178</v>
      </c>
      <c r="D4511" s="1" t="s">
        <v>56</v>
      </c>
      <c r="E4511" s="1" t="s">
        <v>22</v>
      </c>
      <c r="F4511" s="1" t="s">
        <v>56</v>
      </c>
      <c r="G4511" s="1">
        <v>3</v>
      </c>
      <c r="H4511" s="1">
        <v>11810</v>
      </c>
      <c r="I4511" s="1">
        <v>0.05</v>
      </c>
      <c r="J4511" s="1">
        <v>33658.5</v>
      </c>
      <c r="K4511" s="1">
        <v>3143.66</v>
      </c>
      <c r="L4511" s="1" t="s">
        <v>45</v>
      </c>
      <c r="M4511" s="1" t="str">
        <f>TEXT(Table1[[#This Row],[Order Date]],"mmm")</f>
        <v>Jun</v>
      </c>
      <c r="N4511" s="1">
        <f>YEAR(Table1[[#This Row],[Order Date]])</f>
        <v>2024</v>
      </c>
    </row>
    <row r="4512" spans="1:14" x14ac:dyDescent="0.35">
      <c r="A4512" s="1" t="s">
        <v>5308</v>
      </c>
      <c r="B4512" s="1" t="s">
        <v>688</v>
      </c>
      <c r="C4512" s="1" t="s">
        <v>208</v>
      </c>
      <c r="D4512" s="1" t="s">
        <v>108</v>
      </c>
      <c r="E4512" s="1" t="s">
        <v>22</v>
      </c>
      <c r="F4512" s="1" t="s">
        <v>108</v>
      </c>
      <c r="G4512" s="1">
        <v>5</v>
      </c>
      <c r="H4512" s="1">
        <v>23872</v>
      </c>
      <c r="I4512" s="1">
        <v>0.2</v>
      </c>
      <c r="J4512" s="1">
        <v>95488</v>
      </c>
      <c r="K4512" s="1">
        <v>10831.08</v>
      </c>
      <c r="L4512" s="1" t="s">
        <v>70</v>
      </c>
      <c r="M4512" s="1" t="str">
        <f>TEXT(Table1[[#This Row],[Order Date]],"mmm")</f>
        <v>Jul</v>
      </c>
      <c r="N4512" s="1">
        <f>YEAR(Table1[[#This Row],[Order Date]])</f>
        <v>2023</v>
      </c>
    </row>
    <row r="4513" spans="1:14" x14ac:dyDescent="0.35">
      <c r="A4513" s="1" t="s">
        <v>5309</v>
      </c>
      <c r="B4513" s="1" t="s">
        <v>897</v>
      </c>
      <c r="C4513" s="1" t="s">
        <v>332</v>
      </c>
      <c r="D4513" s="1" t="s">
        <v>32</v>
      </c>
      <c r="E4513" s="1" t="s">
        <v>33</v>
      </c>
      <c r="F4513" s="1" t="s">
        <v>32</v>
      </c>
      <c r="G4513" s="1">
        <v>8</v>
      </c>
      <c r="H4513" s="1">
        <v>56492</v>
      </c>
      <c r="I4513" s="1">
        <v>0.2</v>
      </c>
      <c r="J4513" s="1">
        <v>361548.79999999999</v>
      </c>
      <c r="K4513" s="1">
        <v>31481.58</v>
      </c>
      <c r="L4513" s="1" t="s">
        <v>70</v>
      </c>
      <c r="M4513" s="1" t="str">
        <f>TEXT(Table1[[#This Row],[Order Date]],"mmm")</f>
        <v>Dec</v>
      </c>
      <c r="N4513" s="1">
        <f>YEAR(Table1[[#This Row],[Order Date]])</f>
        <v>2023</v>
      </c>
    </row>
    <row r="4514" spans="1:14" x14ac:dyDescent="0.35">
      <c r="A4514" s="1" t="s">
        <v>5310</v>
      </c>
      <c r="B4514" s="1" t="s">
        <v>385</v>
      </c>
      <c r="C4514" s="1" t="s">
        <v>188</v>
      </c>
      <c r="D4514" s="1" t="s">
        <v>41</v>
      </c>
      <c r="E4514" s="1" t="s">
        <v>16</v>
      </c>
      <c r="F4514" s="1" t="s">
        <v>41</v>
      </c>
      <c r="G4514" s="1">
        <v>6</v>
      </c>
      <c r="H4514" s="1">
        <v>21403</v>
      </c>
      <c r="I4514" s="1">
        <v>0</v>
      </c>
      <c r="J4514" s="1">
        <v>128418</v>
      </c>
      <c r="K4514" s="1">
        <v>18399.32</v>
      </c>
      <c r="L4514" s="1" t="s">
        <v>17</v>
      </c>
      <c r="M4514" s="1" t="str">
        <f>TEXT(Table1[[#This Row],[Order Date]],"mmm")</f>
        <v>Jan</v>
      </c>
      <c r="N4514" s="1">
        <f>YEAR(Table1[[#This Row],[Order Date]])</f>
        <v>2023</v>
      </c>
    </row>
    <row r="4515" spans="1:14" x14ac:dyDescent="0.35">
      <c r="A4515" s="1" t="s">
        <v>5311</v>
      </c>
      <c r="B4515" s="1" t="s">
        <v>1391</v>
      </c>
      <c r="C4515" s="1" t="s">
        <v>140</v>
      </c>
      <c r="D4515" s="1" t="s">
        <v>95</v>
      </c>
      <c r="E4515" s="1" t="s">
        <v>33</v>
      </c>
      <c r="F4515" s="1" t="s">
        <v>95</v>
      </c>
      <c r="G4515" s="1">
        <v>13</v>
      </c>
      <c r="H4515" s="1">
        <v>31142</v>
      </c>
      <c r="I4515" s="1">
        <v>0.15</v>
      </c>
      <c r="J4515" s="1">
        <v>344119.1</v>
      </c>
      <c r="K4515" s="1">
        <v>83745.960000000006</v>
      </c>
      <c r="L4515" s="1" t="s">
        <v>45</v>
      </c>
      <c r="M4515" s="1" t="str">
        <f>TEXT(Table1[[#This Row],[Order Date]],"mmm")</f>
        <v>Sep</v>
      </c>
      <c r="N4515" s="1">
        <f>YEAR(Table1[[#This Row],[Order Date]])</f>
        <v>2023</v>
      </c>
    </row>
    <row r="4516" spans="1:14" x14ac:dyDescent="0.35">
      <c r="A4516" s="1" t="s">
        <v>5312</v>
      </c>
      <c r="B4516" s="1" t="s">
        <v>272</v>
      </c>
      <c r="C4516" s="1" t="s">
        <v>203</v>
      </c>
      <c r="D4516" s="1" t="s">
        <v>141</v>
      </c>
      <c r="E4516" s="1" t="s">
        <v>22</v>
      </c>
      <c r="F4516" s="1" t="s">
        <v>141</v>
      </c>
      <c r="G4516" s="1">
        <v>3</v>
      </c>
      <c r="H4516" s="1">
        <v>34077</v>
      </c>
      <c r="I4516" s="1">
        <v>0.1</v>
      </c>
      <c r="J4516" s="1">
        <v>92007.9</v>
      </c>
      <c r="K4516" s="1">
        <v>15449.41</v>
      </c>
      <c r="L4516" s="1" t="s">
        <v>23</v>
      </c>
      <c r="M4516" s="1" t="str">
        <f>TEXT(Table1[[#This Row],[Order Date]],"mmm")</f>
        <v>Jun</v>
      </c>
      <c r="N4516" s="1">
        <f>YEAR(Table1[[#This Row],[Order Date]])</f>
        <v>2023</v>
      </c>
    </row>
    <row r="4517" spans="1:14" x14ac:dyDescent="0.35">
      <c r="A4517" s="1" t="s">
        <v>5313</v>
      </c>
      <c r="B4517" s="1" t="s">
        <v>1840</v>
      </c>
      <c r="C4517" s="1" t="s">
        <v>59</v>
      </c>
      <c r="D4517" s="1" t="s">
        <v>21</v>
      </c>
      <c r="E4517" s="1" t="s">
        <v>22</v>
      </c>
      <c r="F4517" s="1" t="s">
        <v>21</v>
      </c>
      <c r="G4517" s="1">
        <v>8</v>
      </c>
      <c r="H4517" s="1">
        <v>43410</v>
      </c>
      <c r="I4517" s="1">
        <v>0.15</v>
      </c>
      <c r="J4517" s="1">
        <v>295188</v>
      </c>
      <c r="K4517" s="1">
        <v>82214.45</v>
      </c>
      <c r="L4517" s="1" t="s">
        <v>23</v>
      </c>
      <c r="M4517" s="1" t="str">
        <f>TEXT(Table1[[#This Row],[Order Date]],"mmm")</f>
        <v>Aug</v>
      </c>
      <c r="N4517" s="1">
        <f>YEAR(Table1[[#This Row],[Order Date]])</f>
        <v>2024</v>
      </c>
    </row>
    <row r="4518" spans="1:14" x14ac:dyDescent="0.35">
      <c r="A4518" s="1" t="s">
        <v>5314</v>
      </c>
      <c r="B4518" s="1" t="s">
        <v>1559</v>
      </c>
      <c r="C4518" s="1" t="s">
        <v>162</v>
      </c>
      <c r="D4518" s="1" t="s">
        <v>85</v>
      </c>
      <c r="E4518" s="1" t="s">
        <v>28</v>
      </c>
      <c r="F4518" s="1" t="s">
        <v>85</v>
      </c>
      <c r="G4518" s="1">
        <v>13</v>
      </c>
      <c r="H4518" s="1">
        <v>43546</v>
      </c>
      <c r="I4518" s="1">
        <v>0.15</v>
      </c>
      <c r="J4518" s="1">
        <v>481183.3</v>
      </c>
      <c r="K4518" s="1">
        <v>122358.51</v>
      </c>
      <c r="L4518" s="1" t="s">
        <v>45</v>
      </c>
      <c r="M4518" s="1" t="str">
        <f>TEXT(Table1[[#This Row],[Order Date]],"mmm")</f>
        <v>Jan</v>
      </c>
      <c r="N4518" s="1">
        <f>YEAR(Table1[[#This Row],[Order Date]])</f>
        <v>2023</v>
      </c>
    </row>
    <row r="4519" spans="1:14" x14ac:dyDescent="0.35">
      <c r="A4519" s="1" t="s">
        <v>5315</v>
      </c>
      <c r="B4519" s="1" t="s">
        <v>466</v>
      </c>
      <c r="C4519" s="1" t="s">
        <v>507</v>
      </c>
      <c r="D4519" s="1" t="s">
        <v>52</v>
      </c>
      <c r="E4519" s="1" t="s">
        <v>28</v>
      </c>
      <c r="F4519" s="1" t="s">
        <v>52</v>
      </c>
      <c r="G4519" s="1">
        <v>10</v>
      </c>
      <c r="H4519" s="1">
        <v>34187</v>
      </c>
      <c r="I4519" s="1">
        <v>0.2</v>
      </c>
      <c r="J4519" s="1">
        <v>273496</v>
      </c>
      <c r="K4519" s="1">
        <v>77525.86</v>
      </c>
      <c r="L4519" s="1" t="s">
        <v>17</v>
      </c>
      <c r="M4519" s="1" t="str">
        <f>TEXT(Table1[[#This Row],[Order Date]],"mmm")</f>
        <v>Feb</v>
      </c>
      <c r="N4519" s="1">
        <f>YEAR(Table1[[#This Row],[Order Date]])</f>
        <v>2024</v>
      </c>
    </row>
    <row r="4520" spans="1:14" x14ac:dyDescent="0.35">
      <c r="A4520" s="1" t="s">
        <v>5316</v>
      </c>
      <c r="B4520" s="1" t="s">
        <v>846</v>
      </c>
      <c r="C4520" s="1" t="s">
        <v>104</v>
      </c>
      <c r="D4520" s="1" t="s">
        <v>114</v>
      </c>
      <c r="E4520" s="1" t="s">
        <v>16</v>
      </c>
      <c r="F4520" s="1" t="s">
        <v>114</v>
      </c>
      <c r="G4520" s="1">
        <v>3</v>
      </c>
      <c r="H4520" s="1">
        <v>17911</v>
      </c>
      <c r="I4520" s="1">
        <v>0</v>
      </c>
      <c r="J4520" s="1">
        <v>53733</v>
      </c>
      <c r="K4520" s="1">
        <v>9796.34</v>
      </c>
      <c r="L4520" s="1" t="s">
        <v>23</v>
      </c>
      <c r="M4520" s="1" t="str">
        <f>TEXT(Table1[[#This Row],[Order Date]],"mmm")</f>
        <v>Aug</v>
      </c>
      <c r="N4520" s="1">
        <f>YEAR(Table1[[#This Row],[Order Date]])</f>
        <v>2024</v>
      </c>
    </row>
    <row r="4521" spans="1:14" x14ac:dyDescent="0.35">
      <c r="A4521" s="1" t="s">
        <v>5317</v>
      </c>
      <c r="B4521" s="1" t="s">
        <v>499</v>
      </c>
      <c r="C4521" s="1" t="s">
        <v>59</v>
      </c>
      <c r="D4521" s="1" t="s">
        <v>52</v>
      </c>
      <c r="E4521" s="1" t="s">
        <v>28</v>
      </c>
      <c r="F4521" s="1" t="s">
        <v>52</v>
      </c>
      <c r="G4521" s="1">
        <v>12</v>
      </c>
      <c r="H4521" s="1">
        <v>45807</v>
      </c>
      <c r="I4521" s="1">
        <v>0.2</v>
      </c>
      <c r="J4521" s="1">
        <v>439747.2</v>
      </c>
      <c r="K4521" s="1">
        <v>68583.91</v>
      </c>
      <c r="L4521" s="1" t="s">
        <v>45</v>
      </c>
      <c r="M4521" s="1" t="str">
        <f>TEXT(Table1[[#This Row],[Order Date]],"mmm")</f>
        <v>May</v>
      </c>
      <c r="N4521" s="1">
        <f>YEAR(Table1[[#This Row],[Order Date]])</f>
        <v>2024</v>
      </c>
    </row>
    <row r="4522" spans="1:14" x14ac:dyDescent="0.35">
      <c r="A4522" s="1" t="s">
        <v>5318</v>
      </c>
      <c r="B4522" s="1" t="s">
        <v>1389</v>
      </c>
      <c r="C4522" s="1" t="s">
        <v>117</v>
      </c>
      <c r="D4522" s="1" t="s">
        <v>108</v>
      </c>
      <c r="E4522" s="1" t="s">
        <v>22</v>
      </c>
      <c r="F4522" s="1" t="s">
        <v>108</v>
      </c>
      <c r="G4522" s="1">
        <v>7</v>
      </c>
      <c r="H4522" s="1">
        <v>36625</v>
      </c>
      <c r="I4522" s="1">
        <v>0.05</v>
      </c>
      <c r="J4522" s="1">
        <v>243556.25</v>
      </c>
      <c r="K4522" s="1">
        <v>21197.8</v>
      </c>
      <c r="L4522" s="1" t="s">
        <v>17</v>
      </c>
      <c r="M4522" s="1" t="str">
        <f>TEXT(Table1[[#This Row],[Order Date]],"mmm")</f>
        <v>Apr</v>
      </c>
      <c r="N4522" s="1">
        <f>YEAR(Table1[[#This Row],[Order Date]])</f>
        <v>2023</v>
      </c>
    </row>
    <row r="4523" spans="1:14" x14ac:dyDescent="0.35">
      <c r="A4523" s="1" t="s">
        <v>5319</v>
      </c>
      <c r="B4523" s="1" t="s">
        <v>2066</v>
      </c>
      <c r="C4523" s="1" t="s">
        <v>77</v>
      </c>
      <c r="D4523" s="1" t="s">
        <v>64</v>
      </c>
      <c r="E4523" s="1" t="s">
        <v>33</v>
      </c>
      <c r="F4523" s="1" t="s">
        <v>64</v>
      </c>
      <c r="G4523" s="1">
        <v>1</v>
      </c>
      <c r="H4523" s="1">
        <v>24594</v>
      </c>
      <c r="I4523" s="1">
        <v>0.1</v>
      </c>
      <c r="J4523" s="1">
        <v>22134.6</v>
      </c>
      <c r="K4523" s="1">
        <v>2028.87</v>
      </c>
      <c r="L4523" s="1" t="s">
        <v>70</v>
      </c>
      <c r="M4523" s="1" t="str">
        <f>TEXT(Table1[[#This Row],[Order Date]],"mmm")</f>
        <v>Sep</v>
      </c>
      <c r="N4523" s="1">
        <f>YEAR(Table1[[#This Row],[Order Date]])</f>
        <v>2024</v>
      </c>
    </row>
    <row r="4524" spans="1:14" x14ac:dyDescent="0.35">
      <c r="A4524" s="1" t="s">
        <v>5320</v>
      </c>
      <c r="B4524" s="1" t="s">
        <v>1161</v>
      </c>
      <c r="C4524" s="1" t="s">
        <v>104</v>
      </c>
      <c r="D4524" s="1" t="s">
        <v>21</v>
      </c>
      <c r="E4524" s="1" t="s">
        <v>22</v>
      </c>
      <c r="F4524" s="1" t="s">
        <v>21</v>
      </c>
      <c r="G4524" s="1">
        <v>8</v>
      </c>
      <c r="H4524" s="1">
        <v>31856</v>
      </c>
      <c r="I4524" s="1">
        <v>0.15</v>
      </c>
      <c r="J4524" s="1">
        <v>216620.79999999999</v>
      </c>
      <c r="K4524" s="1">
        <v>41581.82</v>
      </c>
      <c r="L4524" s="1" t="s">
        <v>23</v>
      </c>
      <c r="M4524" s="1" t="str">
        <f>TEXT(Table1[[#This Row],[Order Date]],"mmm")</f>
        <v>Mar</v>
      </c>
      <c r="N4524" s="1">
        <f>YEAR(Table1[[#This Row],[Order Date]])</f>
        <v>2024</v>
      </c>
    </row>
    <row r="4525" spans="1:14" x14ac:dyDescent="0.35">
      <c r="A4525" s="1" t="s">
        <v>5321</v>
      </c>
      <c r="B4525" s="1" t="s">
        <v>207</v>
      </c>
      <c r="C4525" s="1" t="s">
        <v>107</v>
      </c>
      <c r="D4525" s="1" t="s">
        <v>56</v>
      </c>
      <c r="E4525" s="1" t="s">
        <v>22</v>
      </c>
      <c r="F4525" s="1" t="s">
        <v>56</v>
      </c>
      <c r="G4525" s="1">
        <v>1</v>
      </c>
      <c r="H4525" s="1">
        <v>47547</v>
      </c>
      <c r="I4525" s="1">
        <v>0.2</v>
      </c>
      <c r="J4525" s="1">
        <v>38037.599999999999</v>
      </c>
      <c r="K4525" s="1">
        <v>8538.2800000000007</v>
      </c>
      <c r="L4525" s="1" t="s">
        <v>23</v>
      </c>
      <c r="M4525" s="1" t="str">
        <f>TEXT(Table1[[#This Row],[Order Date]],"mmm")</f>
        <v>Jun</v>
      </c>
      <c r="N4525" s="1">
        <f>YEAR(Table1[[#This Row],[Order Date]])</f>
        <v>2024</v>
      </c>
    </row>
    <row r="4526" spans="1:14" x14ac:dyDescent="0.35">
      <c r="A4526" s="1" t="s">
        <v>5322</v>
      </c>
      <c r="B4526" s="1" t="s">
        <v>660</v>
      </c>
      <c r="C4526" s="1" t="s">
        <v>63</v>
      </c>
      <c r="D4526" s="1" t="s">
        <v>21</v>
      </c>
      <c r="E4526" s="1" t="s">
        <v>22</v>
      </c>
      <c r="F4526" s="1" t="s">
        <v>21</v>
      </c>
      <c r="G4526" s="1">
        <v>8</v>
      </c>
      <c r="H4526" s="1">
        <v>32394</v>
      </c>
      <c r="I4526" s="1">
        <v>0</v>
      </c>
      <c r="J4526" s="1">
        <v>259152</v>
      </c>
      <c r="K4526" s="1">
        <v>59873.43</v>
      </c>
      <c r="L4526" s="1" t="s">
        <v>17</v>
      </c>
      <c r="M4526" s="1" t="str">
        <f>TEXT(Table1[[#This Row],[Order Date]],"mmm")</f>
        <v>May</v>
      </c>
      <c r="N4526" s="1">
        <f>YEAR(Table1[[#This Row],[Order Date]])</f>
        <v>2023</v>
      </c>
    </row>
    <row r="4527" spans="1:14" x14ac:dyDescent="0.35">
      <c r="A4527" s="1" t="s">
        <v>5323</v>
      </c>
      <c r="B4527" s="1" t="s">
        <v>1326</v>
      </c>
      <c r="C4527" s="1" t="s">
        <v>84</v>
      </c>
      <c r="D4527" s="1" t="s">
        <v>108</v>
      </c>
      <c r="E4527" s="1" t="s">
        <v>22</v>
      </c>
      <c r="F4527" s="1" t="s">
        <v>108</v>
      </c>
      <c r="G4527" s="1">
        <v>14</v>
      </c>
      <c r="H4527" s="1">
        <v>59164</v>
      </c>
      <c r="I4527" s="1">
        <v>0.15</v>
      </c>
      <c r="J4527" s="1">
        <v>704051.6</v>
      </c>
      <c r="K4527" s="1">
        <v>103143.73</v>
      </c>
      <c r="L4527" s="1" t="s">
        <v>45</v>
      </c>
      <c r="M4527" s="1" t="str">
        <f>TEXT(Table1[[#This Row],[Order Date]],"mmm")</f>
        <v>Dec</v>
      </c>
      <c r="N4527" s="1">
        <f>YEAR(Table1[[#This Row],[Order Date]])</f>
        <v>2023</v>
      </c>
    </row>
    <row r="4528" spans="1:14" x14ac:dyDescent="0.35">
      <c r="A4528" s="1" t="s">
        <v>5324</v>
      </c>
      <c r="B4528" s="1" t="s">
        <v>709</v>
      </c>
      <c r="C4528" s="1" t="s">
        <v>67</v>
      </c>
      <c r="D4528" s="1" t="s">
        <v>48</v>
      </c>
      <c r="E4528" s="1" t="s">
        <v>16</v>
      </c>
      <c r="F4528" s="1" t="s">
        <v>48</v>
      </c>
      <c r="G4528" s="1">
        <v>15</v>
      </c>
      <c r="H4528" s="1">
        <v>9392</v>
      </c>
      <c r="I4528" s="1">
        <v>0.15</v>
      </c>
      <c r="J4528" s="1">
        <v>119748</v>
      </c>
      <c r="K4528" s="1">
        <v>31599.29</v>
      </c>
      <c r="L4528" s="1" t="s">
        <v>23</v>
      </c>
      <c r="M4528" s="1" t="str">
        <f>TEXT(Table1[[#This Row],[Order Date]],"mmm")</f>
        <v>Feb</v>
      </c>
      <c r="N4528" s="1">
        <f>YEAR(Table1[[#This Row],[Order Date]])</f>
        <v>2023</v>
      </c>
    </row>
    <row r="4529" spans="1:14" x14ac:dyDescent="0.35">
      <c r="A4529" s="1" t="s">
        <v>5325</v>
      </c>
      <c r="B4529" s="1" t="s">
        <v>292</v>
      </c>
      <c r="C4529" s="1" t="s">
        <v>140</v>
      </c>
      <c r="D4529" s="1" t="s">
        <v>74</v>
      </c>
      <c r="E4529" s="1" t="s">
        <v>22</v>
      </c>
      <c r="F4529" s="1" t="s">
        <v>74</v>
      </c>
      <c r="G4529" s="1">
        <v>13</v>
      </c>
      <c r="H4529" s="1">
        <v>40415</v>
      </c>
      <c r="I4529" s="1">
        <v>0.2</v>
      </c>
      <c r="J4529" s="1">
        <v>420316</v>
      </c>
      <c r="K4529" s="1">
        <v>75472.94</v>
      </c>
      <c r="L4529" s="1" t="s">
        <v>17</v>
      </c>
      <c r="M4529" s="1" t="str">
        <f>TEXT(Table1[[#This Row],[Order Date]],"mmm")</f>
        <v>Aug</v>
      </c>
      <c r="N4529" s="1">
        <f>YEAR(Table1[[#This Row],[Order Date]])</f>
        <v>2024</v>
      </c>
    </row>
    <row r="4530" spans="1:14" x14ac:dyDescent="0.35">
      <c r="A4530" s="1" t="s">
        <v>5326</v>
      </c>
      <c r="B4530" s="1" t="s">
        <v>864</v>
      </c>
      <c r="C4530" s="1" t="s">
        <v>125</v>
      </c>
      <c r="D4530" s="1" t="s">
        <v>95</v>
      </c>
      <c r="E4530" s="1" t="s">
        <v>33</v>
      </c>
      <c r="F4530" s="1" t="s">
        <v>95</v>
      </c>
      <c r="G4530" s="1">
        <v>4</v>
      </c>
      <c r="H4530" s="1">
        <v>16358</v>
      </c>
      <c r="I4530" s="1">
        <v>0</v>
      </c>
      <c r="J4530" s="1">
        <v>65432</v>
      </c>
      <c r="K4530" s="1">
        <v>16664.89</v>
      </c>
      <c r="L4530" s="1" t="s">
        <v>17</v>
      </c>
      <c r="M4530" s="1" t="str">
        <f>TEXT(Table1[[#This Row],[Order Date]],"mmm")</f>
        <v>May</v>
      </c>
      <c r="N4530" s="1">
        <f>YEAR(Table1[[#This Row],[Order Date]])</f>
        <v>2024</v>
      </c>
    </row>
    <row r="4531" spans="1:14" x14ac:dyDescent="0.35">
      <c r="A4531" s="1" t="s">
        <v>5327</v>
      </c>
      <c r="B4531" s="1" t="s">
        <v>1232</v>
      </c>
      <c r="C4531" s="1" t="s">
        <v>36</v>
      </c>
      <c r="D4531" s="1" t="s">
        <v>167</v>
      </c>
      <c r="E4531" s="1" t="s">
        <v>16</v>
      </c>
      <c r="F4531" s="1" t="s">
        <v>167</v>
      </c>
      <c r="G4531" s="1">
        <v>2</v>
      </c>
      <c r="H4531" s="1">
        <v>49875</v>
      </c>
      <c r="I4531" s="1">
        <v>0.1</v>
      </c>
      <c r="J4531" s="1">
        <v>89775</v>
      </c>
      <c r="K4531" s="1">
        <v>19408.89</v>
      </c>
      <c r="L4531" s="1" t="s">
        <v>17</v>
      </c>
      <c r="M4531" s="1" t="str">
        <f>TEXT(Table1[[#This Row],[Order Date]],"mmm")</f>
        <v>Sep</v>
      </c>
      <c r="N4531" s="1">
        <f>YEAR(Table1[[#This Row],[Order Date]])</f>
        <v>2023</v>
      </c>
    </row>
    <row r="4532" spans="1:14" x14ac:dyDescent="0.35">
      <c r="A4532" s="1" t="s">
        <v>5328</v>
      </c>
      <c r="B4532" s="1" t="s">
        <v>148</v>
      </c>
      <c r="C4532" s="1" t="s">
        <v>260</v>
      </c>
      <c r="D4532" s="1" t="s">
        <v>52</v>
      </c>
      <c r="E4532" s="1" t="s">
        <v>28</v>
      </c>
      <c r="F4532" s="1" t="s">
        <v>52</v>
      </c>
      <c r="G4532" s="1">
        <v>4</v>
      </c>
      <c r="H4532" s="1">
        <v>41740</v>
      </c>
      <c r="I4532" s="1">
        <v>0.05</v>
      </c>
      <c r="J4532" s="1">
        <v>158612</v>
      </c>
      <c r="K4532" s="1">
        <v>26150.75</v>
      </c>
      <c r="L4532" s="1" t="s">
        <v>17</v>
      </c>
      <c r="M4532" s="1" t="str">
        <f>TEXT(Table1[[#This Row],[Order Date]],"mmm")</f>
        <v>Jan</v>
      </c>
      <c r="N4532" s="1">
        <f>YEAR(Table1[[#This Row],[Order Date]])</f>
        <v>2024</v>
      </c>
    </row>
    <row r="4533" spans="1:14" x14ac:dyDescent="0.35">
      <c r="A4533" s="1" t="s">
        <v>5329</v>
      </c>
      <c r="B4533" s="1" t="s">
        <v>1299</v>
      </c>
      <c r="C4533" s="1" t="s">
        <v>255</v>
      </c>
      <c r="D4533" s="1" t="s">
        <v>85</v>
      </c>
      <c r="E4533" s="1" t="s">
        <v>28</v>
      </c>
      <c r="F4533" s="1" t="s">
        <v>85</v>
      </c>
      <c r="G4533" s="1">
        <v>15</v>
      </c>
      <c r="H4533" s="1">
        <v>18880</v>
      </c>
      <c r="I4533" s="1">
        <v>0.05</v>
      </c>
      <c r="J4533" s="1">
        <v>269040</v>
      </c>
      <c r="K4533" s="1">
        <v>47633.86</v>
      </c>
      <c r="L4533" s="1" t="s">
        <v>17</v>
      </c>
      <c r="M4533" s="1" t="str">
        <f>TEXT(Table1[[#This Row],[Order Date]],"mmm")</f>
        <v>Sep</v>
      </c>
      <c r="N4533" s="1">
        <f>YEAR(Table1[[#This Row],[Order Date]])</f>
        <v>2024</v>
      </c>
    </row>
    <row r="4534" spans="1:14" x14ac:dyDescent="0.35">
      <c r="A4534" s="1" t="s">
        <v>5330</v>
      </c>
      <c r="B4534" s="1" t="s">
        <v>1878</v>
      </c>
      <c r="C4534" s="1" t="s">
        <v>84</v>
      </c>
      <c r="D4534" s="1" t="s">
        <v>108</v>
      </c>
      <c r="E4534" s="1" t="s">
        <v>22</v>
      </c>
      <c r="F4534" s="1" t="s">
        <v>108</v>
      </c>
      <c r="G4534" s="1">
        <v>2</v>
      </c>
      <c r="H4534" s="1">
        <v>51027</v>
      </c>
      <c r="I4534" s="1">
        <v>0.15</v>
      </c>
      <c r="J4534" s="1">
        <v>86745.9</v>
      </c>
      <c r="K4534" s="1">
        <v>13124.77</v>
      </c>
      <c r="L4534" s="1" t="s">
        <v>23</v>
      </c>
      <c r="M4534" s="1" t="str">
        <f>TEXT(Table1[[#This Row],[Order Date]],"mmm")</f>
        <v>Jun</v>
      </c>
      <c r="N4534" s="1">
        <f>YEAR(Table1[[#This Row],[Order Date]])</f>
        <v>2024</v>
      </c>
    </row>
    <row r="4535" spans="1:14" x14ac:dyDescent="0.35">
      <c r="A4535" s="1" t="s">
        <v>5331</v>
      </c>
      <c r="B4535" s="1" t="s">
        <v>1218</v>
      </c>
      <c r="C4535" s="1" t="s">
        <v>349</v>
      </c>
      <c r="D4535" s="1" t="s">
        <v>137</v>
      </c>
      <c r="E4535" s="1" t="s">
        <v>22</v>
      </c>
      <c r="F4535" s="1" t="s">
        <v>137</v>
      </c>
      <c r="G4535" s="1">
        <v>12</v>
      </c>
      <c r="H4535" s="1">
        <v>411</v>
      </c>
      <c r="I4535" s="1">
        <v>0</v>
      </c>
      <c r="J4535" s="1">
        <v>4932</v>
      </c>
      <c r="K4535" s="1">
        <v>1195.23</v>
      </c>
      <c r="L4535" s="1" t="s">
        <v>70</v>
      </c>
      <c r="M4535" s="1" t="str">
        <f>TEXT(Table1[[#This Row],[Order Date]],"mmm")</f>
        <v>May</v>
      </c>
      <c r="N4535" s="1">
        <f>YEAR(Table1[[#This Row],[Order Date]])</f>
        <v>2024</v>
      </c>
    </row>
    <row r="4536" spans="1:14" x14ac:dyDescent="0.35">
      <c r="A4536" s="1" t="s">
        <v>5332</v>
      </c>
      <c r="B4536" s="1" t="s">
        <v>617</v>
      </c>
      <c r="C4536" s="1" t="s">
        <v>200</v>
      </c>
      <c r="D4536" s="1" t="s">
        <v>224</v>
      </c>
      <c r="E4536" s="1" t="s">
        <v>33</v>
      </c>
      <c r="F4536" s="1" t="s">
        <v>224</v>
      </c>
      <c r="G4536" s="1">
        <v>2</v>
      </c>
      <c r="H4536" s="1">
        <v>20790</v>
      </c>
      <c r="I4536" s="1">
        <v>0.05</v>
      </c>
      <c r="J4536" s="1">
        <v>39501</v>
      </c>
      <c r="K4536" s="1">
        <v>5604.02</v>
      </c>
      <c r="L4536" s="1" t="s">
        <v>45</v>
      </c>
      <c r="M4536" s="1" t="str">
        <f>TEXT(Table1[[#This Row],[Order Date]],"mmm")</f>
        <v>Jul</v>
      </c>
      <c r="N4536" s="1">
        <f>YEAR(Table1[[#This Row],[Order Date]])</f>
        <v>2023</v>
      </c>
    </row>
    <row r="4537" spans="1:14" x14ac:dyDescent="0.35">
      <c r="A4537" s="1" t="s">
        <v>5333</v>
      </c>
      <c r="B4537" s="1" t="s">
        <v>509</v>
      </c>
      <c r="C4537" s="1" t="s">
        <v>170</v>
      </c>
      <c r="D4537" s="1" t="s">
        <v>78</v>
      </c>
      <c r="E4537" s="1" t="s">
        <v>28</v>
      </c>
      <c r="F4537" s="1" t="s">
        <v>78</v>
      </c>
      <c r="G4537" s="1">
        <v>3</v>
      </c>
      <c r="H4537" s="1">
        <v>27881</v>
      </c>
      <c r="I4537" s="1">
        <v>0.2</v>
      </c>
      <c r="J4537" s="1">
        <v>66914.399999999994</v>
      </c>
      <c r="K4537" s="1">
        <v>17329.52</v>
      </c>
      <c r="L4537" s="1" t="s">
        <v>17</v>
      </c>
      <c r="M4537" s="1" t="str">
        <f>TEXT(Table1[[#This Row],[Order Date]],"mmm")</f>
        <v>Jan</v>
      </c>
      <c r="N4537" s="1">
        <f>YEAR(Table1[[#This Row],[Order Date]])</f>
        <v>2023</v>
      </c>
    </row>
    <row r="4538" spans="1:14" x14ac:dyDescent="0.35">
      <c r="A4538" s="1" t="s">
        <v>5334</v>
      </c>
      <c r="B4538" s="1" t="s">
        <v>132</v>
      </c>
      <c r="C4538" s="1" t="s">
        <v>362</v>
      </c>
      <c r="D4538" s="1" t="s">
        <v>48</v>
      </c>
      <c r="E4538" s="1" t="s">
        <v>16</v>
      </c>
      <c r="F4538" s="1" t="s">
        <v>48</v>
      </c>
      <c r="G4538" s="1">
        <v>8</v>
      </c>
      <c r="H4538" s="1">
        <v>13868</v>
      </c>
      <c r="I4538" s="1">
        <v>0.15</v>
      </c>
      <c r="J4538" s="1">
        <v>94302.399999999994</v>
      </c>
      <c r="K4538" s="1">
        <v>27024.5</v>
      </c>
      <c r="L4538" s="1" t="s">
        <v>17</v>
      </c>
      <c r="M4538" s="1" t="str">
        <f>TEXT(Table1[[#This Row],[Order Date]],"mmm")</f>
        <v>Feb</v>
      </c>
      <c r="N4538" s="1">
        <f>YEAR(Table1[[#This Row],[Order Date]])</f>
        <v>2023</v>
      </c>
    </row>
    <row r="4539" spans="1:14" x14ac:dyDescent="0.35">
      <c r="A4539" s="1" t="s">
        <v>5335</v>
      </c>
      <c r="B4539" s="1" t="s">
        <v>1320</v>
      </c>
      <c r="C4539" s="1" t="s">
        <v>63</v>
      </c>
      <c r="D4539" s="1" t="s">
        <v>91</v>
      </c>
      <c r="E4539" s="1" t="s">
        <v>16</v>
      </c>
      <c r="F4539" s="1" t="s">
        <v>91</v>
      </c>
      <c r="G4539" s="1">
        <v>15</v>
      </c>
      <c r="H4539" s="1">
        <v>34836</v>
      </c>
      <c r="I4539" s="1">
        <v>0</v>
      </c>
      <c r="J4539" s="1">
        <v>522540</v>
      </c>
      <c r="K4539" s="1">
        <v>149600.59</v>
      </c>
      <c r="L4539" s="1" t="s">
        <v>70</v>
      </c>
      <c r="M4539" s="1" t="str">
        <f>TEXT(Table1[[#This Row],[Order Date]],"mmm")</f>
        <v>Mar</v>
      </c>
      <c r="N4539" s="1">
        <f>YEAR(Table1[[#This Row],[Order Date]])</f>
        <v>2023</v>
      </c>
    </row>
    <row r="4540" spans="1:14" x14ac:dyDescent="0.35">
      <c r="A4540" s="1" t="s">
        <v>5336</v>
      </c>
      <c r="B4540" s="1" t="s">
        <v>589</v>
      </c>
      <c r="C4540" s="1" t="s">
        <v>67</v>
      </c>
      <c r="D4540" s="1" t="s">
        <v>44</v>
      </c>
      <c r="E4540" s="1" t="s">
        <v>28</v>
      </c>
      <c r="F4540" s="1" t="s">
        <v>44</v>
      </c>
      <c r="G4540" s="1">
        <v>10</v>
      </c>
      <c r="H4540" s="1">
        <v>44291</v>
      </c>
      <c r="I4540" s="1">
        <v>0</v>
      </c>
      <c r="J4540" s="1">
        <v>442910</v>
      </c>
      <c r="K4540" s="1">
        <v>125993.74</v>
      </c>
      <c r="L4540" s="1" t="s">
        <v>70</v>
      </c>
      <c r="M4540" s="1" t="str">
        <f>TEXT(Table1[[#This Row],[Order Date]],"mmm")</f>
        <v>Sep</v>
      </c>
      <c r="N4540" s="1">
        <f>YEAR(Table1[[#This Row],[Order Date]])</f>
        <v>2023</v>
      </c>
    </row>
    <row r="4541" spans="1:14" x14ac:dyDescent="0.35">
      <c r="A4541" s="1" t="s">
        <v>5337</v>
      </c>
      <c r="B4541" s="1" t="s">
        <v>365</v>
      </c>
      <c r="C4541" s="1" t="s">
        <v>111</v>
      </c>
      <c r="D4541" s="1" t="s">
        <v>91</v>
      </c>
      <c r="E4541" s="1" t="s">
        <v>16</v>
      </c>
      <c r="F4541" s="1" t="s">
        <v>91</v>
      </c>
      <c r="G4541" s="1">
        <v>4</v>
      </c>
      <c r="H4541" s="1">
        <v>10707</v>
      </c>
      <c r="I4541" s="1">
        <v>0.2</v>
      </c>
      <c r="J4541" s="1">
        <v>34262.400000000001</v>
      </c>
      <c r="K4541" s="1">
        <v>9827.09</v>
      </c>
      <c r="L4541" s="1" t="s">
        <v>70</v>
      </c>
      <c r="M4541" s="1" t="str">
        <f>TEXT(Table1[[#This Row],[Order Date]],"mmm")</f>
        <v>Jun</v>
      </c>
      <c r="N4541" s="1">
        <f>YEAR(Table1[[#This Row],[Order Date]])</f>
        <v>2023</v>
      </c>
    </row>
    <row r="4542" spans="1:14" x14ac:dyDescent="0.35">
      <c r="A4542" s="1" t="s">
        <v>5338</v>
      </c>
      <c r="B4542" s="1" t="s">
        <v>909</v>
      </c>
      <c r="C4542" s="1" t="s">
        <v>136</v>
      </c>
      <c r="D4542" s="1" t="s">
        <v>60</v>
      </c>
      <c r="E4542" s="1" t="s">
        <v>33</v>
      </c>
      <c r="F4542" s="1" t="s">
        <v>60</v>
      </c>
      <c r="G4542" s="1">
        <v>1</v>
      </c>
      <c r="H4542" s="1">
        <v>8722</v>
      </c>
      <c r="I4542" s="1">
        <v>0.15</v>
      </c>
      <c r="J4542" s="1">
        <v>7413.7</v>
      </c>
      <c r="K4542" s="1">
        <v>1951.33</v>
      </c>
      <c r="L4542" s="1" t="s">
        <v>17</v>
      </c>
      <c r="M4542" s="1" t="str">
        <f>TEXT(Table1[[#This Row],[Order Date]],"mmm")</f>
        <v>Sep</v>
      </c>
      <c r="N4542" s="1">
        <f>YEAR(Table1[[#This Row],[Order Date]])</f>
        <v>2024</v>
      </c>
    </row>
    <row r="4543" spans="1:14" x14ac:dyDescent="0.35">
      <c r="A4543" s="1" t="s">
        <v>5339</v>
      </c>
      <c r="B4543" s="1" t="s">
        <v>700</v>
      </c>
      <c r="C4543" s="1" t="s">
        <v>155</v>
      </c>
      <c r="D4543" s="1" t="s">
        <v>44</v>
      </c>
      <c r="E4543" s="1" t="s">
        <v>28</v>
      </c>
      <c r="F4543" s="1" t="s">
        <v>44</v>
      </c>
      <c r="G4543" s="1">
        <v>15</v>
      </c>
      <c r="H4543" s="1">
        <v>55085</v>
      </c>
      <c r="I4543" s="1">
        <v>0</v>
      </c>
      <c r="J4543" s="1">
        <v>826275</v>
      </c>
      <c r="K4543" s="1">
        <v>247597.7</v>
      </c>
      <c r="L4543" s="1" t="s">
        <v>17</v>
      </c>
      <c r="M4543" s="1" t="str">
        <f>TEXT(Table1[[#This Row],[Order Date]],"mmm")</f>
        <v>Feb</v>
      </c>
      <c r="N4543" s="1">
        <f>YEAR(Table1[[#This Row],[Order Date]])</f>
        <v>2024</v>
      </c>
    </row>
    <row r="4544" spans="1:14" x14ac:dyDescent="0.35">
      <c r="A4544" s="1" t="s">
        <v>5340</v>
      </c>
      <c r="B4544" s="1" t="s">
        <v>2154</v>
      </c>
      <c r="C4544" s="1" t="s">
        <v>55</v>
      </c>
      <c r="D4544" s="1" t="s">
        <v>37</v>
      </c>
      <c r="E4544" s="1" t="s">
        <v>16</v>
      </c>
      <c r="F4544" s="1" t="s">
        <v>37</v>
      </c>
      <c r="G4544" s="1">
        <v>15</v>
      </c>
      <c r="H4544" s="1">
        <v>57333</v>
      </c>
      <c r="I4544" s="1">
        <v>0</v>
      </c>
      <c r="J4544" s="1">
        <v>859995</v>
      </c>
      <c r="K4544" s="1">
        <v>113530.01</v>
      </c>
      <c r="L4544" s="1" t="s">
        <v>70</v>
      </c>
      <c r="M4544" s="1" t="str">
        <f>TEXT(Table1[[#This Row],[Order Date]],"mmm")</f>
        <v>Oct</v>
      </c>
      <c r="N4544" s="1">
        <f>YEAR(Table1[[#This Row],[Order Date]])</f>
        <v>2024</v>
      </c>
    </row>
    <row r="4545" spans="1:14" x14ac:dyDescent="0.35">
      <c r="A4545" s="1" t="s">
        <v>5341</v>
      </c>
      <c r="B4545" s="1" t="s">
        <v>2460</v>
      </c>
      <c r="C4545" s="1" t="s">
        <v>208</v>
      </c>
      <c r="D4545" s="1" t="s">
        <v>293</v>
      </c>
      <c r="E4545" s="1" t="s">
        <v>33</v>
      </c>
      <c r="F4545" s="1" t="s">
        <v>293</v>
      </c>
      <c r="G4545" s="1">
        <v>11</v>
      </c>
      <c r="H4545" s="1">
        <v>12621</v>
      </c>
      <c r="I4545" s="1">
        <v>0.05</v>
      </c>
      <c r="J4545" s="1">
        <v>131889.45000000001</v>
      </c>
      <c r="K4545" s="1">
        <v>28917.32</v>
      </c>
      <c r="L4545" s="1" t="s">
        <v>17</v>
      </c>
      <c r="M4545" s="1" t="str">
        <f>TEXT(Table1[[#This Row],[Order Date]],"mmm")</f>
        <v>Jan</v>
      </c>
      <c r="N4545" s="1">
        <f>YEAR(Table1[[#This Row],[Order Date]])</f>
        <v>2023</v>
      </c>
    </row>
    <row r="4546" spans="1:14" x14ac:dyDescent="0.35">
      <c r="A4546" s="1" t="s">
        <v>5342</v>
      </c>
      <c r="B4546" s="1" t="s">
        <v>2178</v>
      </c>
      <c r="C4546" s="1" t="s">
        <v>162</v>
      </c>
      <c r="D4546" s="1" t="s">
        <v>133</v>
      </c>
      <c r="E4546" s="1" t="s">
        <v>22</v>
      </c>
      <c r="F4546" s="1" t="s">
        <v>133</v>
      </c>
      <c r="G4546" s="1">
        <v>5</v>
      </c>
      <c r="H4546" s="1">
        <v>18778</v>
      </c>
      <c r="I4546" s="1">
        <v>0.1</v>
      </c>
      <c r="J4546" s="1">
        <v>84501</v>
      </c>
      <c r="K4546" s="1">
        <v>12085.51</v>
      </c>
      <c r="L4546" s="1" t="s">
        <v>23</v>
      </c>
      <c r="M4546" s="1" t="str">
        <f>TEXT(Table1[[#This Row],[Order Date]],"mmm")</f>
        <v>Jul</v>
      </c>
      <c r="N4546" s="1">
        <f>YEAR(Table1[[#This Row],[Order Date]])</f>
        <v>2023</v>
      </c>
    </row>
    <row r="4547" spans="1:14" x14ac:dyDescent="0.35">
      <c r="A4547" s="1" t="s">
        <v>5343</v>
      </c>
      <c r="B4547" s="1" t="s">
        <v>1460</v>
      </c>
      <c r="C4547" s="1" t="s">
        <v>203</v>
      </c>
      <c r="D4547" s="1" t="s">
        <v>15</v>
      </c>
      <c r="E4547" s="1" t="s">
        <v>16</v>
      </c>
      <c r="F4547" s="1" t="s">
        <v>15</v>
      </c>
      <c r="G4547" s="1">
        <v>4</v>
      </c>
      <c r="H4547" s="1">
        <v>44834</v>
      </c>
      <c r="I4547" s="1">
        <v>0.1</v>
      </c>
      <c r="J4547" s="1">
        <v>161402.4</v>
      </c>
      <c r="K4547" s="1">
        <v>26471.81</v>
      </c>
      <c r="L4547" s="1" t="s">
        <v>70</v>
      </c>
      <c r="M4547" s="1" t="str">
        <f>TEXT(Table1[[#This Row],[Order Date]],"mmm")</f>
        <v>Feb</v>
      </c>
      <c r="N4547" s="1">
        <f>YEAR(Table1[[#This Row],[Order Date]])</f>
        <v>2023</v>
      </c>
    </row>
    <row r="4548" spans="1:14" x14ac:dyDescent="0.35">
      <c r="A4548" s="1" t="s">
        <v>5344</v>
      </c>
      <c r="B4548" s="1" t="s">
        <v>2068</v>
      </c>
      <c r="C4548" s="1" t="s">
        <v>101</v>
      </c>
      <c r="D4548" s="1" t="s">
        <v>27</v>
      </c>
      <c r="E4548" s="1" t="s">
        <v>28</v>
      </c>
      <c r="F4548" s="1" t="s">
        <v>27</v>
      </c>
      <c r="G4548" s="1">
        <v>8</v>
      </c>
      <c r="H4548" s="1">
        <v>28472</v>
      </c>
      <c r="I4548" s="1">
        <v>0.05</v>
      </c>
      <c r="J4548" s="1">
        <v>216387.20000000001</v>
      </c>
      <c r="K4548" s="1">
        <v>52207.25</v>
      </c>
      <c r="L4548" s="1" t="s">
        <v>23</v>
      </c>
      <c r="M4548" s="1" t="str">
        <f>TEXT(Table1[[#This Row],[Order Date]],"mmm")</f>
        <v>Oct</v>
      </c>
      <c r="N4548" s="1">
        <f>YEAR(Table1[[#This Row],[Order Date]])</f>
        <v>2023</v>
      </c>
    </row>
    <row r="4549" spans="1:14" x14ac:dyDescent="0.35">
      <c r="A4549" s="1" t="s">
        <v>5345</v>
      </c>
      <c r="B4549" s="1" t="s">
        <v>657</v>
      </c>
      <c r="C4549" s="1" t="s">
        <v>136</v>
      </c>
      <c r="D4549" s="1" t="s">
        <v>141</v>
      </c>
      <c r="E4549" s="1" t="s">
        <v>22</v>
      </c>
      <c r="F4549" s="1" t="s">
        <v>141</v>
      </c>
      <c r="G4549" s="1">
        <v>2</v>
      </c>
      <c r="H4549" s="1">
        <v>795</v>
      </c>
      <c r="I4549" s="1">
        <v>0.05</v>
      </c>
      <c r="J4549" s="1">
        <v>1510.5</v>
      </c>
      <c r="K4549" s="1">
        <v>373.48</v>
      </c>
      <c r="L4549" s="1" t="s">
        <v>17</v>
      </c>
      <c r="M4549" s="1" t="str">
        <f>TEXT(Table1[[#This Row],[Order Date]],"mmm")</f>
        <v>Jan</v>
      </c>
      <c r="N4549" s="1">
        <f>YEAR(Table1[[#This Row],[Order Date]])</f>
        <v>2024</v>
      </c>
    </row>
    <row r="4550" spans="1:14" x14ac:dyDescent="0.35">
      <c r="A4550" s="1" t="s">
        <v>5346</v>
      </c>
      <c r="B4550" s="1" t="s">
        <v>3622</v>
      </c>
      <c r="C4550" s="1" t="s">
        <v>260</v>
      </c>
      <c r="D4550" s="1" t="s">
        <v>179</v>
      </c>
      <c r="E4550" s="1" t="s">
        <v>28</v>
      </c>
      <c r="F4550" s="1" t="s">
        <v>179</v>
      </c>
      <c r="G4550" s="1">
        <v>13</v>
      </c>
      <c r="H4550" s="1">
        <v>48997</v>
      </c>
      <c r="I4550" s="1">
        <v>0.15</v>
      </c>
      <c r="J4550" s="1">
        <v>541416.85</v>
      </c>
      <c r="K4550" s="1">
        <v>136956.59</v>
      </c>
      <c r="L4550" s="1" t="s">
        <v>23</v>
      </c>
      <c r="M4550" s="1" t="str">
        <f>TEXT(Table1[[#This Row],[Order Date]],"mmm")</f>
        <v>Oct</v>
      </c>
      <c r="N4550" s="1">
        <f>YEAR(Table1[[#This Row],[Order Date]])</f>
        <v>2023</v>
      </c>
    </row>
    <row r="4551" spans="1:14" x14ac:dyDescent="0.35">
      <c r="A4551" s="1" t="s">
        <v>5347</v>
      </c>
      <c r="B4551" s="1" t="s">
        <v>469</v>
      </c>
      <c r="C4551" s="1" t="s">
        <v>335</v>
      </c>
      <c r="D4551" s="1" t="s">
        <v>52</v>
      </c>
      <c r="E4551" s="1" t="s">
        <v>28</v>
      </c>
      <c r="F4551" s="1" t="s">
        <v>52</v>
      </c>
      <c r="G4551" s="1">
        <v>10</v>
      </c>
      <c r="H4551" s="1">
        <v>51760</v>
      </c>
      <c r="I4551" s="1">
        <v>0</v>
      </c>
      <c r="J4551" s="1">
        <v>517600</v>
      </c>
      <c r="K4551" s="1">
        <v>79709.25</v>
      </c>
      <c r="L4551" s="1" t="s">
        <v>45</v>
      </c>
      <c r="M4551" s="1" t="str">
        <f>TEXT(Table1[[#This Row],[Order Date]],"mmm")</f>
        <v>Apr</v>
      </c>
      <c r="N4551" s="1">
        <f>YEAR(Table1[[#This Row],[Order Date]])</f>
        <v>2023</v>
      </c>
    </row>
    <row r="4552" spans="1:14" x14ac:dyDescent="0.35">
      <c r="A4552" s="1" t="s">
        <v>5348</v>
      </c>
      <c r="B4552" s="1" t="s">
        <v>1772</v>
      </c>
      <c r="C4552" s="1" t="s">
        <v>203</v>
      </c>
      <c r="D4552" s="1" t="s">
        <v>91</v>
      </c>
      <c r="E4552" s="1" t="s">
        <v>16</v>
      </c>
      <c r="F4552" s="1" t="s">
        <v>91</v>
      </c>
      <c r="G4552" s="1">
        <v>14</v>
      </c>
      <c r="H4552" s="1">
        <v>2547</v>
      </c>
      <c r="I4552" s="1">
        <v>0.2</v>
      </c>
      <c r="J4552" s="1">
        <v>28526.400000000001</v>
      </c>
      <c r="K4552" s="1">
        <v>6413.35</v>
      </c>
      <c r="L4552" s="1" t="s">
        <v>70</v>
      </c>
      <c r="M4552" s="1" t="str">
        <f>TEXT(Table1[[#This Row],[Order Date]],"mmm")</f>
        <v>Jun</v>
      </c>
      <c r="N4552" s="1">
        <f>YEAR(Table1[[#This Row],[Order Date]])</f>
        <v>2024</v>
      </c>
    </row>
    <row r="4553" spans="1:14" x14ac:dyDescent="0.35">
      <c r="A4553" s="1" t="s">
        <v>5349</v>
      </c>
      <c r="B4553" s="1" t="s">
        <v>839</v>
      </c>
      <c r="C4553" s="1" t="s">
        <v>158</v>
      </c>
      <c r="D4553" s="1" t="s">
        <v>85</v>
      </c>
      <c r="E4553" s="1" t="s">
        <v>28</v>
      </c>
      <c r="F4553" s="1" t="s">
        <v>85</v>
      </c>
      <c r="G4553" s="1">
        <v>4</v>
      </c>
      <c r="H4553" s="1">
        <v>14610</v>
      </c>
      <c r="I4553" s="1">
        <v>0.2</v>
      </c>
      <c r="J4553" s="1">
        <v>46752</v>
      </c>
      <c r="K4553" s="1">
        <v>10612.36</v>
      </c>
      <c r="L4553" s="1" t="s">
        <v>45</v>
      </c>
      <c r="M4553" s="1" t="str">
        <f>TEXT(Table1[[#This Row],[Order Date]],"mmm")</f>
        <v>Aug</v>
      </c>
      <c r="N4553" s="1">
        <f>YEAR(Table1[[#This Row],[Order Date]])</f>
        <v>2024</v>
      </c>
    </row>
    <row r="4554" spans="1:14" x14ac:dyDescent="0.35">
      <c r="A4554" s="1" t="s">
        <v>5350</v>
      </c>
      <c r="B4554" s="1" t="s">
        <v>408</v>
      </c>
      <c r="C4554" s="1" t="s">
        <v>98</v>
      </c>
      <c r="D4554" s="1" t="s">
        <v>323</v>
      </c>
      <c r="E4554" s="1" t="s">
        <v>33</v>
      </c>
      <c r="F4554" s="1" t="s">
        <v>323</v>
      </c>
      <c r="G4554" s="1">
        <v>2</v>
      </c>
      <c r="H4554" s="1">
        <v>33268</v>
      </c>
      <c r="I4554" s="1">
        <v>0.2</v>
      </c>
      <c r="J4554" s="1">
        <v>53228.800000000003</v>
      </c>
      <c r="K4554" s="1">
        <v>7466.65</v>
      </c>
      <c r="L4554" s="1" t="s">
        <v>17</v>
      </c>
      <c r="M4554" s="1" t="str">
        <f>TEXT(Table1[[#This Row],[Order Date]],"mmm")</f>
        <v>Jul</v>
      </c>
      <c r="N4554" s="1">
        <f>YEAR(Table1[[#This Row],[Order Date]])</f>
        <v>2023</v>
      </c>
    </row>
    <row r="4555" spans="1:14" x14ac:dyDescent="0.35">
      <c r="A4555" s="1" t="s">
        <v>5351</v>
      </c>
      <c r="B4555" s="1" t="s">
        <v>1337</v>
      </c>
      <c r="C4555" s="1" t="s">
        <v>26</v>
      </c>
      <c r="D4555" s="1" t="s">
        <v>48</v>
      </c>
      <c r="E4555" s="1" t="s">
        <v>16</v>
      </c>
      <c r="F4555" s="1" t="s">
        <v>48</v>
      </c>
      <c r="G4555" s="1">
        <v>14</v>
      </c>
      <c r="H4555" s="1">
        <v>3160</v>
      </c>
      <c r="I4555" s="1">
        <v>0.2</v>
      </c>
      <c r="J4555" s="1">
        <v>35392</v>
      </c>
      <c r="K4555" s="1">
        <v>7623.48</v>
      </c>
      <c r="L4555" s="1" t="s">
        <v>70</v>
      </c>
      <c r="M4555" s="1" t="str">
        <f>TEXT(Table1[[#This Row],[Order Date]],"mmm")</f>
        <v>Dec</v>
      </c>
      <c r="N4555" s="1">
        <f>YEAR(Table1[[#This Row],[Order Date]])</f>
        <v>2024</v>
      </c>
    </row>
    <row r="4556" spans="1:14" x14ac:dyDescent="0.35">
      <c r="A4556" s="1" t="s">
        <v>5352</v>
      </c>
      <c r="B4556" s="1" t="s">
        <v>3054</v>
      </c>
      <c r="C4556" s="1" t="s">
        <v>104</v>
      </c>
      <c r="D4556" s="1" t="s">
        <v>44</v>
      </c>
      <c r="E4556" s="1" t="s">
        <v>28</v>
      </c>
      <c r="F4556" s="1" t="s">
        <v>44</v>
      </c>
      <c r="G4556" s="1">
        <v>6</v>
      </c>
      <c r="H4556" s="1">
        <v>24811</v>
      </c>
      <c r="I4556" s="1">
        <v>0.05</v>
      </c>
      <c r="J4556" s="1">
        <v>141422.70000000001</v>
      </c>
      <c r="K4556" s="1">
        <v>27658.46</v>
      </c>
      <c r="L4556" s="1" t="s">
        <v>17</v>
      </c>
      <c r="M4556" s="1" t="str">
        <f>TEXT(Table1[[#This Row],[Order Date]],"mmm")</f>
        <v>Oct</v>
      </c>
      <c r="N4556" s="1">
        <f>YEAR(Table1[[#This Row],[Order Date]])</f>
        <v>2024</v>
      </c>
    </row>
    <row r="4557" spans="1:14" x14ac:dyDescent="0.35">
      <c r="A4557" s="1" t="s">
        <v>5353</v>
      </c>
      <c r="B4557" s="1" t="s">
        <v>250</v>
      </c>
      <c r="C4557" s="1" t="s">
        <v>67</v>
      </c>
      <c r="D4557" s="1" t="s">
        <v>293</v>
      </c>
      <c r="E4557" s="1" t="s">
        <v>33</v>
      </c>
      <c r="F4557" s="1" t="s">
        <v>293</v>
      </c>
      <c r="G4557" s="1">
        <v>4</v>
      </c>
      <c r="H4557" s="1">
        <v>39895</v>
      </c>
      <c r="I4557" s="1">
        <v>0.15</v>
      </c>
      <c r="J4557" s="1">
        <v>135643</v>
      </c>
      <c r="K4557" s="1">
        <v>22005.07</v>
      </c>
      <c r="L4557" s="1" t="s">
        <v>45</v>
      </c>
      <c r="M4557" s="1" t="str">
        <f>TEXT(Table1[[#This Row],[Order Date]],"mmm")</f>
        <v>Aug</v>
      </c>
      <c r="N4557" s="1">
        <f>YEAR(Table1[[#This Row],[Order Date]])</f>
        <v>2023</v>
      </c>
    </row>
    <row r="4558" spans="1:14" x14ac:dyDescent="0.35">
      <c r="A4558" s="1" t="s">
        <v>5354</v>
      </c>
      <c r="B4558" s="1" t="s">
        <v>1383</v>
      </c>
      <c r="C4558" s="1" t="s">
        <v>640</v>
      </c>
      <c r="D4558" s="1" t="s">
        <v>224</v>
      </c>
      <c r="E4558" s="1" t="s">
        <v>33</v>
      </c>
      <c r="F4558" s="1" t="s">
        <v>224</v>
      </c>
      <c r="G4558" s="1">
        <v>7</v>
      </c>
      <c r="H4558" s="1">
        <v>24917</v>
      </c>
      <c r="I4558" s="1">
        <v>0.05</v>
      </c>
      <c r="J4558" s="1">
        <v>165698.04999999999</v>
      </c>
      <c r="K4558" s="1">
        <v>20425.04</v>
      </c>
      <c r="L4558" s="1" t="s">
        <v>17</v>
      </c>
      <c r="M4558" s="1" t="str">
        <f>TEXT(Table1[[#This Row],[Order Date]],"mmm")</f>
        <v>Apr</v>
      </c>
      <c r="N4558" s="1">
        <f>YEAR(Table1[[#This Row],[Order Date]])</f>
        <v>2024</v>
      </c>
    </row>
    <row r="4559" spans="1:14" x14ac:dyDescent="0.35">
      <c r="A4559" s="1" t="s">
        <v>5355</v>
      </c>
      <c r="B4559" s="1" t="s">
        <v>429</v>
      </c>
      <c r="C4559" s="1" t="s">
        <v>158</v>
      </c>
      <c r="D4559" s="1" t="s">
        <v>27</v>
      </c>
      <c r="E4559" s="1" t="s">
        <v>28</v>
      </c>
      <c r="F4559" s="1" t="s">
        <v>27</v>
      </c>
      <c r="G4559" s="1">
        <v>1</v>
      </c>
      <c r="H4559" s="1">
        <v>14665</v>
      </c>
      <c r="I4559" s="1">
        <v>0.2</v>
      </c>
      <c r="J4559" s="1">
        <v>11732</v>
      </c>
      <c r="K4559" s="1">
        <v>3158.49</v>
      </c>
      <c r="L4559" s="1" t="s">
        <v>17</v>
      </c>
      <c r="M4559" s="1" t="str">
        <f>TEXT(Table1[[#This Row],[Order Date]],"mmm")</f>
        <v>Apr</v>
      </c>
      <c r="N4559" s="1">
        <f>YEAR(Table1[[#This Row],[Order Date]])</f>
        <v>2024</v>
      </c>
    </row>
    <row r="4560" spans="1:14" x14ac:dyDescent="0.35">
      <c r="A4560" s="1" t="s">
        <v>5356</v>
      </c>
      <c r="B4560" s="1" t="s">
        <v>1295</v>
      </c>
      <c r="C4560" s="1" t="s">
        <v>59</v>
      </c>
      <c r="D4560" s="1" t="s">
        <v>179</v>
      </c>
      <c r="E4560" s="1" t="s">
        <v>28</v>
      </c>
      <c r="F4560" s="1" t="s">
        <v>179</v>
      </c>
      <c r="G4560" s="1">
        <v>8</v>
      </c>
      <c r="H4560" s="1">
        <v>3775</v>
      </c>
      <c r="I4560" s="1">
        <v>0.15</v>
      </c>
      <c r="J4560" s="1">
        <v>25670</v>
      </c>
      <c r="K4560" s="1">
        <v>3908.51</v>
      </c>
      <c r="L4560" s="1" t="s">
        <v>17</v>
      </c>
      <c r="M4560" s="1" t="str">
        <f>TEXT(Table1[[#This Row],[Order Date]],"mmm")</f>
        <v>Oct</v>
      </c>
      <c r="N4560" s="1">
        <f>YEAR(Table1[[#This Row],[Order Date]])</f>
        <v>2024</v>
      </c>
    </row>
    <row r="4561" spans="1:14" x14ac:dyDescent="0.35">
      <c r="A4561" s="1" t="s">
        <v>5357</v>
      </c>
      <c r="B4561" s="1" t="s">
        <v>387</v>
      </c>
      <c r="C4561" s="1" t="s">
        <v>200</v>
      </c>
      <c r="D4561" s="1" t="s">
        <v>91</v>
      </c>
      <c r="E4561" s="1" t="s">
        <v>16</v>
      </c>
      <c r="F4561" s="1" t="s">
        <v>91</v>
      </c>
      <c r="G4561" s="1">
        <v>3</v>
      </c>
      <c r="H4561" s="1">
        <v>31790</v>
      </c>
      <c r="I4561" s="1">
        <v>0.1</v>
      </c>
      <c r="J4561" s="1">
        <v>85833</v>
      </c>
      <c r="K4561" s="1">
        <v>14687.78</v>
      </c>
      <c r="L4561" s="1" t="s">
        <v>70</v>
      </c>
      <c r="M4561" s="1" t="str">
        <f>TEXT(Table1[[#This Row],[Order Date]],"mmm")</f>
        <v>May</v>
      </c>
      <c r="N4561" s="1">
        <f>YEAR(Table1[[#This Row],[Order Date]])</f>
        <v>2024</v>
      </c>
    </row>
    <row r="4562" spans="1:14" x14ac:dyDescent="0.35">
      <c r="A4562" s="1" t="s">
        <v>5358</v>
      </c>
      <c r="B4562" s="1" t="s">
        <v>1478</v>
      </c>
      <c r="C4562" s="1" t="s">
        <v>59</v>
      </c>
      <c r="D4562" s="1" t="s">
        <v>37</v>
      </c>
      <c r="E4562" s="1" t="s">
        <v>16</v>
      </c>
      <c r="F4562" s="1" t="s">
        <v>37</v>
      </c>
      <c r="G4562" s="1">
        <v>2</v>
      </c>
      <c r="H4562" s="1">
        <v>33972</v>
      </c>
      <c r="I4562" s="1">
        <v>0.2</v>
      </c>
      <c r="J4562" s="1">
        <v>54355.199999999997</v>
      </c>
      <c r="K4562" s="1">
        <v>8606.52</v>
      </c>
      <c r="L4562" s="1" t="s">
        <v>70</v>
      </c>
      <c r="M4562" s="1" t="str">
        <f>TEXT(Table1[[#This Row],[Order Date]],"mmm")</f>
        <v>Jan</v>
      </c>
      <c r="N4562" s="1">
        <f>YEAR(Table1[[#This Row],[Order Date]])</f>
        <v>2024</v>
      </c>
    </row>
    <row r="4563" spans="1:14" x14ac:dyDescent="0.35">
      <c r="A4563" s="1" t="s">
        <v>5359</v>
      </c>
      <c r="B4563" s="1" t="s">
        <v>2601</v>
      </c>
      <c r="C4563" s="1" t="s">
        <v>31</v>
      </c>
      <c r="D4563" s="1" t="s">
        <v>64</v>
      </c>
      <c r="E4563" s="1" t="s">
        <v>33</v>
      </c>
      <c r="F4563" s="1" t="s">
        <v>64</v>
      </c>
      <c r="G4563" s="1">
        <v>2</v>
      </c>
      <c r="H4563" s="1">
        <v>3048</v>
      </c>
      <c r="I4563" s="1">
        <v>0</v>
      </c>
      <c r="J4563" s="1">
        <v>6096</v>
      </c>
      <c r="K4563" s="1">
        <v>813.45</v>
      </c>
      <c r="L4563" s="1" t="s">
        <v>70</v>
      </c>
      <c r="M4563" s="1" t="str">
        <f>TEXT(Table1[[#This Row],[Order Date]],"mmm")</f>
        <v>Aug</v>
      </c>
      <c r="N4563" s="1">
        <f>YEAR(Table1[[#This Row],[Order Date]])</f>
        <v>2023</v>
      </c>
    </row>
    <row r="4564" spans="1:14" x14ac:dyDescent="0.35">
      <c r="A4564" s="1" t="s">
        <v>5360</v>
      </c>
      <c r="B4564" s="1" t="s">
        <v>2274</v>
      </c>
      <c r="C4564" s="1" t="s">
        <v>51</v>
      </c>
      <c r="D4564" s="1" t="s">
        <v>41</v>
      </c>
      <c r="E4564" s="1" t="s">
        <v>16</v>
      </c>
      <c r="F4564" s="1" t="s">
        <v>41</v>
      </c>
      <c r="G4564" s="1">
        <v>15</v>
      </c>
      <c r="H4564" s="1">
        <v>34088</v>
      </c>
      <c r="I4564" s="1">
        <v>0.15</v>
      </c>
      <c r="J4564" s="1">
        <v>434622</v>
      </c>
      <c r="K4564" s="1">
        <v>63662.93</v>
      </c>
      <c r="L4564" s="1" t="s">
        <v>70</v>
      </c>
      <c r="M4564" s="1" t="str">
        <f>TEXT(Table1[[#This Row],[Order Date]],"mmm")</f>
        <v>Jan</v>
      </c>
      <c r="N4564" s="1">
        <f>YEAR(Table1[[#This Row],[Order Date]])</f>
        <v>2024</v>
      </c>
    </row>
    <row r="4565" spans="1:14" x14ac:dyDescent="0.35">
      <c r="A4565" s="1" t="s">
        <v>5361</v>
      </c>
      <c r="B4565" s="1" t="s">
        <v>478</v>
      </c>
      <c r="C4565" s="1" t="s">
        <v>94</v>
      </c>
      <c r="D4565" s="1" t="s">
        <v>91</v>
      </c>
      <c r="E4565" s="1" t="s">
        <v>16</v>
      </c>
      <c r="F4565" s="1" t="s">
        <v>91</v>
      </c>
      <c r="G4565" s="1">
        <v>9</v>
      </c>
      <c r="H4565" s="1">
        <v>49064</v>
      </c>
      <c r="I4565" s="1">
        <v>0.15</v>
      </c>
      <c r="J4565" s="1">
        <v>375339.6</v>
      </c>
      <c r="K4565" s="1">
        <v>44636.22</v>
      </c>
      <c r="L4565" s="1" t="s">
        <v>23</v>
      </c>
      <c r="M4565" s="1" t="str">
        <f>TEXT(Table1[[#This Row],[Order Date]],"mmm")</f>
        <v>May</v>
      </c>
      <c r="N4565" s="1">
        <f>YEAR(Table1[[#This Row],[Order Date]])</f>
        <v>2024</v>
      </c>
    </row>
    <row r="4566" spans="1:14" x14ac:dyDescent="0.35">
      <c r="A4566" s="1" t="s">
        <v>5362</v>
      </c>
      <c r="B4566" s="1" t="s">
        <v>1054</v>
      </c>
      <c r="C4566" s="1" t="s">
        <v>26</v>
      </c>
      <c r="D4566" s="1" t="s">
        <v>137</v>
      </c>
      <c r="E4566" s="1" t="s">
        <v>22</v>
      </c>
      <c r="F4566" s="1" t="s">
        <v>137</v>
      </c>
      <c r="G4566" s="1">
        <v>10</v>
      </c>
      <c r="H4566" s="1">
        <v>33179</v>
      </c>
      <c r="I4566" s="1">
        <v>0.15</v>
      </c>
      <c r="J4566" s="1">
        <v>282021.5</v>
      </c>
      <c r="K4566" s="1">
        <v>71186.87</v>
      </c>
      <c r="L4566" s="1" t="s">
        <v>17</v>
      </c>
      <c r="M4566" s="1" t="str">
        <f>TEXT(Table1[[#This Row],[Order Date]],"mmm")</f>
        <v>Nov</v>
      </c>
      <c r="N4566" s="1">
        <f>YEAR(Table1[[#This Row],[Order Date]])</f>
        <v>2023</v>
      </c>
    </row>
    <row r="4567" spans="1:14" x14ac:dyDescent="0.35">
      <c r="A4567" s="1" t="s">
        <v>5363</v>
      </c>
      <c r="B4567" s="1" t="s">
        <v>2355</v>
      </c>
      <c r="C4567" s="1" t="s">
        <v>208</v>
      </c>
      <c r="D4567" s="1" t="s">
        <v>141</v>
      </c>
      <c r="E4567" s="1" t="s">
        <v>22</v>
      </c>
      <c r="F4567" s="1" t="s">
        <v>141</v>
      </c>
      <c r="G4567" s="1">
        <v>4</v>
      </c>
      <c r="H4567" s="1">
        <v>41963</v>
      </c>
      <c r="I4567" s="1">
        <v>0</v>
      </c>
      <c r="J4567" s="1">
        <v>167852</v>
      </c>
      <c r="K4567" s="1">
        <v>32212.81</v>
      </c>
      <c r="L4567" s="1" t="s">
        <v>23</v>
      </c>
      <c r="M4567" s="1" t="str">
        <f>TEXT(Table1[[#This Row],[Order Date]],"mmm")</f>
        <v>Oct</v>
      </c>
      <c r="N4567" s="1">
        <f>YEAR(Table1[[#This Row],[Order Date]])</f>
        <v>2023</v>
      </c>
    </row>
    <row r="4568" spans="1:14" x14ac:dyDescent="0.35">
      <c r="A4568" s="1" t="s">
        <v>5364</v>
      </c>
      <c r="B4568" s="1" t="s">
        <v>1186</v>
      </c>
      <c r="C4568" s="1" t="s">
        <v>170</v>
      </c>
      <c r="D4568" s="1" t="s">
        <v>91</v>
      </c>
      <c r="E4568" s="1" t="s">
        <v>16</v>
      </c>
      <c r="F4568" s="1" t="s">
        <v>91</v>
      </c>
      <c r="G4568" s="1">
        <v>4</v>
      </c>
      <c r="H4568" s="1">
        <v>59223</v>
      </c>
      <c r="I4568" s="1">
        <v>0.05</v>
      </c>
      <c r="J4568" s="1">
        <v>225047.4</v>
      </c>
      <c r="K4568" s="1">
        <v>47896.66</v>
      </c>
      <c r="L4568" s="1" t="s">
        <v>70</v>
      </c>
      <c r="M4568" s="1" t="str">
        <f>TEXT(Table1[[#This Row],[Order Date]],"mmm")</f>
        <v>Mar</v>
      </c>
      <c r="N4568" s="1">
        <f>YEAR(Table1[[#This Row],[Order Date]])</f>
        <v>2023</v>
      </c>
    </row>
    <row r="4569" spans="1:14" x14ac:dyDescent="0.35">
      <c r="A4569" s="1" t="s">
        <v>5365</v>
      </c>
      <c r="B4569" s="1" t="s">
        <v>1083</v>
      </c>
      <c r="C4569" s="1" t="s">
        <v>140</v>
      </c>
      <c r="D4569" s="1" t="s">
        <v>15</v>
      </c>
      <c r="E4569" s="1" t="s">
        <v>16</v>
      </c>
      <c r="F4569" s="1" t="s">
        <v>15</v>
      </c>
      <c r="G4569" s="1">
        <v>8</v>
      </c>
      <c r="H4569" s="1">
        <v>53657</v>
      </c>
      <c r="I4569" s="1">
        <v>0.2</v>
      </c>
      <c r="J4569" s="1">
        <v>343404.79999999999</v>
      </c>
      <c r="K4569" s="1">
        <v>102710.17</v>
      </c>
      <c r="L4569" s="1" t="s">
        <v>45</v>
      </c>
      <c r="M4569" s="1" t="str">
        <f>TEXT(Table1[[#This Row],[Order Date]],"mmm")</f>
        <v>Jul</v>
      </c>
      <c r="N4569" s="1">
        <f>YEAR(Table1[[#This Row],[Order Date]])</f>
        <v>2023</v>
      </c>
    </row>
    <row r="4570" spans="1:14" x14ac:dyDescent="0.35">
      <c r="A4570" s="1" t="s">
        <v>5366</v>
      </c>
      <c r="B4570" s="1" t="s">
        <v>2142</v>
      </c>
      <c r="C4570" s="1" t="s">
        <v>155</v>
      </c>
      <c r="D4570" s="1" t="s">
        <v>56</v>
      </c>
      <c r="E4570" s="1" t="s">
        <v>22</v>
      </c>
      <c r="F4570" s="1" t="s">
        <v>56</v>
      </c>
      <c r="G4570" s="1">
        <v>9</v>
      </c>
      <c r="H4570" s="1">
        <v>38289</v>
      </c>
      <c r="I4570" s="1">
        <v>0.05</v>
      </c>
      <c r="J4570" s="1">
        <v>327370.95</v>
      </c>
      <c r="K4570" s="1">
        <v>65450.06</v>
      </c>
      <c r="L4570" s="1" t="s">
        <v>45</v>
      </c>
      <c r="M4570" s="1" t="str">
        <f>TEXT(Table1[[#This Row],[Order Date]],"mmm")</f>
        <v>Jan</v>
      </c>
      <c r="N4570" s="1">
        <f>YEAR(Table1[[#This Row],[Order Date]])</f>
        <v>2024</v>
      </c>
    </row>
    <row r="4571" spans="1:14" x14ac:dyDescent="0.35">
      <c r="A4571" s="1" t="s">
        <v>5367</v>
      </c>
      <c r="B4571" s="1" t="s">
        <v>1729</v>
      </c>
      <c r="C4571" s="1" t="s">
        <v>208</v>
      </c>
      <c r="D4571" s="1" t="s">
        <v>41</v>
      </c>
      <c r="E4571" s="1" t="s">
        <v>16</v>
      </c>
      <c r="F4571" s="1" t="s">
        <v>41</v>
      </c>
      <c r="G4571" s="1">
        <v>15</v>
      </c>
      <c r="H4571" s="1">
        <v>29952</v>
      </c>
      <c r="I4571" s="1">
        <v>0</v>
      </c>
      <c r="J4571" s="1">
        <v>449280</v>
      </c>
      <c r="K4571" s="1">
        <v>127020.07</v>
      </c>
      <c r="L4571" s="1" t="s">
        <v>45</v>
      </c>
      <c r="M4571" s="1" t="str">
        <f>TEXT(Table1[[#This Row],[Order Date]],"mmm")</f>
        <v>Jul</v>
      </c>
      <c r="N4571" s="1">
        <f>YEAR(Table1[[#This Row],[Order Date]])</f>
        <v>2024</v>
      </c>
    </row>
    <row r="4572" spans="1:14" x14ac:dyDescent="0.35">
      <c r="A4572" s="1" t="s">
        <v>5368</v>
      </c>
      <c r="B4572" s="1" t="s">
        <v>1427</v>
      </c>
      <c r="C4572" s="1" t="s">
        <v>203</v>
      </c>
      <c r="D4572" s="1" t="s">
        <v>224</v>
      </c>
      <c r="E4572" s="1" t="s">
        <v>33</v>
      </c>
      <c r="F4572" s="1" t="s">
        <v>224</v>
      </c>
      <c r="G4572" s="1">
        <v>13</v>
      </c>
      <c r="H4572" s="1">
        <v>38193</v>
      </c>
      <c r="I4572" s="1">
        <v>0.2</v>
      </c>
      <c r="J4572" s="1">
        <v>397207.2</v>
      </c>
      <c r="K4572" s="1">
        <v>65810.98</v>
      </c>
      <c r="L4572" s="1" t="s">
        <v>23</v>
      </c>
      <c r="M4572" s="1" t="str">
        <f>TEXT(Table1[[#This Row],[Order Date]],"mmm")</f>
        <v>Oct</v>
      </c>
      <c r="N4572" s="1">
        <f>YEAR(Table1[[#This Row],[Order Date]])</f>
        <v>2024</v>
      </c>
    </row>
    <row r="4573" spans="1:14" x14ac:dyDescent="0.35">
      <c r="A4573" s="1" t="s">
        <v>5369</v>
      </c>
      <c r="B4573" s="1" t="s">
        <v>989</v>
      </c>
      <c r="C4573" s="1" t="s">
        <v>107</v>
      </c>
      <c r="D4573" s="1" t="s">
        <v>293</v>
      </c>
      <c r="E4573" s="1" t="s">
        <v>33</v>
      </c>
      <c r="F4573" s="1" t="s">
        <v>293</v>
      </c>
      <c r="G4573" s="1">
        <v>3</v>
      </c>
      <c r="H4573" s="1">
        <v>48414</v>
      </c>
      <c r="I4573" s="1">
        <v>0.2</v>
      </c>
      <c r="J4573" s="1">
        <v>116193.60000000001</v>
      </c>
      <c r="K4573" s="1">
        <v>19744.919999999998</v>
      </c>
      <c r="L4573" s="1" t="s">
        <v>23</v>
      </c>
      <c r="M4573" s="1" t="str">
        <f>TEXT(Table1[[#This Row],[Order Date]],"mmm")</f>
        <v>Oct</v>
      </c>
      <c r="N4573" s="1">
        <f>YEAR(Table1[[#This Row],[Order Date]])</f>
        <v>2024</v>
      </c>
    </row>
    <row r="4574" spans="1:14" x14ac:dyDescent="0.35">
      <c r="A4574" s="1" t="s">
        <v>5370</v>
      </c>
      <c r="B4574" s="1" t="s">
        <v>1104</v>
      </c>
      <c r="C4574" s="1" t="s">
        <v>101</v>
      </c>
      <c r="D4574" s="1" t="s">
        <v>293</v>
      </c>
      <c r="E4574" s="1" t="s">
        <v>33</v>
      </c>
      <c r="F4574" s="1" t="s">
        <v>293</v>
      </c>
      <c r="G4574" s="1">
        <v>13</v>
      </c>
      <c r="H4574" s="1">
        <v>21481</v>
      </c>
      <c r="I4574" s="1">
        <v>0.2</v>
      </c>
      <c r="J4574" s="1">
        <v>223402.4</v>
      </c>
      <c r="K4574" s="1">
        <v>59353.73</v>
      </c>
      <c r="L4574" s="1" t="s">
        <v>45</v>
      </c>
      <c r="M4574" s="1" t="str">
        <f>TEXT(Table1[[#This Row],[Order Date]],"mmm")</f>
        <v>Oct</v>
      </c>
      <c r="N4574" s="1">
        <f>YEAR(Table1[[#This Row],[Order Date]])</f>
        <v>2023</v>
      </c>
    </row>
    <row r="4575" spans="1:14" x14ac:dyDescent="0.35">
      <c r="A4575" s="1" t="s">
        <v>5371</v>
      </c>
      <c r="B4575" s="1" t="s">
        <v>1013</v>
      </c>
      <c r="C4575" s="1" t="s">
        <v>125</v>
      </c>
      <c r="D4575" s="1" t="s">
        <v>114</v>
      </c>
      <c r="E4575" s="1" t="s">
        <v>16</v>
      </c>
      <c r="F4575" s="1" t="s">
        <v>114</v>
      </c>
      <c r="G4575" s="1">
        <v>9</v>
      </c>
      <c r="H4575" s="1">
        <v>37996</v>
      </c>
      <c r="I4575" s="1">
        <v>0.15</v>
      </c>
      <c r="J4575" s="1">
        <v>290669.40000000002</v>
      </c>
      <c r="K4575" s="1">
        <v>79639.45</v>
      </c>
      <c r="L4575" s="1" t="s">
        <v>45</v>
      </c>
      <c r="M4575" s="1" t="str">
        <f>TEXT(Table1[[#This Row],[Order Date]],"mmm")</f>
        <v>Sep</v>
      </c>
      <c r="N4575" s="1">
        <f>YEAR(Table1[[#This Row],[Order Date]])</f>
        <v>2023</v>
      </c>
    </row>
    <row r="4576" spans="1:14" x14ac:dyDescent="0.35">
      <c r="A4576" s="1" t="s">
        <v>5372</v>
      </c>
      <c r="B4576" s="1" t="s">
        <v>1232</v>
      </c>
      <c r="C4576" s="1" t="s">
        <v>200</v>
      </c>
      <c r="D4576" s="1" t="s">
        <v>323</v>
      </c>
      <c r="E4576" s="1" t="s">
        <v>33</v>
      </c>
      <c r="F4576" s="1" t="s">
        <v>323</v>
      </c>
      <c r="G4576" s="1">
        <v>10</v>
      </c>
      <c r="H4576" s="1">
        <v>19117</v>
      </c>
      <c r="I4576" s="1">
        <v>0.2</v>
      </c>
      <c r="J4576" s="1">
        <v>152936</v>
      </c>
      <c r="K4576" s="1">
        <v>19170.16</v>
      </c>
      <c r="L4576" s="1" t="s">
        <v>45</v>
      </c>
      <c r="M4576" s="1" t="str">
        <f>TEXT(Table1[[#This Row],[Order Date]],"mmm")</f>
        <v>Sep</v>
      </c>
      <c r="N4576" s="1">
        <f>YEAR(Table1[[#This Row],[Order Date]])</f>
        <v>2023</v>
      </c>
    </row>
    <row r="4577" spans="1:14" x14ac:dyDescent="0.35">
      <c r="A4577" s="1" t="s">
        <v>5373</v>
      </c>
      <c r="B4577" s="1" t="s">
        <v>421</v>
      </c>
      <c r="C4577" s="1" t="s">
        <v>140</v>
      </c>
      <c r="D4577" s="1" t="s">
        <v>74</v>
      </c>
      <c r="E4577" s="1" t="s">
        <v>22</v>
      </c>
      <c r="F4577" s="1" t="s">
        <v>74</v>
      </c>
      <c r="G4577" s="1">
        <v>13</v>
      </c>
      <c r="H4577" s="1">
        <v>37713</v>
      </c>
      <c r="I4577" s="1">
        <v>0.05</v>
      </c>
      <c r="J4577" s="1">
        <v>465755.55</v>
      </c>
      <c r="K4577" s="1">
        <v>43682.14</v>
      </c>
      <c r="L4577" s="1" t="s">
        <v>23</v>
      </c>
      <c r="M4577" s="1" t="str">
        <f>TEXT(Table1[[#This Row],[Order Date]],"mmm")</f>
        <v>Nov</v>
      </c>
      <c r="N4577" s="1">
        <f>YEAR(Table1[[#This Row],[Order Date]])</f>
        <v>2023</v>
      </c>
    </row>
    <row r="4578" spans="1:14" x14ac:dyDescent="0.35">
      <c r="A4578" s="1" t="s">
        <v>5374</v>
      </c>
      <c r="B4578" s="1" t="s">
        <v>2375</v>
      </c>
      <c r="C4578" s="1" t="s">
        <v>94</v>
      </c>
      <c r="D4578" s="1" t="s">
        <v>78</v>
      </c>
      <c r="E4578" s="1" t="s">
        <v>28</v>
      </c>
      <c r="F4578" s="1" t="s">
        <v>78</v>
      </c>
      <c r="G4578" s="1">
        <v>11</v>
      </c>
      <c r="H4578" s="1">
        <v>28911</v>
      </c>
      <c r="I4578" s="1">
        <v>0.1</v>
      </c>
      <c r="J4578" s="1">
        <v>286218.90000000002</v>
      </c>
      <c r="K4578" s="1">
        <v>25274.02</v>
      </c>
      <c r="L4578" s="1" t="s">
        <v>17</v>
      </c>
      <c r="M4578" s="1" t="str">
        <f>TEXT(Table1[[#This Row],[Order Date]],"mmm")</f>
        <v>Apr</v>
      </c>
      <c r="N4578" s="1">
        <f>YEAR(Table1[[#This Row],[Order Date]])</f>
        <v>2024</v>
      </c>
    </row>
    <row r="4579" spans="1:14" x14ac:dyDescent="0.35">
      <c r="A4579" s="1" t="s">
        <v>5375</v>
      </c>
      <c r="B4579" s="1" t="s">
        <v>3344</v>
      </c>
      <c r="C4579" s="1" t="s">
        <v>84</v>
      </c>
      <c r="D4579" s="1" t="s">
        <v>56</v>
      </c>
      <c r="E4579" s="1" t="s">
        <v>22</v>
      </c>
      <c r="F4579" s="1" t="s">
        <v>56</v>
      </c>
      <c r="G4579" s="1">
        <v>11</v>
      </c>
      <c r="H4579" s="1">
        <v>44219</v>
      </c>
      <c r="I4579" s="1">
        <v>0</v>
      </c>
      <c r="J4579" s="1">
        <v>486409</v>
      </c>
      <c r="K4579" s="1">
        <v>51317.21</v>
      </c>
      <c r="L4579" s="1" t="s">
        <v>23</v>
      </c>
      <c r="M4579" s="1" t="str">
        <f>TEXT(Table1[[#This Row],[Order Date]],"mmm")</f>
        <v>Apr</v>
      </c>
      <c r="N4579" s="1">
        <f>YEAR(Table1[[#This Row],[Order Date]])</f>
        <v>2023</v>
      </c>
    </row>
    <row r="4580" spans="1:14" x14ac:dyDescent="0.35">
      <c r="A4580" s="1" t="s">
        <v>5376</v>
      </c>
      <c r="B4580" s="1" t="s">
        <v>1383</v>
      </c>
      <c r="C4580" s="1" t="s">
        <v>20</v>
      </c>
      <c r="D4580" s="1" t="s">
        <v>78</v>
      </c>
      <c r="E4580" s="1" t="s">
        <v>28</v>
      </c>
      <c r="F4580" s="1" t="s">
        <v>78</v>
      </c>
      <c r="G4580" s="1">
        <v>11</v>
      </c>
      <c r="H4580" s="1">
        <v>51696</v>
      </c>
      <c r="I4580" s="1">
        <v>0.2</v>
      </c>
      <c r="J4580" s="1">
        <v>454924.79999999999</v>
      </c>
      <c r="K4580" s="1">
        <v>74375.320000000007</v>
      </c>
      <c r="L4580" s="1" t="s">
        <v>45</v>
      </c>
      <c r="M4580" s="1" t="str">
        <f>TEXT(Table1[[#This Row],[Order Date]],"mmm")</f>
        <v>Apr</v>
      </c>
      <c r="N4580" s="1">
        <f>YEAR(Table1[[#This Row],[Order Date]])</f>
        <v>2024</v>
      </c>
    </row>
    <row r="4581" spans="1:14" x14ac:dyDescent="0.35">
      <c r="A4581" s="1" t="s">
        <v>5377</v>
      </c>
      <c r="B4581" s="1" t="s">
        <v>459</v>
      </c>
      <c r="C4581" s="1" t="s">
        <v>507</v>
      </c>
      <c r="D4581" s="1" t="s">
        <v>151</v>
      </c>
      <c r="E4581" s="1" t="s">
        <v>22</v>
      </c>
      <c r="F4581" s="1" t="s">
        <v>151</v>
      </c>
      <c r="G4581" s="1">
        <v>8</v>
      </c>
      <c r="H4581" s="1">
        <v>16060</v>
      </c>
      <c r="I4581" s="1">
        <v>0</v>
      </c>
      <c r="J4581" s="1">
        <v>128480</v>
      </c>
      <c r="K4581" s="1">
        <v>33100.9</v>
      </c>
      <c r="L4581" s="1" t="s">
        <v>23</v>
      </c>
      <c r="M4581" s="1" t="str">
        <f>TEXT(Table1[[#This Row],[Order Date]],"mmm")</f>
        <v>Feb</v>
      </c>
      <c r="N4581" s="1">
        <f>YEAR(Table1[[#This Row],[Order Date]])</f>
        <v>2023</v>
      </c>
    </row>
    <row r="4582" spans="1:14" x14ac:dyDescent="0.35">
      <c r="A4582" s="1" t="s">
        <v>5378</v>
      </c>
      <c r="B4582" s="1" t="s">
        <v>846</v>
      </c>
      <c r="C4582" s="1" t="s">
        <v>227</v>
      </c>
      <c r="D4582" s="1" t="s">
        <v>32</v>
      </c>
      <c r="E4582" s="1" t="s">
        <v>33</v>
      </c>
      <c r="F4582" s="1" t="s">
        <v>32</v>
      </c>
      <c r="G4582" s="1">
        <v>3</v>
      </c>
      <c r="H4582" s="1">
        <v>34912</v>
      </c>
      <c r="I4582" s="1">
        <v>0</v>
      </c>
      <c r="J4582" s="1">
        <v>104736</v>
      </c>
      <c r="K4582" s="1">
        <v>23312.34</v>
      </c>
      <c r="L4582" s="1" t="s">
        <v>45</v>
      </c>
      <c r="M4582" s="1" t="str">
        <f>TEXT(Table1[[#This Row],[Order Date]],"mmm")</f>
        <v>Aug</v>
      </c>
      <c r="N4582" s="1">
        <f>YEAR(Table1[[#This Row],[Order Date]])</f>
        <v>2024</v>
      </c>
    </row>
    <row r="4583" spans="1:14" x14ac:dyDescent="0.35">
      <c r="A4583" s="1" t="s">
        <v>5379</v>
      </c>
      <c r="B4583" s="1" t="s">
        <v>547</v>
      </c>
      <c r="C4583" s="1" t="s">
        <v>125</v>
      </c>
      <c r="D4583" s="1" t="s">
        <v>137</v>
      </c>
      <c r="E4583" s="1" t="s">
        <v>22</v>
      </c>
      <c r="F4583" s="1" t="s">
        <v>137</v>
      </c>
      <c r="G4583" s="1">
        <v>5</v>
      </c>
      <c r="H4583" s="1">
        <v>50673</v>
      </c>
      <c r="I4583" s="1">
        <v>0.1</v>
      </c>
      <c r="J4583" s="1">
        <v>228028.5</v>
      </c>
      <c r="K4583" s="1">
        <v>67273.94</v>
      </c>
      <c r="L4583" s="1" t="s">
        <v>17</v>
      </c>
      <c r="M4583" s="1" t="str">
        <f>TEXT(Table1[[#This Row],[Order Date]],"mmm")</f>
        <v>Nov</v>
      </c>
      <c r="N4583" s="1">
        <f>YEAR(Table1[[#This Row],[Order Date]])</f>
        <v>2023</v>
      </c>
    </row>
    <row r="4584" spans="1:14" x14ac:dyDescent="0.35">
      <c r="A4584" s="1" t="s">
        <v>5380</v>
      </c>
      <c r="B4584" s="1" t="s">
        <v>1048</v>
      </c>
      <c r="C4584" s="1" t="s">
        <v>255</v>
      </c>
      <c r="D4584" s="1" t="s">
        <v>95</v>
      </c>
      <c r="E4584" s="1" t="s">
        <v>33</v>
      </c>
      <c r="F4584" s="1" t="s">
        <v>95</v>
      </c>
      <c r="G4584" s="1">
        <v>4</v>
      </c>
      <c r="H4584" s="1">
        <v>58858</v>
      </c>
      <c r="I4584" s="1">
        <v>0</v>
      </c>
      <c r="J4584" s="1">
        <v>235432</v>
      </c>
      <c r="K4584" s="1">
        <v>47998.42</v>
      </c>
      <c r="L4584" s="1" t="s">
        <v>45</v>
      </c>
      <c r="M4584" s="1" t="str">
        <f>TEXT(Table1[[#This Row],[Order Date]],"mmm")</f>
        <v>May</v>
      </c>
      <c r="N4584" s="1">
        <f>YEAR(Table1[[#This Row],[Order Date]])</f>
        <v>2024</v>
      </c>
    </row>
    <row r="4585" spans="1:14" x14ac:dyDescent="0.35">
      <c r="A4585" s="1" t="s">
        <v>5381</v>
      </c>
      <c r="B4585" s="1" t="s">
        <v>1090</v>
      </c>
      <c r="C4585" s="1" t="s">
        <v>20</v>
      </c>
      <c r="D4585" s="1" t="s">
        <v>64</v>
      </c>
      <c r="E4585" s="1" t="s">
        <v>33</v>
      </c>
      <c r="F4585" s="1" t="s">
        <v>64</v>
      </c>
      <c r="G4585" s="1">
        <v>11</v>
      </c>
      <c r="H4585" s="1">
        <v>3754</v>
      </c>
      <c r="I4585" s="1">
        <v>0.15</v>
      </c>
      <c r="J4585" s="1">
        <v>35099.9</v>
      </c>
      <c r="K4585" s="1">
        <v>8709.1200000000008</v>
      </c>
      <c r="L4585" s="1" t="s">
        <v>45</v>
      </c>
      <c r="M4585" s="1" t="str">
        <f>TEXT(Table1[[#This Row],[Order Date]],"mmm")</f>
        <v>Feb</v>
      </c>
      <c r="N4585" s="1">
        <f>YEAR(Table1[[#This Row],[Order Date]])</f>
        <v>2024</v>
      </c>
    </row>
    <row r="4586" spans="1:14" x14ac:dyDescent="0.35">
      <c r="A4586" s="1" t="s">
        <v>5382</v>
      </c>
      <c r="B4586" s="1" t="s">
        <v>1500</v>
      </c>
      <c r="C4586" s="1" t="s">
        <v>178</v>
      </c>
      <c r="D4586" s="1" t="s">
        <v>52</v>
      </c>
      <c r="E4586" s="1" t="s">
        <v>28</v>
      </c>
      <c r="F4586" s="1" t="s">
        <v>52</v>
      </c>
      <c r="G4586" s="1">
        <v>3</v>
      </c>
      <c r="H4586" s="1">
        <v>3898</v>
      </c>
      <c r="I4586" s="1">
        <v>0.15</v>
      </c>
      <c r="J4586" s="1">
        <v>9939.9</v>
      </c>
      <c r="K4586" s="1">
        <v>2764.55</v>
      </c>
      <c r="L4586" s="1" t="s">
        <v>70</v>
      </c>
      <c r="M4586" s="1" t="str">
        <f>TEXT(Table1[[#This Row],[Order Date]],"mmm")</f>
        <v>Jun</v>
      </c>
      <c r="N4586" s="1">
        <f>YEAR(Table1[[#This Row],[Order Date]])</f>
        <v>2023</v>
      </c>
    </row>
    <row r="4587" spans="1:14" x14ac:dyDescent="0.35">
      <c r="A4587" s="1" t="s">
        <v>5383</v>
      </c>
      <c r="B4587" s="1" t="s">
        <v>2023</v>
      </c>
      <c r="C4587" s="1" t="s">
        <v>117</v>
      </c>
      <c r="D4587" s="1" t="s">
        <v>37</v>
      </c>
      <c r="E4587" s="1" t="s">
        <v>16</v>
      </c>
      <c r="F4587" s="1" t="s">
        <v>37</v>
      </c>
      <c r="G4587" s="1">
        <v>13</v>
      </c>
      <c r="H4587" s="1">
        <v>11900</v>
      </c>
      <c r="I4587" s="1">
        <v>0.2</v>
      </c>
      <c r="J4587" s="1">
        <v>123760</v>
      </c>
      <c r="K4587" s="1">
        <v>34706.300000000003</v>
      </c>
      <c r="L4587" s="1" t="s">
        <v>70</v>
      </c>
      <c r="M4587" s="1" t="str">
        <f>TEXT(Table1[[#This Row],[Order Date]],"mmm")</f>
        <v>Jul</v>
      </c>
      <c r="N4587" s="1">
        <f>YEAR(Table1[[#This Row],[Order Date]])</f>
        <v>2023</v>
      </c>
    </row>
    <row r="4588" spans="1:14" x14ac:dyDescent="0.35">
      <c r="A4588" s="1" t="s">
        <v>5384</v>
      </c>
      <c r="B4588" s="1" t="s">
        <v>1295</v>
      </c>
      <c r="C4588" s="1" t="s">
        <v>349</v>
      </c>
      <c r="D4588" s="1" t="s">
        <v>78</v>
      </c>
      <c r="E4588" s="1" t="s">
        <v>28</v>
      </c>
      <c r="F4588" s="1" t="s">
        <v>78</v>
      </c>
      <c r="G4588" s="1">
        <v>2</v>
      </c>
      <c r="H4588" s="1">
        <v>58045</v>
      </c>
      <c r="I4588" s="1">
        <v>0</v>
      </c>
      <c r="J4588" s="1">
        <v>116090</v>
      </c>
      <c r="K4588" s="1">
        <v>26650.57</v>
      </c>
      <c r="L4588" s="1" t="s">
        <v>70</v>
      </c>
      <c r="M4588" s="1" t="str">
        <f>TEXT(Table1[[#This Row],[Order Date]],"mmm")</f>
        <v>Oct</v>
      </c>
      <c r="N4588" s="1">
        <f>YEAR(Table1[[#This Row],[Order Date]])</f>
        <v>2024</v>
      </c>
    </row>
    <row r="4589" spans="1:14" x14ac:dyDescent="0.35">
      <c r="A4589" s="1" t="s">
        <v>5385</v>
      </c>
      <c r="B4589" s="1" t="s">
        <v>106</v>
      </c>
      <c r="C4589" s="1" t="s">
        <v>88</v>
      </c>
      <c r="D4589" s="1" t="s">
        <v>37</v>
      </c>
      <c r="E4589" s="1" t="s">
        <v>16</v>
      </c>
      <c r="F4589" s="1" t="s">
        <v>37</v>
      </c>
      <c r="G4589" s="1">
        <v>8</v>
      </c>
      <c r="H4589" s="1">
        <v>23074</v>
      </c>
      <c r="I4589" s="1">
        <v>0.2</v>
      </c>
      <c r="J4589" s="1">
        <v>147673.60000000001</v>
      </c>
      <c r="K4589" s="1">
        <v>19420.13</v>
      </c>
      <c r="L4589" s="1" t="s">
        <v>45</v>
      </c>
      <c r="M4589" s="1" t="str">
        <f>TEXT(Table1[[#This Row],[Order Date]],"mmm")</f>
        <v>Jun</v>
      </c>
      <c r="N4589" s="1">
        <f>YEAR(Table1[[#This Row],[Order Date]])</f>
        <v>2023</v>
      </c>
    </row>
    <row r="4590" spans="1:14" x14ac:dyDescent="0.35">
      <c r="A4590" s="1" t="s">
        <v>5386</v>
      </c>
      <c r="B4590" s="1" t="s">
        <v>1027</v>
      </c>
      <c r="C4590" s="1" t="s">
        <v>120</v>
      </c>
      <c r="D4590" s="1" t="s">
        <v>37</v>
      </c>
      <c r="E4590" s="1" t="s">
        <v>16</v>
      </c>
      <c r="F4590" s="1" t="s">
        <v>37</v>
      </c>
      <c r="G4590" s="1">
        <v>7</v>
      </c>
      <c r="H4590" s="1">
        <v>5480</v>
      </c>
      <c r="I4590" s="1">
        <v>0.2</v>
      </c>
      <c r="J4590" s="1">
        <v>30688</v>
      </c>
      <c r="K4590" s="1">
        <v>3488.04</v>
      </c>
      <c r="L4590" s="1" t="s">
        <v>17</v>
      </c>
      <c r="M4590" s="1" t="str">
        <f>TEXT(Table1[[#This Row],[Order Date]],"mmm")</f>
        <v>Nov</v>
      </c>
      <c r="N4590" s="1">
        <f>YEAR(Table1[[#This Row],[Order Date]])</f>
        <v>2023</v>
      </c>
    </row>
    <row r="4591" spans="1:14" x14ac:dyDescent="0.35">
      <c r="A4591" s="1" t="s">
        <v>5387</v>
      </c>
      <c r="B4591" s="1" t="s">
        <v>1297</v>
      </c>
      <c r="C4591" s="1" t="s">
        <v>117</v>
      </c>
      <c r="D4591" s="1" t="s">
        <v>56</v>
      </c>
      <c r="E4591" s="1" t="s">
        <v>22</v>
      </c>
      <c r="F4591" s="1" t="s">
        <v>56</v>
      </c>
      <c r="G4591" s="1">
        <v>12</v>
      </c>
      <c r="H4591" s="1">
        <v>26369</v>
      </c>
      <c r="I4591" s="1">
        <v>0.1</v>
      </c>
      <c r="J4591" s="1">
        <v>284785.2</v>
      </c>
      <c r="K4591" s="1">
        <v>41875.9</v>
      </c>
      <c r="L4591" s="1" t="s">
        <v>45</v>
      </c>
      <c r="M4591" s="1" t="str">
        <f>TEXT(Table1[[#This Row],[Order Date]],"mmm")</f>
        <v>Jun</v>
      </c>
      <c r="N4591" s="1">
        <f>YEAR(Table1[[#This Row],[Order Date]])</f>
        <v>2024</v>
      </c>
    </row>
    <row r="4592" spans="1:14" x14ac:dyDescent="0.35">
      <c r="A4592" s="1" t="s">
        <v>5388</v>
      </c>
      <c r="B4592" s="1" t="s">
        <v>1438</v>
      </c>
      <c r="C4592" s="1" t="s">
        <v>63</v>
      </c>
      <c r="D4592" s="1" t="s">
        <v>74</v>
      </c>
      <c r="E4592" s="1" t="s">
        <v>22</v>
      </c>
      <c r="F4592" s="1" t="s">
        <v>74</v>
      </c>
      <c r="G4592" s="1">
        <v>11</v>
      </c>
      <c r="H4592" s="1">
        <v>36597</v>
      </c>
      <c r="I4592" s="1">
        <v>0.05</v>
      </c>
      <c r="J4592" s="1">
        <v>382438.65</v>
      </c>
      <c r="K4592" s="1">
        <v>97974.59</v>
      </c>
      <c r="L4592" s="1" t="s">
        <v>23</v>
      </c>
      <c r="M4592" s="1" t="str">
        <f>TEXT(Table1[[#This Row],[Order Date]],"mmm")</f>
        <v>Nov</v>
      </c>
      <c r="N4592" s="1">
        <f>YEAR(Table1[[#This Row],[Order Date]])</f>
        <v>2024</v>
      </c>
    </row>
    <row r="4593" spans="1:14" x14ac:dyDescent="0.35">
      <c r="A4593" s="1" t="s">
        <v>5389</v>
      </c>
      <c r="B4593" s="1" t="s">
        <v>2911</v>
      </c>
      <c r="C4593" s="1" t="s">
        <v>162</v>
      </c>
      <c r="D4593" s="1" t="s">
        <v>56</v>
      </c>
      <c r="E4593" s="1" t="s">
        <v>22</v>
      </c>
      <c r="F4593" s="1" t="s">
        <v>56</v>
      </c>
      <c r="G4593" s="1">
        <v>8</v>
      </c>
      <c r="H4593" s="1">
        <v>35210</v>
      </c>
      <c r="I4593" s="1">
        <v>0.2</v>
      </c>
      <c r="J4593" s="1">
        <v>225344</v>
      </c>
      <c r="K4593" s="1">
        <v>66130.17</v>
      </c>
      <c r="L4593" s="1" t="s">
        <v>23</v>
      </c>
      <c r="M4593" s="1" t="str">
        <f>TEXT(Table1[[#This Row],[Order Date]],"mmm")</f>
        <v>Nov</v>
      </c>
      <c r="N4593" s="1">
        <f>YEAR(Table1[[#This Row],[Order Date]])</f>
        <v>2023</v>
      </c>
    </row>
    <row r="4594" spans="1:14" x14ac:dyDescent="0.35">
      <c r="A4594" s="1" t="s">
        <v>5390</v>
      </c>
      <c r="B4594" s="1" t="s">
        <v>580</v>
      </c>
      <c r="C4594" s="1" t="s">
        <v>117</v>
      </c>
      <c r="D4594" s="1" t="s">
        <v>74</v>
      </c>
      <c r="E4594" s="1" t="s">
        <v>22</v>
      </c>
      <c r="F4594" s="1" t="s">
        <v>74</v>
      </c>
      <c r="G4594" s="1">
        <v>10</v>
      </c>
      <c r="H4594" s="1">
        <v>54366</v>
      </c>
      <c r="I4594" s="1">
        <v>0.1</v>
      </c>
      <c r="J4594" s="1">
        <v>489294</v>
      </c>
      <c r="K4594" s="1">
        <v>131575.41</v>
      </c>
      <c r="L4594" s="1" t="s">
        <v>45</v>
      </c>
      <c r="M4594" s="1" t="str">
        <f>TEXT(Table1[[#This Row],[Order Date]],"mmm")</f>
        <v>Nov</v>
      </c>
      <c r="N4594" s="1">
        <f>YEAR(Table1[[#This Row],[Order Date]])</f>
        <v>2024</v>
      </c>
    </row>
    <row r="4595" spans="1:14" x14ac:dyDescent="0.35">
      <c r="A4595" s="1" t="s">
        <v>5391</v>
      </c>
      <c r="B4595" s="1" t="s">
        <v>772</v>
      </c>
      <c r="C4595" s="1" t="s">
        <v>88</v>
      </c>
      <c r="D4595" s="1" t="s">
        <v>60</v>
      </c>
      <c r="E4595" s="1" t="s">
        <v>33</v>
      </c>
      <c r="F4595" s="1" t="s">
        <v>60</v>
      </c>
      <c r="G4595" s="1">
        <v>12</v>
      </c>
      <c r="H4595" s="1">
        <v>13164</v>
      </c>
      <c r="I4595" s="1">
        <v>0.15</v>
      </c>
      <c r="J4595" s="1">
        <v>134272.79999999999</v>
      </c>
      <c r="K4595" s="1">
        <v>39055.19</v>
      </c>
      <c r="L4595" s="1" t="s">
        <v>70</v>
      </c>
      <c r="M4595" s="1" t="str">
        <f>TEXT(Table1[[#This Row],[Order Date]],"mmm")</f>
        <v>Nov</v>
      </c>
      <c r="N4595" s="1">
        <f>YEAR(Table1[[#This Row],[Order Date]])</f>
        <v>2023</v>
      </c>
    </row>
    <row r="4596" spans="1:14" x14ac:dyDescent="0.35">
      <c r="A4596" s="1" t="s">
        <v>5392</v>
      </c>
      <c r="B4596" s="1" t="s">
        <v>792</v>
      </c>
      <c r="C4596" s="1" t="s">
        <v>349</v>
      </c>
      <c r="D4596" s="1" t="s">
        <v>27</v>
      </c>
      <c r="E4596" s="1" t="s">
        <v>28</v>
      </c>
      <c r="F4596" s="1" t="s">
        <v>27</v>
      </c>
      <c r="G4596" s="1">
        <v>1</v>
      </c>
      <c r="H4596" s="1">
        <v>59050</v>
      </c>
      <c r="I4596" s="1">
        <v>0.15</v>
      </c>
      <c r="J4596" s="1">
        <v>50192.5</v>
      </c>
      <c r="K4596" s="1">
        <v>11641.38</v>
      </c>
      <c r="L4596" s="1" t="s">
        <v>23</v>
      </c>
      <c r="M4596" s="1" t="str">
        <f>TEXT(Table1[[#This Row],[Order Date]],"mmm")</f>
        <v>Aug</v>
      </c>
      <c r="N4596" s="1">
        <f>YEAR(Table1[[#This Row],[Order Date]])</f>
        <v>2023</v>
      </c>
    </row>
    <row r="4597" spans="1:14" x14ac:dyDescent="0.35">
      <c r="A4597" s="1" t="s">
        <v>5393</v>
      </c>
      <c r="B4597" s="1" t="s">
        <v>3059</v>
      </c>
      <c r="C4597" s="1" t="s">
        <v>370</v>
      </c>
      <c r="D4597" s="1" t="s">
        <v>41</v>
      </c>
      <c r="E4597" s="1" t="s">
        <v>16</v>
      </c>
      <c r="F4597" s="1" t="s">
        <v>41</v>
      </c>
      <c r="G4597" s="1">
        <v>6</v>
      </c>
      <c r="H4597" s="1">
        <v>15804</v>
      </c>
      <c r="I4597" s="1">
        <v>0.15</v>
      </c>
      <c r="J4597" s="1">
        <v>80600.399999999994</v>
      </c>
      <c r="K4597" s="1">
        <v>20318.439999999999</v>
      </c>
      <c r="L4597" s="1" t="s">
        <v>17</v>
      </c>
      <c r="M4597" s="1" t="str">
        <f>TEXT(Table1[[#This Row],[Order Date]],"mmm")</f>
        <v>Mar</v>
      </c>
      <c r="N4597" s="1">
        <f>YEAR(Table1[[#This Row],[Order Date]])</f>
        <v>2023</v>
      </c>
    </row>
    <row r="4598" spans="1:14" x14ac:dyDescent="0.35">
      <c r="A4598" s="1" t="s">
        <v>5394</v>
      </c>
      <c r="B4598" s="1" t="s">
        <v>288</v>
      </c>
      <c r="C4598" s="1" t="s">
        <v>370</v>
      </c>
      <c r="D4598" s="1" t="s">
        <v>44</v>
      </c>
      <c r="E4598" s="1" t="s">
        <v>28</v>
      </c>
      <c r="F4598" s="1" t="s">
        <v>44</v>
      </c>
      <c r="G4598" s="1">
        <v>2</v>
      </c>
      <c r="H4598" s="1">
        <v>53448</v>
      </c>
      <c r="I4598" s="1">
        <v>0.05</v>
      </c>
      <c r="J4598" s="1">
        <v>101551.2</v>
      </c>
      <c r="K4598" s="1">
        <v>13932.81</v>
      </c>
      <c r="L4598" s="1" t="s">
        <v>45</v>
      </c>
      <c r="M4598" s="1" t="str">
        <f>TEXT(Table1[[#This Row],[Order Date]],"mmm")</f>
        <v>Jun</v>
      </c>
      <c r="N4598" s="1">
        <f>YEAR(Table1[[#This Row],[Order Date]])</f>
        <v>2024</v>
      </c>
    </row>
    <row r="4599" spans="1:14" x14ac:dyDescent="0.35">
      <c r="A4599" s="1" t="s">
        <v>5395</v>
      </c>
      <c r="B4599" s="1" t="s">
        <v>3263</v>
      </c>
      <c r="C4599" s="1" t="s">
        <v>77</v>
      </c>
      <c r="D4599" s="1" t="s">
        <v>41</v>
      </c>
      <c r="E4599" s="1" t="s">
        <v>16</v>
      </c>
      <c r="F4599" s="1" t="s">
        <v>41</v>
      </c>
      <c r="G4599" s="1">
        <v>3</v>
      </c>
      <c r="H4599" s="1">
        <v>52674</v>
      </c>
      <c r="I4599" s="1">
        <v>0.15</v>
      </c>
      <c r="J4599" s="1">
        <v>134318.70000000001</v>
      </c>
      <c r="K4599" s="1">
        <v>18312.79</v>
      </c>
      <c r="L4599" s="1" t="s">
        <v>70</v>
      </c>
      <c r="M4599" s="1" t="str">
        <f>TEXT(Table1[[#This Row],[Order Date]],"mmm")</f>
        <v>May</v>
      </c>
      <c r="N4599" s="1">
        <f>YEAR(Table1[[#This Row],[Order Date]])</f>
        <v>2023</v>
      </c>
    </row>
    <row r="4600" spans="1:14" x14ac:dyDescent="0.35">
      <c r="A4600" s="1" t="s">
        <v>5396</v>
      </c>
      <c r="B4600" s="1" t="s">
        <v>1411</v>
      </c>
      <c r="C4600" s="1" t="s">
        <v>117</v>
      </c>
      <c r="D4600" s="1" t="s">
        <v>114</v>
      </c>
      <c r="E4600" s="1" t="s">
        <v>16</v>
      </c>
      <c r="F4600" s="1" t="s">
        <v>114</v>
      </c>
      <c r="G4600" s="1">
        <v>3</v>
      </c>
      <c r="H4600" s="1">
        <v>57820</v>
      </c>
      <c r="I4600" s="1">
        <v>0.1</v>
      </c>
      <c r="J4600" s="1">
        <v>156114</v>
      </c>
      <c r="K4600" s="1">
        <v>15809.51</v>
      </c>
      <c r="L4600" s="1" t="s">
        <v>45</v>
      </c>
      <c r="M4600" s="1" t="str">
        <f>TEXT(Table1[[#This Row],[Order Date]],"mmm")</f>
        <v>Oct</v>
      </c>
      <c r="N4600" s="1">
        <f>YEAR(Table1[[#This Row],[Order Date]])</f>
        <v>2023</v>
      </c>
    </row>
    <row r="4601" spans="1:14" x14ac:dyDescent="0.35">
      <c r="A4601" s="1" t="s">
        <v>5397</v>
      </c>
      <c r="B4601" s="1" t="s">
        <v>2023</v>
      </c>
      <c r="C4601" s="1" t="s">
        <v>73</v>
      </c>
      <c r="D4601" s="1" t="s">
        <v>141</v>
      </c>
      <c r="E4601" s="1" t="s">
        <v>22</v>
      </c>
      <c r="F4601" s="1" t="s">
        <v>141</v>
      </c>
      <c r="G4601" s="1">
        <v>2</v>
      </c>
      <c r="H4601" s="1">
        <v>55166</v>
      </c>
      <c r="I4601" s="1">
        <v>0.05</v>
      </c>
      <c r="J4601" s="1">
        <v>104815.4</v>
      </c>
      <c r="K4601" s="1">
        <v>16439.509999999998</v>
      </c>
      <c r="L4601" s="1" t="s">
        <v>45</v>
      </c>
      <c r="M4601" s="1" t="str">
        <f>TEXT(Table1[[#This Row],[Order Date]],"mmm")</f>
        <v>Jul</v>
      </c>
      <c r="N4601" s="1">
        <f>YEAR(Table1[[#This Row],[Order Date]])</f>
        <v>2023</v>
      </c>
    </row>
    <row r="4602" spans="1:14" x14ac:dyDescent="0.35">
      <c r="A4602" s="1" t="s">
        <v>5398</v>
      </c>
      <c r="B4602" s="1" t="s">
        <v>439</v>
      </c>
      <c r="C4602" s="1" t="s">
        <v>120</v>
      </c>
      <c r="D4602" s="1" t="s">
        <v>15</v>
      </c>
      <c r="E4602" s="1" t="s">
        <v>16</v>
      </c>
      <c r="F4602" s="1" t="s">
        <v>15</v>
      </c>
      <c r="G4602" s="1">
        <v>5</v>
      </c>
      <c r="H4602" s="1">
        <v>15876</v>
      </c>
      <c r="I4602" s="1">
        <v>0.2</v>
      </c>
      <c r="J4602" s="1">
        <v>63504</v>
      </c>
      <c r="K4602" s="1">
        <v>12141.35</v>
      </c>
      <c r="L4602" s="1" t="s">
        <v>70</v>
      </c>
      <c r="M4602" s="1" t="str">
        <f>TEXT(Table1[[#This Row],[Order Date]],"mmm")</f>
        <v>Jan</v>
      </c>
      <c r="N4602" s="1">
        <f>YEAR(Table1[[#This Row],[Order Date]])</f>
        <v>2023</v>
      </c>
    </row>
    <row r="4603" spans="1:14" x14ac:dyDescent="0.35">
      <c r="A4603" s="1" t="s">
        <v>5399</v>
      </c>
      <c r="B4603" s="1" t="s">
        <v>663</v>
      </c>
      <c r="C4603" s="1" t="s">
        <v>14</v>
      </c>
      <c r="D4603" s="1" t="s">
        <v>64</v>
      </c>
      <c r="E4603" s="1" t="s">
        <v>33</v>
      </c>
      <c r="F4603" s="1" t="s">
        <v>64</v>
      </c>
      <c r="G4603" s="1">
        <v>3</v>
      </c>
      <c r="H4603" s="1">
        <v>48850</v>
      </c>
      <c r="I4603" s="1">
        <v>0.15</v>
      </c>
      <c r="J4603" s="1">
        <v>124567.5</v>
      </c>
      <c r="K4603" s="1">
        <v>37107.339999999997</v>
      </c>
      <c r="L4603" s="1" t="s">
        <v>45</v>
      </c>
      <c r="M4603" s="1" t="str">
        <f>TEXT(Table1[[#This Row],[Order Date]],"mmm")</f>
        <v>Oct</v>
      </c>
      <c r="N4603" s="1">
        <f>YEAR(Table1[[#This Row],[Order Date]])</f>
        <v>2023</v>
      </c>
    </row>
    <row r="4604" spans="1:14" x14ac:dyDescent="0.35">
      <c r="A4604" s="1" t="s">
        <v>5400</v>
      </c>
      <c r="B4604" s="1" t="s">
        <v>679</v>
      </c>
      <c r="C4604" s="1" t="s">
        <v>208</v>
      </c>
      <c r="D4604" s="1" t="s">
        <v>224</v>
      </c>
      <c r="E4604" s="1" t="s">
        <v>33</v>
      </c>
      <c r="F4604" s="1" t="s">
        <v>224</v>
      </c>
      <c r="G4604" s="1">
        <v>9</v>
      </c>
      <c r="H4604" s="1">
        <v>52028</v>
      </c>
      <c r="I4604" s="1">
        <v>0.1</v>
      </c>
      <c r="J4604" s="1">
        <v>421426.8</v>
      </c>
      <c r="K4604" s="1">
        <v>115682.46</v>
      </c>
      <c r="L4604" s="1" t="s">
        <v>70</v>
      </c>
      <c r="M4604" s="1" t="str">
        <f>TEXT(Table1[[#This Row],[Order Date]],"mmm")</f>
        <v>Jul</v>
      </c>
      <c r="N4604" s="1">
        <f>YEAR(Table1[[#This Row],[Order Date]])</f>
        <v>2023</v>
      </c>
    </row>
    <row r="4605" spans="1:14" x14ac:dyDescent="0.35">
      <c r="A4605" s="1" t="s">
        <v>5401</v>
      </c>
      <c r="B4605" s="1" t="s">
        <v>110</v>
      </c>
      <c r="C4605" s="1" t="s">
        <v>51</v>
      </c>
      <c r="D4605" s="1" t="s">
        <v>78</v>
      </c>
      <c r="E4605" s="1" t="s">
        <v>28</v>
      </c>
      <c r="F4605" s="1" t="s">
        <v>78</v>
      </c>
      <c r="G4605" s="1">
        <v>9</v>
      </c>
      <c r="H4605" s="1">
        <v>12061</v>
      </c>
      <c r="I4605" s="1">
        <v>0.2</v>
      </c>
      <c r="J4605" s="1">
        <v>86839.2</v>
      </c>
      <c r="K4605" s="1">
        <v>18865.23</v>
      </c>
      <c r="L4605" s="1" t="s">
        <v>23</v>
      </c>
      <c r="M4605" s="1" t="str">
        <f>TEXT(Table1[[#This Row],[Order Date]],"mmm")</f>
        <v>Jan</v>
      </c>
      <c r="N4605" s="1">
        <f>YEAR(Table1[[#This Row],[Order Date]])</f>
        <v>2023</v>
      </c>
    </row>
    <row r="4606" spans="1:14" x14ac:dyDescent="0.35">
      <c r="A4606" s="1" t="s">
        <v>5402</v>
      </c>
      <c r="B4606" s="1" t="s">
        <v>724</v>
      </c>
      <c r="C4606" s="1" t="s">
        <v>203</v>
      </c>
      <c r="D4606" s="1" t="s">
        <v>323</v>
      </c>
      <c r="E4606" s="1" t="s">
        <v>33</v>
      </c>
      <c r="F4606" s="1" t="s">
        <v>323</v>
      </c>
      <c r="G4606" s="1">
        <v>2</v>
      </c>
      <c r="H4606" s="1">
        <v>40589</v>
      </c>
      <c r="I4606" s="1">
        <v>0</v>
      </c>
      <c r="J4606" s="1">
        <v>81178</v>
      </c>
      <c r="K4606" s="1">
        <v>16228.15</v>
      </c>
      <c r="L4606" s="1" t="s">
        <v>17</v>
      </c>
      <c r="M4606" s="1" t="str">
        <f>TEXT(Table1[[#This Row],[Order Date]],"mmm")</f>
        <v>Feb</v>
      </c>
      <c r="N4606" s="1">
        <f>YEAR(Table1[[#This Row],[Order Date]])</f>
        <v>2023</v>
      </c>
    </row>
    <row r="4607" spans="1:14" x14ac:dyDescent="0.35">
      <c r="A4607" s="1" t="s">
        <v>5403</v>
      </c>
      <c r="B4607" s="1" t="s">
        <v>939</v>
      </c>
      <c r="C4607" s="1" t="s">
        <v>162</v>
      </c>
      <c r="D4607" s="1" t="s">
        <v>91</v>
      </c>
      <c r="E4607" s="1" t="s">
        <v>16</v>
      </c>
      <c r="F4607" s="1" t="s">
        <v>91</v>
      </c>
      <c r="G4607" s="1">
        <v>12</v>
      </c>
      <c r="H4607" s="1">
        <v>52120</v>
      </c>
      <c r="I4607" s="1">
        <v>0.1</v>
      </c>
      <c r="J4607" s="1">
        <v>562896</v>
      </c>
      <c r="K4607" s="1">
        <v>148866.64000000001</v>
      </c>
      <c r="L4607" s="1" t="s">
        <v>17</v>
      </c>
      <c r="M4607" s="1" t="str">
        <f>TEXT(Table1[[#This Row],[Order Date]],"mmm")</f>
        <v>Apr</v>
      </c>
      <c r="N4607" s="1">
        <f>YEAR(Table1[[#This Row],[Order Date]])</f>
        <v>2024</v>
      </c>
    </row>
    <row r="4608" spans="1:14" x14ac:dyDescent="0.35">
      <c r="A4608" s="1" t="s">
        <v>5404</v>
      </c>
      <c r="B4608" s="1" t="s">
        <v>1019</v>
      </c>
      <c r="C4608" s="1" t="s">
        <v>81</v>
      </c>
      <c r="D4608" s="1" t="s">
        <v>37</v>
      </c>
      <c r="E4608" s="1" t="s">
        <v>16</v>
      </c>
      <c r="F4608" s="1" t="s">
        <v>37</v>
      </c>
      <c r="G4608" s="1">
        <v>3</v>
      </c>
      <c r="H4608" s="1">
        <v>40433</v>
      </c>
      <c r="I4608" s="1">
        <v>0.15</v>
      </c>
      <c r="J4608" s="1">
        <v>103104.15</v>
      </c>
      <c r="K4608" s="1">
        <v>28958.36</v>
      </c>
      <c r="L4608" s="1" t="s">
        <v>23</v>
      </c>
      <c r="M4608" s="1" t="str">
        <f>TEXT(Table1[[#This Row],[Order Date]],"mmm")</f>
        <v>Jun</v>
      </c>
      <c r="N4608" s="1">
        <f>YEAR(Table1[[#This Row],[Order Date]])</f>
        <v>2024</v>
      </c>
    </row>
    <row r="4609" spans="1:14" x14ac:dyDescent="0.35">
      <c r="A4609" s="1" t="s">
        <v>5405</v>
      </c>
      <c r="B4609" s="1" t="s">
        <v>3000</v>
      </c>
      <c r="C4609" s="1" t="s">
        <v>140</v>
      </c>
      <c r="D4609" s="1" t="s">
        <v>151</v>
      </c>
      <c r="E4609" s="1" t="s">
        <v>22</v>
      </c>
      <c r="F4609" s="1" t="s">
        <v>151</v>
      </c>
      <c r="G4609" s="1">
        <v>15</v>
      </c>
      <c r="H4609" s="1">
        <v>13640</v>
      </c>
      <c r="I4609" s="1">
        <v>0.2</v>
      </c>
      <c r="J4609" s="1">
        <v>163680</v>
      </c>
      <c r="K4609" s="1">
        <v>47465.2</v>
      </c>
      <c r="L4609" s="1" t="s">
        <v>17</v>
      </c>
      <c r="M4609" s="1" t="str">
        <f>TEXT(Table1[[#This Row],[Order Date]],"mmm")</f>
        <v>Mar</v>
      </c>
      <c r="N4609" s="1">
        <f>YEAR(Table1[[#This Row],[Order Date]])</f>
        <v>2024</v>
      </c>
    </row>
    <row r="4610" spans="1:14" x14ac:dyDescent="0.35">
      <c r="A4610" s="1" t="s">
        <v>5406</v>
      </c>
      <c r="B4610" s="1" t="s">
        <v>296</v>
      </c>
      <c r="C4610" s="1" t="s">
        <v>188</v>
      </c>
      <c r="D4610" s="1" t="s">
        <v>91</v>
      </c>
      <c r="E4610" s="1" t="s">
        <v>16</v>
      </c>
      <c r="F4610" s="1" t="s">
        <v>91</v>
      </c>
      <c r="G4610" s="1">
        <v>4</v>
      </c>
      <c r="H4610" s="1">
        <v>23431</v>
      </c>
      <c r="I4610" s="1">
        <v>0.1</v>
      </c>
      <c r="J4610" s="1">
        <v>84351.6</v>
      </c>
      <c r="K4610" s="1">
        <v>22683.21</v>
      </c>
      <c r="L4610" s="1" t="s">
        <v>70</v>
      </c>
      <c r="M4610" s="1" t="str">
        <f>TEXT(Table1[[#This Row],[Order Date]],"mmm")</f>
        <v>Aug</v>
      </c>
      <c r="N4610" s="1">
        <f>YEAR(Table1[[#This Row],[Order Date]])</f>
        <v>2023</v>
      </c>
    </row>
    <row r="4611" spans="1:14" x14ac:dyDescent="0.35">
      <c r="A4611" s="1" t="s">
        <v>5407</v>
      </c>
      <c r="B4611" s="1" t="s">
        <v>1537</v>
      </c>
      <c r="C4611" s="1" t="s">
        <v>175</v>
      </c>
      <c r="D4611" s="1" t="s">
        <v>108</v>
      </c>
      <c r="E4611" s="1" t="s">
        <v>22</v>
      </c>
      <c r="F4611" s="1" t="s">
        <v>108</v>
      </c>
      <c r="G4611" s="1">
        <v>3</v>
      </c>
      <c r="H4611" s="1">
        <v>49592</v>
      </c>
      <c r="I4611" s="1">
        <v>0.05</v>
      </c>
      <c r="J4611" s="1">
        <v>141337.20000000001</v>
      </c>
      <c r="K4611" s="1">
        <v>25255.200000000001</v>
      </c>
      <c r="L4611" s="1" t="s">
        <v>23</v>
      </c>
      <c r="M4611" s="1" t="str">
        <f>TEXT(Table1[[#This Row],[Order Date]],"mmm")</f>
        <v>Jan</v>
      </c>
      <c r="N4611" s="1">
        <f>YEAR(Table1[[#This Row],[Order Date]])</f>
        <v>2023</v>
      </c>
    </row>
    <row r="4612" spans="1:14" x14ac:dyDescent="0.35">
      <c r="A4612" s="1" t="s">
        <v>5408</v>
      </c>
      <c r="B4612" s="1" t="s">
        <v>1517</v>
      </c>
      <c r="C4612" s="1" t="s">
        <v>98</v>
      </c>
      <c r="D4612" s="1" t="s">
        <v>293</v>
      </c>
      <c r="E4612" s="1" t="s">
        <v>33</v>
      </c>
      <c r="F4612" s="1" t="s">
        <v>293</v>
      </c>
      <c r="G4612" s="1">
        <v>6</v>
      </c>
      <c r="H4612" s="1">
        <v>7867</v>
      </c>
      <c r="I4612" s="1">
        <v>0</v>
      </c>
      <c r="J4612" s="1">
        <v>47202</v>
      </c>
      <c r="K4612" s="1">
        <v>13917.6</v>
      </c>
      <c r="L4612" s="1" t="s">
        <v>23</v>
      </c>
      <c r="M4612" s="1" t="str">
        <f>TEXT(Table1[[#This Row],[Order Date]],"mmm")</f>
        <v>Mar</v>
      </c>
      <c r="N4612" s="1">
        <f>YEAR(Table1[[#This Row],[Order Date]])</f>
        <v>2023</v>
      </c>
    </row>
    <row r="4613" spans="1:14" x14ac:dyDescent="0.35">
      <c r="A4613" s="1" t="s">
        <v>5409</v>
      </c>
      <c r="B4613" s="1" t="s">
        <v>615</v>
      </c>
      <c r="C4613" s="1" t="s">
        <v>117</v>
      </c>
      <c r="D4613" s="1" t="s">
        <v>48</v>
      </c>
      <c r="E4613" s="1" t="s">
        <v>16</v>
      </c>
      <c r="F4613" s="1" t="s">
        <v>48</v>
      </c>
      <c r="G4613" s="1">
        <v>5</v>
      </c>
      <c r="H4613" s="1">
        <v>57265</v>
      </c>
      <c r="I4613" s="1">
        <v>0.1</v>
      </c>
      <c r="J4613" s="1">
        <v>257692.5</v>
      </c>
      <c r="K4613" s="1">
        <v>69927.38</v>
      </c>
      <c r="L4613" s="1" t="s">
        <v>23</v>
      </c>
      <c r="M4613" s="1" t="str">
        <f>TEXT(Table1[[#This Row],[Order Date]],"mmm")</f>
        <v>Jun</v>
      </c>
      <c r="N4613" s="1">
        <f>YEAR(Table1[[#This Row],[Order Date]])</f>
        <v>2024</v>
      </c>
    </row>
    <row r="4614" spans="1:14" x14ac:dyDescent="0.35">
      <c r="A4614" s="1" t="s">
        <v>5410</v>
      </c>
      <c r="B4614" s="1" t="s">
        <v>2092</v>
      </c>
      <c r="C4614" s="1" t="s">
        <v>107</v>
      </c>
      <c r="D4614" s="1" t="s">
        <v>52</v>
      </c>
      <c r="E4614" s="1" t="s">
        <v>28</v>
      </c>
      <c r="F4614" s="1" t="s">
        <v>52</v>
      </c>
      <c r="G4614" s="1">
        <v>11</v>
      </c>
      <c r="H4614" s="1">
        <v>49689</v>
      </c>
      <c r="I4614" s="1">
        <v>0.15</v>
      </c>
      <c r="J4614" s="1">
        <v>464592.15</v>
      </c>
      <c r="K4614" s="1">
        <v>92486.45</v>
      </c>
      <c r="L4614" s="1" t="s">
        <v>45</v>
      </c>
      <c r="M4614" s="1" t="str">
        <f>TEXT(Table1[[#This Row],[Order Date]],"mmm")</f>
        <v>Feb</v>
      </c>
      <c r="N4614" s="1">
        <f>YEAR(Table1[[#This Row],[Order Date]])</f>
        <v>2024</v>
      </c>
    </row>
    <row r="4615" spans="1:14" x14ac:dyDescent="0.35">
      <c r="A4615" s="1" t="s">
        <v>5411</v>
      </c>
      <c r="B4615" s="1" t="s">
        <v>1371</v>
      </c>
      <c r="C4615" s="1" t="s">
        <v>40</v>
      </c>
      <c r="D4615" s="1" t="s">
        <v>56</v>
      </c>
      <c r="E4615" s="1" t="s">
        <v>22</v>
      </c>
      <c r="F4615" s="1" t="s">
        <v>56</v>
      </c>
      <c r="G4615" s="1">
        <v>1</v>
      </c>
      <c r="H4615" s="1">
        <v>4278</v>
      </c>
      <c r="I4615" s="1">
        <v>0</v>
      </c>
      <c r="J4615" s="1">
        <v>4278</v>
      </c>
      <c r="K4615" s="1">
        <v>928.18</v>
      </c>
      <c r="L4615" s="1" t="s">
        <v>17</v>
      </c>
      <c r="M4615" s="1" t="str">
        <f>TEXT(Table1[[#This Row],[Order Date]],"mmm")</f>
        <v>Jan</v>
      </c>
      <c r="N4615" s="1">
        <f>YEAR(Table1[[#This Row],[Order Date]])</f>
        <v>2023</v>
      </c>
    </row>
    <row r="4616" spans="1:14" x14ac:dyDescent="0.35">
      <c r="A4616" s="1" t="s">
        <v>5412</v>
      </c>
      <c r="B4616" s="1" t="s">
        <v>280</v>
      </c>
      <c r="C4616" s="1" t="s">
        <v>63</v>
      </c>
      <c r="D4616" s="1" t="s">
        <v>95</v>
      </c>
      <c r="E4616" s="1" t="s">
        <v>33</v>
      </c>
      <c r="F4616" s="1" t="s">
        <v>95</v>
      </c>
      <c r="G4616" s="1">
        <v>13</v>
      </c>
      <c r="H4616" s="1">
        <v>59582</v>
      </c>
      <c r="I4616" s="1">
        <v>0.1</v>
      </c>
      <c r="J4616" s="1">
        <v>697109.4</v>
      </c>
      <c r="K4616" s="1">
        <v>194602.85</v>
      </c>
      <c r="L4616" s="1" t="s">
        <v>23</v>
      </c>
      <c r="M4616" s="1" t="str">
        <f>TEXT(Table1[[#This Row],[Order Date]],"mmm")</f>
        <v>Oct</v>
      </c>
      <c r="N4616" s="1">
        <f>YEAR(Table1[[#This Row],[Order Date]])</f>
        <v>2024</v>
      </c>
    </row>
    <row r="4617" spans="1:14" x14ac:dyDescent="0.35">
      <c r="A4617" s="1" t="s">
        <v>5413</v>
      </c>
      <c r="B4617" s="1" t="s">
        <v>1235</v>
      </c>
      <c r="C4617" s="1" t="s">
        <v>155</v>
      </c>
      <c r="D4617" s="1" t="s">
        <v>141</v>
      </c>
      <c r="E4617" s="1" t="s">
        <v>22</v>
      </c>
      <c r="F4617" s="1" t="s">
        <v>141</v>
      </c>
      <c r="G4617" s="1">
        <v>6</v>
      </c>
      <c r="H4617" s="1">
        <v>16177</v>
      </c>
      <c r="I4617" s="1">
        <v>0.1</v>
      </c>
      <c r="J4617" s="1">
        <v>87355.8</v>
      </c>
      <c r="K4617" s="1">
        <v>26172.99</v>
      </c>
      <c r="L4617" s="1" t="s">
        <v>17</v>
      </c>
      <c r="M4617" s="1" t="str">
        <f>TEXT(Table1[[#This Row],[Order Date]],"mmm")</f>
        <v>Oct</v>
      </c>
      <c r="N4617" s="1">
        <f>YEAR(Table1[[#This Row],[Order Date]])</f>
        <v>2024</v>
      </c>
    </row>
    <row r="4618" spans="1:14" x14ac:dyDescent="0.35">
      <c r="A4618" s="1" t="s">
        <v>5414</v>
      </c>
      <c r="B4618" s="1" t="s">
        <v>1618</v>
      </c>
      <c r="C4618" s="1" t="s">
        <v>36</v>
      </c>
      <c r="D4618" s="1" t="s">
        <v>224</v>
      </c>
      <c r="E4618" s="1" t="s">
        <v>33</v>
      </c>
      <c r="F4618" s="1" t="s">
        <v>224</v>
      </c>
      <c r="G4618" s="1">
        <v>2</v>
      </c>
      <c r="H4618" s="1">
        <v>41160</v>
      </c>
      <c r="I4618" s="1">
        <v>0.05</v>
      </c>
      <c r="J4618" s="1">
        <v>78204</v>
      </c>
      <c r="K4618" s="1">
        <v>6989.34</v>
      </c>
      <c r="L4618" s="1" t="s">
        <v>70</v>
      </c>
      <c r="M4618" s="1" t="str">
        <f>TEXT(Table1[[#This Row],[Order Date]],"mmm")</f>
        <v>Mar</v>
      </c>
      <c r="N4618" s="1">
        <f>YEAR(Table1[[#This Row],[Order Date]])</f>
        <v>2024</v>
      </c>
    </row>
    <row r="4619" spans="1:14" x14ac:dyDescent="0.35">
      <c r="A4619" s="1" t="s">
        <v>5415</v>
      </c>
      <c r="B4619" s="1" t="s">
        <v>596</v>
      </c>
      <c r="C4619" s="1" t="s">
        <v>370</v>
      </c>
      <c r="D4619" s="1" t="s">
        <v>293</v>
      </c>
      <c r="E4619" s="1" t="s">
        <v>33</v>
      </c>
      <c r="F4619" s="1" t="s">
        <v>293</v>
      </c>
      <c r="G4619" s="1">
        <v>4</v>
      </c>
      <c r="H4619" s="1">
        <v>39954</v>
      </c>
      <c r="I4619" s="1">
        <v>0.1</v>
      </c>
      <c r="J4619" s="1">
        <v>143834.4</v>
      </c>
      <c r="K4619" s="1">
        <v>16192.35</v>
      </c>
      <c r="L4619" s="1" t="s">
        <v>23</v>
      </c>
      <c r="M4619" s="1" t="str">
        <f>TEXT(Table1[[#This Row],[Order Date]],"mmm")</f>
        <v>Nov</v>
      </c>
      <c r="N4619" s="1">
        <f>YEAR(Table1[[#This Row],[Order Date]])</f>
        <v>2023</v>
      </c>
    </row>
    <row r="4620" spans="1:14" x14ac:dyDescent="0.35">
      <c r="A4620" s="1" t="s">
        <v>5416</v>
      </c>
      <c r="B4620" s="1" t="s">
        <v>116</v>
      </c>
      <c r="C4620" s="1" t="s">
        <v>98</v>
      </c>
      <c r="D4620" s="1" t="s">
        <v>15</v>
      </c>
      <c r="E4620" s="1" t="s">
        <v>16</v>
      </c>
      <c r="F4620" s="1" t="s">
        <v>15</v>
      </c>
      <c r="G4620" s="1">
        <v>13</v>
      </c>
      <c r="H4620" s="1">
        <v>27600</v>
      </c>
      <c r="I4620" s="1">
        <v>0.2</v>
      </c>
      <c r="J4620" s="1">
        <v>287040</v>
      </c>
      <c r="K4620" s="1">
        <v>28325.58</v>
      </c>
      <c r="L4620" s="1" t="s">
        <v>17</v>
      </c>
      <c r="M4620" s="1" t="str">
        <f>TEXT(Table1[[#This Row],[Order Date]],"mmm")</f>
        <v>Jan</v>
      </c>
      <c r="N4620" s="1">
        <f>YEAR(Table1[[#This Row],[Order Date]])</f>
        <v>2023</v>
      </c>
    </row>
    <row r="4621" spans="1:14" x14ac:dyDescent="0.35">
      <c r="A4621" s="1" t="s">
        <v>5417</v>
      </c>
      <c r="B4621" s="1" t="s">
        <v>1951</v>
      </c>
      <c r="C4621" s="1" t="s">
        <v>227</v>
      </c>
      <c r="D4621" s="1" t="s">
        <v>37</v>
      </c>
      <c r="E4621" s="1" t="s">
        <v>16</v>
      </c>
      <c r="F4621" s="1" t="s">
        <v>37</v>
      </c>
      <c r="G4621" s="1">
        <v>8</v>
      </c>
      <c r="H4621" s="1">
        <v>52850</v>
      </c>
      <c r="I4621" s="1">
        <v>0</v>
      </c>
      <c r="J4621" s="1">
        <v>422800</v>
      </c>
      <c r="K4621" s="1">
        <v>111344.97</v>
      </c>
      <c r="L4621" s="1" t="s">
        <v>23</v>
      </c>
      <c r="M4621" s="1" t="str">
        <f>TEXT(Table1[[#This Row],[Order Date]],"mmm")</f>
        <v>May</v>
      </c>
      <c r="N4621" s="1">
        <f>YEAR(Table1[[#This Row],[Order Date]])</f>
        <v>2024</v>
      </c>
    </row>
    <row r="4622" spans="1:14" x14ac:dyDescent="0.35">
      <c r="A4622" s="1" t="s">
        <v>5418</v>
      </c>
      <c r="B4622" s="1" t="s">
        <v>1131</v>
      </c>
      <c r="C4622" s="1" t="s">
        <v>63</v>
      </c>
      <c r="D4622" s="1" t="s">
        <v>224</v>
      </c>
      <c r="E4622" s="1" t="s">
        <v>33</v>
      </c>
      <c r="F4622" s="1" t="s">
        <v>224</v>
      </c>
      <c r="G4622" s="1">
        <v>11</v>
      </c>
      <c r="H4622" s="1">
        <v>52489</v>
      </c>
      <c r="I4622" s="1">
        <v>0.1</v>
      </c>
      <c r="J4622" s="1">
        <v>519641.1</v>
      </c>
      <c r="K4622" s="1">
        <v>132509.38</v>
      </c>
      <c r="L4622" s="1" t="s">
        <v>70</v>
      </c>
      <c r="M4622" s="1" t="str">
        <f>TEXT(Table1[[#This Row],[Order Date]],"mmm")</f>
        <v>Sep</v>
      </c>
      <c r="N4622" s="1">
        <f>YEAR(Table1[[#This Row],[Order Date]])</f>
        <v>2023</v>
      </c>
    </row>
    <row r="4623" spans="1:14" x14ac:dyDescent="0.35">
      <c r="A4623" s="1" t="s">
        <v>5419</v>
      </c>
      <c r="B4623" s="1" t="s">
        <v>2589</v>
      </c>
      <c r="C4623" s="1" t="s">
        <v>59</v>
      </c>
      <c r="D4623" s="1" t="s">
        <v>293</v>
      </c>
      <c r="E4623" s="1" t="s">
        <v>33</v>
      </c>
      <c r="F4623" s="1" t="s">
        <v>293</v>
      </c>
      <c r="G4623" s="1">
        <v>13</v>
      </c>
      <c r="H4623" s="1">
        <v>40566</v>
      </c>
      <c r="I4623" s="1">
        <v>0</v>
      </c>
      <c r="J4623" s="1">
        <v>527358</v>
      </c>
      <c r="K4623" s="1">
        <v>128460.2</v>
      </c>
      <c r="L4623" s="1" t="s">
        <v>45</v>
      </c>
      <c r="M4623" s="1" t="str">
        <f>TEXT(Table1[[#This Row],[Order Date]],"mmm")</f>
        <v>Feb</v>
      </c>
      <c r="N4623" s="1">
        <f>YEAR(Table1[[#This Row],[Order Date]])</f>
        <v>2024</v>
      </c>
    </row>
    <row r="4624" spans="1:14" x14ac:dyDescent="0.35">
      <c r="A4624" s="1" t="s">
        <v>5420</v>
      </c>
      <c r="B4624" s="1" t="s">
        <v>1834</v>
      </c>
      <c r="C4624" s="1" t="s">
        <v>140</v>
      </c>
      <c r="D4624" s="1" t="s">
        <v>52</v>
      </c>
      <c r="E4624" s="1" t="s">
        <v>28</v>
      </c>
      <c r="F4624" s="1" t="s">
        <v>52</v>
      </c>
      <c r="G4624" s="1">
        <v>7</v>
      </c>
      <c r="H4624" s="1">
        <v>8941</v>
      </c>
      <c r="I4624" s="1">
        <v>0.1</v>
      </c>
      <c r="J4624" s="1">
        <v>56328.3</v>
      </c>
      <c r="K4624" s="1">
        <v>13282.45</v>
      </c>
      <c r="L4624" s="1" t="s">
        <v>70</v>
      </c>
      <c r="M4624" s="1" t="str">
        <f>TEXT(Table1[[#This Row],[Order Date]],"mmm")</f>
        <v>Nov</v>
      </c>
      <c r="N4624" s="1">
        <f>YEAR(Table1[[#This Row],[Order Date]])</f>
        <v>2023</v>
      </c>
    </row>
    <row r="4625" spans="1:14" x14ac:dyDescent="0.35">
      <c r="A4625" s="1" t="s">
        <v>5421</v>
      </c>
      <c r="B4625" s="1" t="s">
        <v>783</v>
      </c>
      <c r="C4625" s="1" t="s">
        <v>158</v>
      </c>
      <c r="D4625" s="1" t="s">
        <v>133</v>
      </c>
      <c r="E4625" s="1" t="s">
        <v>22</v>
      </c>
      <c r="F4625" s="1" t="s">
        <v>133</v>
      </c>
      <c r="G4625" s="1">
        <v>3</v>
      </c>
      <c r="H4625" s="1">
        <v>13456</v>
      </c>
      <c r="I4625" s="1">
        <v>0</v>
      </c>
      <c r="J4625" s="1">
        <v>40368</v>
      </c>
      <c r="K4625" s="1">
        <v>10064</v>
      </c>
      <c r="L4625" s="1" t="s">
        <v>70</v>
      </c>
      <c r="M4625" s="1" t="str">
        <f>TEXT(Table1[[#This Row],[Order Date]],"mmm")</f>
        <v>Jan</v>
      </c>
      <c r="N4625" s="1">
        <f>YEAR(Table1[[#This Row],[Order Date]])</f>
        <v>2024</v>
      </c>
    </row>
    <row r="4626" spans="1:14" x14ac:dyDescent="0.35">
      <c r="A4626" s="1" t="s">
        <v>5422</v>
      </c>
      <c r="B4626" s="1" t="s">
        <v>630</v>
      </c>
      <c r="C4626" s="1" t="s">
        <v>362</v>
      </c>
      <c r="D4626" s="1" t="s">
        <v>114</v>
      </c>
      <c r="E4626" s="1" t="s">
        <v>16</v>
      </c>
      <c r="F4626" s="1" t="s">
        <v>114</v>
      </c>
      <c r="G4626" s="1">
        <v>7</v>
      </c>
      <c r="H4626" s="1">
        <v>17337</v>
      </c>
      <c r="I4626" s="1">
        <v>0</v>
      </c>
      <c r="J4626" s="1">
        <v>121359</v>
      </c>
      <c r="K4626" s="1">
        <v>25643.83</v>
      </c>
      <c r="L4626" s="1" t="s">
        <v>17</v>
      </c>
      <c r="M4626" s="1" t="str">
        <f>TEXT(Table1[[#This Row],[Order Date]],"mmm")</f>
        <v>Aug</v>
      </c>
      <c r="N4626" s="1">
        <f>YEAR(Table1[[#This Row],[Order Date]])</f>
        <v>2023</v>
      </c>
    </row>
    <row r="4627" spans="1:14" x14ac:dyDescent="0.35">
      <c r="A4627" s="1" t="s">
        <v>5423</v>
      </c>
      <c r="B4627" s="1" t="s">
        <v>240</v>
      </c>
      <c r="C4627" s="1" t="s">
        <v>200</v>
      </c>
      <c r="D4627" s="1" t="s">
        <v>293</v>
      </c>
      <c r="E4627" s="1" t="s">
        <v>33</v>
      </c>
      <c r="F4627" s="1" t="s">
        <v>293</v>
      </c>
      <c r="G4627" s="1">
        <v>2</v>
      </c>
      <c r="H4627" s="1">
        <v>19271</v>
      </c>
      <c r="I4627" s="1">
        <v>0.15</v>
      </c>
      <c r="J4627" s="1">
        <v>32760.7</v>
      </c>
      <c r="K4627" s="1">
        <v>3615.41</v>
      </c>
      <c r="L4627" s="1" t="s">
        <v>45</v>
      </c>
      <c r="M4627" s="1" t="str">
        <f>TEXT(Table1[[#This Row],[Order Date]],"mmm")</f>
        <v>Sep</v>
      </c>
      <c r="N4627" s="1">
        <f>YEAR(Table1[[#This Row],[Order Date]])</f>
        <v>2024</v>
      </c>
    </row>
    <row r="4628" spans="1:14" x14ac:dyDescent="0.35">
      <c r="A4628" s="1" t="s">
        <v>5424</v>
      </c>
      <c r="B4628" s="1" t="s">
        <v>1051</v>
      </c>
      <c r="C4628" s="1" t="s">
        <v>94</v>
      </c>
      <c r="D4628" s="1" t="s">
        <v>95</v>
      </c>
      <c r="E4628" s="1" t="s">
        <v>33</v>
      </c>
      <c r="F4628" s="1" t="s">
        <v>95</v>
      </c>
      <c r="G4628" s="1">
        <v>3</v>
      </c>
      <c r="H4628" s="1">
        <v>14065</v>
      </c>
      <c r="I4628" s="1">
        <v>0.15</v>
      </c>
      <c r="J4628" s="1">
        <v>35865.75</v>
      </c>
      <c r="K4628" s="1">
        <v>9613.1200000000008</v>
      </c>
      <c r="L4628" s="1" t="s">
        <v>23</v>
      </c>
      <c r="M4628" s="1" t="str">
        <f>TEXT(Table1[[#This Row],[Order Date]],"mmm")</f>
        <v>Mar</v>
      </c>
      <c r="N4628" s="1">
        <f>YEAR(Table1[[#This Row],[Order Date]])</f>
        <v>2023</v>
      </c>
    </row>
    <row r="4629" spans="1:14" x14ac:dyDescent="0.35">
      <c r="A4629" s="1" t="s">
        <v>5425</v>
      </c>
      <c r="B4629" s="1" t="s">
        <v>2425</v>
      </c>
      <c r="C4629" s="1" t="s">
        <v>362</v>
      </c>
      <c r="D4629" s="1" t="s">
        <v>151</v>
      </c>
      <c r="E4629" s="1" t="s">
        <v>22</v>
      </c>
      <c r="F4629" s="1" t="s">
        <v>151</v>
      </c>
      <c r="G4629" s="1">
        <v>13</v>
      </c>
      <c r="H4629" s="1">
        <v>51653</v>
      </c>
      <c r="I4629" s="1">
        <v>0.1</v>
      </c>
      <c r="J4629" s="1">
        <v>604340.1</v>
      </c>
      <c r="K4629" s="1">
        <v>118651.21</v>
      </c>
      <c r="L4629" s="1" t="s">
        <v>23</v>
      </c>
      <c r="M4629" s="1" t="str">
        <f>TEXT(Table1[[#This Row],[Order Date]],"mmm")</f>
        <v>Jun</v>
      </c>
      <c r="N4629" s="1">
        <f>YEAR(Table1[[#This Row],[Order Date]])</f>
        <v>2024</v>
      </c>
    </row>
    <row r="4630" spans="1:14" x14ac:dyDescent="0.35">
      <c r="A4630" s="1" t="s">
        <v>5426</v>
      </c>
      <c r="B4630" s="1" t="s">
        <v>415</v>
      </c>
      <c r="C4630" s="1" t="s">
        <v>208</v>
      </c>
      <c r="D4630" s="1" t="s">
        <v>64</v>
      </c>
      <c r="E4630" s="1" t="s">
        <v>33</v>
      </c>
      <c r="F4630" s="1" t="s">
        <v>64</v>
      </c>
      <c r="G4630" s="1">
        <v>8</v>
      </c>
      <c r="H4630" s="1">
        <v>58726</v>
      </c>
      <c r="I4630" s="1">
        <v>0.1</v>
      </c>
      <c r="J4630" s="1">
        <v>422827.2</v>
      </c>
      <c r="K4630" s="1">
        <v>117364.39</v>
      </c>
      <c r="L4630" s="1" t="s">
        <v>23</v>
      </c>
      <c r="M4630" s="1" t="str">
        <f>TEXT(Table1[[#This Row],[Order Date]],"mmm")</f>
        <v>Jan</v>
      </c>
      <c r="N4630" s="1">
        <f>YEAR(Table1[[#This Row],[Order Date]])</f>
        <v>2024</v>
      </c>
    </row>
    <row r="4631" spans="1:14" x14ac:dyDescent="0.35">
      <c r="A4631" s="1" t="s">
        <v>5427</v>
      </c>
      <c r="B4631" s="1" t="s">
        <v>804</v>
      </c>
      <c r="C4631" s="1" t="s">
        <v>125</v>
      </c>
      <c r="D4631" s="1" t="s">
        <v>21</v>
      </c>
      <c r="E4631" s="1" t="s">
        <v>22</v>
      </c>
      <c r="F4631" s="1" t="s">
        <v>21</v>
      </c>
      <c r="G4631" s="1">
        <v>7</v>
      </c>
      <c r="H4631" s="1">
        <v>26837</v>
      </c>
      <c r="I4631" s="1">
        <v>0.1</v>
      </c>
      <c r="J4631" s="1">
        <v>169073.1</v>
      </c>
      <c r="K4631" s="1">
        <v>27670.54</v>
      </c>
      <c r="L4631" s="1" t="s">
        <v>45</v>
      </c>
      <c r="M4631" s="1" t="str">
        <f>TEXT(Table1[[#This Row],[Order Date]],"mmm")</f>
        <v>Apr</v>
      </c>
      <c r="N4631" s="1">
        <f>YEAR(Table1[[#This Row],[Order Date]])</f>
        <v>2023</v>
      </c>
    </row>
    <row r="4632" spans="1:14" x14ac:dyDescent="0.35">
      <c r="A4632" s="1" t="s">
        <v>5428</v>
      </c>
      <c r="B4632" s="1" t="s">
        <v>62</v>
      </c>
      <c r="C4632" s="1" t="s">
        <v>84</v>
      </c>
      <c r="D4632" s="1" t="s">
        <v>108</v>
      </c>
      <c r="E4632" s="1" t="s">
        <v>22</v>
      </c>
      <c r="F4632" s="1" t="s">
        <v>108</v>
      </c>
      <c r="G4632" s="1">
        <v>6</v>
      </c>
      <c r="H4632" s="1">
        <v>35405</v>
      </c>
      <c r="I4632" s="1">
        <v>0.2</v>
      </c>
      <c r="J4632" s="1">
        <v>169944</v>
      </c>
      <c r="K4632" s="1">
        <v>48273.43</v>
      </c>
      <c r="L4632" s="1" t="s">
        <v>23</v>
      </c>
      <c r="M4632" s="1" t="str">
        <f>TEXT(Table1[[#This Row],[Order Date]],"mmm")</f>
        <v>Dec</v>
      </c>
      <c r="N4632" s="1">
        <f>YEAR(Table1[[#This Row],[Order Date]])</f>
        <v>2023</v>
      </c>
    </row>
    <row r="4633" spans="1:14" x14ac:dyDescent="0.35">
      <c r="A4633" s="1" t="s">
        <v>5429</v>
      </c>
      <c r="B4633" s="1" t="s">
        <v>122</v>
      </c>
      <c r="C4633" s="1" t="s">
        <v>88</v>
      </c>
      <c r="D4633" s="1" t="s">
        <v>52</v>
      </c>
      <c r="E4633" s="1" t="s">
        <v>28</v>
      </c>
      <c r="F4633" s="1" t="s">
        <v>52</v>
      </c>
      <c r="G4633" s="1">
        <v>3</v>
      </c>
      <c r="H4633" s="1">
        <v>42739</v>
      </c>
      <c r="I4633" s="1">
        <v>0.15</v>
      </c>
      <c r="J4633" s="1">
        <v>108984.45</v>
      </c>
      <c r="K4633" s="1">
        <v>12716.64</v>
      </c>
      <c r="L4633" s="1" t="s">
        <v>17</v>
      </c>
      <c r="M4633" s="1" t="str">
        <f>TEXT(Table1[[#This Row],[Order Date]],"mmm")</f>
        <v>Jul</v>
      </c>
      <c r="N4633" s="1">
        <f>YEAR(Table1[[#This Row],[Order Date]])</f>
        <v>2024</v>
      </c>
    </row>
    <row r="4634" spans="1:14" x14ac:dyDescent="0.35">
      <c r="A4634" s="1" t="s">
        <v>5430</v>
      </c>
      <c r="B4634" s="1" t="s">
        <v>217</v>
      </c>
      <c r="C4634" s="1" t="s">
        <v>51</v>
      </c>
      <c r="D4634" s="1" t="s">
        <v>48</v>
      </c>
      <c r="E4634" s="1" t="s">
        <v>16</v>
      </c>
      <c r="F4634" s="1" t="s">
        <v>48</v>
      </c>
      <c r="G4634" s="1">
        <v>7</v>
      </c>
      <c r="H4634" s="1">
        <v>33005</v>
      </c>
      <c r="I4634" s="1">
        <v>0.15</v>
      </c>
      <c r="J4634" s="1">
        <v>196379.75</v>
      </c>
      <c r="K4634" s="1">
        <v>52751.59</v>
      </c>
      <c r="L4634" s="1" t="s">
        <v>17</v>
      </c>
      <c r="M4634" s="1" t="str">
        <f>TEXT(Table1[[#This Row],[Order Date]],"mmm")</f>
        <v>Sep</v>
      </c>
      <c r="N4634" s="1">
        <f>YEAR(Table1[[#This Row],[Order Date]])</f>
        <v>2023</v>
      </c>
    </row>
    <row r="4635" spans="1:14" x14ac:dyDescent="0.35">
      <c r="A4635" s="1" t="s">
        <v>5431</v>
      </c>
      <c r="B4635" s="1" t="s">
        <v>655</v>
      </c>
      <c r="C4635" s="1" t="s">
        <v>125</v>
      </c>
      <c r="D4635" s="1" t="s">
        <v>114</v>
      </c>
      <c r="E4635" s="1" t="s">
        <v>16</v>
      </c>
      <c r="F4635" s="1" t="s">
        <v>114</v>
      </c>
      <c r="G4635" s="1">
        <v>9</v>
      </c>
      <c r="H4635" s="1">
        <v>35419</v>
      </c>
      <c r="I4635" s="1">
        <v>0.2</v>
      </c>
      <c r="J4635" s="1">
        <v>255016.8</v>
      </c>
      <c r="K4635" s="1">
        <v>58413.97</v>
      </c>
      <c r="L4635" s="1" t="s">
        <v>17</v>
      </c>
      <c r="M4635" s="1" t="str">
        <f>TEXT(Table1[[#This Row],[Order Date]],"mmm")</f>
        <v>Jul</v>
      </c>
      <c r="N4635" s="1">
        <f>YEAR(Table1[[#This Row],[Order Date]])</f>
        <v>2023</v>
      </c>
    </row>
    <row r="4636" spans="1:14" x14ac:dyDescent="0.35">
      <c r="A4636" s="1" t="s">
        <v>5432</v>
      </c>
      <c r="B4636" s="1" t="s">
        <v>1445</v>
      </c>
      <c r="C4636" s="1" t="s">
        <v>191</v>
      </c>
      <c r="D4636" s="1" t="s">
        <v>44</v>
      </c>
      <c r="E4636" s="1" t="s">
        <v>28</v>
      </c>
      <c r="F4636" s="1" t="s">
        <v>44</v>
      </c>
      <c r="G4636" s="1">
        <v>11</v>
      </c>
      <c r="H4636" s="1">
        <v>16304</v>
      </c>
      <c r="I4636" s="1">
        <v>0.1</v>
      </c>
      <c r="J4636" s="1">
        <v>161409.60000000001</v>
      </c>
      <c r="K4636" s="1">
        <v>44993.279999999999</v>
      </c>
      <c r="L4636" s="1" t="s">
        <v>23</v>
      </c>
      <c r="M4636" s="1" t="str">
        <f>TEXT(Table1[[#This Row],[Order Date]],"mmm")</f>
        <v>Jun</v>
      </c>
      <c r="N4636" s="1">
        <f>YEAR(Table1[[#This Row],[Order Date]])</f>
        <v>2023</v>
      </c>
    </row>
    <row r="4637" spans="1:14" x14ac:dyDescent="0.35">
      <c r="A4637" s="1" t="s">
        <v>5433</v>
      </c>
      <c r="B4637" s="1" t="s">
        <v>221</v>
      </c>
      <c r="C4637" s="1" t="s">
        <v>120</v>
      </c>
      <c r="D4637" s="1" t="s">
        <v>137</v>
      </c>
      <c r="E4637" s="1" t="s">
        <v>22</v>
      </c>
      <c r="F4637" s="1" t="s">
        <v>137</v>
      </c>
      <c r="G4637" s="1">
        <v>4</v>
      </c>
      <c r="H4637" s="1">
        <v>46327</v>
      </c>
      <c r="I4637" s="1">
        <v>0.15</v>
      </c>
      <c r="J4637" s="1">
        <v>157511.79999999999</v>
      </c>
      <c r="K4637" s="1">
        <v>42394.71</v>
      </c>
      <c r="L4637" s="1" t="s">
        <v>70</v>
      </c>
      <c r="M4637" s="1" t="str">
        <f>TEXT(Table1[[#This Row],[Order Date]],"mmm")</f>
        <v>Dec</v>
      </c>
      <c r="N4637" s="1">
        <f>YEAR(Table1[[#This Row],[Order Date]])</f>
        <v>2023</v>
      </c>
    </row>
    <row r="4638" spans="1:14" x14ac:dyDescent="0.35">
      <c r="A4638" s="1" t="s">
        <v>5434</v>
      </c>
      <c r="B4638" s="1" t="s">
        <v>491</v>
      </c>
      <c r="C4638" s="1" t="s">
        <v>31</v>
      </c>
      <c r="D4638" s="1" t="s">
        <v>114</v>
      </c>
      <c r="E4638" s="1" t="s">
        <v>16</v>
      </c>
      <c r="F4638" s="1" t="s">
        <v>114</v>
      </c>
      <c r="G4638" s="1">
        <v>7</v>
      </c>
      <c r="H4638" s="1">
        <v>51919</v>
      </c>
      <c r="I4638" s="1">
        <v>0.05</v>
      </c>
      <c r="J4638" s="1">
        <v>345261.35</v>
      </c>
      <c r="K4638" s="1">
        <v>65025.38</v>
      </c>
      <c r="L4638" s="1" t="s">
        <v>45</v>
      </c>
      <c r="M4638" s="1" t="str">
        <f>TEXT(Table1[[#This Row],[Order Date]],"mmm")</f>
        <v>Aug</v>
      </c>
      <c r="N4638" s="1">
        <f>YEAR(Table1[[#This Row],[Order Date]])</f>
        <v>2024</v>
      </c>
    </row>
    <row r="4639" spans="1:14" x14ac:dyDescent="0.35">
      <c r="A4639" s="1" t="s">
        <v>5435</v>
      </c>
      <c r="B4639" s="1" t="s">
        <v>952</v>
      </c>
      <c r="C4639" s="1" t="s">
        <v>370</v>
      </c>
      <c r="D4639" s="1" t="s">
        <v>78</v>
      </c>
      <c r="E4639" s="1" t="s">
        <v>28</v>
      </c>
      <c r="F4639" s="1" t="s">
        <v>78</v>
      </c>
      <c r="G4639" s="1">
        <v>13</v>
      </c>
      <c r="H4639" s="1">
        <v>59463</v>
      </c>
      <c r="I4639" s="1">
        <v>0</v>
      </c>
      <c r="J4639" s="1">
        <v>773019</v>
      </c>
      <c r="K4639" s="1">
        <v>97074.78</v>
      </c>
      <c r="L4639" s="1" t="s">
        <v>17</v>
      </c>
      <c r="M4639" s="1" t="str">
        <f>TEXT(Table1[[#This Row],[Order Date]],"mmm")</f>
        <v>Oct</v>
      </c>
      <c r="N4639" s="1">
        <f>YEAR(Table1[[#This Row],[Order Date]])</f>
        <v>2023</v>
      </c>
    </row>
    <row r="4640" spans="1:14" x14ac:dyDescent="0.35">
      <c r="A4640" s="1" t="s">
        <v>5436</v>
      </c>
      <c r="B4640" s="1" t="s">
        <v>1310</v>
      </c>
      <c r="C4640" s="1" t="s">
        <v>36</v>
      </c>
      <c r="D4640" s="1" t="s">
        <v>167</v>
      </c>
      <c r="E4640" s="1" t="s">
        <v>16</v>
      </c>
      <c r="F4640" s="1" t="s">
        <v>167</v>
      </c>
      <c r="G4640" s="1">
        <v>3</v>
      </c>
      <c r="H4640" s="1">
        <v>47869</v>
      </c>
      <c r="I4640" s="1">
        <v>0</v>
      </c>
      <c r="J4640" s="1">
        <v>143607</v>
      </c>
      <c r="K4640" s="1">
        <v>35211.46</v>
      </c>
      <c r="L4640" s="1" t="s">
        <v>23</v>
      </c>
      <c r="M4640" s="1" t="str">
        <f>TEXT(Table1[[#This Row],[Order Date]],"mmm")</f>
        <v>Jan</v>
      </c>
      <c r="N4640" s="1">
        <f>YEAR(Table1[[#This Row],[Order Date]])</f>
        <v>2024</v>
      </c>
    </row>
    <row r="4641" spans="1:14" x14ac:dyDescent="0.35">
      <c r="A4641" s="1" t="s">
        <v>5437</v>
      </c>
      <c r="B4641" s="1" t="s">
        <v>97</v>
      </c>
      <c r="C4641" s="1" t="s">
        <v>26</v>
      </c>
      <c r="D4641" s="1" t="s">
        <v>179</v>
      </c>
      <c r="E4641" s="1" t="s">
        <v>28</v>
      </c>
      <c r="F4641" s="1" t="s">
        <v>179</v>
      </c>
      <c r="G4641" s="1">
        <v>4</v>
      </c>
      <c r="H4641" s="1">
        <v>33779</v>
      </c>
      <c r="I4641" s="1">
        <v>0.15</v>
      </c>
      <c r="J4641" s="1">
        <v>114848.6</v>
      </c>
      <c r="K4641" s="1">
        <v>17976.25</v>
      </c>
      <c r="L4641" s="1" t="s">
        <v>17</v>
      </c>
      <c r="M4641" s="1" t="str">
        <f>TEXT(Table1[[#This Row],[Order Date]],"mmm")</f>
        <v>Oct</v>
      </c>
      <c r="N4641" s="1">
        <f>YEAR(Table1[[#This Row],[Order Date]])</f>
        <v>2023</v>
      </c>
    </row>
    <row r="4642" spans="1:14" x14ac:dyDescent="0.35">
      <c r="A4642" s="1" t="s">
        <v>5438</v>
      </c>
      <c r="B4642" s="1" t="s">
        <v>491</v>
      </c>
      <c r="C4642" s="1" t="s">
        <v>125</v>
      </c>
      <c r="D4642" s="1" t="s">
        <v>78</v>
      </c>
      <c r="E4642" s="1" t="s">
        <v>28</v>
      </c>
      <c r="F4642" s="1" t="s">
        <v>78</v>
      </c>
      <c r="G4642" s="1">
        <v>2</v>
      </c>
      <c r="H4642" s="1">
        <v>21826</v>
      </c>
      <c r="I4642" s="1">
        <v>0.2</v>
      </c>
      <c r="J4642" s="1">
        <v>34921.599999999999</v>
      </c>
      <c r="K4642" s="1">
        <v>6201.38</v>
      </c>
      <c r="L4642" s="1" t="s">
        <v>23</v>
      </c>
      <c r="M4642" s="1" t="str">
        <f>TEXT(Table1[[#This Row],[Order Date]],"mmm")</f>
        <v>Aug</v>
      </c>
      <c r="N4642" s="1">
        <f>YEAR(Table1[[#This Row],[Order Date]])</f>
        <v>2024</v>
      </c>
    </row>
    <row r="4643" spans="1:14" x14ac:dyDescent="0.35">
      <c r="A4643" s="1" t="s">
        <v>5439</v>
      </c>
      <c r="B4643" s="1" t="s">
        <v>1788</v>
      </c>
      <c r="C4643" s="1" t="s">
        <v>107</v>
      </c>
      <c r="D4643" s="1" t="s">
        <v>21</v>
      </c>
      <c r="E4643" s="1" t="s">
        <v>22</v>
      </c>
      <c r="F4643" s="1" t="s">
        <v>21</v>
      </c>
      <c r="G4643" s="1">
        <v>4</v>
      </c>
      <c r="H4643" s="1">
        <v>38033</v>
      </c>
      <c r="I4643" s="1">
        <v>0.1</v>
      </c>
      <c r="J4643" s="1">
        <v>136918.79999999999</v>
      </c>
      <c r="K4643" s="1">
        <v>15019.03</v>
      </c>
      <c r="L4643" s="1" t="s">
        <v>45</v>
      </c>
      <c r="M4643" s="1" t="str">
        <f>TEXT(Table1[[#This Row],[Order Date]],"mmm")</f>
        <v>Jun</v>
      </c>
      <c r="N4643" s="1">
        <f>YEAR(Table1[[#This Row],[Order Date]])</f>
        <v>2023</v>
      </c>
    </row>
    <row r="4644" spans="1:14" x14ac:dyDescent="0.35">
      <c r="A4644" s="1" t="s">
        <v>5440</v>
      </c>
      <c r="B4644" s="1" t="s">
        <v>312</v>
      </c>
      <c r="C4644" s="1" t="s">
        <v>84</v>
      </c>
      <c r="D4644" s="1" t="s">
        <v>167</v>
      </c>
      <c r="E4644" s="1" t="s">
        <v>16</v>
      </c>
      <c r="F4644" s="1" t="s">
        <v>167</v>
      </c>
      <c r="G4644" s="1">
        <v>9</v>
      </c>
      <c r="H4644" s="1">
        <v>993</v>
      </c>
      <c r="I4644" s="1">
        <v>0.05</v>
      </c>
      <c r="J4644" s="1">
        <v>8490.15</v>
      </c>
      <c r="K4644" s="1">
        <v>2233.19</v>
      </c>
      <c r="L4644" s="1" t="s">
        <v>23</v>
      </c>
      <c r="M4644" s="1" t="str">
        <f>TEXT(Table1[[#This Row],[Order Date]],"mmm")</f>
        <v>May</v>
      </c>
      <c r="N4644" s="1">
        <f>YEAR(Table1[[#This Row],[Order Date]])</f>
        <v>2024</v>
      </c>
    </row>
    <row r="4645" spans="1:14" x14ac:dyDescent="0.35">
      <c r="A4645" s="1" t="s">
        <v>5441</v>
      </c>
      <c r="B4645" s="1" t="s">
        <v>1383</v>
      </c>
      <c r="C4645" s="1" t="s">
        <v>73</v>
      </c>
      <c r="D4645" s="1" t="s">
        <v>114</v>
      </c>
      <c r="E4645" s="1" t="s">
        <v>16</v>
      </c>
      <c r="F4645" s="1" t="s">
        <v>114</v>
      </c>
      <c r="G4645" s="1">
        <v>4</v>
      </c>
      <c r="H4645" s="1">
        <v>13693</v>
      </c>
      <c r="I4645" s="1">
        <v>0</v>
      </c>
      <c r="J4645" s="1">
        <v>54772</v>
      </c>
      <c r="K4645" s="1">
        <v>13743.77</v>
      </c>
      <c r="L4645" s="1" t="s">
        <v>70</v>
      </c>
      <c r="M4645" s="1" t="str">
        <f>TEXT(Table1[[#This Row],[Order Date]],"mmm")</f>
        <v>Apr</v>
      </c>
      <c r="N4645" s="1">
        <f>YEAR(Table1[[#This Row],[Order Date]])</f>
        <v>2024</v>
      </c>
    </row>
    <row r="4646" spans="1:14" x14ac:dyDescent="0.35">
      <c r="A4646" s="1" t="s">
        <v>5442</v>
      </c>
      <c r="B4646" s="1" t="s">
        <v>1886</v>
      </c>
      <c r="C4646" s="1" t="s">
        <v>349</v>
      </c>
      <c r="D4646" s="1" t="s">
        <v>37</v>
      </c>
      <c r="E4646" s="1" t="s">
        <v>16</v>
      </c>
      <c r="F4646" s="1" t="s">
        <v>37</v>
      </c>
      <c r="G4646" s="1">
        <v>14</v>
      </c>
      <c r="H4646" s="1">
        <v>31909</v>
      </c>
      <c r="I4646" s="1">
        <v>0.15</v>
      </c>
      <c r="J4646" s="1">
        <v>379717.1</v>
      </c>
      <c r="K4646" s="1">
        <v>89936.34</v>
      </c>
      <c r="L4646" s="1" t="s">
        <v>23</v>
      </c>
      <c r="M4646" s="1" t="str">
        <f>TEXT(Table1[[#This Row],[Order Date]],"mmm")</f>
        <v>Apr</v>
      </c>
      <c r="N4646" s="1">
        <f>YEAR(Table1[[#This Row],[Order Date]])</f>
        <v>2024</v>
      </c>
    </row>
    <row r="4647" spans="1:14" x14ac:dyDescent="0.35">
      <c r="A4647" s="1" t="s">
        <v>5443</v>
      </c>
      <c r="B4647" s="1" t="s">
        <v>1083</v>
      </c>
      <c r="C4647" s="1" t="s">
        <v>59</v>
      </c>
      <c r="D4647" s="1" t="s">
        <v>32</v>
      </c>
      <c r="E4647" s="1" t="s">
        <v>33</v>
      </c>
      <c r="F4647" s="1" t="s">
        <v>32</v>
      </c>
      <c r="G4647" s="1">
        <v>9</v>
      </c>
      <c r="H4647" s="1">
        <v>38131</v>
      </c>
      <c r="I4647" s="1">
        <v>0.05</v>
      </c>
      <c r="J4647" s="1">
        <v>326020.05</v>
      </c>
      <c r="K4647" s="1">
        <v>51871.519999999997</v>
      </c>
      <c r="L4647" s="1" t="s">
        <v>70</v>
      </c>
      <c r="M4647" s="1" t="str">
        <f>TEXT(Table1[[#This Row],[Order Date]],"mmm")</f>
        <v>Jul</v>
      </c>
      <c r="N4647" s="1">
        <f>YEAR(Table1[[#This Row],[Order Date]])</f>
        <v>2023</v>
      </c>
    </row>
    <row r="4648" spans="1:14" x14ac:dyDescent="0.35">
      <c r="A4648" s="1" t="s">
        <v>5444</v>
      </c>
      <c r="B4648" s="1" t="s">
        <v>1019</v>
      </c>
      <c r="C4648" s="1" t="s">
        <v>117</v>
      </c>
      <c r="D4648" s="1" t="s">
        <v>224</v>
      </c>
      <c r="E4648" s="1" t="s">
        <v>33</v>
      </c>
      <c r="F4648" s="1" t="s">
        <v>224</v>
      </c>
      <c r="G4648" s="1">
        <v>15</v>
      </c>
      <c r="H4648" s="1">
        <v>4435</v>
      </c>
      <c r="I4648" s="1">
        <v>0.05</v>
      </c>
      <c r="J4648" s="1">
        <v>63198.75</v>
      </c>
      <c r="K4648" s="1">
        <v>15311.73</v>
      </c>
      <c r="L4648" s="1" t="s">
        <v>17</v>
      </c>
      <c r="M4648" s="1" t="str">
        <f>TEXT(Table1[[#This Row],[Order Date]],"mmm")</f>
        <v>Jun</v>
      </c>
      <c r="N4648" s="1">
        <f>YEAR(Table1[[#This Row],[Order Date]])</f>
        <v>2024</v>
      </c>
    </row>
    <row r="4649" spans="1:14" x14ac:dyDescent="0.35">
      <c r="A4649" s="1" t="s">
        <v>5445</v>
      </c>
      <c r="B4649" s="1" t="s">
        <v>1059</v>
      </c>
      <c r="C4649" s="1" t="s">
        <v>94</v>
      </c>
      <c r="D4649" s="1" t="s">
        <v>167</v>
      </c>
      <c r="E4649" s="1" t="s">
        <v>16</v>
      </c>
      <c r="F4649" s="1" t="s">
        <v>167</v>
      </c>
      <c r="G4649" s="1">
        <v>2</v>
      </c>
      <c r="H4649" s="1">
        <v>40268</v>
      </c>
      <c r="I4649" s="1">
        <v>0.05</v>
      </c>
      <c r="J4649" s="1">
        <v>76509.2</v>
      </c>
      <c r="K4649" s="1">
        <v>10989.48</v>
      </c>
      <c r="L4649" s="1" t="s">
        <v>17</v>
      </c>
      <c r="M4649" s="1" t="str">
        <f>TEXT(Table1[[#This Row],[Order Date]],"mmm")</f>
        <v>Nov</v>
      </c>
      <c r="N4649" s="1">
        <f>YEAR(Table1[[#This Row],[Order Date]])</f>
        <v>2024</v>
      </c>
    </row>
    <row r="4650" spans="1:14" x14ac:dyDescent="0.35">
      <c r="A4650" s="1" t="s">
        <v>5446</v>
      </c>
      <c r="B4650" s="1" t="s">
        <v>2068</v>
      </c>
      <c r="C4650" s="1" t="s">
        <v>98</v>
      </c>
      <c r="D4650" s="1" t="s">
        <v>85</v>
      </c>
      <c r="E4650" s="1" t="s">
        <v>28</v>
      </c>
      <c r="F4650" s="1" t="s">
        <v>85</v>
      </c>
      <c r="G4650" s="1">
        <v>7</v>
      </c>
      <c r="H4650" s="1">
        <v>8424</v>
      </c>
      <c r="I4650" s="1">
        <v>0</v>
      </c>
      <c r="J4650" s="1">
        <v>58968</v>
      </c>
      <c r="K4650" s="1">
        <v>9869.7800000000007</v>
      </c>
      <c r="L4650" s="1" t="s">
        <v>23</v>
      </c>
      <c r="M4650" s="1" t="str">
        <f>TEXT(Table1[[#This Row],[Order Date]],"mmm")</f>
        <v>Oct</v>
      </c>
      <c r="N4650" s="1">
        <f>YEAR(Table1[[#This Row],[Order Date]])</f>
        <v>2023</v>
      </c>
    </row>
    <row r="4651" spans="1:14" x14ac:dyDescent="0.35">
      <c r="A4651" s="1" t="s">
        <v>5447</v>
      </c>
      <c r="B4651" s="1" t="s">
        <v>396</v>
      </c>
      <c r="C4651" s="1" t="s">
        <v>255</v>
      </c>
      <c r="D4651" s="1" t="s">
        <v>60</v>
      </c>
      <c r="E4651" s="1" t="s">
        <v>33</v>
      </c>
      <c r="F4651" s="1" t="s">
        <v>60</v>
      </c>
      <c r="G4651" s="1">
        <v>7</v>
      </c>
      <c r="H4651" s="1">
        <v>49336</v>
      </c>
      <c r="I4651" s="1">
        <v>0.2</v>
      </c>
      <c r="J4651" s="1">
        <v>276281.59999999998</v>
      </c>
      <c r="K4651" s="1">
        <v>60906.07</v>
      </c>
      <c r="L4651" s="1" t="s">
        <v>23</v>
      </c>
      <c r="M4651" s="1" t="str">
        <f>TEXT(Table1[[#This Row],[Order Date]],"mmm")</f>
        <v>Jul</v>
      </c>
      <c r="N4651" s="1">
        <f>YEAR(Table1[[#This Row],[Order Date]])</f>
        <v>2023</v>
      </c>
    </row>
    <row r="4652" spans="1:14" x14ac:dyDescent="0.35">
      <c r="A4652" s="1" t="s">
        <v>5448</v>
      </c>
      <c r="B4652" s="1" t="s">
        <v>1502</v>
      </c>
      <c r="C4652" s="1" t="s">
        <v>40</v>
      </c>
      <c r="D4652" s="1" t="s">
        <v>56</v>
      </c>
      <c r="E4652" s="1" t="s">
        <v>22</v>
      </c>
      <c r="F4652" s="1" t="s">
        <v>56</v>
      </c>
      <c r="G4652" s="1">
        <v>4</v>
      </c>
      <c r="H4652" s="1">
        <v>31149</v>
      </c>
      <c r="I4652" s="1">
        <v>0.05</v>
      </c>
      <c r="J4652" s="1">
        <v>118366.2</v>
      </c>
      <c r="K4652" s="1">
        <v>32817.269999999997</v>
      </c>
      <c r="L4652" s="1" t="s">
        <v>17</v>
      </c>
      <c r="M4652" s="1" t="str">
        <f>TEXT(Table1[[#This Row],[Order Date]],"mmm")</f>
        <v>Jul</v>
      </c>
      <c r="N4652" s="1">
        <f>YEAR(Table1[[#This Row],[Order Date]])</f>
        <v>2023</v>
      </c>
    </row>
    <row r="4653" spans="1:14" x14ac:dyDescent="0.35">
      <c r="A4653" s="1" t="s">
        <v>5449</v>
      </c>
      <c r="B4653" s="1" t="s">
        <v>312</v>
      </c>
      <c r="C4653" s="1" t="s">
        <v>188</v>
      </c>
      <c r="D4653" s="1" t="s">
        <v>114</v>
      </c>
      <c r="E4653" s="1" t="s">
        <v>16</v>
      </c>
      <c r="F4653" s="1" t="s">
        <v>114</v>
      </c>
      <c r="G4653" s="1">
        <v>3</v>
      </c>
      <c r="H4653" s="1">
        <v>30409</v>
      </c>
      <c r="I4653" s="1">
        <v>0.05</v>
      </c>
      <c r="J4653" s="1">
        <v>86665.65</v>
      </c>
      <c r="K4653" s="1">
        <v>9919.52</v>
      </c>
      <c r="L4653" s="1" t="s">
        <v>45</v>
      </c>
      <c r="M4653" s="1" t="str">
        <f>TEXT(Table1[[#This Row],[Order Date]],"mmm")</f>
        <v>May</v>
      </c>
      <c r="N4653" s="1">
        <f>YEAR(Table1[[#This Row],[Order Date]])</f>
        <v>2024</v>
      </c>
    </row>
    <row r="4654" spans="1:14" x14ac:dyDescent="0.35">
      <c r="A4654" s="1" t="s">
        <v>5450</v>
      </c>
      <c r="B4654" s="1" t="s">
        <v>103</v>
      </c>
      <c r="C4654" s="1" t="s">
        <v>158</v>
      </c>
      <c r="D4654" s="1" t="s">
        <v>78</v>
      </c>
      <c r="E4654" s="1" t="s">
        <v>28</v>
      </c>
      <c r="F4654" s="1" t="s">
        <v>78</v>
      </c>
      <c r="G4654" s="1">
        <v>8</v>
      </c>
      <c r="H4654" s="1">
        <v>24905</v>
      </c>
      <c r="I4654" s="1">
        <v>0</v>
      </c>
      <c r="J4654" s="1">
        <v>199240</v>
      </c>
      <c r="K4654" s="1">
        <v>31225.439999999999</v>
      </c>
      <c r="L4654" s="1" t="s">
        <v>17</v>
      </c>
      <c r="M4654" s="1" t="str">
        <f>TEXT(Table1[[#This Row],[Order Date]],"mmm")</f>
        <v>Nov</v>
      </c>
      <c r="N4654" s="1">
        <f>YEAR(Table1[[#This Row],[Order Date]])</f>
        <v>2023</v>
      </c>
    </row>
    <row r="4655" spans="1:14" x14ac:dyDescent="0.35">
      <c r="A4655" s="1" t="s">
        <v>5451</v>
      </c>
      <c r="B4655" s="1" t="s">
        <v>760</v>
      </c>
      <c r="C4655" s="1" t="s">
        <v>55</v>
      </c>
      <c r="D4655" s="1" t="s">
        <v>95</v>
      </c>
      <c r="E4655" s="1" t="s">
        <v>33</v>
      </c>
      <c r="F4655" s="1" t="s">
        <v>95</v>
      </c>
      <c r="G4655" s="1">
        <v>1</v>
      </c>
      <c r="H4655" s="1">
        <v>46133</v>
      </c>
      <c r="I4655" s="1">
        <v>0.1</v>
      </c>
      <c r="J4655" s="1">
        <v>41519.699999999997</v>
      </c>
      <c r="K4655" s="1">
        <v>9979.33</v>
      </c>
      <c r="L4655" s="1" t="s">
        <v>23</v>
      </c>
      <c r="M4655" s="1" t="str">
        <f>TEXT(Table1[[#This Row],[Order Date]],"mmm")</f>
        <v>Jan</v>
      </c>
      <c r="N4655" s="1">
        <f>YEAR(Table1[[#This Row],[Order Date]])</f>
        <v>2023</v>
      </c>
    </row>
    <row r="4656" spans="1:14" x14ac:dyDescent="0.35">
      <c r="A4656" s="1" t="s">
        <v>5452</v>
      </c>
      <c r="B4656" s="1" t="s">
        <v>996</v>
      </c>
      <c r="C4656" s="1" t="s">
        <v>191</v>
      </c>
      <c r="D4656" s="1" t="s">
        <v>60</v>
      </c>
      <c r="E4656" s="1" t="s">
        <v>33</v>
      </c>
      <c r="F4656" s="1" t="s">
        <v>60</v>
      </c>
      <c r="G4656" s="1">
        <v>2</v>
      </c>
      <c r="H4656" s="1">
        <v>10102</v>
      </c>
      <c r="I4656" s="1">
        <v>0.2</v>
      </c>
      <c r="J4656" s="1">
        <v>16163.2</v>
      </c>
      <c r="K4656" s="1">
        <v>4186.21</v>
      </c>
      <c r="L4656" s="1" t="s">
        <v>17</v>
      </c>
      <c r="M4656" s="1" t="str">
        <f>TEXT(Table1[[#This Row],[Order Date]],"mmm")</f>
        <v>Feb</v>
      </c>
      <c r="N4656" s="1">
        <f>YEAR(Table1[[#This Row],[Order Date]])</f>
        <v>2024</v>
      </c>
    </row>
    <row r="4657" spans="1:14" x14ac:dyDescent="0.35">
      <c r="A4657" s="1" t="s">
        <v>5453</v>
      </c>
      <c r="B4657" s="1" t="s">
        <v>296</v>
      </c>
      <c r="C4657" s="1" t="s">
        <v>40</v>
      </c>
      <c r="D4657" s="1" t="s">
        <v>114</v>
      </c>
      <c r="E4657" s="1" t="s">
        <v>16</v>
      </c>
      <c r="F4657" s="1" t="s">
        <v>114</v>
      </c>
      <c r="G4657" s="1">
        <v>12</v>
      </c>
      <c r="H4657" s="1">
        <v>13692</v>
      </c>
      <c r="I4657" s="1">
        <v>0.2</v>
      </c>
      <c r="J4657" s="1">
        <v>131443.20000000001</v>
      </c>
      <c r="K4657" s="1">
        <v>20437.599999999999</v>
      </c>
      <c r="L4657" s="1" t="s">
        <v>45</v>
      </c>
      <c r="M4657" s="1" t="str">
        <f>TEXT(Table1[[#This Row],[Order Date]],"mmm")</f>
        <v>Aug</v>
      </c>
      <c r="N4657" s="1">
        <f>YEAR(Table1[[#This Row],[Order Date]])</f>
        <v>2023</v>
      </c>
    </row>
    <row r="4658" spans="1:14" x14ac:dyDescent="0.35">
      <c r="A4658" s="1" t="s">
        <v>5454</v>
      </c>
      <c r="B4658" s="1" t="s">
        <v>2915</v>
      </c>
      <c r="C4658" s="1" t="s">
        <v>104</v>
      </c>
      <c r="D4658" s="1" t="s">
        <v>44</v>
      </c>
      <c r="E4658" s="1" t="s">
        <v>28</v>
      </c>
      <c r="F4658" s="1" t="s">
        <v>44</v>
      </c>
      <c r="G4658" s="1">
        <v>7</v>
      </c>
      <c r="H4658" s="1">
        <v>29661</v>
      </c>
      <c r="I4658" s="1">
        <v>0</v>
      </c>
      <c r="J4658" s="1">
        <v>207627</v>
      </c>
      <c r="K4658" s="1">
        <v>29077.43</v>
      </c>
      <c r="L4658" s="1" t="s">
        <v>45</v>
      </c>
      <c r="M4658" s="1" t="str">
        <f>TEXT(Table1[[#This Row],[Order Date]],"mmm")</f>
        <v>Mar</v>
      </c>
      <c r="N4658" s="1">
        <f>YEAR(Table1[[#This Row],[Order Date]])</f>
        <v>2024</v>
      </c>
    </row>
    <row r="4659" spans="1:14" x14ac:dyDescent="0.35">
      <c r="A4659" s="1" t="s">
        <v>5455</v>
      </c>
      <c r="B4659" s="1" t="s">
        <v>4922</v>
      </c>
      <c r="C4659" s="1" t="s">
        <v>107</v>
      </c>
      <c r="D4659" s="1" t="s">
        <v>323</v>
      </c>
      <c r="E4659" s="1" t="s">
        <v>33</v>
      </c>
      <c r="F4659" s="1" t="s">
        <v>323</v>
      </c>
      <c r="G4659" s="1">
        <v>14</v>
      </c>
      <c r="H4659" s="1">
        <v>43473</v>
      </c>
      <c r="I4659" s="1">
        <v>0</v>
      </c>
      <c r="J4659" s="1">
        <v>608622</v>
      </c>
      <c r="K4659" s="1">
        <v>146916.32999999999</v>
      </c>
      <c r="L4659" s="1" t="s">
        <v>17</v>
      </c>
      <c r="M4659" s="1" t="str">
        <f>TEXT(Table1[[#This Row],[Order Date]],"mmm")</f>
        <v>Aug</v>
      </c>
      <c r="N4659" s="1">
        <f>YEAR(Table1[[#This Row],[Order Date]])</f>
        <v>2023</v>
      </c>
    </row>
    <row r="4660" spans="1:14" x14ac:dyDescent="0.35">
      <c r="A4660" s="1" t="s">
        <v>5456</v>
      </c>
      <c r="B4660" s="1" t="s">
        <v>2049</v>
      </c>
      <c r="C4660" s="1" t="s">
        <v>117</v>
      </c>
      <c r="D4660" s="1" t="s">
        <v>44</v>
      </c>
      <c r="E4660" s="1" t="s">
        <v>28</v>
      </c>
      <c r="F4660" s="1" t="s">
        <v>44</v>
      </c>
      <c r="G4660" s="1">
        <v>3</v>
      </c>
      <c r="H4660" s="1">
        <v>53161</v>
      </c>
      <c r="I4660" s="1">
        <v>0</v>
      </c>
      <c r="J4660" s="1">
        <v>159483</v>
      </c>
      <c r="K4660" s="1">
        <v>47132.76</v>
      </c>
      <c r="L4660" s="1" t="s">
        <v>45</v>
      </c>
      <c r="M4660" s="1" t="str">
        <f>TEXT(Table1[[#This Row],[Order Date]],"mmm")</f>
        <v>Apr</v>
      </c>
      <c r="N4660" s="1">
        <f>YEAR(Table1[[#This Row],[Order Date]])</f>
        <v>2024</v>
      </c>
    </row>
    <row r="4661" spans="1:14" x14ac:dyDescent="0.35">
      <c r="A4661" s="1" t="s">
        <v>5457</v>
      </c>
      <c r="B4661" s="1" t="s">
        <v>284</v>
      </c>
      <c r="C4661" s="1" t="s">
        <v>191</v>
      </c>
      <c r="D4661" s="1" t="s">
        <v>114</v>
      </c>
      <c r="E4661" s="1" t="s">
        <v>16</v>
      </c>
      <c r="F4661" s="1" t="s">
        <v>114</v>
      </c>
      <c r="G4661" s="1">
        <v>13</v>
      </c>
      <c r="H4661" s="1">
        <v>24263</v>
      </c>
      <c r="I4661" s="1">
        <v>0</v>
      </c>
      <c r="J4661" s="1">
        <v>315419</v>
      </c>
      <c r="K4661" s="1">
        <v>87898.03</v>
      </c>
      <c r="L4661" s="1" t="s">
        <v>17</v>
      </c>
      <c r="M4661" s="1" t="str">
        <f>TEXT(Table1[[#This Row],[Order Date]],"mmm")</f>
        <v>Nov</v>
      </c>
      <c r="N4661" s="1">
        <f>YEAR(Table1[[#This Row],[Order Date]])</f>
        <v>2023</v>
      </c>
    </row>
    <row r="4662" spans="1:14" x14ac:dyDescent="0.35">
      <c r="A4662" s="1" t="s">
        <v>5458</v>
      </c>
      <c r="B4662" s="1" t="s">
        <v>83</v>
      </c>
      <c r="C4662" s="1" t="s">
        <v>191</v>
      </c>
      <c r="D4662" s="1" t="s">
        <v>52</v>
      </c>
      <c r="E4662" s="1" t="s">
        <v>28</v>
      </c>
      <c r="F4662" s="1" t="s">
        <v>52</v>
      </c>
      <c r="G4662" s="1">
        <v>2</v>
      </c>
      <c r="H4662" s="1">
        <v>17544</v>
      </c>
      <c r="I4662" s="1">
        <v>0.1</v>
      </c>
      <c r="J4662" s="1">
        <v>31579.200000000001</v>
      </c>
      <c r="K4662" s="1">
        <v>7106.47</v>
      </c>
      <c r="L4662" s="1" t="s">
        <v>45</v>
      </c>
      <c r="M4662" s="1" t="str">
        <f>TEXT(Table1[[#This Row],[Order Date]],"mmm")</f>
        <v>Mar</v>
      </c>
      <c r="N4662" s="1">
        <f>YEAR(Table1[[#This Row],[Order Date]])</f>
        <v>2024</v>
      </c>
    </row>
    <row r="4663" spans="1:14" x14ac:dyDescent="0.35">
      <c r="A4663" s="1" t="s">
        <v>5459</v>
      </c>
      <c r="B4663" s="1" t="s">
        <v>528</v>
      </c>
      <c r="C4663" s="1" t="s">
        <v>332</v>
      </c>
      <c r="D4663" s="1" t="s">
        <v>151</v>
      </c>
      <c r="E4663" s="1" t="s">
        <v>22</v>
      </c>
      <c r="F4663" s="1" t="s">
        <v>151</v>
      </c>
      <c r="G4663" s="1">
        <v>6</v>
      </c>
      <c r="H4663" s="1">
        <v>28217</v>
      </c>
      <c r="I4663" s="1">
        <v>0.1</v>
      </c>
      <c r="J4663" s="1">
        <v>152371.79999999999</v>
      </c>
      <c r="K4663" s="1">
        <v>32270.91</v>
      </c>
      <c r="L4663" s="1" t="s">
        <v>70</v>
      </c>
      <c r="M4663" s="1" t="str">
        <f>TEXT(Table1[[#This Row],[Order Date]],"mmm")</f>
        <v>Feb</v>
      </c>
      <c r="N4663" s="1">
        <f>YEAR(Table1[[#This Row],[Order Date]])</f>
        <v>2024</v>
      </c>
    </row>
    <row r="4664" spans="1:14" x14ac:dyDescent="0.35">
      <c r="A4664" s="1" t="s">
        <v>5460</v>
      </c>
      <c r="B4664" s="1" t="s">
        <v>66</v>
      </c>
      <c r="C4664" s="1" t="s">
        <v>14</v>
      </c>
      <c r="D4664" s="1" t="s">
        <v>179</v>
      </c>
      <c r="E4664" s="1" t="s">
        <v>28</v>
      </c>
      <c r="F4664" s="1" t="s">
        <v>179</v>
      </c>
      <c r="G4664" s="1">
        <v>5</v>
      </c>
      <c r="H4664" s="1">
        <v>23673</v>
      </c>
      <c r="I4664" s="1">
        <v>0</v>
      </c>
      <c r="J4664" s="1">
        <v>118365</v>
      </c>
      <c r="K4664" s="1">
        <v>34297.919999999998</v>
      </c>
      <c r="L4664" s="1" t="s">
        <v>70</v>
      </c>
      <c r="M4664" s="1" t="str">
        <f>TEXT(Table1[[#This Row],[Order Date]],"mmm")</f>
        <v>Sep</v>
      </c>
      <c r="N4664" s="1">
        <f>YEAR(Table1[[#This Row],[Order Date]])</f>
        <v>2024</v>
      </c>
    </row>
    <row r="4665" spans="1:14" x14ac:dyDescent="0.35">
      <c r="A4665" s="1" t="s">
        <v>5461</v>
      </c>
      <c r="B4665" s="1" t="s">
        <v>601</v>
      </c>
      <c r="C4665" s="1" t="s">
        <v>178</v>
      </c>
      <c r="D4665" s="1" t="s">
        <v>151</v>
      </c>
      <c r="E4665" s="1" t="s">
        <v>22</v>
      </c>
      <c r="F4665" s="1" t="s">
        <v>151</v>
      </c>
      <c r="G4665" s="1">
        <v>13</v>
      </c>
      <c r="H4665" s="1">
        <v>22879</v>
      </c>
      <c r="I4665" s="1">
        <v>0.1</v>
      </c>
      <c r="J4665" s="1">
        <v>267684.3</v>
      </c>
      <c r="K4665" s="1">
        <v>48903.28</v>
      </c>
      <c r="L4665" s="1" t="s">
        <v>70</v>
      </c>
      <c r="M4665" s="1" t="str">
        <f>TEXT(Table1[[#This Row],[Order Date]],"mmm")</f>
        <v>Aug</v>
      </c>
      <c r="N4665" s="1">
        <f>YEAR(Table1[[#This Row],[Order Date]])</f>
        <v>2024</v>
      </c>
    </row>
    <row r="4666" spans="1:14" x14ac:dyDescent="0.35">
      <c r="A4666" s="1" t="s">
        <v>5462</v>
      </c>
      <c r="B4666" s="1" t="s">
        <v>413</v>
      </c>
      <c r="C4666" s="1" t="s">
        <v>203</v>
      </c>
      <c r="D4666" s="1" t="s">
        <v>95</v>
      </c>
      <c r="E4666" s="1" t="s">
        <v>33</v>
      </c>
      <c r="F4666" s="1" t="s">
        <v>95</v>
      </c>
      <c r="G4666" s="1">
        <v>12</v>
      </c>
      <c r="H4666" s="1">
        <v>33008</v>
      </c>
      <c r="I4666" s="1">
        <v>0.15</v>
      </c>
      <c r="J4666" s="1">
        <v>336681.6</v>
      </c>
      <c r="K4666" s="1">
        <v>27651.02</v>
      </c>
      <c r="L4666" s="1" t="s">
        <v>23</v>
      </c>
      <c r="M4666" s="1" t="str">
        <f>TEXT(Table1[[#This Row],[Order Date]],"mmm")</f>
        <v>May</v>
      </c>
      <c r="N4666" s="1">
        <f>YEAR(Table1[[#This Row],[Order Date]])</f>
        <v>2024</v>
      </c>
    </row>
    <row r="4667" spans="1:14" x14ac:dyDescent="0.35">
      <c r="A4667" s="1" t="s">
        <v>5463</v>
      </c>
      <c r="B4667" s="1" t="s">
        <v>1203</v>
      </c>
      <c r="C4667" s="1" t="s">
        <v>84</v>
      </c>
      <c r="D4667" s="1" t="s">
        <v>41</v>
      </c>
      <c r="E4667" s="1" t="s">
        <v>16</v>
      </c>
      <c r="F4667" s="1" t="s">
        <v>41</v>
      </c>
      <c r="G4667" s="1">
        <v>7</v>
      </c>
      <c r="H4667" s="1">
        <v>20022</v>
      </c>
      <c r="I4667" s="1">
        <v>0.05</v>
      </c>
      <c r="J4667" s="1">
        <v>133146.29999999999</v>
      </c>
      <c r="K4667" s="1">
        <v>22210.93</v>
      </c>
      <c r="L4667" s="1" t="s">
        <v>45</v>
      </c>
      <c r="M4667" s="1" t="str">
        <f>TEXT(Table1[[#This Row],[Order Date]],"mmm")</f>
        <v>Apr</v>
      </c>
      <c r="N4667" s="1">
        <f>YEAR(Table1[[#This Row],[Order Date]])</f>
        <v>2024</v>
      </c>
    </row>
    <row r="4668" spans="1:14" x14ac:dyDescent="0.35">
      <c r="A4668" s="1" t="s">
        <v>5464</v>
      </c>
      <c r="B4668" s="1" t="s">
        <v>871</v>
      </c>
      <c r="C4668" s="1" t="s">
        <v>146</v>
      </c>
      <c r="D4668" s="1" t="s">
        <v>224</v>
      </c>
      <c r="E4668" s="1" t="s">
        <v>33</v>
      </c>
      <c r="F4668" s="1" t="s">
        <v>224</v>
      </c>
      <c r="G4668" s="1">
        <v>11</v>
      </c>
      <c r="H4668" s="1">
        <v>5896</v>
      </c>
      <c r="I4668" s="1">
        <v>0.15</v>
      </c>
      <c r="J4668" s="1">
        <v>55127.6</v>
      </c>
      <c r="K4668" s="1">
        <v>6535.07</v>
      </c>
      <c r="L4668" s="1" t="s">
        <v>45</v>
      </c>
      <c r="M4668" s="1" t="str">
        <f>TEXT(Table1[[#This Row],[Order Date]],"mmm")</f>
        <v>Mar</v>
      </c>
      <c r="N4668" s="1">
        <f>YEAR(Table1[[#This Row],[Order Date]])</f>
        <v>2024</v>
      </c>
    </row>
    <row r="4669" spans="1:14" x14ac:dyDescent="0.35">
      <c r="A4669" s="1" t="s">
        <v>5465</v>
      </c>
      <c r="B4669" s="1" t="s">
        <v>193</v>
      </c>
      <c r="C4669" s="1" t="s">
        <v>640</v>
      </c>
      <c r="D4669" s="1" t="s">
        <v>56</v>
      </c>
      <c r="E4669" s="1" t="s">
        <v>22</v>
      </c>
      <c r="F4669" s="1" t="s">
        <v>56</v>
      </c>
      <c r="G4669" s="1">
        <v>5</v>
      </c>
      <c r="H4669" s="1">
        <v>21870</v>
      </c>
      <c r="I4669" s="1">
        <v>0.1</v>
      </c>
      <c r="J4669" s="1">
        <v>98415</v>
      </c>
      <c r="K4669" s="1">
        <v>23701.33</v>
      </c>
      <c r="L4669" s="1" t="s">
        <v>23</v>
      </c>
      <c r="M4669" s="1" t="str">
        <f>TEXT(Table1[[#This Row],[Order Date]],"mmm")</f>
        <v>Jun</v>
      </c>
      <c r="N4669" s="1">
        <f>YEAR(Table1[[#This Row],[Order Date]])</f>
        <v>2023</v>
      </c>
    </row>
    <row r="4670" spans="1:14" x14ac:dyDescent="0.35">
      <c r="A4670" s="1" t="s">
        <v>5466</v>
      </c>
      <c r="B4670" s="1" t="s">
        <v>1389</v>
      </c>
      <c r="C4670" s="1" t="s">
        <v>188</v>
      </c>
      <c r="D4670" s="1" t="s">
        <v>167</v>
      </c>
      <c r="E4670" s="1" t="s">
        <v>16</v>
      </c>
      <c r="F4670" s="1" t="s">
        <v>167</v>
      </c>
      <c r="G4670" s="1">
        <v>8</v>
      </c>
      <c r="H4670" s="1">
        <v>52391</v>
      </c>
      <c r="I4670" s="1">
        <v>0.05</v>
      </c>
      <c r="J4670" s="1">
        <v>398171.6</v>
      </c>
      <c r="K4670" s="1">
        <v>115792.57</v>
      </c>
      <c r="L4670" s="1" t="s">
        <v>45</v>
      </c>
      <c r="M4670" s="1" t="str">
        <f>TEXT(Table1[[#This Row],[Order Date]],"mmm")</f>
        <v>Apr</v>
      </c>
      <c r="N4670" s="1">
        <f>YEAR(Table1[[#This Row],[Order Date]])</f>
        <v>2023</v>
      </c>
    </row>
    <row r="4671" spans="1:14" x14ac:dyDescent="0.35">
      <c r="A4671" s="1" t="s">
        <v>5467</v>
      </c>
      <c r="B4671" s="1" t="s">
        <v>1774</v>
      </c>
      <c r="C4671" s="1" t="s">
        <v>20</v>
      </c>
      <c r="D4671" s="1" t="s">
        <v>21</v>
      </c>
      <c r="E4671" s="1" t="s">
        <v>22</v>
      </c>
      <c r="F4671" s="1" t="s">
        <v>21</v>
      </c>
      <c r="G4671" s="1">
        <v>14</v>
      </c>
      <c r="H4671" s="1">
        <v>41116</v>
      </c>
      <c r="I4671" s="1">
        <v>0.2</v>
      </c>
      <c r="J4671" s="1">
        <v>460499.20000000001</v>
      </c>
      <c r="K4671" s="1">
        <v>121584.68</v>
      </c>
      <c r="L4671" s="1" t="s">
        <v>23</v>
      </c>
      <c r="M4671" s="1" t="str">
        <f>TEXT(Table1[[#This Row],[Order Date]],"mmm")</f>
        <v>Jun</v>
      </c>
      <c r="N4671" s="1">
        <f>YEAR(Table1[[#This Row],[Order Date]])</f>
        <v>2023</v>
      </c>
    </row>
    <row r="4672" spans="1:14" x14ac:dyDescent="0.35">
      <c r="A4672" s="1" t="s">
        <v>5468</v>
      </c>
      <c r="B4672" s="1" t="s">
        <v>1645</v>
      </c>
      <c r="C4672" s="1" t="s">
        <v>107</v>
      </c>
      <c r="D4672" s="1" t="s">
        <v>95</v>
      </c>
      <c r="E4672" s="1" t="s">
        <v>33</v>
      </c>
      <c r="F4672" s="1" t="s">
        <v>95</v>
      </c>
      <c r="G4672" s="1">
        <v>13</v>
      </c>
      <c r="H4672" s="1">
        <v>35586</v>
      </c>
      <c r="I4672" s="1">
        <v>0.05</v>
      </c>
      <c r="J4672" s="1">
        <v>439487.1</v>
      </c>
      <c r="K4672" s="1">
        <v>94583.83</v>
      </c>
      <c r="L4672" s="1" t="s">
        <v>23</v>
      </c>
      <c r="M4672" s="1" t="str">
        <f>TEXT(Table1[[#This Row],[Order Date]],"mmm")</f>
        <v>Nov</v>
      </c>
      <c r="N4672" s="1">
        <f>YEAR(Table1[[#This Row],[Order Date]])</f>
        <v>2023</v>
      </c>
    </row>
    <row r="4673" spans="1:14" x14ac:dyDescent="0.35">
      <c r="A4673" s="1" t="s">
        <v>5469</v>
      </c>
      <c r="B4673" s="1" t="s">
        <v>296</v>
      </c>
      <c r="C4673" s="1" t="s">
        <v>125</v>
      </c>
      <c r="D4673" s="1" t="s">
        <v>64</v>
      </c>
      <c r="E4673" s="1" t="s">
        <v>33</v>
      </c>
      <c r="F4673" s="1" t="s">
        <v>64</v>
      </c>
      <c r="G4673" s="1">
        <v>13</v>
      </c>
      <c r="H4673" s="1">
        <v>52229</v>
      </c>
      <c r="I4673" s="1">
        <v>0.15</v>
      </c>
      <c r="J4673" s="1">
        <v>577130.44999999995</v>
      </c>
      <c r="K4673" s="1">
        <v>85239.41</v>
      </c>
      <c r="L4673" s="1" t="s">
        <v>17</v>
      </c>
      <c r="M4673" s="1" t="str">
        <f>TEXT(Table1[[#This Row],[Order Date]],"mmm")</f>
        <v>Aug</v>
      </c>
      <c r="N4673" s="1">
        <f>YEAR(Table1[[#This Row],[Order Date]])</f>
        <v>2023</v>
      </c>
    </row>
    <row r="4674" spans="1:14" x14ac:dyDescent="0.35">
      <c r="A4674" s="1" t="s">
        <v>5470</v>
      </c>
      <c r="B4674" s="1" t="s">
        <v>1299</v>
      </c>
      <c r="C4674" s="1" t="s">
        <v>362</v>
      </c>
      <c r="D4674" s="1" t="s">
        <v>48</v>
      </c>
      <c r="E4674" s="1" t="s">
        <v>16</v>
      </c>
      <c r="F4674" s="1" t="s">
        <v>48</v>
      </c>
      <c r="G4674" s="1">
        <v>8</v>
      </c>
      <c r="H4674" s="1">
        <v>50965</v>
      </c>
      <c r="I4674" s="1">
        <v>0.05</v>
      </c>
      <c r="J4674" s="1">
        <v>387334</v>
      </c>
      <c r="K4674" s="1">
        <v>63844.1</v>
      </c>
      <c r="L4674" s="1" t="s">
        <v>17</v>
      </c>
      <c r="M4674" s="1" t="str">
        <f>TEXT(Table1[[#This Row],[Order Date]],"mmm")</f>
        <v>Sep</v>
      </c>
      <c r="N4674" s="1">
        <f>YEAR(Table1[[#This Row],[Order Date]])</f>
        <v>2024</v>
      </c>
    </row>
    <row r="4675" spans="1:14" x14ac:dyDescent="0.35">
      <c r="A4675" s="1" t="s">
        <v>5471</v>
      </c>
      <c r="B4675" s="1" t="s">
        <v>2589</v>
      </c>
      <c r="C4675" s="1" t="s">
        <v>200</v>
      </c>
      <c r="D4675" s="1" t="s">
        <v>141</v>
      </c>
      <c r="E4675" s="1" t="s">
        <v>22</v>
      </c>
      <c r="F4675" s="1" t="s">
        <v>141</v>
      </c>
      <c r="G4675" s="1">
        <v>5</v>
      </c>
      <c r="H4675" s="1">
        <v>37773</v>
      </c>
      <c r="I4675" s="1">
        <v>0</v>
      </c>
      <c r="J4675" s="1">
        <v>188865</v>
      </c>
      <c r="K4675" s="1">
        <v>38585.56</v>
      </c>
      <c r="L4675" s="1" t="s">
        <v>17</v>
      </c>
      <c r="M4675" s="1" t="str">
        <f>TEXT(Table1[[#This Row],[Order Date]],"mmm")</f>
        <v>Feb</v>
      </c>
      <c r="N4675" s="1">
        <f>YEAR(Table1[[#This Row],[Order Date]])</f>
        <v>2024</v>
      </c>
    </row>
    <row r="4676" spans="1:14" x14ac:dyDescent="0.35">
      <c r="A4676" s="1" t="s">
        <v>5472</v>
      </c>
      <c r="B4676" s="1" t="s">
        <v>288</v>
      </c>
      <c r="C4676" s="1" t="s">
        <v>125</v>
      </c>
      <c r="D4676" s="1" t="s">
        <v>108</v>
      </c>
      <c r="E4676" s="1" t="s">
        <v>22</v>
      </c>
      <c r="F4676" s="1" t="s">
        <v>108</v>
      </c>
      <c r="G4676" s="1">
        <v>2</v>
      </c>
      <c r="H4676" s="1">
        <v>31691</v>
      </c>
      <c r="I4676" s="1">
        <v>0.1</v>
      </c>
      <c r="J4676" s="1">
        <v>57043.8</v>
      </c>
      <c r="K4676" s="1">
        <v>9135.81</v>
      </c>
      <c r="L4676" s="1" t="s">
        <v>70</v>
      </c>
      <c r="M4676" s="1" t="str">
        <f>TEXT(Table1[[#This Row],[Order Date]],"mmm")</f>
        <v>Jun</v>
      </c>
      <c r="N4676" s="1">
        <f>YEAR(Table1[[#This Row],[Order Date]])</f>
        <v>2024</v>
      </c>
    </row>
    <row r="4677" spans="1:14" x14ac:dyDescent="0.35">
      <c r="A4677" s="1" t="s">
        <v>5473</v>
      </c>
      <c r="B4677" s="1" t="s">
        <v>556</v>
      </c>
      <c r="C4677" s="1" t="s">
        <v>73</v>
      </c>
      <c r="D4677" s="1" t="s">
        <v>224</v>
      </c>
      <c r="E4677" s="1" t="s">
        <v>33</v>
      </c>
      <c r="F4677" s="1" t="s">
        <v>224</v>
      </c>
      <c r="G4677" s="1">
        <v>1</v>
      </c>
      <c r="H4677" s="1">
        <v>12898</v>
      </c>
      <c r="I4677" s="1">
        <v>0.2</v>
      </c>
      <c r="J4677" s="1">
        <v>10318.4</v>
      </c>
      <c r="K4677" s="1">
        <v>1141.22</v>
      </c>
      <c r="L4677" s="1" t="s">
        <v>70</v>
      </c>
      <c r="M4677" s="1" t="str">
        <f>TEXT(Table1[[#This Row],[Order Date]],"mmm")</f>
        <v>Nov</v>
      </c>
      <c r="N4677" s="1">
        <f>YEAR(Table1[[#This Row],[Order Date]])</f>
        <v>2024</v>
      </c>
    </row>
    <row r="4678" spans="1:14" x14ac:dyDescent="0.35">
      <c r="A4678" s="1" t="s">
        <v>5474</v>
      </c>
      <c r="B4678" s="1" t="s">
        <v>946</v>
      </c>
      <c r="C4678" s="1" t="s">
        <v>349</v>
      </c>
      <c r="D4678" s="1" t="s">
        <v>37</v>
      </c>
      <c r="E4678" s="1" t="s">
        <v>16</v>
      </c>
      <c r="F4678" s="1" t="s">
        <v>37</v>
      </c>
      <c r="G4678" s="1">
        <v>6</v>
      </c>
      <c r="H4678" s="1">
        <v>47906</v>
      </c>
      <c r="I4678" s="1">
        <v>0.2</v>
      </c>
      <c r="J4678" s="1">
        <v>229948.79999999999</v>
      </c>
      <c r="K4678" s="1">
        <v>42501.5</v>
      </c>
      <c r="L4678" s="1" t="s">
        <v>45</v>
      </c>
      <c r="M4678" s="1" t="str">
        <f>TEXT(Table1[[#This Row],[Order Date]],"mmm")</f>
        <v>Jun</v>
      </c>
      <c r="N4678" s="1">
        <f>YEAR(Table1[[#This Row],[Order Date]])</f>
        <v>2024</v>
      </c>
    </row>
    <row r="4679" spans="1:14" x14ac:dyDescent="0.35">
      <c r="A4679" s="1" t="s">
        <v>5475</v>
      </c>
      <c r="B4679" s="1" t="s">
        <v>427</v>
      </c>
      <c r="C4679" s="1" t="s">
        <v>98</v>
      </c>
      <c r="D4679" s="1" t="s">
        <v>167</v>
      </c>
      <c r="E4679" s="1" t="s">
        <v>16</v>
      </c>
      <c r="F4679" s="1" t="s">
        <v>167</v>
      </c>
      <c r="G4679" s="1">
        <v>14</v>
      </c>
      <c r="H4679" s="1">
        <v>49456</v>
      </c>
      <c r="I4679" s="1">
        <v>0.15</v>
      </c>
      <c r="J4679" s="1">
        <v>588526.4</v>
      </c>
      <c r="K4679" s="1">
        <v>92601.63</v>
      </c>
      <c r="L4679" s="1" t="s">
        <v>17</v>
      </c>
      <c r="M4679" s="1" t="str">
        <f>TEXT(Table1[[#This Row],[Order Date]],"mmm")</f>
        <v>Jan</v>
      </c>
      <c r="N4679" s="1">
        <f>YEAR(Table1[[#This Row],[Order Date]])</f>
        <v>2023</v>
      </c>
    </row>
    <row r="4680" spans="1:14" x14ac:dyDescent="0.35">
      <c r="A4680" s="1" t="s">
        <v>5476</v>
      </c>
      <c r="B4680" s="1" t="s">
        <v>316</v>
      </c>
      <c r="C4680" s="1" t="s">
        <v>104</v>
      </c>
      <c r="D4680" s="1" t="s">
        <v>52</v>
      </c>
      <c r="E4680" s="1" t="s">
        <v>28</v>
      </c>
      <c r="F4680" s="1" t="s">
        <v>52</v>
      </c>
      <c r="G4680" s="1">
        <v>14</v>
      </c>
      <c r="H4680" s="1">
        <v>22931</v>
      </c>
      <c r="I4680" s="1">
        <v>0.05</v>
      </c>
      <c r="J4680" s="1">
        <v>304982.3</v>
      </c>
      <c r="K4680" s="1">
        <v>32506.71</v>
      </c>
      <c r="L4680" s="1" t="s">
        <v>70</v>
      </c>
      <c r="M4680" s="1" t="str">
        <f>TEXT(Table1[[#This Row],[Order Date]],"mmm")</f>
        <v>Nov</v>
      </c>
      <c r="N4680" s="1">
        <f>YEAR(Table1[[#This Row],[Order Date]])</f>
        <v>2023</v>
      </c>
    </row>
    <row r="4681" spans="1:14" x14ac:dyDescent="0.35">
      <c r="A4681" s="1" t="s">
        <v>5477</v>
      </c>
      <c r="B4681" s="1" t="s">
        <v>1276</v>
      </c>
      <c r="C4681" s="1" t="s">
        <v>332</v>
      </c>
      <c r="D4681" s="1" t="s">
        <v>52</v>
      </c>
      <c r="E4681" s="1" t="s">
        <v>28</v>
      </c>
      <c r="F4681" s="1" t="s">
        <v>52</v>
      </c>
      <c r="G4681" s="1">
        <v>14</v>
      </c>
      <c r="H4681" s="1">
        <v>20615</v>
      </c>
      <c r="I4681" s="1">
        <v>0</v>
      </c>
      <c r="J4681" s="1">
        <v>288610</v>
      </c>
      <c r="K4681" s="1">
        <v>76680.06</v>
      </c>
      <c r="L4681" s="1" t="s">
        <v>45</v>
      </c>
      <c r="M4681" s="1" t="str">
        <f>TEXT(Table1[[#This Row],[Order Date]],"mmm")</f>
        <v>Apr</v>
      </c>
      <c r="N4681" s="1">
        <f>YEAR(Table1[[#This Row],[Order Date]])</f>
        <v>2023</v>
      </c>
    </row>
    <row r="4682" spans="1:14" x14ac:dyDescent="0.35">
      <c r="A4682" s="1" t="s">
        <v>5478</v>
      </c>
      <c r="B4682" s="1" t="s">
        <v>1274</v>
      </c>
      <c r="C4682" s="1" t="s">
        <v>117</v>
      </c>
      <c r="D4682" s="1" t="s">
        <v>60</v>
      </c>
      <c r="E4682" s="1" t="s">
        <v>33</v>
      </c>
      <c r="F4682" s="1" t="s">
        <v>60</v>
      </c>
      <c r="G4682" s="1">
        <v>1</v>
      </c>
      <c r="H4682" s="1">
        <v>29646</v>
      </c>
      <c r="I4682" s="1">
        <v>0.1</v>
      </c>
      <c r="J4682" s="1">
        <v>26681.4</v>
      </c>
      <c r="K4682" s="1">
        <v>4365.33</v>
      </c>
      <c r="L4682" s="1" t="s">
        <v>45</v>
      </c>
      <c r="M4682" s="1" t="str">
        <f>TEXT(Table1[[#This Row],[Order Date]],"mmm")</f>
        <v>Feb</v>
      </c>
      <c r="N4682" s="1">
        <f>YEAR(Table1[[#This Row],[Order Date]])</f>
        <v>2023</v>
      </c>
    </row>
    <row r="4683" spans="1:14" x14ac:dyDescent="0.35">
      <c r="A4683" s="1" t="s">
        <v>5479</v>
      </c>
      <c r="B4683" s="1" t="s">
        <v>296</v>
      </c>
      <c r="C4683" s="1" t="s">
        <v>332</v>
      </c>
      <c r="D4683" s="1" t="s">
        <v>91</v>
      </c>
      <c r="E4683" s="1" t="s">
        <v>16</v>
      </c>
      <c r="F4683" s="1" t="s">
        <v>91</v>
      </c>
      <c r="G4683" s="1">
        <v>3</v>
      </c>
      <c r="H4683" s="1">
        <v>39839</v>
      </c>
      <c r="I4683" s="1">
        <v>0.05</v>
      </c>
      <c r="J4683" s="1">
        <v>113541.15</v>
      </c>
      <c r="K4683" s="1">
        <v>18091.95</v>
      </c>
      <c r="L4683" s="1" t="s">
        <v>23</v>
      </c>
      <c r="M4683" s="1" t="str">
        <f>TEXT(Table1[[#This Row],[Order Date]],"mmm")</f>
        <v>Aug</v>
      </c>
      <c r="N4683" s="1">
        <f>YEAR(Table1[[#This Row],[Order Date]])</f>
        <v>2023</v>
      </c>
    </row>
    <row r="4684" spans="1:14" x14ac:dyDescent="0.35">
      <c r="A4684" s="1" t="s">
        <v>5480</v>
      </c>
      <c r="B4684" s="1" t="s">
        <v>792</v>
      </c>
      <c r="C4684" s="1" t="s">
        <v>98</v>
      </c>
      <c r="D4684" s="1" t="s">
        <v>95</v>
      </c>
      <c r="E4684" s="1" t="s">
        <v>33</v>
      </c>
      <c r="F4684" s="1" t="s">
        <v>95</v>
      </c>
      <c r="G4684" s="1">
        <v>15</v>
      </c>
      <c r="H4684" s="1">
        <v>49158</v>
      </c>
      <c r="I4684" s="1">
        <v>0.2</v>
      </c>
      <c r="J4684" s="1">
        <v>589896</v>
      </c>
      <c r="K4684" s="1">
        <v>106504.55</v>
      </c>
      <c r="L4684" s="1" t="s">
        <v>23</v>
      </c>
      <c r="M4684" s="1" t="str">
        <f>TEXT(Table1[[#This Row],[Order Date]],"mmm")</f>
        <v>Aug</v>
      </c>
      <c r="N4684" s="1">
        <f>YEAR(Table1[[#This Row],[Order Date]])</f>
        <v>2023</v>
      </c>
    </row>
    <row r="4685" spans="1:14" x14ac:dyDescent="0.35">
      <c r="A4685" s="1" t="s">
        <v>5481</v>
      </c>
      <c r="B4685" s="1" t="s">
        <v>3512</v>
      </c>
      <c r="C4685" s="1" t="s">
        <v>136</v>
      </c>
      <c r="D4685" s="1" t="s">
        <v>167</v>
      </c>
      <c r="E4685" s="1" t="s">
        <v>16</v>
      </c>
      <c r="F4685" s="1" t="s">
        <v>167</v>
      </c>
      <c r="G4685" s="1">
        <v>13</v>
      </c>
      <c r="H4685" s="1">
        <v>13898</v>
      </c>
      <c r="I4685" s="1">
        <v>0.15</v>
      </c>
      <c r="J4685" s="1">
        <v>153572.9</v>
      </c>
      <c r="K4685" s="1">
        <v>36190.559999999998</v>
      </c>
      <c r="L4685" s="1" t="s">
        <v>70</v>
      </c>
      <c r="M4685" s="1" t="str">
        <f>TEXT(Table1[[#This Row],[Order Date]],"mmm")</f>
        <v>Sep</v>
      </c>
      <c r="N4685" s="1">
        <f>YEAR(Table1[[#This Row],[Order Date]])</f>
        <v>2024</v>
      </c>
    </row>
    <row r="4686" spans="1:14" x14ac:dyDescent="0.35">
      <c r="A4686" s="1" t="s">
        <v>5482</v>
      </c>
      <c r="B4686" s="1" t="s">
        <v>1161</v>
      </c>
      <c r="C4686" s="1" t="s">
        <v>55</v>
      </c>
      <c r="D4686" s="1" t="s">
        <v>27</v>
      </c>
      <c r="E4686" s="1" t="s">
        <v>28</v>
      </c>
      <c r="F4686" s="1" t="s">
        <v>27</v>
      </c>
      <c r="G4686" s="1">
        <v>12</v>
      </c>
      <c r="H4686" s="1">
        <v>31130</v>
      </c>
      <c r="I4686" s="1">
        <v>0.2</v>
      </c>
      <c r="J4686" s="1">
        <v>298848</v>
      </c>
      <c r="K4686" s="1">
        <v>64906.38</v>
      </c>
      <c r="L4686" s="1" t="s">
        <v>23</v>
      </c>
      <c r="M4686" s="1" t="str">
        <f>TEXT(Table1[[#This Row],[Order Date]],"mmm")</f>
        <v>Mar</v>
      </c>
      <c r="N4686" s="1">
        <f>YEAR(Table1[[#This Row],[Order Date]])</f>
        <v>2024</v>
      </c>
    </row>
    <row r="4687" spans="1:14" x14ac:dyDescent="0.35">
      <c r="A4687" s="1" t="s">
        <v>5483</v>
      </c>
      <c r="B4687" s="1" t="s">
        <v>93</v>
      </c>
      <c r="C4687" s="1" t="s">
        <v>104</v>
      </c>
      <c r="D4687" s="1" t="s">
        <v>74</v>
      </c>
      <c r="E4687" s="1" t="s">
        <v>22</v>
      </c>
      <c r="F4687" s="1" t="s">
        <v>74</v>
      </c>
      <c r="G4687" s="1">
        <v>14</v>
      </c>
      <c r="H4687" s="1">
        <v>57994</v>
      </c>
      <c r="I4687" s="1">
        <v>0.1</v>
      </c>
      <c r="J4687" s="1">
        <v>730724.4</v>
      </c>
      <c r="K4687" s="1">
        <v>169866.33</v>
      </c>
      <c r="L4687" s="1" t="s">
        <v>17</v>
      </c>
      <c r="M4687" s="1" t="str">
        <f>TEXT(Table1[[#This Row],[Order Date]],"mmm")</f>
        <v>Mar</v>
      </c>
      <c r="N4687" s="1">
        <f>YEAR(Table1[[#This Row],[Order Date]])</f>
        <v>2024</v>
      </c>
    </row>
    <row r="4688" spans="1:14" x14ac:dyDescent="0.35">
      <c r="A4688" s="1" t="s">
        <v>5484</v>
      </c>
      <c r="B4688" s="1" t="s">
        <v>2274</v>
      </c>
      <c r="C4688" s="1" t="s">
        <v>81</v>
      </c>
      <c r="D4688" s="1" t="s">
        <v>85</v>
      </c>
      <c r="E4688" s="1" t="s">
        <v>28</v>
      </c>
      <c r="F4688" s="1" t="s">
        <v>85</v>
      </c>
      <c r="G4688" s="1">
        <v>1</v>
      </c>
      <c r="H4688" s="1">
        <v>9216</v>
      </c>
      <c r="I4688" s="1">
        <v>0</v>
      </c>
      <c r="J4688" s="1">
        <v>9216</v>
      </c>
      <c r="K4688" s="1">
        <v>780.38</v>
      </c>
      <c r="L4688" s="1" t="s">
        <v>45</v>
      </c>
      <c r="M4688" s="1" t="str">
        <f>TEXT(Table1[[#This Row],[Order Date]],"mmm")</f>
        <v>Jan</v>
      </c>
      <c r="N4688" s="1">
        <f>YEAR(Table1[[#This Row],[Order Date]])</f>
        <v>2024</v>
      </c>
    </row>
    <row r="4689" spans="1:14" x14ac:dyDescent="0.35">
      <c r="A4689" s="1" t="s">
        <v>5485</v>
      </c>
      <c r="B4689" s="1" t="s">
        <v>1007</v>
      </c>
      <c r="C4689" s="1" t="s">
        <v>98</v>
      </c>
      <c r="D4689" s="1" t="s">
        <v>293</v>
      </c>
      <c r="E4689" s="1" t="s">
        <v>33</v>
      </c>
      <c r="F4689" s="1" t="s">
        <v>293</v>
      </c>
      <c r="G4689" s="1">
        <v>12</v>
      </c>
      <c r="H4689" s="1">
        <v>7707</v>
      </c>
      <c r="I4689" s="1">
        <v>0.05</v>
      </c>
      <c r="J4689" s="1">
        <v>87859.8</v>
      </c>
      <c r="K4689" s="1">
        <v>23344.240000000002</v>
      </c>
      <c r="L4689" s="1" t="s">
        <v>45</v>
      </c>
      <c r="M4689" s="1" t="str">
        <f>TEXT(Table1[[#This Row],[Order Date]],"mmm")</f>
        <v>Apr</v>
      </c>
      <c r="N4689" s="1">
        <f>YEAR(Table1[[#This Row],[Order Date]])</f>
        <v>2023</v>
      </c>
    </row>
    <row r="4690" spans="1:14" x14ac:dyDescent="0.35">
      <c r="A4690" s="1" t="s">
        <v>5486</v>
      </c>
      <c r="B4690" s="1" t="s">
        <v>901</v>
      </c>
      <c r="C4690" s="1" t="s">
        <v>111</v>
      </c>
      <c r="D4690" s="1" t="s">
        <v>74</v>
      </c>
      <c r="E4690" s="1" t="s">
        <v>22</v>
      </c>
      <c r="F4690" s="1" t="s">
        <v>74</v>
      </c>
      <c r="G4690" s="1">
        <v>6</v>
      </c>
      <c r="H4690" s="1">
        <v>12404</v>
      </c>
      <c r="I4690" s="1">
        <v>0.2</v>
      </c>
      <c r="J4690" s="1">
        <v>59539.199999999997</v>
      </c>
      <c r="K4690" s="1">
        <v>10006.89</v>
      </c>
      <c r="L4690" s="1" t="s">
        <v>17</v>
      </c>
      <c r="M4690" s="1" t="str">
        <f>TEXT(Table1[[#This Row],[Order Date]],"mmm")</f>
        <v>May</v>
      </c>
      <c r="N4690" s="1">
        <f>YEAR(Table1[[#This Row],[Order Date]])</f>
        <v>2023</v>
      </c>
    </row>
    <row r="4691" spans="1:14" x14ac:dyDescent="0.35">
      <c r="A4691" s="1" t="s">
        <v>5487</v>
      </c>
      <c r="B4691" s="1" t="s">
        <v>1778</v>
      </c>
      <c r="C4691" s="1" t="s">
        <v>94</v>
      </c>
      <c r="D4691" s="1" t="s">
        <v>179</v>
      </c>
      <c r="E4691" s="1" t="s">
        <v>28</v>
      </c>
      <c r="F4691" s="1" t="s">
        <v>179</v>
      </c>
      <c r="G4691" s="1">
        <v>13</v>
      </c>
      <c r="H4691" s="1">
        <v>44725</v>
      </c>
      <c r="I4691" s="1">
        <v>0.15</v>
      </c>
      <c r="J4691" s="1">
        <v>494211.25</v>
      </c>
      <c r="K4691" s="1">
        <v>147953.91</v>
      </c>
      <c r="L4691" s="1" t="s">
        <v>23</v>
      </c>
      <c r="M4691" s="1" t="str">
        <f>TEXT(Table1[[#This Row],[Order Date]],"mmm")</f>
        <v>May</v>
      </c>
      <c r="N4691" s="1">
        <f>YEAR(Table1[[#This Row],[Order Date]])</f>
        <v>2023</v>
      </c>
    </row>
    <row r="4692" spans="1:14" x14ac:dyDescent="0.35">
      <c r="A4692" s="1" t="s">
        <v>5488</v>
      </c>
      <c r="B4692" s="1" t="s">
        <v>327</v>
      </c>
      <c r="C4692" s="1" t="s">
        <v>188</v>
      </c>
      <c r="D4692" s="1" t="s">
        <v>133</v>
      </c>
      <c r="E4692" s="1" t="s">
        <v>22</v>
      </c>
      <c r="F4692" s="1" t="s">
        <v>133</v>
      </c>
      <c r="G4692" s="1">
        <v>13</v>
      </c>
      <c r="H4692" s="1">
        <v>57299</v>
      </c>
      <c r="I4692" s="1">
        <v>0.05</v>
      </c>
      <c r="J4692" s="1">
        <v>707642.65</v>
      </c>
      <c r="K4692" s="1">
        <v>66538.19</v>
      </c>
      <c r="L4692" s="1" t="s">
        <v>45</v>
      </c>
      <c r="M4692" s="1" t="str">
        <f>TEXT(Table1[[#This Row],[Order Date]],"mmm")</f>
        <v>Nov</v>
      </c>
      <c r="N4692" s="1">
        <f>YEAR(Table1[[#This Row],[Order Date]])</f>
        <v>2024</v>
      </c>
    </row>
    <row r="4693" spans="1:14" x14ac:dyDescent="0.35">
      <c r="A4693" s="1" t="s">
        <v>5489</v>
      </c>
      <c r="B4693" s="1" t="s">
        <v>1840</v>
      </c>
      <c r="C4693" s="1" t="s">
        <v>158</v>
      </c>
      <c r="D4693" s="1" t="s">
        <v>78</v>
      </c>
      <c r="E4693" s="1" t="s">
        <v>28</v>
      </c>
      <c r="F4693" s="1" t="s">
        <v>78</v>
      </c>
      <c r="G4693" s="1">
        <v>3</v>
      </c>
      <c r="H4693" s="1">
        <v>47696</v>
      </c>
      <c r="I4693" s="1">
        <v>0.2</v>
      </c>
      <c r="J4693" s="1">
        <v>114470.39999999999</v>
      </c>
      <c r="K4693" s="1">
        <v>32504.47</v>
      </c>
      <c r="L4693" s="1" t="s">
        <v>70</v>
      </c>
      <c r="M4693" s="1" t="str">
        <f>TEXT(Table1[[#This Row],[Order Date]],"mmm")</f>
        <v>Aug</v>
      </c>
      <c r="N4693" s="1">
        <f>YEAR(Table1[[#This Row],[Order Date]])</f>
        <v>2024</v>
      </c>
    </row>
    <row r="4694" spans="1:14" x14ac:dyDescent="0.35">
      <c r="A4694" s="1" t="s">
        <v>5490</v>
      </c>
      <c r="B4694" s="1" t="s">
        <v>404</v>
      </c>
      <c r="C4694" s="1" t="s">
        <v>255</v>
      </c>
      <c r="D4694" s="1" t="s">
        <v>15</v>
      </c>
      <c r="E4694" s="1" t="s">
        <v>16</v>
      </c>
      <c r="F4694" s="1" t="s">
        <v>15</v>
      </c>
      <c r="G4694" s="1">
        <v>10</v>
      </c>
      <c r="H4694" s="1">
        <v>39609</v>
      </c>
      <c r="I4694" s="1">
        <v>0.1</v>
      </c>
      <c r="J4694" s="1">
        <v>356481</v>
      </c>
      <c r="K4694" s="1">
        <v>54835.6</v>
      </c>
      <c r="L4694" s="1" t="s">
        <v>17</v>
      </c>
      <c r="M4694" s="1" t="str">
        <f>TEXT(Table1[[#This Row],[Order Date]],"mmm")</f>
        <v>Jan</v>
      </c>
      <c r="N4694" s="1">
        <f>YEAR(Table1[[#This Row],[Order Date]])</f>
        <v>2023</v>
      </c>
    </row>
    <row r="4695" spans="1:14" x14ac:dyDescent="0.35">
      <c r="A4695" s="1" t="s">
        <v>5491</v>
      </c>
      <c r="B4695" s="1" t="s">
        <v>451</v>
      </c>
      <c r="C4695" s="1" t="s">
        <v>349</v>
      </c>
      <c r="D4695" s="1" t="s">
        <v>52</v>
      </c>
      <c r="E4695" s="1" t="s">
        <v>28</v>
      </c>
      <c r="F4695" s="1" t="s">
        <v>52</v>
      </c>
      <c r="G4695" s="1">
        <v>9</v>
      </c>
      <c r="H4695" s="1">
        <v>4143</v>
      </c>
      <c r="I4695" s="1">
        <v>0</v>
      </c>
      <c r="J4695" s="1">
        <v>37287</v>
      </c>
      <c r="K4695" s="1">
        <v>7903.7</v>
      </c>
      <c r="L4695" s="1" t="s">
        <v>17</v>
      </c>
      <c r="M4695" s="1" t="str">
        <f>TEXT(Table1[[#This Row],[Order Date]],"mmm")</f>
        <v>Nov</v>
      </c>
      <c r="N4695" s="1">
        <f>YEAR(Table1[[#This Row],[Order Date]])</f>
        <v>2024</v>
      </c>
    </row>
    <row r="4696" spans="1:14" x14ac:dyDescent="0.35">
      <c r="A4696" s="1" t="s">
        <v>5492</v>
      </c>
      <c r="B4696" s="1" t="s">
        <v>1209</v>
      </c>
      <c r="C4696" s="1" t="s">
        <v>227</v>
      </c>
      <c r="D4696" s="1" t="s">
        <v>64</v>
      </c>
      <c r="E4696" s="1" t="s">
        <v>33</v>
      </c>
      <c r="F4696" s="1" t="s">
        <v>64</v>
      </c>
      <c r="G4696" s="1">
        <v>13</v>
      </c>
      <c r="H4696" s="1">
        <v>22192</v>
      </c>
      <c r="I4696" s="1">
        <v>0</v>
      </c>
      <c r="J4696" s="1">
        <v>288496</v>
      </c>
      <c r="K4696" s="1">
        <v>52539.51</v>
      </c>
      <c r="L4696" s="1" t="s">
        <v>17</v>
      </c>
      <c r="M4696" s="1" t="str">
        <f>TEXT(Table1[[#This Row],[Order Date]],"mmm")</f>
        <v>Jan</v>
      </c>
      <c r="N4696" s="1">
        <f>YEAR(Table1[[#This Row],[Order Date]])</f>
        <v>2023</v>
      </c>
    </row>
    <row r="4697" spans="1:14" x14ac:dyDescent="0.35">
      <c r="A4697" s="1" t="s">
        <v>5493</v>
      </c>
      <c r="B4697" s="1" t="s">
        <v>466</v>
      </c>
      <c r="C4697" s="1" t="s">
        <v>175</v>
      </c>
      <c r="D4697" s="1" t="s">
        <v>293</v>
      </c>
      <c r="E4697" s="1" t="s">
        <v>33</v>
      </c>
      <c r="F4697" s="1" t="s">
        <v>293</v>
      </c>
      <c r="G4697" s="1">
        <v>5</v>
      </c>
      <c r="H4697" s="1">
        <v>14380</v>
      </c>
      <c r="I4697" s="1">
        <v>0.15</v>
      </c>
      <c r="J4697" s="1">
        <v>61115</v>
      </c>
      <c r="K4697" s="1">
        <v>9694.52</v>
      </c>
      <c r="L4697" s="1" t="s">
        <v>70</v>
      </c>
      <c r="M4697" s="1" t="str">
        <f>TEXT(Table1[[#This Row],[Order Date]],"mmm")</f>
        <v>Feb</v>
      </c>
      <c r="N4697" s="1">
        <f>YEAR(Table1[[#This Row],[Order Date]])</f>
        <v>2024</v>
      </c>
    </row>
    <row r="4698" spans="1:14" x14ac:dyDescent="0.35">
      <c r="A4698" s="1" t="s">
        <v>5494</v>
      </c>
      <c r="B4698" s="1" t="s">
        <v>259</v>
      </c>
      <c r="C4698" s="1" t="s">
        <v>73</v>
      </c>
      <c r="D4698" s="1" t="s">
        <v>151</v>
      </c>
      <c r="E4698" s="1" t="s">
        <v>22</v>
      </c>
      <c r="F4698" s="1" t="s">
        <v>151</v>
      </c>
      <c r="G4698" s="1">
        <v>7</v>
      </c>
      <c r="H4698" s="1">
        <v>35388</v>
      </c>
      <c r="I4698" s="1">
        <v>0.2</v>
      </c>
      <c r="J4698" s="1">
        <v>198172.79999999999</v>
      </c>
      <c r="K4698" s="1">
        <v>48229.05</v>
      </c>
      <c r="L4698" s="1" t="s">
        <v>70</v>
      </c>
      <c r="M4698" s="1" t="str">
        <f>TEXT(Table1[[#This Row],[Order Date]],"mmm")</f>
        <v>Oct</v>
      </c>
      <c r="N4698" s="1">
        <f>YEAR(Table1[[#This Row],[Order Date]])</f>
        <v>2024</v>
      </c>
    </row>
    <row r="4699" spans="1:14" x14ac:dyDescent="0.35">
      <c r="A4699" s="1" t="s">
        <v>5495</v>
      </c>
      <c r="B4699" s="1" t="s">
        <v>143</v>
      </c>
      <c r="C4699" s="1" t="s">
        <v>117</v>
      </c>
      <c r="D4699" s="1" t="s">
        <v>293</v>
      </c>
      <c r="E4699" s="1" t="s">
        <v>33</v>
      </c>
      <c r="F4699" s="1" t="s">
        <v>293</v>
      </c>
      <c r="G4699" s="1">
        <v>4</v>
      </c>
      <c r="H4699" s="1">
        <v>7045</v>
      </c>
      <c r="I4699" s="1">
        <v>0.1</v>
      </c>
      <c r="J4699" s="1">
        <v>25362</v>
      </c>
      <c r="K4699" s="1">
        <v>3979.61</v>
      </c>
      <c r="L4699" s="1" t="s">
        <v>45</v>
      </c>
      <c r="M4699" s="1" t="str">
        <f>TEXT(Table1[[#This Row],[Order Date]],"mmm")</f>
        <v>Jul</v>
      </c>
      <c r="N4699" s="1">
        <f>YEAR(Table1[[#This Row],[Order Date]])</f>
        <v>2023</v>
      </c>
    </row>
    <row r="4700" spans="1:14" x14ac:dyDescent="0.35">
      <c r="A4700" s="1" t="s">
        <v>5496</v>
      </c>
      <c r="B4700" s="1" t="s">
        <v>1716</v>
      </c>
      <c r="C4700" s="1" t="s">
        <v>98</v>
      </c>
      <c r="D4700" s="1" t="s">
        <v>15</v>
      </c>
      <c r="E4700" s="1" t="s">
        <v>16</v>
      </c>
      <c r="F4700" s="1" t="s">
        <v>15</v>
      </c>
      <c r="G4700" s="1">
        <v>9</v>
      </c>
      <c r="H4700" s="1">
        <v>51095</v>
      </c>
      <c r="I4700" s="1">
        <v>0.1</v>
      </c>
      <c r="J4700" s="1">
        <v>413869.5</v>
      </c>
      <c r="K4700" s="1">
        <v>76528.36</v>
      </c>
      <c r="L4700" s="1" t="s">
        <v>45</v>
      </c>
      <c r="M4700" s="1" t="str">
        <f>TEXT(Table1[[#This Row],[Order Date]],"mmm")</f>
        <v>Jul</v>
      </c>
      <c r="N4700" s="1">
        <f>YEAR(Table1[[#This Row],[Order Date]])</f>
        <v>2024</v>
      </c>
    </row>
    <row r="4701" spans="1:14" x14ac:dyDescent="0.35">
      <c r="A4701" s="1" t="s">
        <v>5497</v>
      </c>
      <c r="B4701" s="1" t="s">
        <v>2594</v>
      </c>
      <c r="C4701" s="1" t="s">
        <v>140</v>
      </c>
      <c r="D4701" s="1" t="s">
        <v>85</v>
      </c>
      <c r="E4701" s="1" t="s">
        <v>28</v>
      </c>
      <c r="F4701" s="1" t="s">
        <v>85</v>
      </c>
      <c r="G4701" s="1">
        <v>6</v>
      </c>
      <c r="H4701" s="1">
        <v>34262</v>
      </c>
      <c r="I4701" s="1">
        <v>0</v>
      </c>
      <c r="J4701" s="1">
        <v>205572</v>
      </c>
      <c r="K4701" s="1">
        <v>20623.09</v>
      </c>
      <c r="L4701" s="1" t="s">
        <v>17</v>
      </c>
      <c r="M4701" s="1" t="str">
        <f>TEXT(Table1[[#This Row],[Order Date]],"mmm")</f>
        <v>Jul</v>
      </c>
      <c r="N4701" s="1">
        <f>YEAR(Table1[[#This Row],[Order Date]])</f>
        <v>2023</v>
      </c>
    </row>
    <row r="4702" spans="1:14" x14ac:dyDescent="0.35">
      <c r="A4702" s="1" t="s">
        <v>5498</v>
      </c>
      <c r="B4702" s="1" t="s">
        <v>2671</v>
      </c>
      <c r="C4702" s="1" t="s">
        <v>200</v>
      </c>
      <c r="D4702" s="1" t="s">
        <v>74</v>
      </c>
      <c r="E4702" s="1" t="s">
        <v>22</v>
      </c>
      <c r="F4702" s="1" t="s">
        <v>74</v>
      </c>
      <c r="G4702" s="1">
        <v>13</v>
      </c>
      <c r="H4702" s="1">
        <v>28318</v>
      </c>
      <c r="I4702" s="1">
        <v>0.1</v>
      </c>
      <c r="J4702" s="1">
        <v>331320.59999999998</v>
      </c>
      <c r="K4702" s="1">
        <v>82357.33</v>
      </c>
      <c r="L4702" s="1" t="s">
        <v>23</v>
      </c>
      <c r="M4702" s="1" t="str">
        <f>TEXT(Table1[[#This Row],[Order Date]],"mmm")</f>
        <v>Nov</v>
      </c>
      <c r="N4702" s="1">
        <f>YEAR(Table1[[#This Row],[Order Date]])</f>
        <v>2023</v>
      </c>
    </row>
    <row r="4703" spans="1:14" x14ac:dyDescent="0.35">
      <c r="A4703" s="1" t="s">
        <v>5499</v>
      </c>
      <c r="B4703" s="1" t="s">
        <v>3841</v>
      </c>
      <c r="C4703" s="1" t="s">
        <v>335</v>
      </c>
      <c r="D4703" s="1" t="s">
        <v>141</v>
      </c>
      <c r="E4703" s="1" t="s">
        <v>22</v>
      </c>
      <c r="F4703" s="1" t="s">
        <v>141</v>
      </c>
      <c r="G4703" s="1">
        <v>3</v>
      </c>
      <c r="H4703" s="1">
        <v>6116</v>
      </c>
      <c r="I4703" s="1">
        <v>0.15</v>
      </c>
      <c r="J4703" s="1">
        <v>15595.8</v>
      </c>
      <c r="K4703" s="1">
        <v>1546.66</v>
      </c>
      <c r="L4703" s="1" t="s">
        <v>45</v>
      </c>
      <c r="M4703" s="1" t="str">
        <f>TEXT(Table1[[#This Row],[Order Date]],"mmm")</f>
        <v>Apr</v>
      </c>
      <c r="N4703" s="1">
        <f>YEAR(Table1[[#This Row],[Order Date]])</f>
        <v>2023</v>
      </c>
    </row>
    <row r="4704" spans="1:14" x14ac:dyDescent="0.35">
      <c r="A4704" s="1" t="s">
        <v>5500</v>
      </c>
      <c r="B4704" s="1" t="s">
        <v>2342</v>
      </c>
      <c r="C4704" s="1" t="s">
        <v>73</v>
      </c>
      <c r="D4704" s="1" t="s">
        <v>137</v>
      </c>
      <c r="E4704" s="1" t="s">
        <v>22</v>
      </c>
      <c r="F4704" s="1" t="s">
        <v>137</v>
      </c>
      <c r="G4704" s="1">
        <v>5</v>
      </c>
      <c r="H4704" s="1">
        <v>7403</v>
      </c>
      <c r="I4704" s="1">
        <v>0.05</v>
      </c>
      <c r="J4704" s="1">
        <v>35164.25</v>
      </c>
      <c r="K4704" s="1">
        <v>6759.83</v>
      </c>
      <c r="L4704" s="1" t="s">
        <v>45</v>
      </c>
      <c r="M4704" s="1" t="str">
        <f>TEXT(Table1[[#This Row],[Order Date]],"mmm")</f>
        <v>Mar</v>
      </c>
      <c r="N4704" s="1">
        <f>YEAR(Table1[[#This Row],[Order Date]])</f>
        <v>2023</v>
      </c>
    </row>
    <row r="4705" spans="1:14" x14ac:dyDescent="0.35">
      <c r="A4705" s="1" t="s">
        <v>5501</v>
      </c>
      <c r="B4705" s="1" t="s">
        <v>867</v>
      </c>
      <c r="C4705" s="1" t="s">
        <v>170</v>
      </c>
      <c r="D4705" s="1" t="s">
        <v>64</v>
      </c>
      <c r="E4705" s="1" t="s">
        <v>33</v>
      </c>
      <c r="F4705" s="1" t="s">
        <v>64</v>
      </c>
      <c r="G4705" s="1">
        <v>13</v>
      </c>
      <c r="H4705" s="1">
        <v>27607</v>
      </c>
      <c r="I4705" s="1">
        <v>0.1</v>
      </c>
      <c r="J4705" s="1">
        <v>323001.90000000002</v>
      </c>
      <c r="K4705" s="1">
        <v>63784.73</v>
      </c>
      <c r="L4705" s="1" t="s">
        <v>17</v>
      </c>
      <c r="M4705" s="1" t="str">
        <f>TEXT(Table1[[#This Row],[Order Date]],"mmm")</f>
        <v>Aug</v>
      </c>
      <c r="N4705" s="1">
        <f>YEAR(Table1[[#This Row],[Order Date]])</f>
        <v>2024</v>
      </c>
    </row>
    <row r="4706" spans="1:14" x14ac:dyDescent="0.35">
      <c r="A4706" s="1" t="s">
        <v>5502</v>
      </c>
      <c r="B4706" s="1" t="s">
        <v>1071</v>
      </c>
      <c r="C4706" s="1" t="s">
        <v>14</v>
      </c>
      <c r="D4706" s="1" t="s">
        <v>323</v>
      </c>
      <c r="E4706" s="1" t="s">
        <v>33</v>
      </c>
      <c r="F4706" s="1" t="s">
        <v>323</v>
      </c>
      <c r="G4706" s="1">
        <v>7</v>
      </c>
      <c r="H4706" s="1">
        <v>24703</v>
      </c>
      <c r="I4706" s="1">
        <v>0.2</v>
      </c>
      <c r="J4706" s="1">
        <v>138336.79999999999</v>
      </c>
      <c r="K4706" s="1">
        <v>22428.82</v>
      </c>
      <c r="L4706" s="1" t="s">
        <v>70</v>
      </c>
      <c r="M4706" s="1" t="str">
        <f>TEXT(Table1[[#This Row],[Order Date]],"mmm")</f>
        <v>Jul</v>
      </c>
      <c r="N4706" s="1">
        <f>YEAR(Table1[[#This Row],[Order Date]])</f>
        <v>2024</v>
      </c>
    </row>
    <row r="4707" spans="1:14" x14ac:dyDescent="0.35">
      <c r="A4707" s="1" t="s">
        <v>5503</v>
      </c>
      <c r="B4707" s="1" t="s">
        <v>567</v>
      </c>
      <c r="C4707" s="1" t="s">
        <v>255</v>
      </c>
      <c r="D4707" s="1" t="s">
        <v>151</v>
      </c>
      <c r="E4707" s="1" t="s">
        <v>22</v>
      </c>
      <c r="F4707" s="1" t="s">
        <v>151</v>
      </c>
      <c r="G4707" s="1">
        <v>9</v>
      </c>
      <c r="H4707" s="1">
        <v>49559</v>
      </c>
      <c r="I4707" s="1">
        <v>0.05</v>
      </c>
      <c r="J4707" s="1">
        <v>423729.45</v>
      </c>
      <c r="K4707" s="1">
        <v>116894.73</v>
      </c>
      <c r="L4707" s="1" t="s">
        <v>17</v>
      </c>
      <c r="M4707" s="1" t="str">
        <f>TEXT(Table1[[#This Row],[Order Date]],"mmm")</f>
        <v>May</v>
      </c>
      <c r="N4707" s="1">
        <f>YEAR(Table1[[#This Row],[Order Date]])</f>
        <v>2023</v>
      </c>
    </row>
    <row r="4708" spans="1:14" x14ac:dyDescent="0.35">
      <c r="A4708" s="1" t="s">
        <v>5504</v>
      </c>
      <c r="B4708" s="1" t="s">
        <v>2864</v>
      </c>
      <c r="C4708" s="1" t="s">
        <v>111</v>
      </c>
      <c r="D4708" s="1" t="s">
        <v>167</v>
      </c>
      <c r="E4708" s="1" t="s">
        <v>16</v>
      </c>
      <c r="F4708" s="1" t="s">
        <v>167</v>
      </c>
      <c r="G4708" s="1">
        <v>14</v>
      </c>
      <c r="H4708" s="1">
        <v>35877</v>
      </c>
      <c r="I4708" s="1">
        <v>0.05</v>
      </c>
      <c r="J4708" s="1">
        <v>477164.1</v>
      </c>
      <c r="K4708" s="1">
        <v>85536.35</v>
      </c>
      <c r="L4708" s="1" t="s">
        <v>23</v>
      </c>
      <c r="M4708" s="1" t="str">
        <f>TEXT(Table1[[#This Row],[Order Date]],"mmm")</f>
        <v>Dec</v>
      </c>
      <c r="N4708" s="1">
        <f>YEAR(Table1[[#This Row],[Order Date]])</f>
        <v>2023</v>
      </c>
    </row>
    <row r="4709" spans="1:14" x14ac:dyDescent="0.35">
      <c r="A4709" s="1" t="s">
        <v>5505</v>
      </c>
      <c r="B4709" s="1" t="s">
        <v>80</v>
      </c>
      <c r="C4709" s="1" t="s">
        <v>20</v>
      </c>
      <c r="D4709" s="1" t="s">
        <v>323</v>
      </c>
      <c r="E4709" s="1" t="s">
        <v>33</v>
      </c>
      <c r="F4709" s="1" t="s">
        <v>323</v>
      </c>
      <c r="G4709" s="1">
        <v>15</v>
      </c>
      <c r="H4709" s="1">
        <v>13588</v>
      </c>
      <c r="I4709" s="1">
        <v>0.15</v>
      </c>
      <c r="J4709" s="1">
        <v>173247</v>
      </c>
      <c r="K4709" s="1">
        <v>46483.92</v>
      </c>
      <c r="L4709" s="1" t="s">
        <v>45</v>
      </c>
      <c r="M4709" s="1" t="str">
        <f>TEXT(Table1[[#This Row],[Order Date]],"mmm")</f>
        <v>Jan</v>
      </c>
      <c r="N4709" s="1">
        <f>YEAR(Table1[[#This Row],[Order Date]])</f>
        <v>2023</v>
      </c>
    </row>
    <row r="4710" spans="1:14" x14ac:dyDescent="0.35">
      <c r="A4710" s="1" t="s">
        <v>5506</v>
      </c>
      <c r="B4710" s="1" t="s">
        <v>596</v>
      </c>
      <c r="C4710" s="1" t="s">
        <v>88</v>
      </c>
      <c r="D4710" s="1" t="s">
        <v>141</v>
      </c>
      <c r="E4710" s="1" t="s">
        <v>22</v>
      </c>
      <c r="F4710" s="1" t="s">
        <v>141</v>
      </c>
      <c r="G4710" s="1">
        <v>5</v>
      </c>
      <c r="H4710" s="1">
        <v>37430</v>
      </c>
      <c r="I4710" s="1">
        <v>0.2</v>
      </c>
      <c r="J4710" s="1">
        <v>149720</v>
      </c>
      <c r="K4710" s="1">
        <v>38456.6</v>
      </c>
      <c r="L4710" s="1" t="s">
        <v>45</v>
      </c>
      <c r="M4710" s="1" t="str">
        <f>TEXT(Table1[[#This Row],[Order Date]],"mmm")</f>
        <v>Nov</v>
      </c>
      <c r="N4710" s="1">
        <f>YEAR(Table1[[#This Row],[Order Date]])</f>
        <v>2023</v>
      </c>
    </row>
    <row r="4711" spans="1:14" x14ac:dyDescent="0.35">
      <c r="A4711" s="1" t="s">
        <v>5507</v>
      </c>
      <c r="B4711" s="1" t="s">
        <v>1781</v>
      </c>
      <c r="C4711" s="1" t="s">
        <v>125</v>
      </c>
      <c r="D4711" s="1" t="s">
        <v>114</v>
      </c>
      <c r="E4711" s="1" t="s">
        <v>16</v>
      </c>
      <c r="F4711" s="1" t="s">
        <v>114</v>
      </c>
      <c r="G4711" s="1">
        <v>12</v>
      </c>
      <c r="H4711" s="1">
        <v>2158</v>
      </c>
      <c r="I4711" s="1">
        <v>0.2</v>
      </c>
      <c r="J4711" s="1">
        <v>20716.8</v>
      </c>
      <c r="K4711" s="1">
        <v>2254.04</v>
      </c>
      <c r="L4711" s="1" t="s">
        <v>70</v>
      </c>
      <c r="M4711" s="1" t="str">
        <f>TEXT(Table1[[#This Row],[Order Date]],"mmm")</f>
        <v>Sep</v>
      </c>
      <c r="N4711" s="1">
        <f>YEAR(Table1[[#This Row],[Order Date]])</f>
        <v>2024</v>
      </c>
    </row>
    <row r="4712" spans="1:14" x14ac:dyDescent="0.35">
      <c r="A4712" s="1" t="s">
        <v>5508</v>
      </c>
      <c r="B4712" s="1" t="s">
        <v>2241</v>
      </c>
      <c r="C4712" s="1" t="s">
        <v>125</v>
      </c>
      <c r="D4712" s="1" t="s">
        <v>15</v>
      </c>
      <c r="E4712" s="1" t="s">
        <v>16</v>
      </c>
      <c r="F4712" s="1" t="s">
        <v>15</v>
      </c>
      <c r="G4712" s="1">
        <v>10</v>
      </c>
      <c r="H4712" s="1">
        <v>32247</v>
      </c>
      <c r="I4712" s="1">
        <v>0.05</v>
      </c>
      <c r="J4712" s="1">
        <v>306346.5</v>
      </c>
      <c r="K4712" s="1">
        <v>78668.72</v>
      </c>
      <c r="L4712" s="1" t="s">
        <v>45</v>
      </c>
      <c r="M4712" s="1" t="str">
        <f>TEXT(Table1[[#This Row],[Order Date]],"mmm")</f>
        <v>Feb</v>
      </c>
      <c r="N4712" s="1">
        <f>YEAR(Table1[[#This Row],[Order Date]])</f>
        <v>2024</v>
      </c>
    </row>
    <row r="4713" spans="1:14" x14ac:dyDescent="0.35">
      <c r="A4713" s="1" t="s">
        <v>5509</v>
      </c>
      <c r="B4713" s="1" t="s">
        <v>772</v>
      </c>
      <c r="C4713" s="1" t="s">
        <v>200</v>
      </c>
      <c r="D4713" s="1" t="s">
        <v>37</v>
      </c>
      <c r="E4713" s="1" t="s">
        <v>16</v>
      </c>
      <c r="F4713" s="1" t="s">
        <v>37</v>
      </c>
      <c r="G4713" s="1">
        <v>2</v>
      </c>
      <c r="H4713" s="1">
        <v>40823</v>
      </c>
      <c r="I4713" s="1">
        <v>0</v>
      </c>
      <c r="J4713" s="1">
        <v>81646</v>
      </c>
      <c r="K4713" s="1">
        <v>12774.32</v>
      </c>
      <c r="L4713" s="1" t="s">
        <v>70</v>
      </c>
      <c r="M4713" s="1" t="str">
        <f>TEXT(Table1[[#This Row],[Order Date]],"mmm")</f>
        <v>Nov</v>
      </c>
      <c r="N4713" s="1">
        <f>YEAR(Table1[[#This Row],[Order Date]])</f>
        <v>2023</v>
      </c>
    </row>
    <row r="4714" spans="1:14" x14ac:dyDescent="0.35">
      <c r="A4714" s="1" t="s">
        <v>5510</v>
      </c>
      <c r="B4714" s="1" t="s">
        <v>1161</v>
      </c>
      <c r="C4714" s="1" t="s">
        <v>155</v>
      </c>
      <c r="D4714" s="1" t="s">
        <v>167</v>
      </c>
      <c r="E4714" s="1" t="s">
        <v>16</v>
      </c>
      <c r="F4714" s="1" t="s">
        <v>167</v>
      </c>
      <c r="G4714" s="1">
        <v>5</v>
      </c>
      <c r="H4714" s="1">
        <v>20066</v>
      </c>
      <c r="I4714" s="1">
        <v>0.2</v>
      </c>
      <c r="J4714" s="1">
        <v>80264</v>
      </c>
      <c r="K4714" s="1">
        <v>9573.57</v>
      </c>
      <c r="L4714" s="1" t="s">
        <v>17</v>
      </c>
      <c r="M4714" s="1" t="str">
        <f>TEXT(Table1[[#This Row],[Order Date]],"mmm")</f>
        <v>Mar</v>
      </c>
      <c r="N4714" s="1">
        <f>YEAR(Table1[[#This Row],[Order Date]])</f>
        <v>2024</v>
      </c>
    </row>
    <row r="4715" spans="1:14" x14ac:dyDescent="0.35">
      <c r="A4715" s="1" t="s">
        <v>5511</v>
      </c>
      <c r="B4715" s="1" t="s">
        <v>612</v>
      </c>
      <c r="C4715" s="1" t="s">
        <v>178</v>
      </c>
      <c r="D4715" s="1" t="s">
        <v>95</v>
      </c>
      <c r="E4715" s="1" t="s">
        <v>33</v>
      </c>
      <c r="F4715" s="1" t="s">
        <v>95</v>
      </c>
      <c r="G4715" s="1">
        <v>1</v>
      </c>
      <c r="H4715" s="1">
        <v>29449</v>
      </c>
      <c r="I4715" s="1">
        <v>0.05</v>
      </c>
      <c r="J4715" s="1">
        <v>27976.55</v>
      </c>
      <c r="K4715" s="1">
        <v>4662.66</v>
      </c>
      <c r="L4715" s="1" t="s">
        <v>23</v>
      </c>
      <c r="M4715" s="1" t="str">
        <f>TEXT(Table1[[#This Row],[Order Date]],"mmm")</f>
        <v>May</v>
      </c>
      <c r="N4715" s="1">
        <f>YEAR(Table1[[#This Row],[Order Date]])</f>
        <v>2024</v>
      </c>
    </row>
    <row r="4716" spans="1:14" x14ac:dyDescent="0.35">
      <c r="A4716" s="1" t="s">
        <v>5512</v>
      </c>
      <c r="B4716" s="1" t="s">
        <v>169</v>
      </c>
      <c r="C4716" s="1" t="s">
        <v>203</v>
      </c>
      <c r="D4716" s="1" t="s">
        <v>60</v>
      </c>
      <c r="E4716" s="1" t="s">
        <v>33</v>
      </c>
      <c r="F4716" s="1" t="s">
        <v>60</v>
      </c>
      <c r="G4716" s="1">
        <v>13</v>
      </c>
      <c r="H4716" s="1">
        <v>11368</v>
      </c>
      <c r="I4716" s="1">
        <v>0.2</v>
      </c>
      <c r="J4716" s="1">
        <v>118227.2</v>
      </c>
      <c r="K4716" s="1">
        <v>18405.86</v>
      </c>
      <c r="L4716" s="1" t="s">
        <v>70</v>
      </c>
      <c r="M4716" s="1" t="str">
        <f>TEXT(Table1[[#This Row],[Order Date]],"mmm")</f>
        <v>Nov</v>
      </c>
      <c r="N4716" s="1">
        <f>YEAR(Table1[[#This Row],[Order Date]])</f>
        <v>2024</v>
      </c>
    </row>
    <row r="4717" spans="1:14" x14ac:dyDescent="0.35">
      <c r="A4717" s="1" t="s">
        <v>5513</v>
      </c>
      <c r="B4717" s="1" t="s">
        <v>1788</v>
      </c>
      <c r="C4717" s="1" t="s">
        <v>125</v>
      </c>
      <c r="D4717" s="1" t="s">
        <v>141</v>
      </c>
      <c r="E4717" s="1" t="s">
        <v>22</v>
      </c>
      <c r="F4717" s="1" t="s">
        <v>141</v>
      </c>
      <c r="G4717" s="1">
        <v>13</v>
      </c>
      <c r="H4717" s="1">
        <v>54427</v>
      </c>
      <c r="I4717" s="1">
        <v>0.15</v>
      </c>
      <c r="J4717" s="1">
        <v>601418.35</v>
      </c>
      <c r="K4717" s="1">
        <v>59935.13</v>
      </c>
      <c r="L4717" s="1" t="s">
        <v>17</v>
      </c>
      <c r="M4717" s="1" t="str">
        <f>TEXT(Table1[[#This Row],[Order Date]],"mmm")</f>
        <v>Jun</v>
      </c>
      <c r="N4717" s="1">
        <f>YEAR(Table1[[#This Row],[Order Date]])</f>
        <v>2023</v>
      </c>
    </row>
    <row r="4718" spans="1:14" x14ac:dyDescent="0.35">
      <c r="A4718" s="1" t="s">
        <v>5514</v>
      </c>
      <c r="B4718" s="1" t="s">
        <v>1337</v>
      </c>
      <c r="C4718" s="1" t="s">
        <v>94</v>
      </c>
      <c r="D4718" s="1" t="s">
        <v>91</v>
      </c>
      <c r="E4718" s="1" t="s">
        <v>16</v>
      </c>
      <c r="F4718" s="1" t="s">
        <v>91</v>
      </c>
      <c r="G4718" s="1">
        <v>14</v>
      </c>
      <c r="H4718" s="1">
        <v>25129</v>
      </c>
      <c r="I4718" s="1">
        <v>0</v>
      </c>
      <c r="J4718" s="1">
        <v>351806</v>
      </c>
      <c r="K4718" s="1">
        <v>57896.17</v>
      </c>
      <c r="L4718" s="1" t="s">
        <v>70</v>
      </c>
      <c r="M4718" s="1" t="str">
        <f>TEXT(Table1[[#This Row],[Order Date]],"mmm")</f>
        <v>Dec</v>
      </c>
      <c r="N4718" s="1">
        <f>YEAR(Table1[[#This Row],[Order Date]])</f>
        <v>2024</v>
      </c>
    </row>
    <row r="4719" spans="1:14" x14ac:dyDescent="0.35">
      <c r="A4719" s="1" t="s">
        <v>5515</v>
      </c>
      <c r="B4719" s="1" t="s">
        <v>1732</v>
      </c>
      <c r="C4719" s="1" t="s">
        <v>94</v>
      </c>
      <c r="D4719" s="1" t="s">
        <v>91</v>
      </c>
      <c r="E4719" s="1" t="s">
        <v>16</v>
      </c>
      <c r="F4719" s="1" t="s">
        <v>91</v>
      </c>
      <c r="G4719" s="1">
        <v>8</v>
      </c>
      <c r="H4719" s="1">
        <v>54126</v>
      </c>
      <c r="I4719" s="1">
        <v>0.05</v>
      </c>
      <c r="J4719" s="1">
        <v>411357.6</v>
      </c>
      <c r="K4719" s="1">
        <v>73540.08</v>
      </c>
      <c r="L4719" s="1" t="s">
        <v>17</v>
      </c>
      <c r="M4719" s="1" t="str">
        <f>TEXT(Table1[[#This Row],[Order Date]],"mmm")</f>
        <v>Mar</v>
      </c>
      <c r="N4719" s="1">
        <f>YEAR(Table1[[#This Row],[Order Date]])</f>
        <v>2023</v>
      </c>
    </row>
    <row r="4720" spans="1:14" x14ac:dyDescent="0.35">
      <c r="A4720" s="1" t="s">
        <v>5516</v>
      </c>
      <c r="B4720" s="1" t="s">
        <v>873</v>
      </c>
      <c r="C4720" s="1" t="s">
        <v>117</v>
      </c>
      <c r="D4720" s="1" t="s">
        <v>74</v>
      </c>
      <c r="E4720" s="1" t="s">
        <v>22</v>
      </c>
      <c r="F4720" s="1" t="s">
        <v>74</v>
      </c>
      <c r="G4720" s="1">
        <v>2</v>
      </c>
      <c r="H4720" s="1">
        <v>53623</v>
      </c>
      <c r="I4720" s="1">
        <v>0.1</v>
      </c>
      <c r="J4720" s="1">
        <v>96521.4</v>
      </c>
      <c r="K4720" s="1">
        <v>14896.34</v>
      </c>
      <c r="L4720" s="1" t="s">
        <v>70</v>
      </c>
      <c r="M4720" s="1" t="str">
        <f>TEXT(Table1[[#This Row],[Order Date]],"mmm")</f>
        <v>Dec</v>
      </c>
      <c r="N4720" s="1">
        <f>YEAR(Table1[[#This Row],[Order Date]])</f>
        <v>2023</v>
      </c>
    </row>
    <row r="4721" spans="1:14" x14ac:dyDescent="0.35">
      <c r="A4721" s="1" t="s">
        <v>5517</v>
      </c>
      <c r="B4721" s="1" t="s">
        <v>185</v>
      </c>
      <c r="C4721" s="1" t="s">
        <v>136</v>
      </c>
      <c r="D4721" s="1" t="s">
        <v>74</v>
      </c>
      <c r="E4721" s="1" t="s">
        <v>22</v>
      </c>
      <c r="F4721" s="1" t="s">
        <v>74</v>
      </c>
      <c r="G4721" s="1">
        <v>7</v>
      </c>
      <c r="H4721" s="1">
        <v>33074</v>
      </c>
      <c r="I4721" s="1">
        <v>0</v>
      </c>
      <c r="J4721" s="1">
        <v>231518</v>
      </c>
      <c r="K4721" s="1">
        <v>58896.04</v>
      </c>
      <c r="L4721" s="1" t="s">
        <v>70</v>
      </c>
      <c r="M4721" s="1" t="str">
        <f>TEXT(Table1[[#This Row],[Order Date]],"mmm")</f>
        <v>Jun</v>
      </c>
      <c r="N4721" s="1">
        <f>YEAR(Table1[[#This Row],[Order Date]])</f>
        <v>2023</v>
      </c>
    </row>
    <row r="4722" spans="1:14" x14ac:dyDescent="0.35">
      <c r="A4722" s="1" t="s">
        <v>5518</v>
      </c>
      <c r="B4722" s="1" t="s">
        <v>76</v>
      </c>
      <c r="C4722" s="1" t="s">
        <v>88</v>
      </c>
      <c r="D4722" s="1" t="s">
        <v>323</v>
      </c>
      <c r="E4722" s="1" t="s">
        <v>33</v>
      </c>
      <c r="F4722" s="1" t="s">
        <v>323</v>
      </c>
      <c r="G4722" s="1">
        <v>6</v>
      </c>
      <c r="H4722" s="1">
        <v>4857</v>
      </c>
      <c r="I4722" s="1">
        <v>0.15</v>
      </c>
      <c r="J4722" s="1">
        <v>24770.7</v>
      </c>
      <c r="K4722" s="1">
        <v>3152.29</v>
      </c>
      <c r="L4722" s="1" t="s">
        <v>70</v>
      </c>
      <c r="M4722" s="1" t="str">
        <f>TEXT(Table1[[#This Row],[Order Date]],"mmm")</f>
        <v>Sep</v>
      </c>
      <c r="N4722" s="1">
        <f>YEAR(Table1[[#This Row],[Order Date]])</f>
        <v>2024</v>
      </c>
    </row>
    <row r="4723" spans="1:14" x14ac:dyDescent="0.35">
      <c r="A4723" s="1" t="s">
        <v>5519</v>
      </c>
      <c r="B4723" s="1" t="s">
        <v>404</v>
      </c>
      <c r="C4723" s="1" t="s">
        <v>88</v>
      </c>
      <c r="D4723" s="1" t="s">
        <v>64</v>
      </c>
      <c r="E4723" s="1" t="s">
        <v>33</v>
      </c>
      <c r="F4723" s="1" t="s">
        <v>64</v>
      </c>
      <c r="G4723" s="1">
        <v>4</v>
      </c>
      <c r="H4723" s="1">
        <v>45955</v>
      </c>
      <c r="I4723" s="1">
        <v>0.1</v>
      </c>
      <c r="J4723" s="1">
        <v>165438</v>
      </c>
      <c r="K4723" s="1">
        <v>41304.19</v>
      </c>
      <c r="L4723" s="1" t="s">
        <v>17</v>
      </c>
      <c r="M4723" s="1" t="str">
        <f>TEXT(Table1[[#This Row],[Order Date]],"mmm")</f>
        <v>Jan</v>
      </c>
      <c r="N4723" s="1">
        <f>YEAR(Table1[[#This Row],[Order Date]])</f>
        <v>2023</v>
      </c>
    </row>
    <row r="4724" spans="1:14" x14ac:dyDescent="0.35">
      <c r="A4724" s="1" t="s">
        <v>5520</v>
      </c>
      <c r="B4724" s="1" t="s">
        <v>2911</v>
      </c>
      <c r="C4724" s="1" t="s">
        <v>14</v>
      </c>
      <c r="D4724" s="1" t="s">
        <v>114</v>
      </c>
      <c r="E4724" s="1" t="s">
        <v>16</v>
      </c>
      <c r="F4724" s="1" t="s">
        <v>114</v>
      </c>
      <c r="G4724" s="1">
        <v>9</v>
      </c>
      <c r="H4724" s="1">
        <v>25377</v>
      </c>
      <c r="I4724" s="1">
        <v>0.15</v>
      </c>
      <c r="J4724" s="1">
        <v>194134.05</v>
      </c>
      <c r="K4724" s="1">
        <v>16440.28</v>
      </c>
      <c r="L4724" s="1" t="s">
        <v>70</v>
      </c>
      <c r="M4724" s="1" t="str">
        <f>TEXT(Table1[[#This Row],[Order Date]],"mmm")</f>
        <v>Nov</v>
      </c>
      <c r="N4724" s="1">
        <f>YEAR(Table1[[#This Row],[Order Date]])</f>
        <v>2023</v>
      </c>
    </row>
    <row r="4725" spans="1:14" x14ac:dyDescent="0.35">
      <c r="A4725" s="1" t="s">
        <v>5521</v>
      </c>
      <c r="B4725" s="1" t="s">
        <v>839</v>
      </c>
      <c r="C4725" s="1" t="s">
        <v>120</v>
      </c>
      <c r="D4725" s="1" t="s">
        <v>48</v>
      </c>
      <c r="E4725" s="1" t="s">
        <v>16</v>
      </c>
      <c r="F4725" s="1" t="s">
        <v>48</v>
      </c>
      <c r="G4725" s="1">
        <v>10</v>
      </c>
      <c r="H4725" s="1">
        <v>53153</v>
      </c>
      <c r="I4725" s="1">
        <v>0</v>
      </c>
      <c r="J4725" s="1">
        <v>531530</v>
      </c>
      <c r="K4725" s="1">
        <v>158429.84</v>
      </c>
      <c r="L4725" s="1" t="s">
        <v>45</v>
      </c>
      <c r="M4725" s="1" t="str">
        <f>TEXT(Table1[[#This Row],[Order Date]],"mmm")</f>
        <v>Aug</v>
      </c>
      <c r="N4725" s="1">
        <f>YEAR(Table1[[#This Row],[Order Date]])</f>
        <v>2024</v>
      </c>
    </row>
    <row r="4726" spans="1:14" x14ac:dyDescent="0.35">
      <c r="A4726" s="1" t="s">
        <v>5522</v>
      </c>
      <c r="B4726" s="1" t="s">
        <v>1121</v>
      </c>
      <c r="C4726" s="1" t="s">
        <v>120</v>
      </c>
      <c r="D4726" s="1" t="s">
        <v>114</v>
      </c>
      <c r="E4726" s="1" t="s">
        <v>16</v>
      </c>
      <c r="F4726" s="1" t="s">
        <v>114</v>
      </c>
      <c r="G4726" s="1">
        <v>8</v>
      </c>
      <c r="H4726" s="1">
        <v>35534</v>
      </c>
      <c r="I4726" s="1">
        <v>0.05</v>
      </c>
      <c r="J4726" s="1">
        <v>270058.40000000002</v>
      </c>
      <c r="K4726" s="1">
        <v>53111.64</v>
      </c>
      <c r="L4726" s="1" t="s">
        <v>70</v>
      </c>
      <c r="M4726" s="1" t="str">
        <f>TEXT(Table1[[#This Row],[Order Date]],"mmm")</f>
        <v>Nov</v>
      </c>
      <c r="N4726" s="1">
        <f>YEAR(Table1[[#This Row],[Order Date]])</f>
        <v>2024</v>
      </c>
    </row>
    <row r="4727" spans="1:14" x14ac:dyDescent="0.35">
      <c r="A4727" s="1" t="s">
        <v>5523</v>
      </c>
      <c r="B4727" s="1" t="s">
        <v>119</v>
      </c>
      <c r="C4727" s="1" t="s">
        <v>191</v>
      </c>
      <c r="D4727" s="1" t="s">
        <v>78</v>
      </c>
      <c r="E4727" s="1" t="s">
        <v>28</v>
      </c>
      <c r="F4727" s="1" t="s">
        <v>78</v>
      </c>
      <c r="G4727" s="1">
        <v>3</v>
      </c>
      <c r="H4727" s="1">
        <v>13619</v>
      </c>
      <c r="I4727" s="1">
        <v>0</v>
      </c>
      <c r="J4727" s="1">
        <v>40857</v>
      </c>
      <c r="K4727" s="1">
        <v>3653.31</v>
      </c>
      <c r="L4727" s="1" t="s">
        <v>70</v>
      </c>
      <c r="M4727" s="1" t="str">
        <f>TEXT(Table1[[#This Row],[Order Date]],"mmm")</f>
        <v>Apr</v>
      </c>
      <c r="N4727" s="1">
        <f>YEAR(Table1[[#This Row],[Order Date]])</f>
        <v>2024</v>
      </c>
    </row>
    <row r="4728" spans="1:14" x14ac:dyDescent="0.35">
      <c r="A4728" s="1" t="s">
        <v>5524</v>
      </c>
      <c r="B4728" s="1" t="s">
        <v>1944</v>
      </c>
      <c r="C4728" s="1" t="s">
        <v>507</v>
      </c>
      <c r="D4728" s="1" t="s">
        <v>48</v>
      </c>
      <c r="E4728" s="1" t="s">
        <v>16</v>
      </c>
      <c r="F4728" s="1" t="s">
        <v>48</v>
      </c>
      <c r="G4728" s="1">
        <v>4</v>
      </c>
      <c r="H4728" s="1">
        <v>30963</v>
      </c>
      <c r="I4728" s="1">
        <v>0.2</v>
      </c>
      <c r="J4728" s="1">
        <v>99081.600000000006</v>
      </c>
      <c r="K4728" s="1">
        <v>15899.6</v>
      </c>
      <c r="L4728" s="1" t="s">
        <v>70</v>
      </c>
      <c r="M4728" s="1" t="str">
        <f>TEXT(Table1[[#This Row],[Order Date]],"mmm")</f>
        <v>Sep</v>
      </c>
      <c r="N4728" s="1">
        <f>YEAR(Table1[[#This Row],[Order Date]])</f>
        <v>2023</v>
      </c>
    </row>
    <row r="4729" spans="1:14" x14ac:dyDescent="0.35">
      <c r="A4729" s="1" t="s">
        <v>5525</v>
      </c>
      <c r="B4729" s="1" t="s">
        <v>1563</v>
      </c>
      <c r="C4729" s="1" t="s">
        <v>170</v>
      </c>
      <c r="D4729" s="1" t="s">
        <v>224</v>
      </c>
      <c r="E4729" s="1" t="s">
        <v>33</v>
      </c>
      <c r="F4729" s="1" t="s">
        <v>224</v>
      </c>
      <c r="G4729" s="1">
        <v>6</v>
      </c>
      <c r="H4729" s="1">
        <v>19483</v>
      </c>
      <c r="I4729" s="1">
        <v>0</v>
      </c>
      <c r="J4729" s="1">
        <v>116898</v>
      </c>
      <c r="K4729" s="1">
        <v>10632.9</v>
      </c>
      <c r="L4729" s="1" t="s">
        <v>70</v>
      </c>
      <c r="M4729" s="1" t="str">
        <f>TEXT(Table1[[#This Row],[Order Date]],"mmm")</f>
        <v>Mar</v>
      </c>
      <c r="N4729" s="1">
        <f>YEAR(Table1[[#This Row],[Order Date]])</f>
        <v>2024</v>
      </c>
    </row>
    <row r="4730" spans="1:14" x14ac:dyDescent="0.35">
      <c r="A4730" s="1" t="s">
        <v>5526</v>
      </c>
      <c r="B4730" s="1" t="s">
        <v>1500</v>
      </c>
      <c r="C4730" s="1" t="s">
        <v>191</v>
      </c>
      <c r="D4730" s="1" t="s">
        <v>85</v>
      </c>
      <c r="E4730" s="1" t="s">
        <v>28</v>
      </c>
      <c r="F4730" s="1" t="s">
        <v>85</v>
      </c>
      <c r="G4730" s="1">
        <v>13</v>
      </c>
      <c r="H4730" s="1">
        <v>58003</v>
      </c>
      <c r="I4730" s="1">
        <v>0.05</v>
      </c>
      <c r="J4730" s="1">
        <v>716337.05</v>
      </c>
      <c r="K4730" s="1">
        <v>131110.48000000001</v>
      </c>
      <c r="L4730" s="1" t="s">
        <v>23</v>
      </c>
      <c r="M4730" s="1" t="str">
        <f>TEXT(Table1[[#This Row],[Order Date]],"mmm")</f>
        <v>Jun</v>
      </c>
      <c r="N4730" s="1">
        <f>YEAR(Table1[[#This Row],[Order Date]])</f>
        <v>2023</v>
      </c>
    </row>
    <row r="4731" spans="1:14" x14ac:dyDescent="0.35">
      <c r="A4731" s="1" t="s">
        <v>5527</v>
      </c>
      <c r="B4731" s="1" t="s">
        <v>1478</v>
      </c>
      <c r="C4731" s="1" t="s">
        <v>67</v>
      </c>
      <c r="D4731" s="1" t="s">
        <v>133</v>
      </c>
      <c r="E4731" s="1" t="s">
        <v>22</v>
      </c>
      <c r="F4731" s="1" t="s">
        <v>133</v>
      </c>
      <c r="G4731" s="1">
        <v>11</v>
      </c>
      <c r="H4731" s="1">
        <v>49712</v>
      </c>
      <c r="I4731" s="1">
        <v>0.2</v>
      </c>
      <c r="J4731" s="1">
        <v>437465.59999999998</v>
      </c>
      <c r="K4731" s="1">
        <v>130608.21</v>
      </c>
      <c r="L4731" s="1" t="s">
        <v>45</v>
      </c>
      <c r="M4731" s="1" t="str">
        <f>TEXT(Table1[[#This Row],[Order Date]],"mmm")</f>
        <v>Jan</v>
      </c>
      <c r="N4731" s="1">
        <f>YEAR(Table1[[#This Row],[Order Date]])</f>
        <v>2024</v>
      </c>
    </row>
    <row r="4732" spans="1:14" x14ac:dyDescent="0.35">
      <c r="A4732" s="1" t="s">
        <v>5528</v>
      </c>
      <c r="B4732" s="1" t="s">
        <v>1445</v>
      </c>
      <c r="C4732" s="1" t="s">
        <v>107</v>
      </c>
      <c r="D4732" s="1" t="s">
        <v>78</v>
      </c>
      <c r="E4732" s="1" t="s">
        <v>28</v>
      </c>
      <c r="F4732" s="1" t="s">
        <v>78</v>
      </c>
      <c r="G4732" s="1">
        <v>7</v>
      </c>
      <c r="H4732" s="1">
        <v>34685</v>
      </c>
      <c r="I4732" s="1">
        <v>0.2</v>
      </c>
      <c r="J4732" s="1">
        <v>194236</v>
      </c>
      <c r="K4732" s="1">
        <v>17502.09</v>
      </c>
      <c r="L4732" s="1" t="s">
        <v>45</v>
      </c>
      <c r="M4732" s="1" t="str">
        <f>TEXT(Table1[[#This Row],[Order Date]],"mmm")</f>
        <v>Jun</v>
      </c>
      <c r="N4732" s="1">
        <f>YEAR(Table1[[#This Row],[Order Date]])</f>
        <v>2023</v>
      </c>
    </row>
    <row r="4733" spans="1:14" x14ac:dyDescent="0.35">
      <c r="A4733" s="1" t="s">
        <v>5529</v>
      </c>
      <c r="B4733" s="1" t="s">
        <v>1146</v>
      </c>
      <c r="C4733" s="1" t="s">
        <v>170</v>
      </c>
      <c r="D4733" s="1" t="s">
        <v>95</v>
      </c>
      <c r="E4733" s="1" t="s">
        <v>33</v>
      </c>
      <c r="F4733" s="1" t="s">
        <v>95</v>
      </c>
      <c r="G4733" s="1">
        <v>12</v>
      </c>
      <c r="H4733" s="1">
        <v>34879</v>
      </c>
      <c r="I4733" s="1">
        <v>0.05</v>
      </c>
      <c r="J4733" s="1">
        <v>397620.6</v>
      </c>
      <c r="K4733" s="1">
        <v>68860.95</v>
      </c>
      <c r="L4733" s="1" t="s">
        <v>17</v>
      </c>
      <c r="M4733" s="1" t="str">
        <f>TEXT(Table1[[#This Row],[Order Date]],"mmm")</f>
        <v>Apr</v>
      </c>
      <c r="N4733" s="1">
        <f>YEAR(Table1[[#This Row],[Order Date]])</f>
        <v>2024</v>
      </c>
    </row>
    <row r="4734" spans="1:14" x14ac:dyDescent="0.35">
      <c r="A4734" s="1" t="s">
        <v>5530</v>
      </c>
      <c r="B4734" s="1" t="s">
        <v>425</v>
      </c>
      <c r="C4734" s="1" t="s">
        <v>31</v>
      </c>
      <c r="D4734" s="1" t="s">
        <v>32</v>
      </c>
      <c r="E4734" s="1" t="s">
        <v>33</v>
      </c>
      <c r="F4734" s="1" t="s">
        <v>32</v>
      </c>
      <c r="G4734" s="1">
        <v>11</v>
      </c>
      <c r="H4734" s="1">
        <v>51283</v>
      </c>
      <c r="I4734" s="1">
        <v>0.05</v>
      </c>
      <c r="J4734" s="1">
        <v>535907.35</v>
      </c>
      <c r="K4734" s="1">
        <v>49420.18</v>
      </c>
      <c r="L4734" s="1" t="s">
        <v>17</v>
      </c>
      <c r="M4734" s="1" t="str">
        <f>TEXT(Table1[[#This Row],[Order Date]],"mmm")</f>
        <v>Oct</v>
      </c>
      <c r="N4734" s="1">
        <f>YEAR(Table1[[#This Row],[Order Date]])</f>
        <v>2024</v>
      </c>
    </row>
    <row r="4735" spans="1:14" x14ac:dyDescent="0.35">
      <c r="A4735" s="1" t="s">
        <v>5531</v>
      </c>
      <c r="B4735" s="1" t="s">
        <v>1297</v>
      </c>
      <c r="C4735" s="1" t="s">
        <v>136</v>
      </c>
      <c r="D4735" s="1" t="s">
        <v>27</v>
      </c>
      <c r="E4735" s="1" t="s">
        <v>28</v>
      </c>
      <c r="F4735" s="1" t="s">
        <v>27</v>
      </c>
      <c r="G4735" s="1">
        <v>6</v>
      </c>
      <c r="H4735" s="1">
        <v>33888</v>
      </c>
      <c r="I4735" s="1">
        <v>0.15</v>
      </c>
      <c r="J4735" s="1">
        <v>172828.79999999999</v>
      </c>
      <c r="K4735" s="1">
        <v>35327.949999999997</v>
      </c>
      <c r="L4735" s="1" t="s">
        <v>17</v>
      </c>
      <c r="M4735" s="1" t="str">
        <f>TEXT(Table1[[#This Row],[Order Date]],"mmm")</f>
        <v>Jun</v>
      </c>
      <c r="N4735" s="1">
        <f>YEAR(Table1[[#This Row],[Order Date]])</f>
        <v>2024</v>
      </c>
    </row>
    <row r="4736" spans="1:14" x14ac:dyDescent="0.35">
      <c r="A4736" s="1" t="s">
        <v>5532</v>
      </c>
      <c r="B4736" s="1" t="s">
        <v>331</v>
      </c>
      <c r="C4736" s="1" t="s">
        <v>120</v>
      </c>
      <c r="D4736" s="1" t="s">
        <v>85</v>
      </c>
      <c r="E4736" s="1" t="s">
        <v>28</v>
      </c>
      <c r="F4736" s="1" t="s">
        <v>85</v>
      </c>
      <c r="G4736" s="1">
        <v>10</v>
      </c>
      <c r="H4736" s="1">
        <v>10042</v>
      </c>
      <c r="I4736" s="1">
        <v>0.05</v>
      </c>
      <c r="J4736" s="1">
        <v>95399</v>
      </c>
      <c r="K4736" s="1">
        <v>23983.31</v>
      </c>
      <c r="L4736" s="1" t="s">
        <v>70</v>
      </c>
      <c r="M4736" s="1" t="str">
        <f>TEXT(Table1[[#This Row],[Order Date]],"mmm")</f>
        <v>Oct</v>
      </c>
      <c r="N4736" s="1">
        <f>YEAR(Table1[[#This Row],[Order Date]])</f>
        <v>2024</v>
      </c>
    </row>
    <row r="4737" spans="1:14" x14ac:dyDescent="0.35">
      <c r="A4737" s="1" t="s">
        <v>5533</v>
      </c>
      <c r="B4737" s="1" t="s">
        <v>2262</v>
      </c>
      <c r="C4737" s="1" t="s">
        <v>51</v>
      </c>
      <c r="D4737" s="1" t="s">
        <v>78</v>
      </c>
      <c r="E4737" s="1" t="s">
        <v>28</v>
      </c>
      <c r="F4737" s="1" t="s">
        <v>78</v>
      </c>
      <c r="G4737" s="1">
        <v>11</v>
      </c>
      <c r="H4737" s="1">
        <v>11144</v>
      </c>
      <c r="I4737" s="1">
        <v>0.15</v>
      </c>
      <c r="J4737" s="1">
        <v>104196.4</v>
      </c>
      <c r="K4737" s="1">
        <v>13746.81</v>
      </c>
      <c r="L4737" s="1" t="s">
        <v>17</v>
      </c>
      <c r="M4737" s="1" t="str">
        <f>TEXT(Table1[[#This Row],[Order Date]],"mmm")</f>
        <v>Aug</v>
      </c>
      <c r="N4737" s="1">
        <f>YEAR(Table1[[#This Row],[Order Date]])</f>
        <v>2024</v>
      </c>
    </row>
    <row r="4738" spans="1:14" x14ac:dyDescent="0.35">
      <c r="A4738" s="1" t="s">
        <v>5534</v>
      </c>
      <c r="B4738" s="1" t="s">
        <v>2340</v>
      </c>
      <c r="C4738" s="1" t="s">
        <v>200</v>
      </c>
      <c r="D4738" s="1" t="s">
        <v>133</v>
      </c>
      <c r="E4738" s="1" t="s">
        <v>22</v>
      </c>
      <c r="F4738" s="1" t="s">
        <v>133</v>
      </c>
      <c r="G4738" s="1">
        <v>5</v>
      </c>
      <c r="H4738" s="1">
        <v>57259</v>
      </c>
      <c r="I4738" s="1">
        <v>0.1</v>
      </c>
      <c r="J4738" s="1">
        <v>257665.5</v>
      </c>
      <c r="K4738" s="1">
        <v>62504.98</v>
      </c>
      <c r="L4738" s="1" t="s">
        <v>23</v>
      </c>
      <c r="M4738" s="1" t="str">
        <f>TEXT(Table1[[#This Row],[Order Date]],"mmm")</f>
        <v>Sep</v>
      </c>
      <c r="N4738" s="1">
        <f>YEAR(Table1[[#This Row],[Order Date]])</f>
        <v>2023</v>
      </c>
    </row>
    <row r="4739" spans="1:14" x14ac:dyDescent="0.35">
      <c r="A4739" s="1" t="s">
        <v>5535</v>
      </c>
      <c r="B4739" s="1" t="s">
        <v>127</v>
      </c>
      <c r="C4739" s="1" t="s">
        <v>36</v>
      </c>
      <c r="D4739" s="1" t="s">
        <v>167</v>
      </c>
      <c r="E4739" s="1" t="s">
        <v>16</v>
      </c>
      <c r="F4739" s="1" t="s">
        <v>167</v>
      </c>
      <c r="G4739" s="1">
        <v>11</v>
      </c>
      <c r="H4739" s="1">
        <v>17036</v>
      </c>
      <c r="I4739" s="1">
        <v>0.2</v>
      </c>
      <c r="J4739" s="1">
        <v>149916.79999999999</v>
      </c>
      <c r="K4739" s="1">
        <v>39646.07</v>
      </c>
      <c r="L4739" s="1" t="s">
        <v>45</v>
      </c>
      <c r="M4739" s="1" t="str">
        <f>TEXT(Table1[[#This Row],[Order Date]],"mmm")</f>
        <v>Nov</v>
      </c>
      <c r="N4739" s="1">
        <f>YEAR(Table1[[#This Row],[Order Date]])</f>
        <v>2024</v>
      </c>
    </row>
    <row r="4740" spans="1:14" x14ac:dyDescent="0.35">
      <c r="A4740" s="1" t="s">
        <v>5536</v>
      </c>
      <c r="B4740" s="1" t="s">
        <v>2059</v>
      </c>
      <c r="C4740" s="1" t="s">
        <v>20</v>
      </c>
      <c r="D4740" s="1" t="s">
        <v>21</v>
      </c>
      <c r="E4740" s="1" t="s">
        <v>22</v>
      </c>
      <c r="F4740" s="1" t="s">
        <v>21</v>
      </c>
      <c r="G4740" s="1">
        <v>7</v>
      </c>
      <c r="H4740" s="1">
        <v>57383</v>
      </c>
      <c r="I4740" s="1">
        <v>0.05</v>
      </c>
      <c r="J4740" s="1">
        <v>381596.95</v>
      </c>
      <c r="K4740" s="1">
        <v>84619.69</v>
      </c>
      <c r="L4740" s="1" t="s">
        <v>70</v>
      </c>
      <c r="M4740" s="1" t="str">
        <f>TEXT(Table1[[#This Row],[Order Date]],"mmm")</f>
        <v>Nov</v>
      </c>
      <c r="N4740" s="1">
        <f>YEAR(Table1[[#This Row],[Order Date]])</f>
        <v>2023</v>
      </c>
    </row>
    <row r="4741" spans="1:14" x14ac:dyDescent="0.35">
      <c r="A4741" s="1" t="s">
        <v>5537</v>
      </c>
      <c r="B4741" s="1" t="s">
        <v>3390</v>
      </c>
      <c r="C4741" s="1" t="s">
        <v>162</v>
      </c>
      <c r="D4741" s="1" t="s">
        <v>133</v>
      </c>
      <c r="E4741" s="1" t="s">
        <v>22</v>
      </c>
      <c r="F4741" s="1" t="s">
        <v>133</v>
      </c>
      <c r="G4741" s="1">
        <v>13</v>
      </c>
      <c r="H4741" s="1">
        <v>46002</v>
      </c>
      <c r="I4741" s="1">
        <v>0.1</v>
      </c>
      <c r="J4741" s="1">
        <v>538223.4</v>
      </c>
      <c r="K4741" s="1">
        <v>121393.33</v>
      </c>
      <c r="L4741" s="1" t="s">
        <v>23</v>
      </c>
      <c r="M4741" s="1" t="str">
        <f>TEXT(Table1[[#This Row],[Order Date]],"mmm")</f>
        <v>Dec</v>
      </c>
      <c r="N4741" s="1">
        <f>YEAR(Table1[[#This Row],[Order Date]])</f>
        <v>2023</v>
      </c>
    </row>
    <row r="4742" spans="1:14" x14ac:dyDescent="0.35">
      <c r="A4742" s="1" t="s">
        <v>5538</v>
      </c>
      <c r="B4742" s="1" t="s">
        <v>5539</v>
      </c>
      <c r="C4742" s="1" t="s">
        <v>227</v>
      </c>
      <c r="D4742" s="1" t="s">
        <v>293</v>
      </c>
      <c r="E4742" s="1" t="s">
        <v>33</v>
      </c>
      <c r="F4742" s="1" t="s">
        <v>293</v>
      </c>
      <c r="G4742" s="1">
        <v>14</v>
      </c>
      <c r="H4742" s="1">
        <v>15459</v>
      </c>
      <c r="I4742" s="1">
        <v>0.1</v>
      </c>
      <c r="J4742" s="1">
        <v>194783.4</v>
      </c>
      <c r="K4742" s="1">
        <v>35302.230000000003</v>
      </c>
      <c r="L4742" s="1" t="s">
        <v>70</v>
      </c>
      <c r="M4742" s="1" t="str">
        <f>TEXT(Table1[[#This Row],[Order Date]],"mmm")</f>
        <v>Feb</v>
      </c>
      <c r="N4742" s="1">
        <f>YEAR(Table1[[#This Row],[Order Date]])</f>
        <v>2024</v>
      </c>
    </row>
    <row r="4743" spans="1:14" x14ac:dyDescent="0.35">
      <c r="A4743" s="1" t="s">
        <v>5540</v>
      </c>
      <c r="B4743" s="1" t="s">
        <v>119</v>
      </c>
      <c r="C4743" s="1" t="s">
        <v>227</v>
      </c>
      <c r="D4743" s="1" t="s">
        <v>179</v>
      </c>
      <c r="E4743" s="1" t="s">
        <v>28</v>
      </c>
      <c r="F4743" s="1" t="s">
        <v>179</v>
      </c>
      <c r="G4743" s="1">
        <v>11</v>
      </c>
      <c r="H4743" s="1">
        <v>13596</v>
      </c>
      <c r="I4743" s="1">
        <v>0.15</v>
      </c>
      <c r="J4743" s="1">
        <v>127122.6</v>
      </c>
      <c r="K4743" s="1">
        <v>22486.1</v>
      </c>
      <c r="L4743" s="1" t="s">
        <v>17</v>
      </c>
      <c r="M4743" s="1" t="str">
        <f>TEXT(Table1[[#This Row],[Order Date]],"mmm")</f>
        <v>Apr</v>
      </c>
      <c r="N4743" s="1">
        <f>YEAR(Table1[[#This Row],[Order Date]])</f>
        <v>2024</v>
      </c>
    </row>
    <row r="4744" spans="1:14" x14ac:dyDescent="0.35">
      <c r="A4744" s="1" t="s">
        <v>5541</v>
      </c>
      <c r="B4744" s="1" t="s">
        <v>1934</v>
      </c>
      <c r="C4744" s="1" t="s">
        <v>335</v>
      </c>
      <c r="D4744" s="1" t="s">
        <v>114</v>
      </c>
      <c r="E4744" s="1" t="s">
        <v>16</v>
      </c>
      <c r="F4744" s="1" t="s">
        <v>114</v>
      </c>
      <c r="G4744" s="1">
        <v>7</v>
      </c>
      <c r="H4744" s="1">
        <v>54885</v>
      </c>
      <c r="I4744" s="1">
        <v>0.1</v>
      </c>
      <c r="J4744" s="1">
        <v>345775.5</v>
      </c>
      <c r="K4744" s="1">
        <v>59680.13</v>
      </c>
      <c r="L4744" s="1" t="s">
        <v>23</v>
      </c>
      <c r="M4744" s="1" t="str">
        <f>TEXT(Table1[[#This Row],[Order Date]],"mmm")</f>
        <v>Jul</v>
      </c>
      <c r="N4744" s="1">
        <f>YEAR(Table1[[#This Row],[Order Date]])</f>
        <v>2024</v>
      </c>
    </row>
    <row r="4745" spans="1:14" x14ac:dyDescent="0.35">
      <c r="A4745" s="1" t="s">
        <v>5542</v>
      </c>
      <c r="B4745" s="1" t="s">
        <v>351</v>
      </c>
      <c r="C4745" s="1" t="s">
        <v>73</v>
      </c>
      <c r="D4745" s="1" t="s">
        <v>133</v>
      </c>
      <c r="E4745" s="1" t="s">
        <v>22</v>
      </c>
      <c r="F4745" s="1" t="s">
        <v>133</v>
      </c>
      <c r="G4745" s="1">
        <v>9</v>
      </c>
      <c r="H4745" s="1">
        <v>3762</v>
      </c>
      <c r="I4745" s="1">
        <v>0.1</v>
      </c>
      <c r="J4745" s="1">
        <v>30472.2</v>
      </c>
      <c r="K4745" s="1">
        <v>8885.41</v>
      </c>
      <c r="L4745" s="1" t="s">
        <v>17</v>
      </c>
      <c r="M4745" s="1" t="str">
        <f>TEXT(Table1[[#This Row],[Order Date]],"mmm")</f>
        <v>Apr</v>
      </c>
      <c r="N4745" s="1">
        <f>YEAR(Table1[[#This Row],[Order Date]])</f>
        <v>2023</v>
      </c>
    </row>
    <row r="4746" spans="1:14" x14ac:dyDescent="0.35">
      <c r="A4746" s="1" t="s">
        <v>5543</v>
      </c>
      <c r="B4746" s="1" t="s">
        <v>337</v>
      </c>
      <c r="C4746" s="1" t="s">
        <v>335</v>
      </c>
      <c r="D4746" s="1" t="s">
        <v>74</v>
      </c>
      <c r="E4746" s="1" t="s">
        <v>22</v>
      </c>
      <c r="F4746" s="1" t="s">
        <v>74</v>
      </c>
      <c r="G4746" s="1">
        <v>3</v>
      </c>
      <c r="H4746" s="1">
        <v>46836</v>
      </c>
      <c r="I4746" s="1">
        <v>0.05</v>
      </c>
      <c r="J4746" s="1">
        <v>133482.6</v>
      </c>
      <c r="K4746" s="1">
        <v>23596.25</v>
      </c>
      <c r="L4746" s="1" t="s">
        <v>45</v>
      </c>
      <c r="M4746" s="1" t="str">
        <f>TEXT(Table1[[#This Row],[Order Date]],"mmm")</f>
        <v>May</v>
      </c>
      <c r="N4746" s="1">
        <f>YEAR(Table1[[#This Row],[Order Date]])</f>
        <v>2024</v>
      </c>
    </row>
    <row r="4747" spans="1:14" x14ac:dyDescent="0.35">
      <c r="A4747" s="1" t="s">
        <v>5544</v>
      </c>
      <c r="B4747" s="1" t="s">
        <v>543</v>
      </c>
      <c r="C4747" s="1" t="s">
        <v>332</v>
      </c>
      <c r="D4747" s="1" t="s">
        <v>91</v>
      </c>
      <c r="E4747" s="1" t="s">
        <v>16</v>
      </c>
      <c r="F4747" s="1" t="s">
        <v>91</v>
      </c>
      <c r="G4747" s="1">
        <v>15</v>
      </c>
      <c r="H4747" s="1">
        <v>2033</v>
      </c>
      <c r="I4747" s="1">
        <v>0.2</v>
      </c>
      <c r="J4747" s="1">
        <v>24396</v>
      </c>
      <c r="K4747" s="1">
        <v>6561.43</v>
      </c>
      <c r="L4747" s="1" t="s">
        <v>70</v>
      </c>
      <c r="M4747" s="1" t="str">
        <f>TEXT(Table1[[#This Row],[Order Date]],"mmm")</f>
        <v>Jun</v>
      </c>
      <c r="N4747" s="1">
        <f>YEAR(Table1[[#This Row],[Order Date]])</f>
        <v>2024</v>
      </c>
    </row>
    <row r="4748" spans="1:14" x14ac:dyDescent="0.35">
      <c r="A4748" s="1" t="s">
        <v>5545</v>
      </c>
      <c r="B4748" s="1" t="s">
        <v>1361</v>
      </c>
      <c r="C4748" s="1" t="s">
        <v>120</v>
      </c>
      <c r="D4748" s="1" t="s">
        <v>56</v>
      </c>
      <c r="E4748" s="1" t="s">
        <v>22</v>
      </c>
      <c r="F4748" s="1" t="s">
        <v>56</v>
      </c>
      <c r="G4748" s="1">
        <v>8</v>
      </c>
      <c r="H4748" s="1">
        <v>12539</v>
      </c>
      <c r="I4748" s="1">
        <v>0.05</v>
      </c>
      <c r="J4748" s="1">
        <v>95296.4</v>
      </c>
      <c r="K4748" s="1">
        <v>19835.79</v>
      </c>
      <c r="L4748" s="1" t="s">
        <v>23</v>
      </c>
      <c r="M4748" s="1" t="str">
        <f>TEXT(Table1[[#This Row],[Order Date]],"mmm")</f>
        <v>Apr</v>
      </c>
      <c r="N4748" s="1">
        <f>YEAR(Table1[[#This Row],[Order Date]])</f>
        <v>2023</v>
      </c>
    </row>
    <row r="4749" spans="1:14" x14ac:dyDescent="0.35">
      <c r="A4749" s="1" t="s">
        <v>5546</v>
      </c>
      <c r="B4749" s="1" t="s">
        <v>213</v>
      </c>
      <c r="C4749" s="1" t="s">
        <v>128</v>
      </c>
      <c r="D4749" s="1" t="s">
        <v>323</v>
      </c>
      <c r="E4749" s="1" t="s">
        <v>33</v>
      </c>
      <c r="F4749" s="1" t="s">
        <v>323</v>
      </c>
      <c r="G4749" s="1">
        <v>14</v>
      </c>
      <c r="H4749" s="1">
        <v>5567</v>
      </c>
      <c r="I4749" s="1">
        <v>0.05</v>
      </c>
      <c r="J4749" s="1">
        <v>74041.100000000006</v>
      </c>
      <c r="K4749" s="1">
        <v>16131.75</v>
      </c>
      <c r="L4749" s="1" t="s">
        <v>23</v>
      </c>
      <c r="M4749" s="1" t="str">
        <f>TEXT(Table1[[#This Row],[Order Date]],"mmm")</f>
        <v>Sep</v>
      </c>
      <c r="N4749" s="1">
        <f>YEAR(Table1[[#This Row],[Order Date]])</f>
        <v>2024</v>
      </c>
    </row>
    <row r="4750" spans="1:14" x14ac:dyDescent="0.35">
      <c r="A4750" s="1" t="s">
        <v>5547</v>
      </c>
      <c r="B4750" s="1" t="s">
        <v>2671</v>
      </c>
      <c r="C4750" s="1" t="s">
        <v>349</v>
      </c>
      <c r="D4750" s="1" t="s">
        <v>141</v>
      </c>
      <c r="E4750" s="1" t="s">
        <v>22</v>
      </c>
      <c r="F4750" s="1" t="s">
        <v>141</v>
      </c>
      <c r="G4750" s="1">
        <v>7</v>
      </c>
      <c r="H4750" s="1">
        <v>49892</v>
      </c>
      <c r="I4750" s="1">
        <v>0</v>
      </c>
      <c r="J4750" s="1">
        <v>349244</v>
      </c>
      <c r="K4750" s="1">
        <v>41704.82</v>
      </c>
      <c r="L4750" s="1" t="s">
        <v>23</v>
      </c>
      <c r="M4750" s="1" t="str">
        <f>TEXT(Table1[[#This Row],[Order Date]],"mmm")</f>
        <v>Nov</v>
      </c>
      <c r="N4750" s="1">
        <f>YEAR(Table1[[#This Row],[Order Date]])</f>
        <v>2023</v>
      </c>
    </row>
    <row r="4751" spans="1:14" x14ac:dyDescent="0.35">
      <c r="A4751" s="1" t="s">
        <v>5548</v>
      </c>
      <c r="B4751" s="1" t="s">
        <v>692</v>
      </c>
      <c r="C4751" s="1" t="s">
        <v>370</v>
      </c>
      <c r="D4751" s="1" t="s">
        <v>78</v>
      </c>
      <c r="E4751" s="1" t="s">
        <v>28</v>
      </c>
      <c r="F4751" s="1" t="s">
        <v>78</v>
      </c>
      <c r="G4751" s="1">
        <v>5</v>
      </c>
      <c r="H4751" s="1">
        <v>57781</v>
      </c>
      <c r="I4751" s="1">
        <v>0.2</v>
      </c>
      <c r="J4751" s="1">
        <v>231124</v>
      </c>
      <c r="K4751" s="1">
        <v>48865.59</v>
      </c>
      <c r="L4751" s="1" t="s">
        <v>17</v>
      </c>
      <c r="M4751" s="1" t="str">
        <f>TEXT(Table1[[#This Row],[Order Date]],"mmm")</f>
        <v>Nov</v>
      </c>
      <c r="N4751" s="1">
        <f>YEAR(Table1[[#This Row],[Order Date]])</f>
        <v>2023</v>
      </c>
    </row>
    <row r="4752" spans="1:14" x14ac:dyDescent="0.35">
      <c r="A4752" s="1" t="s">
        <v>5549</v>
      </c>
      <c r="B4752" s="1" t="s">
        <v>794</v>
      </c>
      <c r="C4752" s="1" t="s">
        <v>203</v>
      </c>
      <c r="D4752" s="1" t="s">
        <v>85</v>
      </c>
      <c r="E4752" s="1" t="s">
        <v>28</v>
      </c>
      <c r="F4752" s="1" t="s">
        <v>85</v>
      </c>
      <c r="G4752" s="1">
        <v>5</v>
      </c>
      <c r="H4752" s="1">
        <v>41896</v>
      </c>
      <c r="I4752" s="1">
        <v>0.1</v>
      </c>
      <c r="J4752" s="1">
        <v>188532</v>
      </c>
      <c r="K4752" s="1">
        <v>23896.19</v>
      </c>
      <c r="L4752" s="1" t="s">
        <v>45</v>
      </c>
      <c r="M4752" s="1" t="str">
        <f>TEXT(Table1[[#This Row],[Order Date]],"mmm")</f>
        <v>Mar</v>
      </c>
      <c r="N4752" s="1">
        <f>YEAR(Table1[[#This Row],[Order Date]])</f>
        <v>2024</v>
      </c>
    </row>
    <row r="4753" spans="1:14" x14ac:dyDescent="0.35">
      <c r="A4753" s="1" t="s">
        <v>5550</v>
      </c>
      <c r="B4753" s="1" t="s">
        <v>999</v>
      </c>
      <c r="C4753" s="1" t="s">
        <v>125</v>
      </c>
      <c r="D4753" s="1" t="s">
        <v>48</v>
      </c>
      <c r="E4753" s="1" t="s">
        <v>16</v>
      </c>
      <c r="F4753" s="1" t="s">
        <v>48</v>
      </c>
      <c r="G4753" s="1">
        <v>1</v>
      </c>
      <c r="H4753" s="1">
        <v>19297</v>
      </c>
      <c r="I4753" s="1">
        <v>0.15</v>
      </c>
      <c r="J4753" s="1">
        <v>16402.45</v>
      </c>
      <c r="K4753" s="1">
        <v>4410.1400000000003</v>
      </c>
      <c r="L4753" s="1" t="s">
        <v>17</v>
      </c>
      <c r="M4753" s="1" t="str">
        <f>TEXT(Table1[[#This Row],[Order Date]],"mmm")</f>
        <v>Jun</v>
      </c>
      <c r="N4753" s="1">
        <f>YEAR(Table1[[#This Row],[Order Date]])</f>
        <v>2024</v>
      </c>
    </row>
    <row r="4754" spans="1:14" x14ac:dyDescent="0.35">
      <c r="A4754" s="1" t="s">
        <v>5551</v>
      </c>
      <c r="B4754" s="1" t="s">
        <v>1840</v>
      </c>
      <c r="C4754" s="1" t="s">
        <v>107</v>
      </c>
      <c r="D4754" s="1" t="s">
        <v>293</v>
      </c>
      <c r="E4754" s="1" t="s">
        <v>33</v>
      </c>
      <c r="F4754" s="1" t="s">
        <v>293</v>
      </c>
      <c r="G4754" s="1">
        <v>7</v>
      </c>
      <c r="H4754" s="1">
        <v>38462</v>
      </c>
      <c r="I4754" s="1">
        <v>0.15</v>
      </c>
      <c r="J4754" s="1">
        <v>228848.9</v>
      </c>
      <c r="K4754" s="1">
        <v>43697.68</v>
      </c>
      <c r="L4754" s="1" t="s">
        <v>70</v>
      </c>
      <c r="M4754" s="1" t="str">
        <f>TEXT(Table1[[#This Row],[Order Date]],"mmm")</f>
        <v>Aug</v>
      </c>
      <c r="N4754" s="1">
        <f>YEAR(Table1[[#This Row],[Order Date]])</f>
        <v>2024</v>
      </c>
    </row>
    <row r="4755" spans="1:14" x14ac:dyDescent="0.35">
      <c r="A4755" s="1" t="s">
        <v>5552</v>
      </c>
      <c r="B4755" s="1" t="s">
        <v>1732</v>
      </c>
      <c r="C4755" s="1" t="s">
        <v>88</v>
      </c>
      <c r="D4755" s="1" t="s">
        <v>44</v>
      </c>
      <c r="E4755" s="1" t="s">
        <v>28</v>
      </c>
      <c r="F4755" s="1" t="s">
        <v>44</v>
      </c>
      <c r="G4755" s="1">
        <v>13</v>
      </c>
      <c r="H4755" s="1">
        <v>19112</v>
      </c>
      <c r="I4755" s="1">
        <v>0</v>
      </c>
      <c r="J4755" s="1">
        <v>248456</v>
      </c>
      <c r="K4755" s="1">
        <v>73117.16</v>
      </c>
      <c r="L4755" s="1" t="s">
        <v>70</v>
      </c>
      <c r="M4755" s="1" t="str">
        <f>TEXT(Table1[[#This Row],[Order Date]],"mmm")</f>
        <v>Mar</v>
      </c>
      <c r="N4755" s="1">
        <f>YEAR(Table1[[#This Row],[Order Date]])</f>
        <v>2023</v>
      </c>
    </row>
    <row r="4756" spans="1:14" x14ac:dyDescent="0.35">
      <c r="A4756" s="1" t="s">
        <v>5553</v>
      </c>
      <c r="B4756" s="1" t="s">
        <v>1531</v>
      </c>
      <c r="C4756" s="1" t="s">
        <v>155</v>
      </c>
      <c r="D4756" s="1" t="s">
        <v>64</v>
      </c>
      <c r="E4756" s="1" t="s">
        <v>33</v>
      </c>
      <c r="F4756" s="1" t="s">
        <v>64</v>
      </c>
      <c r="G4756" s="1">
        <v>2</v>
      </c>
      <c r="H4756" s="1">
        <v>48833</v>
      </c>
      <c r="I4756" s="1">
        <v>0.1</v>
      </c>
      <c r="J4756" s="1">
        <v>87899.4</v>
      </c>
      <c r="K4756" s="1">
        <v>9602.2999999999993</v>
      </c>
      <c r="L4756" s="1" t="s">
        <v>17</v>
      </c>
      <c r="M4756" s="1" t="str">
        <f>TEXT(Table1[[#This Row],[Order Date]],"mmm")</f>
        <v>Aug</v>
      </c>
      <c r="N4756" s="1">
        <f>YEAR(Table1[[#This Row],[Order Date]])</f>
        <v>2023</v>
      </c>
    </row>
    <row r="4757" spans="1:14" x14ac:dyDescent="0.35">
      <c r="A4757" s="1" t="s">
        <v>5554</v>
      </c>
      <c r="B4757" s="1" t="s">
        <v>778</v>
      </c>
      <c r="C4757" s="1" t="s">
        <v>370</v>
      </c>
      <c r="D4757" s="1" t="s">
        <v>56</v>
      </c>
      <c r="E4757" s="1" t="s">
        <v>22</v>
      </c>
      <c r="F4757" s="1" t="s">
        <v>56</v>
      </c>
      <c r="G4757" s="1">
        <v>13</v>
      </c>
      <c r="H4757" s="1">
        <v>23219</v>
      </c>
      <c r="I4757" s="1">
        <v>0.1</v>
      </c>
      <c r="J4757" s="1">
        <v>271662.3</v>
      </c>
      <c r="K4757" s="1">
        <v>44515.19</v>
      </c>
      <c r="L4757" s="1" t="s">
        <v>70</v>
      </c>
      <c r="M4757" s="1" t="str">
        <f>TEXT(Table1[[#This Row],[Order Date]],"mmm")</f>
        <v>Nov</v>
      </c>
      <c r="N4757" s="1">
        <f>YEAR(Table1[[#This Row],[Order Date]])</f>
        <v>2023</v>
      </c>
    </row>
    <row r="4758" spans="1:14" x14ac:dyDescent="0.35">
      <c r="A4758" s="1" t="s">
        <v>5555</v>
      </c>
      <c r="B4758" s="1" t="s">
        <v>1652</v>
      </c>
      <c r="C4758" s="1" t="s">
        <v>640</v>
      </c>
      <c r="D4758" s="1" t="s">
        <v>78</v>
      </c>
      <c r="E4758" s="1" t="s">
        <v>28</v>
      </c>
      <c r="F4758" s="1" t="s">
        <v>78</v>
      </c>
      <c r="G4758" s="1">
        <v>5</v>
      </c>
      <c r="H4758" s="1">
        <v>49227</v>
      </c>
      <c r="I4758" s="1">
        <v>0.2</v>
      </c>
      <c r="J4758" s="1">
        <v>196908</v>
      </c>
      <c r="K4758" s="1">
        <v>22179.9</v>
      </c>
      <c r="L4758" s="1" t="s">
        <v>17</v>
      </c>
      <c r="M4758" s="1" t="str">
        <f>TEXT(Table1[[#This Row],[Order Date]],"mmm")</f>
        <v>Sep</v>
      </c>
      <c r="N4758" s="1">
        <f>YEAR(Table1[[#This Row],[Order Date]])</f>
        <v>2024</v>
      </c>
    </row>
    <row r="4759" spans="1:14" x14ac:dyDescent="0.35">
      <c r="A4759" s="1" t="s">
        <v>5556</v>
      </c>
      <c r="B4759" s="1" t="s">
        <v>1556</v>
      </c>
      <c r="C4759" s="1" t="s">
        <v>104</v>
      </c>
      <c r="D4759" s="1" t="s">
        <v>27</v>
      </c>
      <c r="E4759" s="1" t="s">
        <v>28</v>
      </c>
      <c r="F4759" s="1" t="s">
        <v>27</v>
      </c>
      <c r="G4759" s="1">
        <v>8</v>
      </c>
      <c r="H4759" s="1">
        <v>13576</v>
      </c>
      <c r="I4759" s="1">
        <v>0.1</v>
      </c>
      <c r="J4759" s="1">
        <v>97747.199999999997</v>
      </c>
      <c r="K4759" s="1">
        <v>20436.13</v>
      </c>
      <c r="L4759" s="1" t="s">
        <v>17</v>
      </c>
      <c r="M4759" s="1" t="str">
        <f>TEXT(Table1[[#This Row],[Order Date]],"mmm")</f>
        <v>May</v>
      </c>
      <c r="N4759" s="1">
        <f>YEAR(Table1[[#This Row],[Order Date]])</f>
        <v>2023</v>
      </c>
    </row>
    <row r="4760" spans="1:14" x14ac:dyDescent="0.35">
      <c r="A4760" s="1" t="s">
        <v>5557</v>
      </c>
      <c r="B4760" s="1" t="s">
        <v>893</v>
      </c>
      <c r="C4760" s="1" t="s">
        <v>81</v>
      </c>
      <c r="D4760" s="1" t="s">
        <v>78</v>
      </c>
      <c r="E4760" s="1" t="s">
        <v>28</v>
      </c>
      <c r="F4760" s="1" t="s">
        <v>78</v>
      </c>
      <c r="G4760" s="1">
        <v>13</v>
      </c>
      <c r="H4760" s="1">
        <v>46490</v>
      </c>
      <c r="I4760" s="1">
        <v>0</v>
      </c>
      <c r="J4760" s="1">
        <v>604370</v>
      </c>
      <c r="K4760" s="1">
        <v>142531.38</v>
      </c>
      <c r="L4760" s="1" t="s">
        <v>45</v>
      </c>
      <c r="M4760" s="1" t="str">
        <f>TEXT(Table1[[#This Row],[Order Date]],"mmm")</f>
        <v>Oct</v>
      </c>
      <c r="N4760" s="1">
        <f>YEAR(Table1[[#This Row],[Order Date]])</f>
        <v>2023</v>
      </c>
    </row>
    <row r="4761" spans="1:14" x14ac:dyDescent="0.35">
      <c r="A4761" s="1" t="s">
        <v>5558</v>
      </c>
      <c r="B4761" s="1" t="s">
        <v>1038</v>
      </c>
      <c r="C4761" s="1" t="s">
        <v>170</v>
      </c>
      <c r="D4761" s="1" t="s">
        <v>95</v>
      </c>
      <c r="E4761" s="1" t="s">
        <v>33</v>
      </c>
      <c r="F4761" s="1" t="s">
        <v>95</v>
      </c>
      <c r="G4761" s="1">
        <v>8</v>
      </c>
      <c r="H4761" s="1">
        <v>3573</v>
      </c>
      <c r="I4761" s="1">
        <v>0.15</v>
      </c>
      <c r="J4761" s="1">
        <v>24296.400000000001</v>
      </c>
      <c r="K4761" s="1">
        <v>6835.7</v>
      </c>
      <c r="L4761" s="1" t="s">
        <v>70</v>
      </c>
      <c r="M4761" s="1" t="str">
        <f>TEXT(Table1[[#This Row],[Order Date]],"mmm")</f>
        <v>Feb</v>
      </c>
      <c r="N4761" s="1">
        <f>YEAR(Table1[[#This Row],[Order Date]])</f>
        <v>2024</v>
      </c>
    </row>
    <row r="4762" spans="1:14" x14ac:dyDescent="0.35">
      <c r="A4762" s="1" t="s">
        <v>5559</v>
      </c>
      <c r="B4762" s="1" t="s">
        <v>197</v>
      </c>
      <c r="C4762" s="1" t="s">
        <v>73</v>
      </c>
      <c r="D4762" s="1" t="s">
        <v>323</v>
      </c>
      <c r="E4762" s="1" t="s">
        <v>33</v>
      </c>
      <c r="F4762" s="1" t="s">
        <v>323</v>
      </c>
      <c r="G4762" s="1">
        <v>3</v>
      </c>
      <c r="H4762" s="1">
        <v>39630</v>
      </c>
      <c r="I4762" s="1">
        <v>0.2</v>
      </c>
      <c r="J4762" s="1">
        <v>95112</v>
      </c>
      <c r="K4762" s="1">
        <v>17270.169999999998</v>
      </c>
      <c r="L4762" s="1" t="s">
        <v>70</v>
      </c>
      <c r="M4762" s="1" t="str">
        <f>TEXT(Table1[[#This Row],[Order Date]],"mmm")</f>
        <v>Feb</v>
      </c>
      <c r="N4762" s="1">
        <f>YEAR(Table1[[#This Row],[Order Date]])</f>
        <v>2024</v>
      </c>
    </row>
    <row r="4763" spans="1:14" x14ac:dyDescent="0.35">
      <c r="A4763" s="1" t="s">
        <v>5560</v>
      </c>
      <c r="B4763" s="1" t="s">
        <v>143</v>
      </c>
      <c r="C4763" s="1" t="s">
        <v>14</v>
      </c>
      <c r="D4763" s="1" t="s">
        <v>27</v>
      </c>
      <c r="E4763" s="1" t="s">
        <v>28</v>
      </c>
      <c r="F4763" s="1" t="s">
        <v>27</v>
      </c>
      <c r="G4763" s="1">
        <v>3</v>
      </c>
      <c r="H4763" s="1">
        <v>56183</v>
      </c>
      <c r="I4763" s="1">
        <v>0.05</v>
      </c>
      <c r="J4763" s="1">
        <v>160121.54999999999</v>
      </c>
      <c r="K4763" s="1">
        <v>37440.699999999997</v>
      </c>
      <c r="L4763" s="1" t="s">
        <v>17</v>
      </c>
      <c r="M4763" s="1" t="str">
        <f>TEXT(Table1[[#This Row],[Order Date]],"mmm")</f>
        <v>Jul</v>
      </c>
      <c r="N4763" s="1">
        <f>YEAR(Table1[[#This Row],[Order Date]])</f>
        <v>2023</v>
      </c>
    </row>
    <row r="4764" spans="1:14" x14ac:dyDescent="0.35">
      <c r="A4764" s="1" t="s">
        <v>5561</v>
      </c>
      <c r="B4764" s="1" t="s">
        <v>1411</v>
      </c>
      <c r="C4764" s="1" t="s">
        <v>63</v>
      </c>
      <c r="D4764" s="1" t="s">
        <v>78</v>
      </c>
      <c r="E4764" s="1" t="s">
        <v>28</v>
      </c>
      <c r="F4764" s="1" t="s">
        <v>78</v>
      </c>
      <c r="G4764" s="1">
        <v>7</v>
      </c>
      <c r="H4764" s="1">
        <v>5415</v>
      </c>
      <c r="I4764" s="1">
        <v>0.2</v>
      </c>
      <c r="J4764" s="1">
        <v>30324</v>
      </c>
      <c r="K4764" s="1">
        <v>3264.05</v>
      </c>
      <c r="L4764" s="1" t="s">
        <v>70</v>
      </c>
      <c r="M4764" s="1" t="str">
        <f>TEXT(Table1[[#This Row],[Order Date]],"mmm")</f>
        <v>Oct</v>
      </c>
      <c r="N4764" s="1">
        <f>YEAR(Table1[[#This Row],[Order Date]])</f>
        <v>2023</v>
      </c>
    </row>
    <row r="4765" spans="1:14" x14ac:dyDescent="0.35">
      <c r="A4765" s="1" t="s">
        <v>5562</v>
      </c>
      <c r="B4765" s="1" t="s">
        <v>485</v>
      </c>
      <c r="C4765" s="1" t="s">
        <v>227</v>
      </c>
      <c r="D4765" s="1" t="s">
        <v>64</v>
      </c>
      <c r="E4765" s="1" t="s">
        <v>33</v>
      </c>
      <c r="F4765" s="1" t="s">
        <v>64</v>
      </c>
      <c r="G4765" s="1">
        <v>8</v>
      </c>
      <c r="H4765" s="1">
        <v>54226</v>
      </c>
      <c r="I4765" s="1">
        <v>0.15</v>
      </c>
      <c r="J4765" s="1">
        <v>368736.8</v>
      </c>
      <c r="K4765" s="1">
        <v>73176.19</v>
      </c>
      <c r="L4765" s="1" t="s">
        <v>70</v>
      </c>
      <c r="M4765" s="1" t="str">
        <f>TEXT(Table1[[#This Row],[Order Date]],"mmm")</f>
        <v>Nov</v>
      </c>
      <c r="N4765" s="1">
        <f>YEAR(Table1[[#This Row],[Order Date]])</f>
        <v>2024</v>
      </c>
    </row>
    <row r="4766" spans="1:14" x14ac:dyDescent="0.35">
      <c r="A4766" s="1" t="s">
        <v>5563</v>
      </c>
      <c r="B4766" s="1" t="s">
        <v>1781</v>
      </c>
      <c r="C4766" s="1" t="s">
        <v>81</v>
      </c>
      <c r="D4766" s="1" t="s">
        <v>151</v>
      </c>
      <c r="E4766" s="1" t="s">
        <v>22</v>
      </c>
      <c r="F4766" s="1" t="s">
        <v>151</v>
      </c>
      <c r="G4766" s="1">
        <v>9</v>
      </c>
      <c r="H4766" s="1">
        <v>3142</v>
      </c>
      <c r="I4766" s="1">
        <v>0.1</v>
      </c>
      <c r="J4766" s="1">
        <v>25450.2</v>
      </c>
      <c r="K4766" s="1">
        <v>5716.1</v>
      </c>
      <c r="L4766" s="1" t="s">
        <v>23</v>
      </c>
      <c r="M4766" s="1" t="str">
        <f>TEXT(Table1[[#This Row],[Order Date]],"mmm")</f>
        <v>Sep</v>
      </c>
      <c r="N4766" s="1">
        <f>YEAR(Table1[[#This Row],[Order Date]])</f>
        <v>2024</v>
      </c>
    </row>
    <row r="4767" spans="1:14" x14ac:dyDescent="0.35">
      <c r="A4767" s="1" t="s">
        <v>5564</v>
      </c>
      <c r="B4767" s="1" t="s">
        <v>1043</v>
      </c>
      <c r="C4767" s="1" t="s">
        <v>191</v>
      </c>
      <c r="D4767" s="1" t="s">
        <v>37</v>
      </c>
      <c r="E4767" s="1" t="s">
        <v>16</v>
      </c>
      <c r="F4767" s="1" t="s">
        <v>37</v>
      </c>
      <c r="G4767" s="1">
        <v>2</v>
      </c>
      <c r="H4767" s="1">
        <v>44890</v>
      </c>
      <c r="I4767" s="1">
        <v>0.05</v>
      </c>
      <c r="J4767" s="1">
        <v>85291</v>
      </c>
      <c r="K4767" s="1">
        <v>23486.98</v>
      </c>
      <c r="L4767" s="1" t="s">
        <v>17</v>
      </c>
      <c r="M4767" s="1" t="str">
        <f>TEXT(Table1[[#This Row],[Order Date]],"mmm")</f>
        <v>Aug</v>
      </c>
      <c r="N4767" s="1">
        <f>YEAR(Table1[[#This Row],[Order Date]])</f>
        <v>2024</v>
      </c>
    </row>
    <row r="4768" spans="1:14" x14ac:dyDescent="0.35">
      <c r="A4768" s="1" t="s">
        <v>5565</v>
      </c>
      <c r="B4768" s="1" t="s">
        <v>404</v>
      </c>
      <c r="C4768" s="1" t="s">
        <v>227</v>
      </c>
      <c r="D4768" s="1" t="s">
        <v>141</v>
      </c>
      <c r="E4768" s="1" t="s">
        <v>22</v>
      </c>
      <c r="F4768" s="1" t="s">
        <v>141</v>
      </c>
      <c r="G4768" s="1">
        <v>7</v>
      </c>
      <c r="H4768" s="1">
        <v>36099</v>
      </c>
      <c r="I4768" s="1">
        <v>0.2</v>
      </c>
      <c r="J4768" s="1">
        <v>202154.4</v>
      </c>
      <c r="K4768" s="1">
        <v>42913.61</v>
      </c>
      <c r="L4768" s="1" t="s">
        <v>17</v>
      </c>
      <c r="M4768" s="1" t="str">
        <f>TEXT(Table1[[#This Row],[Order Date]],"mmm")</f>
        <v>Jan</v>
      </c>
      <c r="N4768" s="1">
        <f>YEAR(Table1[[#This Row],[Order Date]])</f>
        <v>2023</v>
      </c>
    </row>
    <row r="4769" spans="1:14" x14ac:dyDescent="0.35">
      <c r="A4769" s="1" t="s">
        <v>5566</v>
      </c>
      <c r="B4769" s="1" t="s">
        <v>1149</v>
      </c>
      <c r="C4769" s="1" t="s">
        <v>59</v>
      </c>
      <c r="D4769" s="1" t="s">
        <v>179</v>
      </c>
      <c r="E4769" s="1" t="s">
        <v>28</v>
      </c>
      <c r="F4769" s="1" t="s">
        <v>179</v>
      </c>
      <c r="G4769" s="1">
        <v>7</v>
      </c>
      <c r="H4769" s="1">
        <v>41191</v>
      </c>
      <c r="I4769" s="1">
        <v>0.2</v>
      </c>
      <c r="J4769" s="1">
        <v>230669.6</v>
      </c>
      <c r="K4769" s="1">
        <v>69138.259999999995</v>
      </c>
      <c r="L4769" s="1" t="s">
        <v>45</v>
      </c>
      <c r="M4769" s="1" t="str">
        <f>TEXT(Table1[[#This Row],[Order Date]],"mmm")</f>
        <v>Jul</v>
      </c>
      <c r="N4769" s="1">
        <f>YEAR(Table1[[#This Row],[Order Date]])</f>
        <v>2024</v>
      </c>
    </row>
    <row r="4770" spans="1:14" x14ac:dyDescent="0.35">
      <c r="A4770" s="1" t="s">
        <v>5567</v>
      </c>
      <c r="B4770" s="1" t="s">
        <v>605</v>
      </c>
      <c r="C4770" s="1" t="s">
        <v>349</v>
      </c>
      <c r="D4770" s="1" t="s">
        <v>52</v>
      </c>
      <c r="E4770" s="1" t="s">
        <v>28</v>
      </c>
      <c r="F4770" s="1" t="s">
        <v>52</v>
      </c>
      <c r="G4770" s="1">
        <v>12</v>
      </c>
      <c r="H4770" s="1">
        <v>55031</v>
      </c>
      <c r="I4770" s="1">
        <v>0.2</v>
      </c>
      <c r="J4770" s="1">
        <v>528297.6</v>
      </c>
      <c r="K4770" s="1">
        <v>50775.44</v>
      </c>
      <c r="L4770" s="1" t="s">
        <v>45</v>
      </c>
      <c r="M4770" s="1" t="str">
        <f>TEXT(Table1[[#This Row],[Order Date]],"mmm")</f>
        <v>Oct</v>
      </c>
      <c r="N4770" s="1">
        <f>YEAR(Table1[[#This Row],[Order Date]])</f>
        <v>2023</v>
      </c>
    </row>
    <row r="4771" spans="1:14" x14ac:dyDescent="0.35">
      <c r="A4771" s="1" t="s">
        <v>5568</v>
      </c>
      <c r="B4771" s="1" t="s">
        <v>515</v>
      </c>
      <c r="C4771" s="1" t="s">
        <v>98</v>
      </c>
      <c r="D4771" s="1" t="s">
        <v>137</v>
      </c>
      <c r="E4771" s="1" t="s">
        <v>22</v>
      </c>
      <c r="F4771" s="1" t="s">
        <v>137</v>
      </c>
      <c r="G4771" s="1">
        <v>3</v>
      </c>
      <c r="H4771" s="1">
        <v>36362</v>
      </c>
      <c r="I4771" s="1">
        <v>0.1</v>
      </c>
      <c r="J4771" s="1">
        <v>98177.4</v>
      </c>
      <c r="K4771" s="1">
        <v>28683.32</v>
      </c>
      <c r="L4771" s="1" t="s">
        <v>45</v>
      </c>
      <c r="M4771" s="1" t="str">
        <f>TEXT(Table1[[#This Row],[Order Date]],"mmm")</f>
        <v>Apr</v>
      </c>
      <c r="N4771" s="1">
        <f>YEAR(Table1[[#This Row],[Order Date]])</f>
        <v>2024</v>
      </c>
    </row>
    <row r="4772" spans="1:14" x14ac:dyDescent="0.35">
      <c r="A4772" s="1" t="s">
        <v>5569</v>
      </c>
      <c r="B4772" s="1" t="s">
        <v>599</v>
      </c>
      <c r="C4772" s="1" t="s">
        <v>117</v>
      </c>
      <c r="D4772" s="1" t="s">
        <v>179</v>
      </c>
      <c r="E4772" s="1" t="s">
        <v>28</v>
      </c>
      <c r="F4772" s="1" t="s">
        <v>179</v>
      </c>
      <c r="G4772" s="1">
        <v>7</v>
      </c>
      <c r="H4772" s="1">
        <v>9676</v>
      </c>
      <c r="I4772" s="1">
        <v>0.1</v>
      </c>
      <c r="J4772" s="1">
        <v>60958.8</v>
      </c>
      <c r="K4772" s="1">
        <v>7162.7</v>
      </c>
      <c r="L4772" s="1" t="s">
        <v>70</v>
      </c>
      <c r="M4772" s="1" t="str">
        <f>TEXT(Table1[[#This Row],[Order Date]],"mmm")</f>
        <v>May</v>
      </c>
      <c r="N4772" s="1">
        <f>YEAR(Table1[[#This Row],[Order Date]])</f>
        <v>2023</v>
      </c>
    </row>
    <row r="4773" spans="1:14" x14ac:dyDescent="0.35">
      <c r="A4773" s="1" t="s">
        <v>5570</v>
      </c>
      <c r="B4773" s="1" t="s">
        <v>113</v>
      </c>
      <c r="C4773" s="1" t="s">
        <v>208</v>
      </c>
      <c r="D4773" s="1" t="s">
        <v>52</v>
      </c>
      <c r="E4773" s="1" t="s">
        <v>28</v>
      </c>
      <c r="F4773" s="1" t="s">
        <v>52</v>
      </c>
      <c r="G4773" s="1">
        <v>3</v>
      </c>
      <c r="H4773" s="1">
        <v>56284</v>
      </c>
      <c r="I4773" s="1">
        <v>0.15</v>
      </c>
      <c r="J4773" s="1">
        <v>143524.20000000001</v>
      </c>
      <c r="K4773" s="1">
        <v>26431.200000000001</v>
      </c>
      <c r="L4773" s="1" t="s">
        <v>70</v>
      </c>
      <c r="M4773" s="1" t="str">
        <f>TEXT(Table1[[#This Row],[Order Date]],"mmm")</f>
        <v>Jul</v>
      </c>
      <c r="N4773" s="1">
        <f>YEAR(Table1[[#This Row],[Order Date]])</f>
        <v>2023</v>
      </c>
    </row>
    <row r="4774" spans="1:14" x14ac:dyDescent="0.35">
      <c r="A4774" s="1" t="s">
        <v>5571</v>
      </c>
      <c r="B4774" s="1" t="s">
        <v>1718</v>
      </c>
      <c r="C4774" s="1" t="s">
        <v>26</v>
      </c>
      <c r="D4774" s="1" t="s">
        <v>95</v>
      </c>
      <c r="E4774" s="1" t="s">
        <v>33</v>
      </c>
      <c r="F4774" s="1" t="s">
        <v>95</v>
      </c>
      <c r="G4774" s="1">
        <v>1</v>
      </c>
      <c r="H4774" s="1">
        <v>14640</v>
      </c>
      <c r="I4774" s="1">
        <v>0.1</v>
      </c>
      <c r="J4774" s="1">
        <v>13176</v>
      </c>
      <c r="K4774" s="1">
        <v>2228.6</v>
      </c>
      <c r="L4774" s="1" t="s">
        <v>17</v>
      </c>
      <c r="M4774" s="1" t="str">
        <f>TEXT(Table1[[#This Row],[Order Date]],"mmm")</f>
        <v>Nov</v>
      </c>
      <c r="N4774" s="1">
        <f>YEAR(Table1[[#This Row],[Order Date]])</f>
        <v>2024</v>
      </c>
    </row>
    <row r="4775" spans="1:14" x14ac:dyDescent="0.35">
      <c r="A4775" s="1" t="s">
        <v>5572</v>
      </c>
      <c r="B4775" s="1" t="s">
        <v>1212</v>
      </c>
      <c r="C4775" s="1" t="s">
        <v>26</v>
      </c>
      <c r="D4775" s="1" t="s">
        <v>52</v>
      </c>
      <c r="E4775" s="1" t="s">
        <v>28</v>
      </c>
      <c r="F4775" s="1" t="s">
        <v>52</v>
      </c>
      <c r="G4775" s="1">
        <v>15</v>
      </c>
      <c r="H4775" s="1">
        <v>11606</v>
      </c>
      <c r="I4775" s="1">
        <v>0.2</v>
      </c>
      <c r="J4775" s="1">
        <v>139272</v>
      </c>
      <c r="K4775" s="1">
        <v>13363.63</v>
      </c>
      <c r="L4775" s="1" t="s">
        <v>17</v>
      </c>
      <c r="M4775" s="1" t="str">
        <f>TEXT(Table1[[#This Row],[Order Date]],"mmm")</f>
        <v>Dec</v>
      </c>
      <c r="N4775" s="1">
        <f>YEAR(Table1[[#This Row],[Order Date]])</f>
        <v>2023</v>
      </c>
    </row>
    <row r="4776" spans="1:14" x14ac:dyDescent="0.35">
      <c r="A4776" s="1" t="s">
        <v>5573</v>
      </c>
      <c r="B4776" s="1" t="s">
        <v>1288</v>
      </c>
      <c r="C4776" s="1" t="s">
        <v>84</v>
      </c>
      <c r="D4776" s="1" t="s">
        <v>64</v>
      </c>
      <c r="E4776" s="1" t="s">
        <v>33</v>
      </c>
      <c r="F4776" s="1" t="s">
        <v>64</v>
      </c>
      <c r="G4776" s="1">
        <v>10</v>
      </c>
      <c r="H4776" s="1">
        <v>20109</v>
      </c>
      <c r="I4776" s="1">
        <v>0.1</v>
      </c>
      <c r="J4776" s="1">
        <v>180981</v>
      </c>
      <c r="K4776" s="1">
        <v>24398.74</v>
      </c>
      <c r="L4776" s="1" t="s">
        <v>17</v>
      </c>
      <c r="M4776" s="1" t="str">
        <f>TEXT(Table1[[#This Row],[Order Date]],"mmm")</f>
        <v>Feb</v>
      </c>
      <c r="N4776" s="1">
        <f>YEAR(Table1[[#This Row],[Order Date]])</f>
        <v>2024</v>
      </c>
    </row>
    <row r="4777" spans="1:14" x14ac:dyDescent="0.35">
      <c r="A4777" s="1" t="s">
        <v>5574</v>
      </c>
      <c r="B4777" s="1" t="s">
        <v>835</v>
      </c>
      <c r="C4777" s="1" t="s">
        <v>191</v>
      </c>
      <c r="D4777" s="1" t="s">
        <v>64</v>
      </c>
      <c r="E4777" s="1" t="s">
        <v>33</v>
      </c>
      <c r="F4777" s="1" t="s">
        <v>64</v>
      </c>
      <c r="G4777" s="1">
        <v>10</v>
      </c>
      <c r="H4777" s="1">
        <v>48494</v>
      </c>
      <c r="I4777" s="1">
        <v>0.2</v>
      </c>
      <c r="J4777" s="1">
        <v>387952</v>
      </c>
      <c r="K4777" s="1">
        <v>68251.14</v>
      </c>
      <c r="L4777" s="1" t="s">
        <v>45</v>
      </c>
      <c r="M4777" s="1" t="str">
        <f>TEXT(Table1[[#This Row],[Order Date]],"mmm")</f>
        <v>Nov</v>
      </c>
      <c r="N4777" s="1">
        <f>YEAR(Table1[[#This Row],[Order Date]])</f>
        <v>2024</v>
      </c>
    </row>
    <row r="4778" spans="1:14" x14ac:dyDescent="0.35">
      <c r="A4778" s="1" t="s">
        <v>5575</v>
      </c>
      <c r="B4778" s="1" t="s">
        <v>1295</v>
      </c>
      <c r="C4778" s="1" t="s">
        <v>111</v>
      </c>
      <c r="D4778" s="1" t="s">
        <v>44</v>
      </c>
      <c r="E4778" s="1" t="s">
        <v>28</v>
      </c>
      <c r="F4778" s="1" t="s">
        <v>44</v>
      </c>
      <c r="G4778" s="1">
        <v>3</v>
      </c>
      <c r="H4778" s="1">
        <v>14256</v>
      </c>
      <c r="I4778" s="1">
        <v>0.1</v>
      </c>
      <c r="J4778" s="1">
        <v>38491.199999999997</v>
      </c>
      <c r="K4778" s="1">
        <v>4967.67</v>
      </c>
      <c r="L4778" s="1" t="s">
        <v>17</v>
      </c>
      <c r="M4778" s="1" t="str">
        <f>TEXT(Table1[[#This Row],[Order Date]],"mmm")</f>
        <v>Oct</v>
      </c>
      <c r="N4778" s="1">
        <f>YEAR(Table1[[#This Row],[Order Date]])</f>
        <v>2024</v>
      </c>
    </row>
    <row r="4779" spans="1:14" x14ac:dyDescent="0.35">
      <c r="A4779" s="1" t="s">
        <v>5576</v>
      </c>
      <c r="B4779" s="1" t="s">
        <v>2654</v>
      </c>
      <c r="C4779" s="1" t="s">
        <v>332</v>
      </c>
      <c r="D4779" s="1" t="s">
        <v>37</v>
      </c>
      <c r="E4779" s="1" t="s">
        <v>16</v>
      </c>
      <c r="F4779" s="1" t="s">
        <v>37</v>
      </c>
      <c r="G4779" s="1">
        <v>10</v>
      </c>
      <c r="H4779" s="1">
        <v>18325</v>
      </c>
      <c r="I4779" s="1">
        <v>0.1</v>
      </c>
      <c r="J4779" s="1">
        <v>164925</v>
      </c>
      <c r="K4779" s="1">
        <v>18223.5</v>
      </c>
      <c r="L4779" s="1" t="s">
        <v>45</v>
      </c>
      <c r="M4779" s="1" t="str">
        <f>TEXT(Table1[[#This Row],[Order Date]],"mmm")</f>
        <v>Apr</v>
      </c>
      <c r="N4779" s="1">
        <f>YEAR(Table1[[#This Row],[Order Date]])</f>
        <v>2023</v>
      </c>
    </row>
    <row r="4780" spans="1:14" x14ac:dyDescent="0.35">
      <c r="A4780" s="1" t="s">
        <v>5577</v>
      </c>
      <c r="B4780" s="1" t="s">
        <v>2589</v>
      </c>
      <c r="C4780" s="1" t="s">
        <v>208</v>
      </c>
      <c r="D4780" s="1" t="s">
        <v>15</v>
      </c>
      <c r="E4780" s="1" t="s">
        <v>16</v>
      </c>
      <c r="F4780" s="1" t="s">
        <v>15</v>
      </c>
      <c r="G4780" s="1">
        <v>13</v>
      </c>
      <c r="H4780" s="1">
        <v>50771</v>
      </c>
      <c r="I4780" s="1">
        <v>0.05</v>
      </c>
      <c r="J4780" s="1">
        <v>627021.85</v>
      </c>
      <c r="K4780" s="1">
        <v>185009.9</v>
      </c>
      <c r="L4780" s="1" t="s">
        <v>45</v>
      </c>
      <c r="M4780" s="1" t="str">
        <f>TEXT(Table1[[#This Row],[Order Date]],"mmm")</f>
        <v>Feb</v>
      </c>
      <c r="N4780" s="1">
        <f>YEAR(Table1[[#This Row],[Order Date]])</f>
        <v>2024</v>
      </c>
    </row>
    <row r="4781" spans="1:14" x14ac:dyDescent="0.35">
      <c r="A4781" s="1" t="s">
        <v>5578</v>
      </c>
      <c r="B4781" s="1" t="s">
        <v>2491</v>
      </c>
      <c r="C4781" s="1" t="s">
        <v>51</v>
      </c>
      <c r="D4781" s="1" t="s">
        <v>179</v>
      </c>
      <c r="E4781" s="1" t="s">
        <v>28</v>
      </c>
      <c r="F4781" s="1" t="s">
        <v>179</v>
      </c>
      <c r="G4781" s="1">
        <v>11</v>
      </c>
      <c r="H4781" s="1">
        <v>53382</v>
      </c>
      <c r="I4781" s="1">
        <v>0.2</v>
      </c>
      <c r="J4781" s="1">
        <v>469761.6</v>
      </c>
      <c r="K4781" s="1">
        <v>40191.1</v>
      </c>
      <c r="L4781" s="1" t="s">
        <v>70</v>
      </c>
      <c r="M4781" s="1" t="str">
        <f>TEXT(Table1[[#This Row],[Order Date]],"mmm")</f>
        <v>Jul</v>
      </c>
      <c r="N4781" s="1">
        <f>YEAR(Table1[[#This Row],[Order Date]])</f>
        <v>2024</v>
      </c>
    </row>
    <row r="4782" spans="1:14" x14ac:dyDescent="0.35">
      <c r="A4782" s="1" t="s">
        <v>5579</v>
      </c>
      <c r="B4782" s="1" t="s">
        <v>907</v>
      </c>
      <c r="C4782" s="1" t="s">
        <v>203</v>
      </c>
      <c r="D4782" s="1" t="s">
        <v>56</v>
      </c>
      <c r="E4782" s="1" t="s">
        <v>22</v>
      </c>
      <c r="F4782" s="1" t="s">
        <v>56</v>
      </c>
      <c r="G4782" s="1">
        <v>11</v>
      </c>
      <c r="H4782" s="1">
        <v>12592</v>
      </c>
      <c r="I4782" s="1">
        <v>0.15</v>
      </c>
      <c r="J4782" s="1">
        <v>117735.2</v>
      </c>
      <c r="K4782" s="1">
        <v>33985.97</v>
      </c>
      <c r="L4782" s="1" t="s">
        <v>45</v>
      </c>
      <c r="M4782" s="1" t="str">
        <f>TEXT(Table1[[#This Row],[Order Date]],"mmm")</f>
        <v>Mar</v>
      </c>
      <c r="N4782" s="1">
        <f>YEAR(Table1[[#This Row],[Order Date]])</f>
        <v>2023</v>
      </c>
    </row>
    <row r="4783" spans="1:14" x14ac:dyDescent="0.35">
      <c r="A4783" s="1" t="s">
        <v>5580</v>
      </c>
      <c r="B4783" s="1" t="s">
        <v>457</v>
      </c>
      <c r="C4783" s="1" t="s">
        <v>104</v>
      </c>
      <c r="D4783" s="1" t="s">
        <v>85</v>
      </c>
      <c r="E4783" s="1" t="s">
        <v>28</v>
      </c>
      <c r="F4783" s="1" t="s">
        <v>85</v>
      </c>
      <c r="G4783" s="1">
        <v>12</v>
      </c>
      <c r="H4783" s="1">
        <v>40424</v>
      </c>
      <c r="I4783" s="1">
        <v>0.1</v>
      </c>
      <c r="J4783" s="1">
        <v>436579.2</v>
      </c>
      <c r="K4783" s="1">
        <v>85005.68</v>
      </c>
      <c r="L4783" s="1" t="s">
        <v>23</v>
      </c>
      <c r="M4783" s="1" t="str">
        <f>TEXT(Table1[[#This Row],[Order Date]],"mmm")</f>
        <v>Mar</v>
      </c>
      <c r="N4783" s="1">
        <f>YEAR(Table1[[#This Row],[Order Date]])</f>
        <v>2024</v>
      </c>
    </row>
    <row r="4784" spans="1:14" x14ac:dyDescent="0.35">
      <c r="A4784" s="1" t="s">
        <v>5581</v>
      </c>
      <c r="B4784" s="1" t="s">
        <v>475</v>
      </c>
      <c r="C4784" s="1" t="s">
        <v>94</v>
      </c>
      <c r="D4784" s="1" t="s">
        <v>323</v>
      </c>
      <c r="E4784" s="1" t="s">
        <v>33</v>
      </c>
      <c r="F4784" s="1" t="s">
        <v>323</v>
      </c>
      <c r="G4784" s="1">
        <v>8</v>
      </c>
      <c r="H4784" s="1">
        <v>56499</v>
      </c>
      <c r="I4784" s="1">
        <v>0</v>
      </c>
      <c r="J4784" s="1">
        <v>451992</v>
      </c>
      <c r="K4784" s="1">
        <v>39754.65</v>
      </c>
      <c r="L4784" s="1" t="s">
        <v>17</v>
      </c>
      <c r="M4784" s="1" t="str">
        <f>TEXT(Table1[[#This Row],[Order Date]],"mmm")</f>
        <v>Jun</v>
      </c>
      <c r="N4784" s="1">
        <f>YEAR(Table1[[#This Row],[Order Date]])</f>
        <v>2023</v>
      </c>
    </row>
    <row r="4785" spans="1:14" x14ac:dyDescent="0.35">
      <c r="A4785" s="1" t="s">
        <v>5582</v>
      </c>
      <c r="B4785" s="1" t="s">
        <v>2454</v>
      </c>
      <c r="C4785" s="1" t="s">
        <v>136</v>
      </c>
      <c r="D4785" s="1" t="s">
        <v>91</v>
      </c>
      <c r="E4785" s="1" t="s">
        <v>16</v>
      </c>
      <c r="F4785" s="1" t="s">
        <v>91</v>
      </c>
      <c r="G4785" s="1">
        <v>5</v>
      </c>
      <c r="H4785" s="1">
        <v>44030</v>
      </c>
      <c r="I4785" s="1">
        <v>0.05</v>
      </c>
      <c r="J4785" s="1">
        <v>209142.5</v>
      </c>
      <c r="K4785" s="1">
        <v>60790.46</v>
      </c>
      <c r="L4785" s="1" t="s">
        <v>17</v>
      </c>
      <c r="M4785" s="1" t="str">
        <f>TEXT(Table1[[#This Row],[Order Date]],"mmm")</f>
        <v>Sep</v>
      </c>
      <c r="N4785" s="1">
        <f>YEAR(Table1[[#This Row],[Order Date]])</f>
        <v>2023</v>
      </c>
    </row>
    <row r="4786" spans="1:14" x14ac:dyDescent="0.35">
      <c r="A4786" s="1" t="s">
        <v>5583</v>
      </c>
      <c r="B4786" s="1" t="s">
        <v>1109</v>
      </c>
      <c r="C4786" s="1" t="s">
        <v>507</v>
      </c>
      <c r="D4786" s="1" t="s">
        <v>133</v>
      </c>
      <c r="E4786" s="1" t="s">
        <v>22</v>
      </c>
      <c r="F4786" s="1" t="s">
        <v>133</v>
      </c>
      <c r="G4786" s="1">
        <v>2</v>
      </c>
      <c r="H4786" s="1">
        <v>32237</v>
      </c>
      <c r="I4786" s="1">
        <v>0</v>
      </c>
      <c r="J4786" s="1">
        <v>64474</v>
      </c>
      <c r="K4786" s="1">
        <v>7350.26</v>
      </c>
      <c r="L4786" s="1" t="s">
        <v>45</v>
      </c>
      <c r="M4786" s="1" t="str">
        <f>TEXT(Table1[[#This Row],[Order Date]],"mmm")</f>
        <v>Nov</v>
      </c>
      <c r="N4786" s="1">
        <f>YEAR(Table1[[#This Row],[Order Date]])</f>
        <v>2023</v>
      </c>
    </row>
    <row r="4787" spans="1:14" x14ac:dyDescent="0.35">
      <c r="A4787" s="1" t="s">
        <v>5584</v>
      </c>
      <c r="B4787" s="1" t="s">
        <v>325</v>
      </c>
      <c r="C4787" s="1" t="s">
        <v>349</v>
      </c>
      <c r="D4787" s="1" t="s">
        <v>74</v>
      </c>
      <c r="E4787" s="1" t="s">
        <v>22</v>
      </c>
      <c r="F4787" s="1" t="s">
        <v>74</v>
      </c>
      <c r="G4787" s="1">
        <v>4</v>
      </c>
      <c r="H4787" s="1">
        <v>45075</v>
      </c>
      <c r="I4787" s="1">
        <v>0.2</v>
      </c>
      <c r="J4787" s="1">
        <v>144240</v>
      </c>
      <c r="K4787" s="1">
        <v>41144.089999999997</v>
      </c>
      <c r="L4787" s="1" t="s">
        <v>70</v>
      </c>
      <c r="M4787" s="1" t="str">
        <f>TEXT(Table1[[#This Row],[Order Date]],"mmm")</f>
        <v>Aug</v>
      </c>
      <c r="N4787" s="1">
        <f>YEAR(Table1[[#This Row],[Order Date]])</f>
        <v>2023</v>
      </c>
    </row>
    <row r="4788" spans="1:14" x14ac:dyDescent="0.35">
      <c r="A4788" s="1" t="s">
        <v>5585</v>
      </c>
      <c r="B4788" s="1" t="s">
        <v>221</v>
      </c>
      <c r="C4788" s="1" t="s">
        <v>59</v>
      </c>
      <c r="D4788" s="1" t="s">
        <v>27</v>
      </c>
      <c r="E4788" s="1" t="s">
        <v>28</v>
      </c>
      <c r="F4788" s="1" t="s">
        <v>27</v>
      </c>
      <c r="G4788" s="1">
        <v>10</v>
      </c>
      <c r="H4788" s="1">
        <v>20864</v>
      </c>
      <c r="I4788" s="1">
        <v>0</v>
      </c>
      <c r="J4788" s="1">
        <v>208640</v>
      </c>
      <c r="K4788" s="1">
        <v>61077.18</v>
      </c>
      <c r="L4788" s="1" t="s">
        <v>70</v>
      </c>
      <c r="M4788" s="1" t="str">
        <f>TEXT(Table1[[#This Row],[Order Date]],"mmm")</f>
        <v>Dec</v>
      </c>
      <c r="N4788" s="1">
        <f>YEAR(Table1[[#This Row],[Order Date]])</f>
        <v>2023</v>
      </c>
    </row>
    <row r="4789" spans="1:14" x14ac:dyDescent="0.35">
      <c r="A4789" s="1" t="s">
        <v>5586</v>
      </c>
      <c r="B4789" s="1" t="s">
        <v>780</v>
      </c>
      <c r="C4789" s="1" t="s">
        <v>88</v>
      </c>
      <c r="D4789" s="1" t="s">
        <v>64</v>
      </c>
      <c r="E4789" s="1" t="s">
        <v>33</v>
      </c>
      <c r="F4789" s="1" t="s">
        <v>64</v>
      </c>
      <c r="G4789" s="1">
        <v>7</v>
      </c>
      <c r="H4789" s="1">
        <v>25657</v>
      </c>
      <c r="I4789" s="1">
        <v>0.1</v>
      </c>
      <c r="J4789" s="1">
        <v>161639.1</v>
      </c>
      <c r="K4789" s="1">
        <v>18196.650000000001</v>
      </c>
      <c r="L4789" s="1" t="s">
        <v>23</v>
      </c>
      <c r="M4789" s="1" t="str">
        <f>TEXT(Table1[[#This Row],[Order Date]],"mmm")</f>
        <v>Oct</v>
      </c>
      <c r="N4789" s="1">
        <f>YEAR(Table1[[#This Row],[Order Date]])</f>
        <v>2023</v>
      </c>
    </row>
    <row r="4790" spans="1:14" x14ac:dyDescent="0.35">
      <c r="A4790" s="1" t="s">
        <v>5587</v>
      </c>
      <c r="B4790" s="1" t="s">
        <v>226</v>
      </c>
      <c r="C4790" s="1" t="s">
        <v>162</v>
      </c>
      <c r="D4790" s="1" t="s">
        <v>60</v>
      </c>
      <c r="E4790" s="1" t="s">
        <v>33</v>
      </c>
      <c r="F4790" s="1" t="s">
        <v>60</v>
      </c>
      <c r="G4790" s="1">
        <v>7</v>
      </c>
      <c r="H4790" s="1">
        <v>41215</v>
      </c>
      <c r="I4790" s="1">
        <v>0.2</v>
      </c>
      <c r="J4790" s="1">
        <v>230804</v>
      </c>
      <c r="K4790" s="1">
        <v>66073.8</v>
      </c>
      <c r="L4790" s="1" t="s">
        <v>45</v>
      </c>
      <c r="M4790" s="1" t="str">
        <f>TEXT(Table1[[#This Row],[Order Date]],"mmm")</f>
        <v>Oct</v>
      </c>
      <c r="N4790" s="1">
        <f>YEAR(Table1[[#This Row],[Order Date]])</f>
        <v>2024</v>
      </c>
    </row>
    <row r="4791" spans="1:14" x14ac:dyDescent="0.35">
      <c r="A4791" s="1" t="s">
        <v>5588</v>
      </c>
      <c r="B4791" s="1" t="s">
        <v>316</v>
      </c>
      <c r="C4791" s="1" t="s">
        <v>81</v>
      </c>
      <c r="D4791" s="1" t="s">
        <v>56</v>
      </c>
      <c r="E4791" s="1" t="s">
        <v>22</v>
      </c>
      <c r="F4791" s="1" t="s">
        <v>56</v>
      </c>
      <c r="G4791" s="1">
        <v>4</v>
      </c>
      <c r="H4791" s="1">
        <v>8984</v>
      </c>
      <c r="I4791" s="1">
        <v>0.15</v>
      </c>
      <c r="J4791" s="1">
        <v>30545.599999999999</v>
      </c>
      <c r="K4791" s="1">
        <v>8645</v>
      </c>
      <c r="L4791" s="1" t="s">
        <v>17</v>
      </c>
      <c r="M4791" s="1" t="str">
        <f>TEXT(Table1[[#This Row],[Order Date]],"mmm")</f>
        <v>Nov</v>
      </c>
      <c r="N4791" s="1">
        <f>YEAR(Table1[[#This Row],[Order Date]])</f>
        <v>2023</v>
      </c>
    </row>
    <row r="4792" spans="1:14" x14ac:dyDescent="0.35">
      <c r="A4792" s="1" t="s">
        <v>5589</v>
      </c>
      <c r="B4792" s="1" t="s">
        <v>2161</v>
      </c>
      <c r="C4792" s="1" t="s">
        <v>20</v>
      </c>
      <c r="D4792" s="1" t="s">
        <v>114</v>
      </c>
      <c r="E4792" s="1" t="s">
        <v>16</v>
      </c>
      <c r="F4792" s="1" t="s">
        <v>114</v>
      </c>
      <c r="G4792" s="1">
        <v>14</v>
      </c>
      <c r="H4792" s="1">
        <v>11604</v>
      </c>
      <c r="I4792" s="1">
        <v>0.2</v>
      </c>
      <c r="J4792" s="1">
        <v>129964.8</v>
      </c>
      <c r="K4792" s="1">
        <v>36030.15</v>
      </c>
      <c r="L4792" s="1" t="s">
        <v>17</v>
      </c>
      <c r="M4792" s="1" t="str">
        <f>TEXT(Table1[[#This Row],[Order Date]],"mmm")</f>
        <v>Sep</v>
      </c>
      <c r="N4792" s="1">
        <f>YEAR(Table1[[#This Row],[Order Date]])</f>
        <v>2023</v>
      </c>
    </row>
    <row r="4793" spans="1:14" x14ac:dyDescent="0.35">
      <c r="A4793" s="1" t="s">
        <v>5590</v>
      </c>
      <c r="B4793" s="1" t="s">
        <v>377</v>
      </c>
      <c r="C4793" s="1" t="s">
        <v>104</v>
      </c>
      <c r="D4793" s="1" t="s">
        <v>27</v>
      </c>
      <c r="E4793" s="1" t="s">
        <v>28</v>
      </c>
      <c r="F4793" s="1" t="s">
        <v>27</v>
      </c>
      <c r="G4793" s="1">
        <v>5</v>
      </c>
      <c r="H4793" s="1">
        <v>7057</v>
      </c>
      <c r="I4793" s="1">
        <v>0.2</v>
      </c>
      <c r="J4793" s="1">
        <v>28228</v>
      </c>
      <c r="K4793" s="1">
        <v>7362.38</v>
      </c>
      <c r="L4793" s="1" t="s">
        <v>17</v>
      </c>
      <c r="M4793" s="1" t="str">
        <f>TEXT(Table1[[#This Row],[Order Date]],"mmm")</f>
        <v>Jul</v>
      </c>
      <c r="N4793" s="1">
        <f>YEAR(Table1[[#This Row],[Order Date]])</f>
        <v>2024</v>
      </c>
    </row>
    <row r="4794" spans="1:14" x14ac:dyDescent="0.35">
      <c r="A4794" s="1" t="s">
        <v>5591</v>
      </c>
      <c r="B4794" s="1" t="s">
        <v>965</v>
      </c>
      <c r="C4794" s="1" t="s">
        <v>507</v>
      </c>
      <c r="D4794" s="1" t="s">
        <v>41</v>
      </c>
      <c r="E4794" s="1" t="s">
        <v>16</v>
      </c>
      <c r="F4794" s="1" t="s">
        <v>41</v>
      </c>
      <c r="G4794" s="1">
        <v>5</v>
      </c>
      <c r="H4794" s="1">
        <v>40390</v>
      </c>
      <c r="I4794" s="1">
        <v>0.05</v>
      </c>
      <c r="J4794" s="1">
        <v>191852.5</v>
      </c>
      <c r="K4794" s="1">
        <v>54446.71</v>
      </c>
      <c r="L4794" s="1" t="s">
        <v>45</v>
      </c>
      <c r="M4794" s="1" t="str">
        <f>TEXT(Table1[[#This Row],[Order Date]],"mmm")</f>
        <v>Jan</v>
      </c>
      <c r="N4794" s="1">
        <f>YEAR(Table1[[#This Row],[Order Date]])</f>
        <v>2024</v>
      </c>
    </row>
    <row r="4795" spans="1:14" x14ac:dyDescent="0.35">
      <c r="A4795" s="1" t="s">
        <v>5592</v>
      </c>
      <c r="B4795" s="1" t="s">
        <v>817</v>
      </c>
      <c r="C4795" s="1" t="s">
        <v>26</v>
      </c>
      <c r="D4795" s="1" t="s">
        <v>85</v>
      </c>
      <c r="E4795" s="1" t="s">
        <v>28</v>
      </c>
      <c r="F4795" s="1" t="s">
        <v>85</v>
      </c>
      <c r="G4795" s="1">
        <v>11</v>
      </c>
      <c r="H4795" s="1">
        <v>28967</v>
      </c>
      <c r="I4795" s="1">
        <v>0.2</v>
      </c>
      <c r="J4795" s="1">
        <v>254909.6</v>
      </c>
      <c r="K4795" s="1">
        <v>66867.789999999994</v>
      </c>
      <c r="L4795" s="1" t="s">
        <v>45</v>
      </c>
      <c r="M4795" s="1" t="str">
        <f>TEXT(Table1[[#This Row],[Order Date]],"mmm")</f>
        <v>Jul</v>
      </c>
      <c r="N4795" s="1">
        <f>YEAR(Table1[[#This Row],[Order Date]])</f>
        <v>2024</v>
      </c>
    </row>
    <row r="4796" spans="1:14" x14ac:dyDescent="0.35">
      <c r="A4796" s="1" t="s">
        <v>5593</v>
      </c>
      <c r="B4796" s="1" t="s">
        <v>93</v>
      </c>
      <c r="C4796" s="1" t="s">
        <v>155</v>
      </c>
      <c r="D4796" s="1" t="s">
        <v>60</v>
      </c>
      <c r="E4796" s="1" t="s">
        <v>33</v>
      </c>
      <c r="F4796" s="1" t="s">
        <v>60</v>
      </c>
      <c r="G4796" s="1">
        <v>1</v>
      </c>
      <c r="H4796" s="1">
        <v>17350</v>
      </c>
      <c r="I4796" s="1">
        <v>0.1</v>
      </c>
      <c r="J4796" s="1">
        <v>15615</v>
      </c>
      <c r="K4796" s="1">
        <v>1393.98</v>
      </c>
      <c r="L4796" s="1" t="s">
        <v>45</v>
      </c>
      <c r="M4796" s="1" t="str">
        <f>TEXT(Table1[[#This Row],[Order Date]],"mmm")</f>
        <v>Mar</v>
      </c>
      <c r="N4796" s="1">
        <f>YEAR(Table1[[#This Row],[Order Date]])</f>
        <v>2024</v>
      </c>
    </row>
    <row r="4797" spans="1:14" x14ac:dyDescent="0.35">
      <c r="A4797" s="1" t="s">
        <v>5594</v>
      </c>
      <c r="B4797" s="1" t="s">
        <v>567</v>
      </c>
      <c r="C4797" s="1" t="s">
        <v>20</v>
      </c>
      <c r="D4797" s="1" t="s">
        <v>85</v>
      </c>
      <c r="E4797" s="1" t="s">
        <v>28</v>
      </c>
      <c r="F4797" s="1" t="s">
        <v>85</v>
      </c>
      <c r="G4797" s="1">
        <v>8</v>
      </c>
      <c r="H4797" s="1">
        <v>4421</v>
      </c>
      <c r="I4797" s="1">
        <v>0.05</v>
      </c>
      <c r="J4797" s="1">
        <v>33599.599999999999</v>
      </c>
      <c r="K4797" s="1">
        <v>5302.48</v>
      </c>
      <c r="L4797" s="1" t="s">
        <v>23</v>
      </c>
      <c r="M4797" s="1" t="str">
        <f>TEXT(Table1[[#This Row],[Order Date]],"mmm")</f>
        <v>May</v>
      </c>
      <c r="N4797" s="1">
        <f>YEAR(Table1[[#This Row],[Order Date]])</f>
        <v>2023</v>
      </c>
    </row>
    <row r="4798" spans="1:14" x14ac:dyDescent="0.35">
      <c r="A4798" s="1" t="s">
        <v>5595</v>
      </c>
      <c r="B4798" s="1" t="s">
        <v>927</v>
      </c>
      <c r="C4798" s="1" t="s">
        <v>155</v>
      </c>
      <c r="D4798" s="1" t="s">
        <v>167</v>
      </c>
      <c r="E4798" s="1" t="s">
        <v>16</v>
      </c>
      <c r="F4798" s="1" t="s">
        <v>167</v>
      </c>
      <c r="G4798" s="1">
        <v>12</v>
      </c>
      <c r="H4798" s="1">
        <v>39289</v>
      </c>
      <c r="I4798" s="1">
        <v>0.1</v>
      </c>
      <c r="J4798" s="1">
        <v>424321.2</v>
      </c>
      <c r="K4798" s="1">
        <v>116437.09</v>
      </c>
      <c r="L4798" s="1" t="s">
        <v>17</v>
      </c>
      <c r="M4798" s="1" t="str">
        <f>TEXT(Table1[[#This Row],[Order Date]],"mmm")</f>
        <v>May</v>
      </c>
      <c r="N4798" s="1">
        <f>YEAR(Table1[[#This Row],[Order Date]])</f>
        <v>2024</v>
      </c>
    </row>
    <row r="4799" spans="1:14" x14ac:dyDescent="0.35">
      <c r="A4799" s="1" t="s">
        <v>5596</v>
      </c>
      <c r="B4799" s="1" t="s">
        <v>3344</v>
      </c>
      <c r="C4799" s="1" t="s">
        <v>125</v>
      </c>
      <c r="D4799" s="1" t="s">
        <v>323</v>
      </c>
      <c r="E4799" s="1" t="s">
        <v>33</v>
      </c>
      <c r="F4799" s="1" t="s">
        <v>323</v>
      </c>
      <c r="G4799" s="1">
        <v>7</v>
      </c>
      <c r="H4799" s="1">
        <v>53030</v>
      </c>
      <c r="I4799" s="1">
        <v>0.05</v>
      </c>
      <c r="J4799" s="1">
        <v>352649.5</v>
      </c>
      <c r="K4799" s="1">
        <v>33218.49</v>
      </c>
      <c r="L4799" s="1" t="s">
        <v>45</v>
      </c>
      <c r="M4799" s="1" t="str">
        <f>TEXT(Table1[[#This Row],[Order Date]],"mmm")</f>
        <v>Apr</v>
      </c>
      <c r="N4799" s="1">
        <f>YEAR(Table1[[#This Row],[Order Date]])</f>
        <v>2023</v>
      </c>
    </row>
    <row r="4800" spans="1:14" x14ac:dyDescent="0.35">
      <c r="A4800" s="1" t="s">
        <v>5597</v>
      </c>
      <c r="B4800" s="1" t="s">
        <v>2262</v>
      </c>
      <c r="C4800" s="1" t="s">
        <v>67</v>
      </c>
      <c r="D4800" s="1" t="s">
        <v>151</v>
      </c>
      <c r="E4800" s="1" t="s">
        <v>22</v>
      </c>
      <c r="F4800" s="1" t="s">
        <v>151</v>
      </c>
      <c r="G4800" s="1">
        <v>1</v>
      </c>
      <c r="H4800" s="1">
        <v>57373</v>
      </c>
      <c r="I4800" s="1">
        <v>0.1</v>
      </c>
      <c r="J4800" s="1">
        <v>51635.7</v>
      </c>
      <c r="K4800" s="1">
        <v>7809.38</v>
      </c>
      <c r="L4800" s="1" t="s">
        <v>45</v>
      </c>
      <c r="M4800" s="1" t="str">
        <f>TEXT(Table1[[#This Row],[Order Date]],"mmm")</f>
        <v>Aug</v>
      </c>
      <c r="N4800" s="1">
        <f>YEAR(Table1[[#This Row],[Order Date]])</f>
        <v>2024</v>
      </c>
    </row>
    <row r="4801" spans="1:14" x14ac:dyDescent="0.35">
      <c r="A4801" s="1" t="s">
        <v>5598</v>
      </c>
      <c r="B4801" s="1" t="s">
        <v>2108</v>
      </c>
      <c r="C4801" s="1" t="s">
        <v>55</v>
      </c>
      <c r="D4801" s="1" t="s">
        <v>56</v>
      </c>
      <c r="E4801" s="1" t="s">
        <v>22</v>
      </c>
      <c r="F4801" s="1" t="s">
        <v>56</v>
      </c>
      <c r="G4801" s="1">
        <v>13</v>
      </c>
      <c r="H4801" s="1">
        <v>3140</v>
      </c>
      <c r="I4801" s="1">
        <v>0</v>
      </c>
      <c r="J4801" s="1">
        <v>40820</v>
      </c>
      <c r="K4801" s="1">
        <v>6480.31</v>
      </c>
      <c r="L4801" s="1" t="s">
        <v>23</v>
      </c>
      <c r="M4801" s="1" t="str">
        <f>TEXT(Table1[[#This Row],[Order Date]],"mmm")</f>
        <v>Jun</v>
      </c>
      <c r="N4801" s="1">
        <f>YEAR(Table1[[#This Row],[Order Date]])</f>
        <v>2023</v>
      </c>
    </row>
    <row r="4802" spans="1:14" x14ac:dyDescent="0.35">
      <c r="A4802" s="1" t="s">
        <v>5599</v>
      </c>
      <c r="B4802" s="1" t="s">
        <v>3572</v>
      </c>
      <c r="C4802" s="1" t="s">
        <v>208</v>
      </c>
      <c r="D4802" s="1" t="s">
        <v>27</v>
      </c>
      <c r="E4802" s="1" t="s">
        <v>28</v>
      </c>
      <c r="F4802" s="1" t="s">
        <v>27</v>
      </c>
      <c r="G4802" s="1">
        <v>10</v>
      </c>
      <c r="H4802" s="1">
        <v>9127</v>
      </c>
      <c r="I4802" s="1">
        <v>0</v>
      </c>
      <c r="J4802" s="1">
        <v>91270</v>
      </c>
      <c r="K4802" s="1">
        <v>26085.1</v>
      </c>
      <c r="L4802" s="1" t="s">
        <v>17</v>
      </c>
      <c r="M4802" s="1" t="str">
        <f>TEXT(Table1[[#This Row],[Order Date]],"mmm")</f>
        <v>Mar</v>
      </c>
      <c r="N4802" s="1">
        <f>YEAR(Table1[[#This Row],[Order Date]])</f>
        <v>2024</v>
      </c>
    </row>
    <row r="4803" spans="1:14" x14ac:dyDescent="0.35">
      <c r="A4803" s="1" t="s">
        <v>5600</v>
      </c>
      <c r="B4803" s="1" t="s">
        <v>290</v>
      </c>
      <c r="C4803" s="1" t="s">
        <v>332</v>
      </c>
      <c r="D4803" s="1" t="s">
        <v>114</v>
      </c>
      <c r="E4803" s="1" t="s">
        <v>16</v>
      </c>
      <c r="F4803" s="1" t="s">
        <v>114</v>
      </c>
      <c r="G4803" s="1">
        <v>9</v>
      </c>
      <c r="H4803" s="1">
        <v>3260</v>
      </c>
      <c r="I4803" s="1">
        <v>0</v>
      </c>
      <c r="J4803" s="1">
        <v>29340</v>
      </c>
      <c r="K4803" s="1">
        <v>7252.53</v>
      </c>
      <c r="L4803" s="1" t="s">
        <v>17</v>
      </c>
      <c r="M4803" s="1" t="str">
        <f>TEXT(Table1[[#This Row],[Order Date]],"mmm")</f>
        <v>Oct</v>
      </c>
      <c r="N4803" s="1">
        <f>YEAR(Table1[[#This Row],[Order Date]])</f>
        <v>2023</v>
      </c>
    </row>
    <row r="4804" spans="1:14" x14ac:dyDescent="0.35">
      <c r="A4804" s="1" t="s">
        <v>5601</v>
      </c>
      <c r="B4804" s="1" t="s">
        <v>1290</v>
      </c>
      <c r="C4804" s="1" t="s">
        <v>98</v>
      </c>
      <c r="D4804" s="1" t="s">
        <v>78</v>
      </c>
      <c r="E4804" s="1" t="s">
        <v>28</v>
      </c>
      <c r="F4804" s="1" t="s">
        <v>78</v>
      </c>
      <c r="G4804" s="1">
        <v>14</v>
      </c>
      <c r="H4804" s="1">
        <v>44006</v>
      </c>
      <c r="I4804" s="1">
        <v>0.05</v>
      </c>
      <c r="J4804" s="1">
        <v>585279.80000000005</v>
      </c>
      <c r="K4804" s="1">
        <v>170208.04</v>
      </c>
      <c r="L4804" s="1" t="s">
        <v>23</v>
      </c>
      <c r="M4804" s="1" t="str">
        <f>TEXT(Table1[[#This Row],[Order Date]],"mmm")</f>
        <v>Mar</v>
      </c>
      <c r="N4804" s="1">
        <f>YEAR(Table1[[#This Row],[Order Date]])</f>
        <v>2023</v>
      </c>
    </row>
    <row r="4805" spans="1:14" x14ac:dyDescent="0.35">
      <c r="A4805" s="1" t="s">
        <v>5602</v>
      </c>
      <c r="B4805" s="1" t="s">
        <v>520</v>
      </c>
      <c r="C4805" s="1" t="s">
        <v>117</v>
      </c>
      <c r="D4805" s="1" t="s">
        <v>133</v>
      </c>
      <c r="E4805" s="1" t="s">
        <v>22</v>
      </c>
      <c r="F4805" s="1" t="s">
        <v>133</v>
      </c>
      <c r="G4805" s="1">
        <v>7</v>
      </c>
      <c r="H4805" s="1">
        <v>13888</v>
      </c>
      <c r="I4805" s="1">
        <v>0.05</v>
      </c>
      <c r="J4805" s="1">
        <v>92355.199999999997</v>
      </c>
      <c r="K4805" s="1">
        <v>11061.04</v>
      </c>
      <c r="L4805" s="1" t="s">
        <v>45</v>
      </c>
      <c r="M4805" s="1" t="str">
        <f>TEXT(Table1[[#This Row],[Order Date]],"mmm")</f>
        <v>Mar</v>
      </c>
      <c r="N4805" s="1">
        <f>YEAR(Table1[[#This Row],[Order Date]])</f>
        <v>2023</v>
      </c>
    </row>
    <row r="4806" spans="1:14" x14ac:dyDescent="0.35">
      <c r="A4806" s="1" t="s">
        <v>5603</v>
      </c>
      <c r="B4806" s="1" t="s">
        <v>509</v>
      </c>
      <c r="C4806" s="1" t="s">
        <v>14</v>
      </c>
      <c r="D4806" s="1" t="s">
        <v>179</v>
      </c>
      <c r="E4806" s="1" t="s">
        <v>28</v>
      </c>
      <c r="F4806" s="1" t="s">
        <v>179</v>
      </c>
      <c r="G4806" s="1">
        <v>3</v>
      </c>
      <c r="H4806" s="1">
        <v>49565</v>
      </c>
      <c r="I4806" s="1">
        <v>0</v>
      </c>
      <c r="J4806" s="1">
        <v>148695</v>
      </c>
      <c r="K4806" s="1">
        <v>27668.2</v>
      </c>
      <c r="L4806" s="1" t="s">
        <v>23</v>
      </c>
      <c r="M4806" s="1" t="str">
        <f>TEXT(Table1[[#This Row],[Order Date]],"mmm")</f>
        <v>Jan</v>
      </c>
      <c r="N4806" s="1">
        <f>YEAR(Table1[[#This Row],[Order Date]])</f>
        <v>2023</v>
      </c>
    </row>
    <row r="4807" spans="1:14" x14ac:dyDescent="0.35">
      <c r="A4807" s="1" t="s">
        <v>5604</v>
      </c>
      <c r="B4807" s="1" t="s">
        <v>1166</v>
      </c>
      <c r="C4807" s="1" t="s">
        <v>81</v>
      </c>
      <c r="D4807" s="1" t="s">
        <v>21</v>
      </c>
      <c r="E4807" s="1" t="s">
        <v>22</v>
      </c>
      <c r="F4807" s="1" t="s">
        <v>21</v>
      </c>
      <c r="G4807" s="1">
        <v>6</v>
      </c>
      <c r="H4807" s="1">
        <v>18675</v>
      </c>
      <c r="I4807" s="1">
        <v>0.2</v>
      </c>
      <c r="J4807" s="1">
        <v>89640</v>
      </c>
      <c r="K4807" s="1">
        <v>21638.48</v>
      </c>
      <c r="L4807" s="1" t="s">
        <v>70</v>
      </c>
      <c r="M4807" s="1" t="str">
        <f>TEXT(Table1[[#This Row],[Order Date]],"mmm")</f>
        <v>Oct</v>
      </c>
      <c r="N4807" s="1">
        <f>YEAR(Table1[[#This Row],[Order Date]])</f>
        <v>2024</v>
      </c>
    </row>
    <row r="4808" spans="1:14" x14ac:dyDescent="0.35">
      <c r="A4808" s="1" t="s">
        <v>5605</v>
      </c>
      <c r="B4808" s="1" t="s">
        <v>501</v>
      </c>
      <c r="C4808" s="1" t="s">
        <v>81</v>
      </c>
      <c r="D4808" s="1" t="s">
        <v>78</v>
      </c>
      <c r="E4808" s="1" t="s">
        <v>28</v>
      </c>
      <c r="F4808" s="1" t="s">
        <v>78</v>
      </c>
      <c r="G4808" s="1">
        <v>13</v>
      </c>
      <c r="H4808" s="1">
        <v>9319</v>
      </c>
      <c r="I4808" s="1">
        <v>0</v>
      </c>
      <c r="J4808" s="1">
        <v>121147</v>
      </c>
      <c r="K4808" s="1">
        <v>31033.45</v>
      </c>
      <c r="L4808" s="1" t="s">
        <v>70</v>
      </c>
      <c r="M4808" s="1" t="str">
        <f>TEXT(Table1[[#This Row],[Order Date]],"mmm")</f>
        <v>Nov</v>
      </c>
      <c r="N4808" s="1">
        <f>YEAR(Table1[[#This Row],[Order Date]])</f>
        <v>2024</v>
      </c>
    </row>
    <row r="4809" spans="1:14" x14ac:dyDescent="0.35">
      <c r="A4809" s="1" t="s">
        <v>5606</v>
      </c>
      <c r="B4809" s="1" t="s">
        <v>2002</v>
      </c>
      <c r="C4809" s="1" t="s">
        <v>140</v>
      </c>
      <c r="D4809" s="1" t="s">
        <v>60</v>
      </c>
      <c r="E4809" s="1" t="s">
        <v>33</v>
      </c>
      <c r="F4809" s="1" t="s">
        <v>60</v>
      </c>
      <c r="G4809" s="1">
        <v>8</v>
      </c>
      <c r="H4809" s="1">
        <v>6240</v>
      </c>
      <c r="I4809" s="1">
        <v>0.15</v>
      </c>
      <c r="J4809" s="1">
        <v>42432</v>
      </c>
      <c r="K4809" s="1">
        <v>10663.45</v>
      </c>
      <c r="L4809" s="1" t="s">
        <v>70</v>
      </c>
      <c r="M4809" s="1" t="str">
        <f>TEXT(Table1[[#This Row],[Order Date]],"mmm")</f>
        <v>Apr</v>
      </c>
      <c r="N4809" s="1">
        <f>YEAR(Table1[[#This Row],[Order Date]])</f>
        <v>2024</v>
      </c>
    </row>
    <row r="4810" spans="1:14" x14ac:dyDescent="0.35">
      <c r="A4810" s="1" t="s">
        <v>5607</v>
      </c>
      <c r="B4810" s="1" t="s">
        <v>837</v>
      </c>
      <c r="C4810" s="1" t="s">
        <v>332</v>
      </c>
      <c r="D4810" s="1" t="s">
        <v>74</v>
      </c>
      <c r="E4810" s="1" t="s">
        <v>22</v>
      </c>
      <c r="F4810" s="1" t="s">
        <v>74</v>
      </c>
      <c r="G4810" s="1">
        <v>12</v>
      </c>
      <c r="H4810" s="1">
        <v>46314</v>
      </c>
      <c r="I4810" s="1">
        <v>0.05</v>
      </c>
      <c r="J4810" s="1">
        <v>527979.6</v>
      </c>
      <c r="K4810" s="1">
        <v>124067.41</v>
      </c>
      <c r="L4810" s="1" t="s">
        <v>70</v>
      </c>
      <c r="M4810" s="1" t="str">
        <f>TEXT(Table1[[#This Row],[Order Date]],"mmm")</f>
        <v>Feb</v>
      </c>
      <c r="N4810" s="1">
        <f>YEAR(Table1[[#This Row],[Order Date]])</f>
        <v>2024</v>
      </c>
    </row>
    <row r="4811" spans="1:14" x14ac:dyDescent="0.35">
      <c r="A4811" s="1" t="s">
        <v>5608</v>
      </c>
      <c r="B4811" s="1" t="s">
        <v>1418</v>
      </c>
      <c r="C4811" s="1" t="s">
        <v>111</v>
      </c>
      <c r="D4811" s="1" t="s">
        <v>167</v>
      </c>
      <c r="E4811" s="1" t="s">
        <v>16</v>
      </c>
      <c r="F4811" s="1" t="s">
        <v>167</v>
      </c>
      <c r="G4811" s="1">
        <v>5</v>
      </c>
      <c r="H4811" s="1">
        <v>50401</v>
      </c>
      <c r="I4811" s="1">
        <v>0.1</v>
      </c>
      <c r="J4811" s="1">
        <v>226804.5</v>
      </c>
      <c r="K4811" s="1">
        <v>36269.51</v>
      </c>
      <c r="L4811" s="1" t="s">
        <v>23</v>
      </c>
      <c r="M4811" s="1" t="str">
        <f>TEXT(Table1[[#This Row],[Order Date]],"mmm")</f>
        <v>Nov</v>
      </c>
      <c r="N4811" s="1">
        <f>YEAR(Table1[[#This Row],[Order Date]])</f>
        <v>2024</v>
      </c>
    </row>
    <row r="4812" spans="1:14" x14ac:dyDescent="0.35">
      <c r="A4812" s="1" t="s">
        <v>5609</v>
      </c>
      <c r="B4812" s="1" t="s">
        <v>183</v>
      </c>
      <c r="C4812" s="1" t="s">
        <v>140</v>
      </c>
      <c r="D4812" s="1" t="s">
        <v>179</v>
      </c>
      <c r="E4812" s="1" t="s">
        <v>28</v>
      </c>
      <c r="F4812" s="1" t="s">
        <v>179</v>
      </c>
      <c r="G4812" s="1">
        <v>14</v>
      </c>
      <c r="H4812" s="1">
        <v>40584</v>
      </c>
      <c r="I4812" s="1">
        <v>0</v>
      </c>
      <c r="J4812" s="1">
        <v>568176</v>
      </c>
      <c r="K4812" s="1">
        <v>46965.47</v>
      </c>
      <c r="L4812" s="1" t="s">
        <v>70</v>
      </c>
      <c r="M4812" s="1" t="str">
        <f>TEXT(Table1[[#This Row],[Order Date]],"mmm")</f>
        <v>Jul</v>
      </c>
      <c r="N4812" s="1">
        <f>YEAR(Table1[[#This Row],[Order Date]])</f>
        <v>2024</v>
      </c>
    </row>
    <row r="4813" spans="1:14" x14ac:dyDescent="0.35">
      <c r="A4813" s="1" t="s">
        <v>5610</v>
      </c>
      <c r="B4813" s="1" t="s">
        <v>1492</v>
      </c>
      <c r="C4813" s="1" t="s">
        <v>162</v>
      </c>
      <c r="D4813" s="1" t="s">
        <v>60</v>
      </c>
      <c r="E4813" s="1" t="s">
        <v>33</v>
      </c>
      <c r="F4813" s="1" t="s">
        <v>60</v>
      </c>
      <c r="G4813" s="1">
        <v>11</v>
      </c>
      <c r="H4813" s="1">
        <v>21452</v>
      </c>
      <c r="I4813" s="1">
        <v>0.1</v>
      </c>
      <c r="J4813" s="1">
        <v>212374.8</v>
      </c>
      <c r="K4813" s="1">
        <v>63389.440000000002</v>
      </c>
      <c r="L4813" s="1" t="s">
        <v>45</v>
      </c>
      <c r="M4813" s="1" t="str">
        <f>TEXT(Table1[[#This Row],[Order Date]],"mmm")</f>
        <v>Mar</v>
      </c>
      <c r="N4813" s="1">
        <f>YEAR(Table1[[#This Row],[Order Date]])</f>
        <v>2024</v>
      </c>
    </row>
    <row r="4814" spans="1:14" x14ac:dyDescent="0.35">
      <c r="A4814" s="1" t="s">
        <v>5611</v>
      </c>
      <c r="B4814" s="1" t="s">
        <v>1101</v>
      </c>
      <c r="C4814" s="1" t="s">
        <v>175</v>
      </c>
      <c r="D4814" s="1" t="s">
        <v>179</v>
      </c>
      <c r="E4814" s="1" t="s">
        <v>28</v>
      </c>
      <c r="F4814" s="1" t="s">
        <v>179</v>
      </c>
      <c r="G4814" s="1">
        <v>5</v>
      </c>
      <c r="H4814" s="1">
        <v>3570</v>
      </c>
      <c r="I4814" s="1">
        <v>0.15</v>
      </c>
      <c r="J4814" s="1">
        <v>15172.5</v>
      </c>
      <c r="K4814" s="1">
        <v>2445.4</v>
      </c>
      <c r="L4814" s="1" t="s">
        <v>17</v>
      </c>
      <c r="M4814" s="1" t="str">
        <f>TEXT(Table1[[#This Row],[Order Date]],"mmm")</f>
        <v>Jun</v>
      </c>
      <c r="N4814" s="1">
        <f>YEAR(Table1[[#This Row],[Order Date]])</f>
        <v>2024</v>
      </c>
    </row>
    <row r="4815" spans="1:14" x14ac:dyDescent="0.35">
      <c r="A4815" s="1" t="s">
        <v>5612</v>
      </c>
      <c r="B4815" s="1" t="s">
        <v>1452</v>
      </c>
      <c r="C4815" s="1" t="s">
        <v>208</v>
      </c>
      <c r="D4815" s="1" t="s">
        <v>141</v>
      </c>
      <c r="E4815" s="1" t="s">
        <v>22</v>
      </c>
      <c r="F4815" s="1" t="s">
        <v>141</v>
      </c>
      <c r="G4815" s="1">
        <v>6</v>
      </c>
      <c r="H4815" s="1">
        <v>11104</v>
      </c>
      <c r="I4815" s="1">
        <v>0.15</v>
      </c>
      <c r="J4815" s="1">
        <v>56630.400000000001</v>
      </c>
      <c r="K4815" s="1">
        <v>12370.62</v>
      </c>
      <c r="L4815" s="1" t="s">
        <v>23</v>
      </c>
      <c r="M4815" s="1" t="str">
        <f>TEXT(Table1[[#This Row],[Order Date]],"mmm")</f>
        <v>Apr</v>
      </c>
      <c r="N4815" s="1">
        <f>YEAR(Table1[[#This Row],[Order Date]])</f>
        <v>2024</v>
      </c>
    </row>
    <row r="4816" spans="1:14" x14ac:dyDescent="0.35">
      <c r="A4816" s="1" t="s">
        <v>5613</v>
      </c>
      <c r="B4816" s="1" t="s">
        <v>2671</v>
      </c>
      <c r="C4816" s="1" t="s">
        <v>335</v>
      </c>
      <c r="D4816" s="1" t="s">
        <v>32</v>
      </c>
      <c r="E4816" s="1" t="s">
        <v>33</v>
      </c>
      <c r="F4816" s="1" t="s">
        <v>32</v>
      </c>
      <c r="G4816" s="1">
        <v>15</v>
      </c>
      <c r="H4816" s="1">
        <v>59238</v>
      </c>
      <c r="I4816" s="1">
        <v>0.2</v>
      </c>
      <c r="J4816" s="1">
        <v>710856</v>
      </c>
      <c r="K4816" s="1">
        <v>73271.95</v>
      </c>
      <c r="L4816" s="1" t="s">
        <v>17</v>
      </c>
      <c r="M4816" s="1" t="str">
        <f>TEXT(Table1[[#This Row],[Order Date]],"mmm")</f>
        <v>Nov</v>
      </c>
      <c r="N4816" s="1">
        <f>YEAR(Table1[[#This Row],[Order Date]])</f>
        <v>2023</v>
      </c>
    </row>
    <row r="4817" spans="1:14" x14ac:dyDescent="0.35">
      <c r="A4817" s="1" t="s">
        <v>5614</v>
      </c>
      <c r="B4817" s="1" t="s">
        <v>1166</v>
      </c>
      <c r="C4817" s="1" t="s">
        <v>155</v>
      </c>
      <c r="D4817" s="1" t="s">
        <v>133</v>
      </c>
      <c r="E4817" s="1" t="s">
        <v>22</v>
      </c>
      <c r="F4817" s="1" t="s">
        <v>133</v>
      </c>
      <c r="G4817" s="1">
        <v>4</v>
      </c>
      <c r="H4817" s="1">
        <v>13963</v>
      </c>
      <c r="I4817" s="1">
        <v>0.15</v>
      </c>
      <c r="J4817" s="1">
        <v>47474.2</v>
      </c>
      <c r="K4817" s="1">
        <v>12456.23</v>
      </c>
      <c r="L4817" s="1" t="s">
        <v>17</v>
      </c>
      <c r="M4817" s="1" t="str">
        <f>TEXT(Table1[[#This Row],[Order Date]],"mmm")</f>
        <v>Oct</v>
      </c>
      <c r="N4817" s="1">
        <f>YEAR(Table1[[#This Row],[Order Date]])</f>
        <v>2024</v>
      </c>
    </row>
    <row r="4818" spans="1:14" x14ac:dyDescent="0.35">
      <c r="A4818" s="1" t="s">
        <v>5615</v>
      </c>
      <c r="B4818" s="1" t="s">
        <v>1337</v>
      </c>
      <c r="C4818" s="1" t="s">
        <v>104</v>
      </c>
      <c r="D4818" s="1" t="s">
        <v>293</v>
      </c>
      <c r="E4818" s="1" t="s">
        <v>33</v>
      </c>
      <c r="F4818" s="1" t="s">
        <v>293</v>
      </c>
      <c r="G4818" s="1">
        <v>15</v>
      </c>
      <c r="H4818" s="1">
        <v>23834</v>
      </c>
      <c r="I4818" s="1">
        <v>0.1</v>
      </c>
      <c r="J4818" s="1">
        <v>321759</v>
      </c>
      <c r="K4818" s="1">
        <v>39546.639999999999</v>
      </c>
      <c r="L4818" s="1" t="s">
        <v>45</v>
      </c>
      <c r="M4818" s="1" t="str">
        <f>TEXT(Table1[[#This Row],[Order Date]],"mmm")</f>
        <v>Dec</v>
      </c>
      <c r="N4818" s="1">
        <f>YEAR(Table1[[#This Row],[Order Date]])</f>
        <v>2024</v>
      </c>
    </row>
    <row r="4819" spans="1:14" x14ac:dyDescent="0.35">
      <c r="A4819" s="1" t="s">
        <v>5616</v>
      </c>
      <c r="B4819" s="1" t="s">
        <v>976</v>
      </c>
      <c r="C4819" s="1" t="s">
        <v>120</v>
      </c>
      <c r="D4819" s="1" t="s">
        <v>52</v>
      </c>
      <c r="E4819" s="1" t="s">
        <v>28</v>
      </c>
      <c r="F4819" s="1" t="s">
        <v>52</v>
      </c>
      <c r="G4819" s="1">
        <v>12</v>
      </c>
      <c r="H4819" s="1">
        <v>50587</v>
      </c>
      <c r="I4819" s="1">
        <v>0.2</v>
      </c>
      <c r="J4819" s="1">
        <v>485635.2</v>
      </c>
      <c r="K4819" s="1">
        <v>98571.45</v>
      </c>
      <c r="L4819" s="1" t="s">
        <v>70</v>
      </c>
      <c r="M4819" s="1" t="str">
        <f>TEXT(Table1[[#This Row],[Order Date]],"mmm")</f>
        <v>Oct</v>
      </c>
      <c r="N4819" s="1">
        <f>YEAR(Table1[[#This Row],[Order Date]])</f>
        <v>2024</v>
      </c>
    </row>
    <row r="4820" spans="1:14" x14ac:dyDescent="0.35">
      <c r="A4820" s="1" t="s">
        <v>5617</v>
      </c>
      <c r="B4820" s="1" t="s">
        <v>3080</v>
      </c>
      <c r="C4820" s="1" t="s">
        <v>36</v>
      </c>
      <c r="D4820" s="1" t="s">
        <v>133</v>
      </c>
      <c r="E4820" s="1" t="s">
        <v>22</v>
      </c>
      <c r="F4820" s="1" t="s">
        <v>133</v>
      </c>
      <c r="G4820" s="1">
        <v>6</v>
      </c>
      <c r="H4820" s="1">
        <v>26961</v>
      </c>
      <c r="I4820" s="1">
        <v>0.1</v>
      </c>
      <c r="J4820" s="1">
        <v>145589.4</v>
      </c>
      <c r="K4820" s="1">
        <v>39112.61</v>
      </c>
      <c r="L4820" s="1" t="s">
        <v>45</v>
      </c>
      <c r="M4820" s="1" t="str">
        <f>TEXT(Table1[[#This Row],[Order Date]],"mmm")</f>
        <v>Oct</v>
      </c>
      <c r="N4820" s="1">
        <f>YEAR(Table1[[#This Row],[Order Date]])</f>
        <v>2024</v>
      </c>
    </row>
    <row r="4821" spans="1:14" x14ac:dyDescent="0.35">
      <c r="A4821" s="1" t="s">
        <v>5618</v>
      </c>
      <c r="B4821" s="1" t="s">
        <v>1860</v>
      </c>
      <c r="C4821" s="1" t="s">
        <v>507</v>
      </c>
      <c r="D4821" s="1" t="s">
        <v>32</v>
      </c>
      <c r="E4821" s="1" t="s">
        <v>33</v>
      </c>
      <c r="F4821" s="1" t="s">
        <v>32</v>
      </c>
      <c r="G4821" s="1">
        <v>15</v>
      </c>
      <c r="H4821" s="1">
        <v>16784</v>
      </c>
      <c r="I4821" s="1">
        <v>0.2</v>
      </c>
      <c r="J4821" s="1">
        <v>201408</v>
      </c>
      <c r="K4821" s="1">
        <v>39478.71</v>
      </c>
      <c r="L4821" s="1" t="s">
        <v>17</v>
      </c>
      <c r="M4821" s="1" t="str">
        <f>TEXT(Table1[[#This Row],[Order Date]],"mmm")</f>
        <v>Jul</v>
      </c>
      <c r="N4821" s="1">
        <f>YEAR(Table1[[#This Row],[Order Date]])</f>
        <v>2023</v>
      </c>
    </row>
    <row r="4822" spans="1:14" x14ac:dyDescent="0.35">
      <c r="A4822" s="1" t="s">
        <v>5619</v>
      </c>
      <c r="B4822" s="1" t="s">
        <v>2241</v>
      </c>
      <c r="C4822" s="1" t="s">
        <v>158</v>
      </c>
      <c r="D4822" s="1" t="s">
        <v>91</v>
      </c>
      <c r="E4822" s="1" t="s">
        <v>16</v>
      </c>
      <c r="F4822" s="1" t="s">
        <v>91</v>
      </c>
      <c r="G4822" s="1">
        <v>8</v>
      </c>
      <c r="H4822" s="1">
        <v>35787</v>
      </c>
      <c r="I4822" s="1">
        <v>0.05</v>
      </c>
      <c r="J4822" s="1">
        <v>271981.2</v>
      </c>
      <c r="K4822" s="1">
        <v>25743.03</v>
      </c>
      <c r="L4822" s="1" t="s">
        <v>70</v>
      </c>
      <c r="M4822" s="1" t="str">
        <f>TEXT(Table1[[#This Row],[Order Date]],"mmm")</f>
        <v>Feb</v>
      </c>
      <c r="N4822" s="1">
        <f>YEAR(Table1[[#This Row],[Order Date]])</f>
        <v>2024</v>
      </c>
    </row>
    <row r="4823" spans="1:14" x14ac:dyDescent="0.35">
      <c r="A4823" s="1" t="s">
        <v>5620</v>
      </c>
      <c r="B4823" s="1" t="s">
        <v>817</v>
      </c>
      <c r="C4823" s="1" t="s">
        <v>136</v>
      </c>
      <c r="D4823" s="1" t="s">
        <v>179</v>
      </c>
      <c r="E4823" s="1" t="s">
        <v>28</v>
      </c>
      <c r="F4823" s="1" t="s">
        <v>179</v>
      </c>
      <c r="G4823" s="1">
        <v>13</v>
      </c>
      <c r="H4823" s="1">
        <v>44336</v>
      </c>
      <c r="I4823" s="1">
        <v>0</v>
      </c>
      <c r="J4823" s="1">
        <v>576368</v>
      </c>
      <c r="K4823" s="1">
        <v>156533.60999999999</v>
      </c>
      <c r="L4823" s="1" t="s">
        <v>17</v>
      </c>
      <c r="M4823" s="1" t="str">
        <f>TEXT(Table1[[#This Row],[Order Date]],"mmm")</f>
        <v>Jul</v>
      </c>
      <c r="N4823" s="1">
        <f>YEAR(Table1[[#This Row],[Order Date]])</f>
        <v>2024</v>
      </c>
    </row>
    <row r="4824" spans="1:14" x14ac:dyDescent="0.35">
      <c r="A4824" s="1" t="s">
        <v>5621</v>
      </c>
      <c r="B4824" s="1" t="s">
        <v>3040</v>
      </c>
      <c r="C4824" s="1" t="s">
        <v>36</v>
      </c>
      <c r="D4824" s="1" t="s">
        <v>323</v>
      </c>
      <c r="E4824" s="1" t="s">
        <v>33</v>
      </c>
      <c r="F4824" s="1" t="s">
        <v>323</v>
      </c>
      <c r="G4824" s="1">
        <v>5</v>
      </c>
      <c r="H4824" s="1">
        <v>45793</v>
      </c>
      <c r="I4824" s="1">
        <v>0.15</v>
      </c>
      <c r="J4824" s="1">
        <v>194620.25</v>
      </c>
      <c r="K4824" s="1">
        <v>35833.980000000003</v>
      </c>
      <c r="L4824" s="1" t="s">
        <v>23</v>
      </c>
      <c r="M4824" s="1" t="str">
        <f>TEXT(Table1[[#This Row],[Order Date]],"mmm")</f>
        <v>Jul</v>
      </c>
      <c r="N4824" s="1">
        <f>YEAR(Table1[[#This Row],[Order Date]])</f>
        <v>2023</v>
      </c>
    </row>
    <row r="4825" spans="1:14" x14ac:dyDescent="0.35">
      <c r="A4825" s="1" t="s">
        <v>5622</v>
      </c>
      <c r="B4825" s="1" t="s">
        <v>374</v>
      </c>
      <c r="C4825" s="1" t="s">
        <v>175</v>
      </c>
      <c r="D4825" s="1" t="s">
        <v>141</v>
      </c>
      <c r="E4825" s="1" t="s">
        <v>22</v>
      </c>
      <c r="F4825" s="1" t="s">
        <v>141</v>
      </c>
      <c r="G4825" s="1">
        <v>11</v>
      </c>
      <c r="H4825" s="1">
        <v>5687</v>
      </c>
      <c r="I4825" s="1">
        <v>0.05</v>
      </c>
      <c r="J4825" s="1">
        <v>59429.15</v>
      </c>
      <c r="K4825" s="1">
        <v>8144.1</v>
      </c>
      <c r="L4825" s="1" t="s">
        <v>23</v>
      </c>
      <c r="M4825" s="1" t="str">
        <f>TEXT(Table1[[#This Row],[Order Date]],"mmm")</f>
        <v>Oct</v>
      </c>
      <c r="N4825" s="1">
        <f>YEAR(Table1[[#This Row],[Order Date]])</f>
        <v>2023</v>
      </c>
    </row>
    <row r="4826" spans="1:14" x14ac:dyDescent="0.35">
      <c r="A4826" s="1" t="s">
        <v>5623</v>
      </c>
      <c r="B4826" s="1" t="s">
        <v>2070</v>
      </c>
      <c r="C4826" s="1" t="s">
        <v>203</v>
      </c>
      <c r="D4826" s="1" t="s">
        <v>179</v>
      </c>
      <c r="E4826" s="1" t="s">
        <v>28</v>
      </c>
      <c r="F4826" s="1" t="s">
        <v>179</v>
      </c>
      <c r="G4826" s="1">
        <v>12</v>
      </c>
      <c r="H4826" s="1">
        <v>57371</v>
      </c>
      <c r="I4826" s="1">
        <v>0.15</v>
      </c>
      <c r="J4826" s="1">
        <v>585184.19999999995</v>
      </c>
      <c r="K4826" s="1">
        <v>161273.13</v>
      </c>
      <c r="L4826" s="1" t="s">
        <v>45</v>
      </c>
      <c r="M4826" s="1" t="str">
        <f>TEXT(Table1[[#This Row],[Order Date]],"mmm")</f>
        <v>Apr</v>
      </c>
      <c r="N4826" s="1">
        <f>YEAR(Table1[[#This Row],[Order Date]])</f>
        <v>2024</v>
      </c>
    </row>
    <row r="4827" spans="1:14" x14ac:dyDescent="0.35">
      <c r="A4827" s="1" t="s">
        <v>5624</v>
      </c>
      <c r="B4827" s="1" t="s">
        <v>2447</v>
      </c>
      <c r="C4827" s="1" t="s">
        <v>158</v>
      </c>
      <c r="D4827" s="1" t="s">
        <v>323</v>
      </c>
      <c r="E4827" s="1" t="s">
        <v>33</v>
      </c>
      <c r="F4827" s="1" t="s">
        <v>323</v>
      </c>
      <c r="G4827" s="1">
        <v>13</v>
      </c>
      <c r="H4827" s="1">
        <v>11563</v>
      </c>
      <c r="I4827" s="1">
        <v>0.05</v>
      </c>
      <c r="J4827" s="1">
        <v>142803.04999999999</v>
      </c>
      <c r="K4827" s="1">
        <v>39758.42</v>
      </c>
      <c r="L4827" s="1" t="s">
        <v>70</v>
      </c>
      <c r="M4827" s="1" t="str">
        <f>TEXT(Table1[[#This Row],[Order Date]],"mmm")</f>
        <v>Jun</v>
      </c>
      <c r="N4827" s="1">
        <f>YEAR(Table1[[#This Row],[Order Date]])</f>
        <v>2024</v>
      </c>
    </row>
    <row r="4828" spans="1:14" x14ac:dyDescent="0.35">
      <c r="A4828" s="1" t="s">
        <v>5625</v>
      </c>
      <c r="B4828" s="1" t="s">
        <v>1354</v>
      </c>
      <c r="C4828" s="1" t="s">
        <v>640</v>
      </c>
      <c r="D4828" s="1" t="s">
        <v>141</v>
      </c>
      <c r="E4828" s="1" t="s">
        <v>22</v>
      </c>
      <c r="F4828" s="1" t="s">
        <v>141</v>
      </c>
      <c r="G4828" s="1">
        <v>7</v>
      </c>
      <c r="H4828" s="1">
        <v>12512</v>
      </c>
      <c r="I4828" s="1">
        <v>0.2</v>
      </c>
      <c r="J4828" s="1">
        <v>70067.199999999997</v>
      </c>
      <c r="K4828" s="1">
        <v>8915.2999999999993</v>
      </c>
      <c r="L4828" s="1" t="s">
        <v>23</v>
      </c>
      <c r="M4828" s="1" t="str">
        <f>TEXT(Table1[[#This Row],[Order Date]],"mmm")</f>
        <v>Aug</v>
      </c>
      <c r="N4828" s="1">
        <f>YEAR(Table1[[#This Row],[Order Date]])</f>
        <v>2024</v>
      </c>
    </row>
    <row r="4829" spans="1:14" x14ac:dyDescent="0.35">
      <c r="A4829" s="1" t="s">
        <v>5626</v>
      </c>
      <c r="B4829" s="1" t="s">
        <v>2291</v>
      </c>
      <c r="C4829" s="1" t="s">
        <v>67</v>
      </c>
      <c r="D4829" s="1" t="s">
        <v>323</v>
      </c>
      <c r="E4829" s="1" t="s">
        <v>33</v>
      </c>
      <c r="F4829" s="1" t="s">
        <v>323</v>
      </c>
      <c r="G4829" s="1">
        <v>11</v>
      </c>
      <c r="H4829" s="1">
        <v>39056</v>
      </c>
      <c r="I4829" s="1">
        <v>0</v>
      </c>
      <c r="J4829" s="1">
        <v>429616</v>
      </c>
      <c r="K4829" s="1">
        <v>39663.870000000003</v>
      </c>
      <c r="L4829" s="1" t="s">
        <v>70</v>
      </c>
      <c r="M4829" s="1" t="str">
        <f>TEXT(Table1[[#This Row],[Order Date]],"mmm")</f>
        <v>Sep</v>
      </c>
      <c r="N4829" s="1">
        <f>YEAR(Table1[[#This Row],[Order Date]])</f>
        <v>2023</v>
      </c>
    </row>
    <row r="4830" spans="1:14" x14ac:dyDescent="0.35">
      <c r="A4830" s="1" t="s">
        <v>5627</v>
      </c>
      <c r="B4830" s="1" t="s">
        <v>2017</v>
      </c>
      <c r="C4830" s="1" t="s">
        <v>104</v>
      </c>
      <c r="D4830" s="1" t="s">
        <v>114</v>
      </c>
      <c r="E4830" s="1" t="s">
        <v>16</v>
      </c>
      <c r="F4830" s="1" t="s">
        <v>114</v>
      </c>
      <c r="G4830" s="1">
        <v>8</v>
      </c>
      <c r="H4830" s="1">
        <v>20574</v>
      </c>
      <c r="I4830" s="1">
        <v>0</v>
      </c>
      <c r="J4830" s="1">
        <v>164592</v>
      </c>
      <c r="K4830" s="1">
        <v>19699.189999999999</v>
      </c>
      <c r="L4830" s="1" t="s">
        <v>70</v>
      </c>
      <c r="M4830" s="1" t="str">
        <f>TEXT(Table1[[#This Row],[Order Date]],"mmm")</f>
        <v>Sep</v>
      </c>
      <c r="N4830" s="1">
        <f>YEAR(Table1[[#This Row],[Order Date]])</f>
        <v>2024</v>
      </c>
    </row>
    <row r="4831" spans="1:14" x14ac:dyDescent="0.35">
      <c r="A4831" s="1" t="s">
        <v>5628</v>
      </c>
      <c r="B4831" s="1" t="s">
        <v>554</v>
      </c>
      <c r="C4831" s="1" t="s">
        <v>104</v>
      </c>
      <c r="D4831" s="1" t="s">
        <v>323</v>
      </c>
      <c r="E4831" s="1" t="s">
        <v>33</v>
      </c>
      <c r="F4831" s="1" t="s">
        <v>323</v>
      </c>
      <c r="G4831" s="1">
        <v>2</v>
      </c>
      <c r="H4831" s="1">
        <v>27418</v>
      </c>
      <c r="I4831" s="1">
        <v>0</v>
      </c>
      <c r="J4831" s="1">
        <v>54836</v>
      </c>
      <c r="K4831" s="1">
        <v>14728.03</v>
      </c>
      <c r="L4831" s="1" t="s">
        <v>70</v>
      </c>
      <c r="M4831" s="1" t="str">
        <f>TEXT(Table1[[#This Row],[Order Date]],"mmm")</f>
        <v>Nov</v>
      </c>
      <c r="N4831" s="1">
        <f>YEAR(Table1[[#This Row],[Order Date]])</f>
        <v>2023</v>
      </c>
    </row>
    <row r="4832" spans="1:14" x14ac:dyDescent="0.35">
      <c r="A4832" s="1" t="s">
        <v>5629</v>
      </c>
      <c r="B4832" s="1" t="s">
        <v>1492</v>
      </c>
      <c r="C4832" s="1" t="s">
        <v>158</v>
      </c>
      <c r="D4832" s="1" t="s">
        <v>32</v>
      </c>
      <c r="E4832" s="1" t="s">
        <v>33</v>
      </c>
      <c r="F4832" s="1" t="s">
        <v>32</v>
      </c>
      <c r="G4832" s="1">
        <v>5</v>
      </c>
      <c r="H4832" s="1">
        <v>24349</v>
      </c>
      <c r="I4832" s="1">
        <v>0</v>
      </c>
      <c r="J4832" s="1">
        <v>121745</v>
      </c>
      <c r="K4832" s="1">
        <v>29483.53</v>
      </c>
      <c r="L4832" s="1" t="s">
        <v>17</v>
      </c>
      <c r="M4832" s="1" t="str">
        <f>TEXT(Table1[[#This Row],[Order Date]],"mmm")</f>
        <v>Mar</v>
      </c>
      <c r="N4832" s="1">
        <f>YEAR(Table1[[#This Row],[Order Date]])</f>
        <v>2024</v>
      </c>
    </row>
    <row r="4833" spans="1:14" x14ac:dyDescent="0.35">
      <c r="A4833" s="1" t="s">
        <v>5630</v>
      </c>
      <c r="B4833" s="1" t="s">
        <v>3395</v>
      </c>
      <c r="C4833" s="1" t="s">
        <v>227</v>
      </c>
      <c r="D4833" s="1" t="s">
        <v>133</v>
      </c>
      <c r="E4833" s="1" t="s">
        <v>22</v>
      </c>
      <c r="F4833" s="1" t="s">
        <v>133</v>
      </c>
      <c r="G4833" s="1">
        <v>9</v>
      </c>
      <c r="H4833" s="1">
        <v>55271</v>
      </c>
      <c r="I4833" s="1">
        <v>0.05</v>
      </c>
      <c r="J4833" s="1">
        <v>472567.05</v>
      </c>
      <c r="K4833" s="1">
        <v>122561.05</v>
      </c>
      <c r="L4833" s="1" t="s">
        <v>17</v>
      </c>
      <c r="M4833" s="1" t="str">
        <f>TEXT(Table1[[#This Row],[Order Date]],"mmm")</f>
        <v>Feb</v>
      </c>
      <c r="N4833" s="1">
        <f>YEAR(Table1[[#This Row],[Order Date]])</f>
        <v>2023</v>
      </c>
    </row>
    <row r="4834" spans="1:14" x14ac:dyDescent="0.35">
      <c r="A4834" s="1" t="s">
        <v>5631</v>
      </c>
      <c r="B4834" s="1" t="s">
        <v>3572</v>
      </c>
      <c r="C4834" s="1" t="s">
        <v>188</v>
      </c>
      <c r="D4834" s="1" t="s">
        <v>41</v>
      </c>
      <c r="E4834" s="1" t="s">
        <v>16</v>
      </c>
      <c r="F4834" s="1" t="s">
        <v>41</v>
      </c>
      <c r="G4834" s="1">
        <v>2</v>
      </c>
      <c r="H4834" s="1">
        <v>39883</v>
      </c>
      <c r="I4834" s="1">
        <v>0.2</v>
      </c>
      <c r="J4834" s="1">
        <v>63812.800000000003</v>
      </c>
      <c r="K4834" s="1">
        <v>15475.73</v>
      </c>
      <c r="L4834" s="1" t="s">
        <v>23</v>
      </c>
      <c r="M4834" s="1" t="str">
        <f>TEXT(Table1[[#This Row],[Order Date]],"mmm")</f>
        <v>Mar</v>
      </c>
      <c r="N4834" s="1">
        <f>YEAR(Table1[[#This Row],[Order Date]])</f>
        <v>2024</v>
      </c>
    </row>
    <row r="4835" spans="1:14" x14ac:dyDescent="0.35">
      <c r="A4835" s="1" t="s">
        <v>5632</v>
      </c>
      <c r="B4835" s="1" t="s">
        <v>421</v>
      </c>
      <c r="C4835" s="1" t="s">
        <v>178</v>
      </c>
      <c r="D4835" s="1" t="s">
        <v>167</v>
      </c>
      <c r="E4835" s="1" t="s">
        <v>16</v>
      </c>
      <c r="F4835" s="1" t="s">
        <v>167</v>
      </c>
      <c r="G4835" s="1">
        <v>2</v>
      </c>
      <c r="H4835" s="1">
        <v>37752</v>
      </c>
      <c r="I4835" s="1">
        <v>0.05</v>
      </c>
      <c r="J4835" s="1">
        <v>71728.800000000003</v>
      </c>
      <c r="K4835" s="1">
        <v>11476.98</v>
      </c>
      <c r="L4835" s="1" t="s">
        <v>17</v>
      </c>
      <c r="M4835" s="1" t="str">
        <f>TEXT(Table1[[#This Row],[Order Date]],"mmm")</f>
        <v>Nov</v>
      </c>
      <c r="N4835" s="1">
        <f>YEAR(Table1[[#This Row],[Order Date]])</f>
        <v>2023</v>
      </c>
    </row>
    <row r="4836" spans="1:14" x14ac:dyDescent="0.35">
      <c r="A4836" s="1" t="s">
        <v>5633</v>
      </c>
      <c r="B4836" s="1" t="s">
        <v>193</v>
      </c>
      <c r="C4836" s="1" t="s">
        <v>332</v>
      </c>
      <c r="D4836" s="1" t="s">
        <v>167</v>
      </c>
      <c r="E4836" s="1" t="s">
        <v>16</v>
      </c>
      <c r="F4836" s="1" t="s">
        <v>167</v>
      </c>
      <c r="G4836" s="1">
        <v>3</v>
      </c>
      <c r="H4836" s="1">
        <v>9316</v>
      </c>
      <c r="I4836" s="1">
        <v>0.1</v>
      </c>
      <c r="J4836" s="1">
        <v>25153.200000000001</v>
      </c>
      <c r="K4836" s="1">
        <v>5086.96</v>
      </c>
      <c r="L4836" s="1" t="s">
        <v>17</v>
      </c>
      <c r="M4836" s="1" t="str">
        <f>TEXT(Table1[[#This Row],[Order Date]],"mmm")</f>
        <v>Jun</v>
      </c>
      <c r="N4836" s="1">
        <f>YEAR(Table1[[#This Row],[Order Date]])</f>
        <v>2023</v>
      </c>
    </row>
    <row r="4837" spans="1:14" x14ac:dyDescent="0.35">
      <c r="A4837" s="1" t="s">
        <v>5634</v>
      </c>
      <c r="B4837" s="1" t="s">
        <v>1015</v>
      </c>
      <c r="C4837" s="1" t="s">
        <v>101</v>
      </c>
      <c r="D4837" s="1" t="s">
        <v>74</v>
      </c>
      <c r="E4837" s="1" t="s">
        <v>22</v>
      </c>
      <c r="F4837" s="1" t="s">
        <v>74</v>
      </c>
      <c r="G4837" s="1">
        <v>13</v>
      </c>
      <c r="H4837" s="1">
        <v>39607</v>
      </c>
      <c r="I4837" s="1">
        <v>0.1</v>
      </c>
      <c r="J4837" s="1">
        <v>463401.9</v>
      </c>
      <c r="K4837" s="1">
        <v>81650.38</v>
      </c>
      <c r="L4837" s="1" t="s">
        <v>23</v>
      </c>
      <c r="M4837" s="1" t="str">
        <f>TEXT(Table1[[#This Row],[Order Date]],"mmm")</f>
        <v>Aug</v>
      </c>
      <c r="N4837" s="1">
        <f>YEAR(Table1[[#This Row],[Order Date]])</f>
        <v>2023</v>
      </c>
    </row>
    <row r="4838" spans="1:14" x14ac:dyDescent="0.35">
      <c r="A4838" s="1" t="s">
        <v>5635</v>
      </c>
      <c r="B4838" s="1" t="s">
        <v>469</v>
      </c>
      <c r="C4838" s="1" t="s">
        <v>51</v>
      </c>
      <c r="D4838" s="1" t="s">
        <v>48</v>
      </c>
      <c r="E4838" s="1" t="s">
        <v>16</v>
      </c>
      <c r="F4838" s="1" t="s">
        <v>48</v>
      </c>
      <c r="G4838" s="1">
        <v>10</v>
      </c>
      <c r="H4838" s="1">
        <v>49122</v>
      </c>
      <c r="I4838" s="1">
        <v>0</v>
      </c>
      <c r="J4838" s="1">
        <v>491220</v>
      </c>
      <c r="K4838" s="1">
        <v>51048.01</v>
      </c>
      <c r="L4838" s="1" t="s">
        <v>70</v>
      </c>
      <c r="M4838" s="1" t="str">
        <f>TEXT(Table1[[#This Row],[Order Date]],"mmm")</f>
        <v>Apr</v>
      </c>
      <c r="N4838" s="1">
        <f>YEAR(Table1[[#This Row],[Order Date]])</f>
        <v>2023</v>
      </c>
    </row>
    <row r="4839" spans="1:14" x14ac:dyDescent="0.35">
      <c r="A4839" s="1" t="s">
        <v>5636</v>
      </c>
      <c r="B4839" s="1" t="s">
        <v>1113</v>
      </c>
      <c r="C4839" s="1" t="s">
        <v>140</v>
      </c>
      <c r="D4839" s="1" t="s">
        <v>41</v>
      </c>
      <c r="E4839" s="1" t="s">
        <v>16</v>
      </c>
      <c r="F4839" s="1" t="s">
        <v>41</v>
      </c>
      <c r="G4839" s="1">
        <v>7</v>
      </c>
      <c r="H4839" s="1">
        <v>6089</v>
      </c>
      <c r="I4839" s="1">
        <v>0.05</v>
      </c>
      <c r="J4839" s="1">
        <v>40491.85</v>
      </c>
      <c r="K4839" s="1">
        <v>11712.28</v>
      </c>
      <c r="L4839" s="1" t="s">
        <v>70</v>
      </c>
      <c r="M4839" s="1" t="str">
        <f>TEXT(Table1[[#This Row],[Order Date]],"mmm")</f>
        <v>Feb</v>
      </c>
      <c r="N4839" s="1">
        <f>YEAR(Table1[[#This Row],[Order Date]])</f>
        <v>2023</v>
      </c>
    </row>
    <row r="4840" spans="1:14" x14ac:dyDescent="0.35">
      <c r="A4840" s="1" t="s">
        <v>5637</v>
      </c>
      <c r="B4840" s="1" t="s">
        <v>1354</v>
      </c>
      <c r="C4840" s="1" t="s">
        <v>332</v>
      </c>
      <c r="D4840" s="1" t="s">
        <v>56</v>
      </c>
      <c r="E4840" s="1" t="s">
        <v>22</v>
      </c>
      <c r="F4840" s="1" t="s">
        <v>56</v>
      </c>
      <c r="G4840" s="1">
        <v>15</v>
      </c>
      <c r="H4840" s="1">
        <v>7884</v>
      </c>
      <c r="I4840" s="1">
        <v>0</v>
      </c>
      <c r="J4840" s="1">
        <v>118260</v>
      </c>
      <c r="K4840" s="1">
        <v>32497.49</v>
      </c>
      <c r="L4840" s="1" t="s">
        <v>17</v>
      </c>
      <c r="M4840" s="1" t="str">
        <f>TEXT(Table1[[#This Row],[Order Date]],"mmm")</f>
        <v>Aug</v>
      </c>
      <c r="N4840" s="1">
        <f>YEAR(Table1[[#This Row],[Order Date]])</f>
        <v>2024</v>
      </c>
    </row>
    <row r="4841" spans="1:14" x14ac:dyDescent="0.35">
      <c r="A4841" s="1" t="s">
        <v>5638</v>
      </c>
      <c r="B4841" s="1" t="s">
        <v>989</v>
      </c>
      <c r="C4841" s="1" t="s">
        <v>335</v>
      </c>
      <c r="D4841" s="1" t="s">
        <v>15</v>
      </c>
      <c r="E4841" s="1" t="s">
        <v>16</v>
      </c>
      <c r="F4841" s="1" t="s">
        <v>15</v>
      </c>
      <c r="G4841" s="1">
        <v>2</v>
      </c>
      <c r="H4841" s="1">
        <v>54928</v>
      </c>
      <c r="I4841" s="1">
        <v>0.1</v>
      </c>
      <c r="J4841" s="1">
        <v>98870.399999999994</v>
      </c>
      <c r="K4841" s="1">
        <v>8021.16</v>
      </c>
      <c r="L4841" s="1" t="s">
        <v>45</v>
      </c>
      <c r="M4841" s="1" t="str">
        <f>TEXT(Table1[[#This Row],[Order Date]],"mmm")</f>
        <v>Oct</v>
      </c>
      <c r="N4841" s="1">
        <f>YEAR(Table1[[#This Row],[Order Date]])</f>
        <v>2024</v>
      </c>
    </row>
    <row r="4842" spans="1:14" x14ac:dyDescent="0.35">
      <c r="A4842" s="1" t="s">
        <v>5639</v>
      </c>
      <c r="B4842" s="1" t="s">
        <v>829</v>
      </c>
      <c r="C4842" s="1" t="s">
        <v>81</v>
      </c>
      <c r="D4842" s="1" t="s">
        <v>293</v>
      </c>
      <c r="E4842" s="1" t="s">
        <v>33</v>
      </c>
      <c r="F4842" s="1" t="s">
        <v>293</v>
      </c>
      <c r="G4842" s="1">
        <v>14</v>
      </c>
      <c r="H4842" s="1">
        <v>30330</v>
      </c>
      <c r="I4842" s="1">
        <v>0</v>
      </c>
      <c r="J4842" s="1">
        <v>424620</v>
      </c>
      <c r="K4842" s="1">
        <v>47070.99</v>
      </c>
      <c r="L4842" s="1" t="s">
        <v>17</v>
      </c>
      <c r="M4842" s="1" t="str">
        <f>TEXT(Table1[[#This Row],[Order Date]],"mmm")</f>
        <v>Aug</v>
      </c>
      <c r="N4842" s="1">
        <f>YEAR(Table1[[#This Row],[Order Date]])</f>
        <v>2024</v>
      </c>
    </row>
    <row r="4843" spans="1:14" x14ac:dyDescent="0.35">
      <c r="A4843" s="1" t="s">
        <v>5640</v>
      </c>
      <c r="B4843" s="1" t="s">
        <v>1487</v>
      </c>
      <c r="C4843" s="1" t="s">
        <v>31</v>
      </c>
      <c r="D4843" s="1" t="s">
        <v>323</v>
      </c>
      <c r="E4843" s="1" t="s">
        <v>33</v>
      </c>
      <c r="F4843" s="1" t="s">
        <v>323</v>
      </c>
      <c r="G4843" s="1">
        <v>13</v>
      </c>
      <c r="H4843" s="1">
        <v>11444</v>
      </c>
      <c r="I4843" s="1">
        <v>0.05</v>
      </c>
      <c r="J4843" s="1">
        <v>141333.4</v>
      </c>
      <c r="K4843" s="1">
        <v>27591.599999999999</v>
      </c>
      <c r="L4843" s="1" t="s">
        <v>70</v>
      </c>
      <c r="M4843" s="1" t="str">
        <f>TEXT(Table1[[#This Row],[Order Date]],"mmm")</f>
        <v>Oct</v>
      </c>
      <c r="N4843" s="1">
        <f>YEAR(Table1[[#This Row],[Order Date]])</f>
        <v>2023</v>
      </c>
    </row>
    <row r="4844" spans="1:14" x14ac:dyDescent="0.35">
      <c r="A4844" s="1" t="s">
        <v>5641</v>
      </c>
      <c r="B4844" s="1" t="s">
        <v>1772</v>
      </c>
      <c r="C4844" s="1" t="s">
        <v>362</v>
      </c>
      <c r="D4844" s="1" t="s">
        <v>114</v>
      </c>
      <c r="E4844" s="1" t="s">
        <v>16</v>
      </c>
      <c r="F4844" s="1" t="s">
        <v>114</v>
      </c>
      <c r="G4844" s="1">
        <v>8</v>
      </c>
      <c r="H4844" s="1">
        <v>14934</v>
      </c>
      <c r="I4844" s="1">
        <v>0.15</v>
      </c>
      <c r="J4844" s="1">
        <v>101551.2</v>
      </c>
      <c r="K4844" s="1">
        <v>28979.7</v>
      </c>
      <c r="L4844" s="1" t="s">
        <v>17</v>
      </c>
      <c r="M4844" s="1" t="str">
        <f>TEXT(Table1[[#This Row],[Order Date]],"mmm")</f>
        <v>Jun</v>
      </c>
      <c r="N4844" s="1">
        <f>YEAR(Table1[[#This Row],[Order Date]])</f>
        <v>2024</v>
      </c>
    </row>
    <row r="4845" spans="1:14" x14ac:dyDescent="0.35">
      <c r="A4845" s="1" t="s">
        <v>5642</v>
      </c>
      <c r="B4845" s="1" t="s">
        <v>1547</v>
      </c>
      <c r="C4845" s="1" t="s">
        <v>36</v>
      </c>
      <c r="D4845" s="1" t="s">
        <v>151</v>
      </c>
      <c r="E4845" s="1" t="s">
        <v>22</v>
      </c>
      <c r="F4845" s="1" t="s">
        <v>151</v>
      </c>
      <c r="G4845" s="1">
        <v>9</v>
      </c>
      <c r="H4845" s="1">
        <v>21546</v>
      </c>
      <c r="I4845" s="1">
        <v>0.2</v>
      </c>
      <c r="J4845" s="1">
        <v>155131.20000000001</v>
      </c>
      <c r="K4845" s="1">
        <v>15424.89</v>
      </c>
      <c r="L4845" s="1" t="s">
        <v>23</v>
      </c>
      <c r="M4845" s="1" t="str">
        <f>TEXT(Table1[[#This Row],[Order Date]],"mmm")</f>
        <v>Nov</v>
      </c>
      <c r="N4845" s="1">
        <f>YEAR(Table1[[#This Row],[Order Date]])</f>
        <v>2024</v>
      </c>
    </row>
    <row r="4846" spans="1:14" x14ac:dyDescent="0.35">
      <c r="A4846" s="1" t="s">
        <v>5643</v>
      </c>
      <c r="B4846" s="1" t="s">
        <v>2915</v>
      </c>
      <c r="C4846" s="1" t="s">
        <v>136</v>
      </c>
      <c r="D4846" s="1" t="s">
        <v>179</v>
      </c>
      <c r="E4846" s="1" t="s">
        <v>28</v>
      </c>
      <c r="F4846" s="1" t="s">
        <v>179</v>
      </c>
      <c r="G4846" s="1">
        <v>3</v>
      </c>
      <c r="H4846" s="1">
        <v>23762</v>
      </c>
      <c r="I4846" s="1">
        <v>0</v>
      </c>
      <c r="J4846" s="1">
        <v>71286</v>
      </c>
      <c r="K4846" s="1">
        <v>18194.400000000001</v>
      </c>
      <c r="L4846" s="1" t="s">
        <v>23</v>
      </c>
      <c r="M4846" s="1" t="str">
        <f>TEXT(Table1[[#This Row],[Order Date]],"mmm")</f>
        <v>Mar</v>
      </c>
      <c r="N4846" s="1">
        <f>YEAR(Table1[[#This Row],[Order Date]])</f>
        <v>2024</v>
      </c>
    </row>
    <row r="4847" spans="1:14" x14ac:dyDescent="0.35">
      <c r="A4847" s="1" t="s">
        <v>5644</v>
      </c>
      <c r="B4847" s="1" t="s">
        <v>2908</v>
      </c>
      <c r="C4847" s="1" t="s">
        <v>507</v>
      </c>
      <c r="D4847" s="1" t="s">
        <v>44</v>
      </c>
      <c r="E4847" s="1" t="s">
        <v>28</v>
      </c>
      <c r="F4847" s="1" t="s">
        <v>44</v>
      </c>
      <c r="G4847" s="1">
        <v>2</v>
      </c>
      <c r="H4847" s="1">
        <v>59422</v>
      </c>
      <c r="I4847" s="1">
        <v>0.1</v>
      </c>
      <c r="J4847" s="1">
        <v>106959.6</v>
      </c>
      <c r="K4847" s="1">
        <v>26213.17</v>
      </c>
      <c r="L4847" s="1" t="s">
        <v>17</v>
      </c>
      <c r="M4847" s="1" t="str">
        <f>TEXT(Table1[[#This Row],[Order Date]],"mmm")</f>
        <v>Sep</v>
      </c>
      <c r="N4847" s="1">
        <f>YEAR(Table1[[#This Row],[Order Date]])</f>
        <v>2024</v>
      </c>
    </row>
    <row r="4848" spans="1:14" x14ac:dyDescent="0.35">
      <c r="A4848" s="1" t="s">
        <v>5645</v>
      </c>
      <c r="B4848" s="1" t="s">
        <v>969</v>
      </c>
      <c r="C4848" s="1" t="s">
        <v>67</v>
      </c>
      <c r="D4848" s="1" t="s">
        <v>32</v>
      </c>
      <c r="E4848" s="1" t="s">
        <v>33</v>
      </c>
      <c r="F4848" s="1" t="s">
        <v>32</v>
      </c>
      <c r="G4848" s="1">
        <v>1</v>
      </c>
      <c r="H4848" s="1">
        <v>2448</v>
      </c>
      <c r="I4848" s="1">
        <v>0.2</v>
      </c>
      <c r="J4848" s="1">
        <v>1958.4</v>
      </c>
      <c r="K4848" s="1">
        <v>570.67999999999995</v>
      </c>
      <c r="L4848" s="1" t="s">
        <v>45</v>
      </c>
      <c r="M4848" s="1" t="str">
        <f>TEXT(Table1[[#This Row],[Order Date]],"mmm")</f>
        <v>Aug</v>
      </c>
      <c r="N4848" s="1">
        <f>YEAR(Table1[[#This Row],[Order Date]])</f>
        <v>2024</v>
      </c>
    </row>
    <row r="4849" spans="1:14" x14ac:dyDescent="0.35">
      <c r="A4849" s="1" t="s">
        <v>5646</v>
      </c>
      <c r="B4849" s="1" t="s">
        <v>157</v>
      </c>
      <c r="C4849" s="1" t="s">
        <v>14</v>
      </c>
      <c r="D4849" s="1" t="s">
        <v>293</v>
      </c>
      <c r="E4849" s="1" t="s">
        <v>33</v>
      </c>
      <c r="F4849" s="1" t="s">
        <v>293</v>
      </c>
      <c r="G4849" s="1">
        <v>12</v>
      </c>
      <c r="H4849" s="1">
        <v>40987</v>
      </c>
      <c r="I4849" s="1">
        <v>0.05</v>
      </c>
      <c r="J4849" s="1">
        <v>467251.8</v>
      </c>
      <c r="K4849" s="1">
        <v>111275.14</v>
      </c>
      <c r="L4849" s="1" t="s">
        <v>17</v>
      </c>
      <c r="M4849" s="1" t="str">
        <f>TEXT(Table1[[#This Row],[Order Date]],"mmm")</f>
        <v>Jan</v>
      </c>
      <c r="N4849" s="1">
        <f>YEAR(Table1[[#This Row],[Order Date]])</f>
        <v>2024</v>
      </c>
    </row>
    <row r="4850" spans="1:14" x14ac:dyDescent="0.35">
      <c r="A4850" s="1" t="s">
        <v>5647</v>
      </c>
      <c r="B4850" s="1" t="s">
        <v>1274</v>
      </c>
      <c r="C4850" s="1" t="s">
        <v>101</v>
      </c>
      <c r="D4850" s="1" t="s">
        <v>41</v>
      </c>
      <c r="E4850" s="1" t="s">
        <v>16</v>
      </c>
      <c r="F4850" s="1" t="s">
        <v>41</v>
      </c>
      <c r="G4850" s="1">
        <v>6</v>
      </c>
      <c r="H4850" s="1">
        <v>9070</v>
      </c>
      <c r="I4850" s="1">
        <v>0.1</v>
      </c>
      <c r="J4850" s="1">
        <v>48978</v>
      </c>
      <c r="K4850" s="1">
        <v>11774.17</v>
      </c>
      <c r="L4850" s="1" t="s">
        <v>23</v>
      </c>
      <c r="M4850" s="1" t="str">
        <f>TEXT(Table1[[#This Row],[Order Date]],"mmm")</f>
        <v>Feb</v>
      </c>
      <c r="N4850" s="1">
        <f>YEAR(Table1[[#This Row],[Order Date]])</f>
        <v>2023</v>
      </c>
    </row>
    <row r="4851" spans="1:14" x14ac:dyDescent="0.35">
      <c r="A4851" s="1" t="s">
        <v>5648</v>
      </c>
      <c r="B4851" s="1" t="s">
        <v>735</v>
      </c>
      <c r="C4851" s="1" t="s">
        <v>227</v>
      </c>
      <c r="D4851" s="1" t="s">
        <v>91</v>
      </c>
      <c r="E4851" s="1" t="s">
        <v>16</v>
      </c>
      <c r="F4851" s="1" t="s">
        <v>91</v>
      </c>
      <c r="G4851" s="1">
        <v>1</v>
      </c>
      <c r="H4851" s="1">
        <v>3420</v>
      </c>
      <c r="I4851" s="1">
        <v>0.15</v>
      </c>
      <c r="J4851" s="1">
        <v>2907</v>
      </c>
      <c r="K4851" s="1">
        <v>799.1</v>
      </c>
      <c r="L4851" s="1" t="s">
        <v>17</v>
      </c>
      <c r="M4851" s="1" t="str">
        <f>TEXT(Table1[[#This Row],[Order Date]],"mmm")</f>
        <v>Aug</v>
      </c>
      <c r="N4851" s="1">
        <f>YEAR(Table1[[#This Row],[Order Date]])</f>
        <v>2024</v>
      </c>
    </row>
    <row r="4852" spans="1:14" x14ac:dyDescent="0.35">
      <c r="A4852" s="1" t="s">
        <v>5649</v>
      </c>
      <c r="B4852" s="1" t="s">
        <v>778</v>
      </c>
      <c r="C4852" s="1" t="s">
        <v>111</v>
      </c>
      <c r="D4852" s="1" t="s">
        <v>41</v>
      </c>
      <c r="E4852" s="1" t="s">
        <v>16</v>
      </c>
      <c r="F4852" s="1" t="s">
        <v>41</v>
      </c>
      <c r="G4852" s="1">
        <v>1</v>
      </c>
      <c r="H4852" s="1">
        <v>41995</v>
      </c>
      <c r="I4852" s="1">
        <v>0.15</v>
      </c>
      <c r="J4852" s="1">
        <v>35695.75</v>
      </c>
      <c r="K4852" s="1">
        <v>6297.98</v>
      </c>
      <c r="L4852" s="1" t="s">
        <v>70</v>
      </c>
      <c r="M4852" s="1" t="str">
        <f>TEXT(Table1[[#This Row],[Order Date]],"mmm")</f>
        <v>Nov</v>
      </c>
      <c r="N4852" s="1">
        <f>YEAR(Table1[[#This Row],[Order Date]])</f>
        <v>2023</v>
      </c>
    </row>
    <row r="4853" spans="1:14" x14ac:dyDescent="0.35">
      <c r="A4853" s="1" t="s">
        <v>5650</v>
      </c>
      <c r="B4853" s="1" t="s">
        <v>1423</v>
      </c>
      <c r="C4853" s="1" t="s">
        <v>104</v>
      </c>
      <c r="D4853" s="1" t="s">
        <v>60</v>
      </c>
      <c r="E4853" s="1" t="s">
        <v>33</v>
      </c>
      <c r="F4853" s="1" t="s">
        <v>60</v>
      </c>
      <c r="G4853" s="1">
        <v>5</v>
      </c>
      <c r="H4853" s="1">
        <v>15852</v>
      </c>
      <c r="I4853" s="1">
        <v>0.1</v>
      </c>
      <c r="J4853" s="1">
        <v>71334</v>
      </c>
      <c r="K4853" s="1">
        <v>12992.31</v>
      </c>
      <c r="L4853" s="1" t="s">
        <v>17</v>
      </c>
      <c r="M4853" s="1" t="str">
        <f>TEXT(Table1[[#This Row],[Order Date]],"mmm")</f>
        <v>Nov</v>
      </c>
      <c r="N4853" s="1">
        <f>YEAR(Table1[[#This Row],[Order Date]])</f>
        <v>2023</v>
      </c>
    </row>
    <row r="4854" spans="1:14" x14ac:dyDescent="0.35">
      <c r="A4854" s="1" t="s">
        <v>5651</v>
      </c>
      <c r="B4854" s="1" t="s">
        <v>655</v>
      </c>
      <c r="C4854" s="1" t="s">
        <v>73</v>
      </c>
      <c r="D4854" s="1" t="s">
        <v>27</v>
      </c>
      <c r="E4854" s="1" t="s">
        <v>28</v>
      </c>
      <c r="F4854" s="1" t="s">
        <v>27</v>
      </c>
      <c r="G4854" s="1">
        <v>4</v>
      </c>
      <c r="H4854" s="1">
        <v>35072</v>
      </c>
      <c r="I4854" s="1">
        <v>0.15</v>
      </c>
      <c r="J4854" s="1">
        <v>119244.8</v>
      </c>
      <c r="K4854" s="1">
        <v>14494.33</v>
      </c>
      <c r="L4854" s="1" t="s">
        <v>23</v>
      </c>
      <c r="M4854" s="1" t="str">
        <f>TEXT(Table1[[#This Row],[Order Date]],"mmm")</f>
        <v>Jul</v>
      </c>
      <c r="N4854" s="1">
        <f>YEAR(Table1[[#This Row],[Order Date]])</f>
        <v>2023</v>
      </c>
    </row>
    <row r="4855" spans="1:14" x14ac:dyDescent="0.35">
      <c r="A4855" s="1" t="s">
        <v>5652</v>
      </c>
      <c r="B4855" s="1" t="s">
        <v>284</v>
      </c>
      <c r="C4855" s="1" t="s">
        <v>14</v>
      </c>
      <c r="D4855" s="1" t="s">
        <v>91</v>
      </c>
      <c r="E4855" s="1" t="s">
        <v>16</v>
      </c>
      <c r="F4855" s="1" t="s">
        <v>91</v>
      </c>
      <c r="G4855" s="1">
        <v>11</v>
      </c>
      <c r="H4855" s="1">
        <v>10135</v>
      </c>
      <c r="I4855" s="1">
        <v>0.1</v>
      </c>
      <c r="J4855" s="1">
        <v>100336.5</v>
      </c>
      <c r="K4855" s="1">
        <v>9770.58</v>
      </c>
      <c r="L4855" s="1" t="s">
        <v>23</v>
      </c>
      <c r="M4855" s="1" t="str">
        <f>TEXT(Table1[[#This Row],[Order Date]],"mmm")</f>
        <v>Nov</v>
      </c>
      <c r="N4855" s="1">
        <f>YEAR(Table1[[#This Row],[Order Date]])</f>
        <v>2023</v>
      </c>
    </row>
    <row r="4856" spans="1:14" x14ac:dyDescent="0.35">
      <c r="A4856" s="1" t="s">
        <v>5653</v>
      </c>
      <c r="B4856" s="1" t="s">
        <v>1113</v>
      </c>
      <c r="C4856" s="1" t="s">
        <v>640</v>
      </c>
      <c r="D4856" s="1" t="s">
        <v>41</v>
      </c>
      <c r="E4856" s="1" t="s">
        <v>16</v>
      </c>
      <c r="F4856" s="1" t="s">
        <v>41</v>
      </c>
      <c r="G4856" s="1">
        <v>2</v>
      </c>
      <c r="H4856" s="1">
        <v>59244</v>
      </c>
      <c r="I4856" s="1">
        <v>0.1</v>
      </c>
      <c r="J4856" s="1">
        <v>106639.2</v>
      </c>
      <c r="K4856" s="1">
        <v>25698.080000000002</v>
      </c>
      <c r="L4856" s="1" t="s">
        <v>23</v>
      </c>
      <c r="M4856" s="1" t="str">
        <f>TEXT(Table1[[#This Row],[Order Date]],"mmm")</f>
        <v>Feb</v>
      </c>
      <c r="N4856" s="1">
        <f>YEAR(Table1[[#This Row],[Order Date]])</f>
        <v>2023</v>
      </c>
    </row>
    <row r="4857" spans="1:14" x14ac:dyDescent="0.35">
      <c r="A4857" s="1" t="s">
        <v>5654</v>
      </c>
      <c r="B4857" s="1" t="s">
        <v>1299</v>
      </c>
      <c r="C4857" s="1" t="s">
        <v>146</v>
      </c>
      <c r="D4857" s="1" t="s">
        <v>151</v>
      </c>
      <c r="E4857" s="1" t="s">
        <v>22</v>
      </c>
      <c r="F4857" s="1" t="s">
        <v>151</v>
      </c>
      <c r="G4857" s="1">
        <v>14</v>
      </c>
      <c r="H4857" s="1">
        <v>1656</v>
      </c>
      <c r="I4857" s="1">
        <v>0.2</v>
      </c>
      <c r="J4857" s="1">
        <v>18547.2</v>
      </c>
      <c r="K4857" s="1">
        <v>1531.29</v>
      </c>
      <c r="L4857" s="1" t="s">
        <v>17</v>
      </c>
      <c r="M4857" s="1" t="str">
        <f>TEXT(Table1[[#This Row],[Order Date]],"mmm")</f>
        <v>Sep</v>
      </c>
      <c r="N4857" s="1">
        <f>YEAR(Table1[[#This Row],[Order Date]])</f>
        <v>2024</v>
      </c>
    </row>
    <row r="4858" spans="1:14" x14ac:dyDescent="0.35">
      <c r="A4858" s="1" t="s">
        <v>5655</v>
      </c>
      <c r="B4858" s="1" t="s">
        <v>802</v>
      </c>
      <c r="C4858" s="1" t="s">
        <v>507</v>
      </c>
      <c r="D4858" s="1" t="s">
        <v>52</v>
      </c>
      <c r="E4858" s="1" t="s">
        <v>28</v>
      </c>
      <c r="F4858" s="1" t="s">
        <v>52</v>
      </c>
      <c r="G4858" s="1">
        <v>14</v>
      </c>
      <c r="H4858" s="1">
        <v>15030</v>
      </c>
      <c r="I4858" s="1">
        <v>0.05</v>
      </c>
      <c r="J4858" s="1">
        <v>199899</v>
      </c>
      <c r="K4858" s="1">
        <v>36855.730000000003</v>
      </c>
      <c r="L4858" s="1" t="s">
        <v>45</v>
      </c>
      <c r="M4858" s="1" t="str">
        <f>TEXT(Table1[[#This Row],[Order Date]],"mmm")</f>
        <v>Jan</v>
      </c>
      <c r="N4858" s="1">
        <f>YEAR(Table1[[#This Row],[Order Date]])</f>
        <v>2024</v>
      </c>
    </row>
    <row r="4859" spans="1:14" x14ac:dyDescent="0.35">
      <c r="A4859" s="1" t="s">
        <v>5656</v>
      </c>
      <c r="B4859" s="1" t="s">
        <v>1124</v>
      </c>
      <c r="C4859" s="1" t="s">
        <v>94</v>
      </c>
      <c r="D4859" s="1" t="s">
        <v>85</v>
      </c>
      <c r="E4859" s="1" t="s">
        <v>28</v>
      </c>
      <c r="F4859" s="1" t="s">
        <v>85</v>
      </c>
      <c r="G4859" s="1">
        <v>9</v>
      </c>
      <c r="H4859" s="1">
        <v>33475</v>
      </c>
      <c r="I4859" s="1">
        <v>0.15</v>
      </c>
      <c r="J4859" s="1">
        <v>256083.75</v>
      </c>
      <c r="K4859" s="1">
        <v>73911.78</v>
      </c>
      <c r="L4859" s="1" t="s">
        <v>23</v>
      </c>
      <c r="M4859" s="1" t="str">
        <f>TEXT(Table1[[#This Row],[Order Date]],"mmm")</f>
        <v>Feb</v>
      </c>
      <c r="N4859" s="1">
        <f>YEAR(Table1[[#This Row],[Order Date]])</f>
        <v>2024</v>
      </c>
    </row>
    <row r="4860" spans="1:14" x14ac:dyDescent="0.35">
      <c r="A4860" s="1" t="s">
        <v>5657</v>
      </c>
      <c r="B4860" s="1" t="s">
        <v>1585</v>
      </c>
      <c r="C4860" s="1" t="s">
        <v>208</v>
      </c>
      <c r="D4860" s="1" t="s">
        <v>91</v>
      </c>
      <c r="E4860" s="1" t="s">
        <v>16</v>
      </c>
      <c r="F4860" s="1" t="s">
        <v>91</v>
      </c>
      <c r="G4860" s="1">
        <v>5</v>
      </c>
      <c r="H4860" s="1">
        <v>42706</v>
      </c>
      <c r="I4860" s="1">
        <v>0.1</v>
      </c>
      <c r="J4860" s="1">
        <v>192177</v>
      </c>
      <c r="K4860" s="1">
        <v>37357.279999999999</v>
      </c>
      <c r="L4860" s="1" t="s">
        <v>23</v>
      </c>
      <c r="M4860" s="1" t="str">
        <f>TEXT(Table1[[#This Row],[Order Date]],"mmm")</f>
        <v>Dec</v>
      </c>
      <c r="N4860" s="1">
        <f>YEAR(Table1[[#This Row],[Order Date]])</f>
        <v>2023</v>
      </c>
    </row>
    <row r="4861" spans="1:14" x14ac:dyDescent="0.35">
      <c r="A4861" s="1" t="s">
        <v>5658</v>
      </c>
      <c r="B4861" s="1" t="s">
        <v>2301</v>
      </c>
      <c r="C4861" s="1" t="s">
        <v>188</v>
      </c>
      <c r="D4861" s="1" t="s">
        <v>151</v>
      </c>
      <c r="E4861" s="1" t="s">
        <v>22</v>
      </c>
      <c r="F4861" s="1" t="s">
        <v>151</v>
      </c>
      <c r="G4861" s="1">
        <v>4</v>
      </c>
      <c r="H4861" s="1">
        <v>55616</v>
      </c>
      <c r="I4861" s="1">
        <v>0</v>
      </c>
      <c r="J4861" s="1">
        <v>222464</v>
      </c>
      <c r="K4861" s="1">
        <v>22939.64</v>
      </c>
      <c r="L4861" s="1" t="s">
        <v>45</v>
      </c>
      <c r="M4861" s="1" t="str">
        <f>TEXT(Table1[[#This Row],[Order Date]],"mmm")</f>
        <v>Jan</v>
      </c>
      <c r="N4861" s="1">
        <f>YEAR(Table1[[#This Row],[Order Date]])</f>
        <v>2023</v>
      </c>
    </row>
    <row r="4862" spans="1:14" x14ac:dyDescent="0.35">
      <c r="A4862" s="1" t="s">
        <v>5659</v>
      </c>
      <c r="B4862" s="1" t="s">
        <v>804</v>
      </c>
      <c r="C4862" s="1" t="s">
        <v>36</v>
      </c>
      <c r="D4862" s="1" t="s">
        <v>15</v>
      </c>
      <c r="E4862" s="1" t="s">
        <v>16</v>
      </c>
      <c r="F4862" s="1" t="s">
        <v>15</v>
      </c>
      <c r="G4862" s="1">
        <v>2</v>
      </c>
      <c r="H4862" s="1">
        <v>14953</v>
      </c>
      <c r="I4862" s="1">
        <v>0.05</v>
      </c>
      <c r="J4862" s="1">
        <v>28410.7</v>
      </c>
      <c r="K4862" s="1">
        <v>2626.44</v>
      </c>
      <c r="L4862" s="1" t="s">
        <v>23</v>
      </c>
      <c r="M4862" s="1" t="str">
        <f>TEXT(Table1[[#This Row],[Order Date]],"mmm")</f>
        <v>Apr</v>
      </c>
      <c r="N4862" s="1">
        <f>YEAR(Table1[[#This Row],[Order Date]])</f>
        <v>2023</v>
      </c>
    </row>
    <row r="4863" spans="1:14" x14ac:dyDescent="0.35">
      <c r="A4863" s="1" t="s">
        <v>5660</v>
      </c>
      <c r="B4863" s="1" t="s">
        <v>1478</v>
      </c>
      <c r="C4863" s="1" t="s">
        <v>94</v>
      </c>
      <c r="D4863" s="1" t="s">
        <v>44</v>
      </c>
      <c r="E4863" s="1" t="s">
        <v>28</v>
      </c>
      <c r="F4863" s="1" t="s">
        <v>44</v>
      </c>
      <c r="G4863" s="1">
        <v>14</v>
      </c>
      <c r="H4863" s="1">
        <v>45790</v>
      </c>
      <c r="I4863" s="1">
        <v>0.05</v>
      </c>
      <c r="J4863" s="1">
        <v>609007</v>
      </c>
      <c r="K4863" s="1">
        <v>68810.78</v>
      </c>
      <c r="L4863" s="1" t="s">
        <v>23</v>
      </c>
      <c r="M4863" s="1" t="str">
        <f>TEXT(Table1[[#This Row],[Order Date]],"mmm")</f>
        <v>Jan</v>
      </c>
      <c r="N4863" s="1">
        <f>YEAR(Table1[[#This Row],[Order Date]])</f>
        <v>2024</v>
      </c>
    </row>
    <row r="4864" spans="1:14" x14ac:dyDescent="0.35">
      <c r="A4864" s="1" t="s">
        <v>5661</v>
      </c>
      <c r="B4864" s="1" t="s">
        <v>1048</v>
      </c>
      <c r="C4864" s="1" t="s">
        <v>332</v>
      </c>
      <c r="D4864" s="1" t="s">
        <v>323</v>
      </c>
      <c r="E4864" s="1" t="s">
        <v>33</v>
      </c>
      <c r="F4864" s="1" t="s">
        <v>323</v>
      </c>
      <c r="G4864" s="1">
        <v>15</v>
      </c>
      <c r="H4864" s="1">
        <v>49203</v>
      </c>
      <c r="I4864" s="1">
        <v>0.15</v>
      </c>
      <c r="J4864" s="1">
        <v>627338.25</v>
      </c>
      <c r="K4864" s="1">
        <v>165983.16</v>
      </c>
      <c r="L4864" s="1" t="s">
        <v>45</v>
      </c>
      <c r="M4864" s="1" t="str">
        <f>TEXT(Table1[[#This Row],[Order Date]],"mmm")</f>
        <v>May</v>
      </c>
      <c r="N4864" s="1">
        <f>YEAR(Table1[[#This Row],[Order Date]])</f>
        <v>2024</v>
      </c>
    </row>
    <row r="4865" spans="1:14" x14ac:dyDescent="0.35">
      <c r="A4865" s="1" t="s">
        <v>5662</v>
      </c>
      <c r="B4865" s="1" t="s">
        <v>25</v>
      </c>
      <c r="C4865" s="1" t="s">
        <v>188</v>
      </c>
      <c r="D4865" s="1" t="s">
        <v>85</v>
      </c>
      <c r="E4865" s="1" t="s">
        <v>28</v>
      </c>
      <c r="F4865" s="1" t="s">
        <v>85</v>
      </c>
      <c r="G4865" s="1">
        <v>4</v>
      </c>
      <c r="H4865" s="1">
        <v>37229</v>
      </c>
      <c r="I4865" s="1">
        <v>0.1</v>
      </c>
      <c r="J4865" s="1">
        <v>134024.4</v>
      </c>
      <c r="K4865" s="1">
        <v>23539.84</v>
      </c>
      <c r="L4865" s="1" t="s">
        <v>23</v>
      </c>
      <c r="M4865" s="1" t="str">
        <f>TEXT(Table1[[#This Row],[Order Date]],"mmm")</f>
        <v>Apr</v>
      </c>
      <c r="N4865" s="1">
        <f>YEAR(Table1[[#This Row],[Order Date]])</f>
        <v>2023</v>
      </c>
    </row>
    <row r="4866" spans="1:14" x14ac:dyDescent="0.35">
      <c r="A4866" s="1" t="s">
        <v>5663</v>
      </c>
      <c r="B4866" s="1" t="s">
        <v>2908</v>
      </c>
      <c r="C4866" s="1" t="s">
        <v>20</v>
      </c>
      <c r="D4866" s="1" t="s">
        <v>41</v>
      </c>
      <c r="E4866" s="1" t="s">
        <v>16</v>
      </c>
      <c r="F4866" s="1" t="s">
        <v>41</v>
      </c>
      <c r="G4866" s="1">
        <v>2</v>
      </c>
      <c r="H4866" s="1">
        <v>48667</v>
      </c>
      <c r="I4866" s="1">
        <v>0.05</v>
      </c>
      <c r="J4866" s="1">
        <v>92467.3</v>
      </c>
      <c r="K4866" s="1">
        <v>10591.54</v>
      </c>
      <c r="L4866" s="1" t="s">
        <v>17</v>
      </c>
      <c r="M4866" s="1" t="str">
        <f>TEXT(Table1[[#This Row],[Order Date]],"mmm")</f>
        <v>Sep</v>
      </c>
      <c r="N4866" s="1">
        <f>YEAR(Table1[[#This Row],[Order Date]])</f>
        <v>2024</v>
      </c>
    </row>
    <row r="4867" spans="1:14" x14ac:dyDescent="0.35">
      <c r="A4867" s="1" t="s">
        <v>5664</v>
      </c>
      <c r="B4867" s="1" t="s">
        <v>286</v>
      </c>
      <c r="C4867" s="1" t="s">
        <v>349</v>
      </c>
      <c r="D4867" s="1" t="s">
        <v>114</v>
      </c>
      <c r="E4867" s="1" t="s">
        <v>16</v>
      </c>
      <c r="F4867" s="1" t="s">
        <v>114</v>
      </c>
      <c r="G4867" s="1">
        <v>9</v>
      </c>
      <c r="H4867" s="1">
        <v>33694</v>
      </c>
      <c r="I4867" s="1">
        <v>0.15</v>
      </c>
      <c r="J4867" s="1">
        <v>257759.1</v>
      </c>
      <c r="K4867" s="1">
        <v>21735.47</v>
      </c>
      <c r="L4867" s="1" t="s">
        <v>23</v>
      </c>
      <c r="M4867" s="1" t="str">
        <f>TEXT(Table1[[#This Row],[Order Date]],"mmm")</f>
        <v>Mar</v>
      </c>
      <c r="N4867" s="1">
        <f>YEAR(Table1[[#This Row],[Order Date]])</f>
        <v>2024</v>
      </c>
    </row>
    <row r="4868" spans="1:14" x14ac:dyDescent="0.35">
      <c r="A4868" s="1" t="s">
        <v>5665</v>
      </c>
      <c r="B4868" s="1" t="s">
        <v>1090</v>
      </c>
      <c r="C4868" s="1" t="s">
        <v>349</v>
      </c>
      <c r="D4868" s="1" t="s">
        <v>74</v>
      </c>
      <c r="E4868" s="1" t="s">
        <v>22</v>
      </c>
      <c r="F4868" s="1" t="s">
        <v>74</v>
      </c>
      <c r="G4868" s="1">
        <v>15</v>
      </c>
      <c r="H4868" s="1">
        <v>49025</v>
      </c>
      <c r="I4868" s="1">
        <v>0.05</v>
      </c>
      <c r="J4868" s="1">
        <v>698606.25</v>
      </c>
      <c r="K4868" s="1">
        <v>152996.01</v>
      </c>
      <c r="L4868" s="1" t="s">
        <v>23</v>
      </c>
      <c r="M4868" s="1" t="str">
        <f>TEXT(Table1[[#This Row],[Order Date]],"mmm")</f>
        <v>Feb</v>
      </c>
      <c r="N4868" s="1">
        <f>YEAR(Table1[[#This Row],[Order Date]])</f>
        <v>2024</v>
      </c>
    </row>
    <row r="4869" spans="1:14" x14ac:dyDescent="0.35">
      <c r="A4869" s="1" t="s">
        <v>5666</v>
      </c>
      <c r="B4869" s="1" t="s">
        <v>792</v>
      </c>
      <c r="C4869" s="1" t="s">
        <v>55</v>
      </c>
      <c r="D4869" s="1" t="s">
        <v>179</v>
      </c>
      <c r="E4869" s="1" t="s">
        <v>28</v>
      </c>
      <c r="F4869" s="1" t="s">
        <v>179</v>
      </c>
      <c r="G4869" s="1">
        <v>6</v>
      </c>
      <c r="H4869" s="1">
        <v>8306</v>
      </c>
      <c r="I4869" s="1">
        <v>0.15</v>
      </c>
      <c r="J4869" s="1">
        <v>42360.6</v>
      </c>
      <c r="K4869" s="1">
        <v>4472.76</v>
      </c>
      <c r="L4869" s="1" t="s">
        <v>17</v>
      </c>
      <c r="M4869" s="1" t="str">
        <f>TEXT(Table1[[#This Row],[Order Date]],"mmm")</f>
        <v>Aug</v>
      </c>
      <c r="N4869" s="1">
        <f>YEAR(Table1[[#This Row],[Order Date]])</f>
        <v>2023</v>
      </c>
    </row>
    <row r="4870" spans="1:14" x14ac:dyDescent="0.35">
      <c r="A4870" s="1" t="s">
        <v>5667</v>
      </c>
      <c r="B4870" s="1" t="s">
        <v>1005</v>
      </c>
      <c r="C4870" s="1" t="s">
        <v>260</v>
      </c>
      <c r="D4870" s="1" t="s">
        <v>21</v>
      </c>
      <c r="E4870" s="1" t="s">
        <v>22</v>
      </c>
      <c r="F4870" s="1" t="s">
        <v>21</v>
      </c>
      <c r="G4870" s="1">
        <v>9</v>
      </c>
      <c r="H4870" s="1">
        <v>1921</v>
      </c>
      <c r="I4870" s="1">
        <v>0.05</v>
      </c>
      <c r="J4870" s="1">
        <v>16424.55</v>
      </c>
      <c r="K4870" s="1">
        <v>4922.1499999999996</v>
      </c>
      <c r="L4870" s="1" t="s">
        <v>70</v>
      </c>
      <c r="M4870" s="1" t="str">
        <f>TEXT(Table1[[#This Row],[Order Date]],"mmm")</f>
        <v>Aug</v>
      </c>
      <c r="N4870" s="1">
        <f>YEAR(Table1[[#This Row],[Order Date]])</f>
        <v>2023</v>
      </c>
    </row>
    <row r="4871" spans="1:14" x14ac:dyDescent="0.35">
      <c r="A4871" s="1" t="s">
        <v>5668</v>
      </c>
      <c r="B4871" s="1" t="s">
        <v>515</v>
      </c>
      <c r="C4871" s="1" t="s">
        <v>101</v>
      </c>
      <c r="D4871" s="1" t="s">
        <v>151</v>
      </c>
      <c r="E4871" s="1" t="s">
        <v>22</v>
      </c>
      <c r="F4871" s="1" t="s">
        <v>151</v>
      </c>
      <c r="G4871" s="1">
        <v>11</v>
      </c>
      <c r="H4871" s="1">
        <v>48507</v>
      </c>
      <c r="I4871" s="1">
        <v>0</v>
      </c>
      <c r="J4871" s="1">
        <v>533577</v>
      </c>
      <c r="K4871" s="1">
        <v>89365.759999999995</v>
      </c>
      <c r="L4871" s="1" t="s">
        <v>23</v>
      </c>
      <c r="M4871" s="1" t="str">
        <f>TEXT(Table1[[#This Row],[Order Date]],"mmm")</f>
        <v>Apr</v>
      </c>
      <c r="N4871" s="1">
        <f>YEAR(Table1[[#This Row],[Order Date]])</f>
        <v>2024</v>
      </c>
    </row>
    <row r="4872" spans="1:14" x14ac:dyDescent="0.35">
      <c r="A4872" s="1" t="s">
        <v>5669</v>
      </c>
      <c r="B4872" s="1" t="s">
        <v>1792</v>
      </c>
      <c r="C4872" s="1" t="s">
        <v>158</v>
      </c>
      <c r="D4872" s="1" t="s">
        <v>60</v>
      </c>
      <c r="E4872" s="1" t="s">
        <v>33</v>
      </c>
      <c r="F4872" s="1" t="s">
        <v>60</v>
      </c>
      <c r="G4872" s="1">
        <v>5</v>
      </c>
      <c r="H4872" s="1">
        <v>58065</v>
      </c>
      <c r="I4872" s="1">
        <v>0</v>
      </c>
      <c r="J4872" s="1">
        <v>290325</v>
      </c>
      <c r="K4872" s="1">
        <v>65453.33</v>
      </c>
      <c r="L4872" s="1" t="s">
        <v>17</v>
      </c>
      <c r="M4872" s="1" t="str">
        <f>TEXT(Table1[[#This Row],[Order Date]],"mmm")</f>
        <v>Apr</v>
      </c>
      <c r="N4872" s="1">
        <f>YEAR(Table1[[#This Row],[Order Date]])</f>
        <v>2023</v>
      </c>
    </row>
    <row r="4873" spans="1:14" x14ac:dyDescent="0.35">
      <c r="A4873" s="1" t="s">
        <v>5670</v>
      </c>
      <c r="B4873" s="1" t="s">
        <v>1778</v>
      </c>
      <c r="C4873" s="1" t="s">
        <v>55</v>
      </c>
      <c r="D4873" s="1" t="s">
        <v>44</v>
      </c>
      <c r="E4873" s="1" t="s">
        <v>28</v>
      </c>
      <c r="F4873" s="1" t="s">
        <v>44</v>
      </c>
      <c r="G4873" s="1">
        <v>11</v>
      </c>
      <c r="H4873" s="1">
        <v>11644</v>
      </c>
      <c r="I4873" s="1">
        <v>0.2</v>
      </c>
      <c r="J4873" s="1">
        <v>102467.2</v>
      </c>
      <c r="K4873" s="1">
        <v>29413.26</v>
      </c>
      <c r="L4873" s="1" t="s">
        <v>70</v>
      </c>
      <c r="M4873" s="1" t="str">
        <f>TEXT(Table1[[#This Row],[Order Date]],"mmm")</f>
        <v>May</v>
      </c>
      <c r="N4873" s="1">
        <f>YEAR(Table1[[#This Row],[Order Date]])</f>
        <v>2023</v>
      </c>
    </row>
    <row r="4874" spans="1:14" x14ac:dyDescent="0.35">
      <c r="A4874" s="1" t="s">
        <v>5671</v>
      </c>
      <c r="B4874" s="1" t="s">
        <v>1537</v>
      </c>
      <c r="C4874" s="1" t="s">
        <v>104</v>
      </c>
      <c r="D4874" s="1" t="s">
        <v>133</v>
      </c>
      <c r="E4874" s="1" t="s">
        <v>22</v>
      </c>
      <c r="F4874" s="1" t="s">
        <v>133</v>
      </c>
      <c r="G4874" s="1">
        <v>8</v>
      </c>
      <c r="H4874" s="1">
        <v>18407</v>
      </c>
      <c r="I4874" s="1">
        <v>0.2</v>
      </c>
      <c r="J4874" s="1">
        <v>117804.8</v>
      </c>
      <c r="K4874" s="1">
        <v>26931.88</v>
      </c>
      <c r="L4874" s="1" t="s">
        <v>17</v>
      </c>
      <c r="M4874" s="1" t="str">
        <f>TEXT(Table1[[#This Row],[Order Date]],"mmm")</f>
        <v>Jan</v>
      </c>
      <c r="N4874" s="1">
        <f>YEAR(Table1[[#This Row],[Order Date]])</f>
        <v>2023</v>
      </c>
    </row>
    <row r="4875" spans="1:14" x14ac:dyDescent="0.35">
      <c r="A4875" s="1" t="s">
        <v>5672</v>
      </c>
      <c r="B4875" s="1" t="s">
        <v>737</v>
      </c>
      <c r="C4875" s="1" t="s">
        <v>40</v>
      </c>
      <c r="D4875" s="1" t="s">
        <v>85</v>
      </c>
      <c r="E4875" s="1" t="s">
        <v>28</v>
      </c>
      <c r="F4875" s="1" t="s">
        <v>85</v>
      </c>
      <c r="G4875" s="1">
        <v>7</v>
      </c>
      <c r="H4875" s="1">
        <v>4712</v>
      </c>
      <c r="I4875" s="1">
        <v>0.2</v>
      </c>
      <c r="J4875" s="1">
        <v>26387.200000000001</v>
      </c>
      <c r="K4875" s="1">
        <v>4262.34</v>
      </c>
      <c r="L4875" s="1" t="s">
        <v>45</v>
      </c>
      <c r="M4875" s="1" t="str">
        <f>TEXT(Table1[[#This Row],[Order Date]],"mmm")</f>
        <v>Aug</v>
      </c>
      <c r="N4875" s="1">
        <f>YEAR(Table1[[#This Row],[Order Date]])</f>
        <v>2023</v>
      </c>
    </row>
    <row r="4876" spans="1:14" x14ac:dyDescent="0.35">
      <c r="A4876" s="1" t="s">
        <v>5673</v>
      </c>
      <c r="B4876" s="1" t="s">
        <v>1658</v>
      </c>
      <c r="C4876" s="1" t="s">
        <v>36</v>
      </c>
      <c r="D4876" s="1" t="s">
        <v>15</v>
      </c>
      <c r="E4876" s="1" t="s">
        <v>16</v>
      </c>
      <c r="F4876" s="1" t="s">
        <v>15</v>
      </c>
      <c r="G4876" s="1">
        <v>6</v>
      </c>
      <c r="H4876" s="1">
        <v>4133</v>
      </c>
      <c r="I4876" s="1">
        <v>0.05</v>
      </c>
      <c r="J4876" s="1">
        <v>23558.1</v>
      </c>
      <c r="K4876" s="1">
        <v>3145.73</v>
      </c>
      <c r="L4876" s="1" t="s">
        <v>70</v>
      </c>
      <c r="M4876" s="1" t="str">
        <f>TEXT(Table1[[#This Row],[Order Date]],"mmm")</f>
        <v>Sep</v>
      </c>
      <c r="N4876" s="1">
        <f>YEAR(Table1[[#This Row],[Order Date]])</f>
        <v>2024</v>
      </c>
    </row>
    <row r="4877" spans="1:14" x14ac:dyDescent="0.35">
      <c r="A4877" s="1" t="s">
        <v>5674</v>
      </c>
      <c r="B4877" s="1" t="s">
        <v>560</v>
      </c>
      <c r="C4877" s="1" t="s">
        <v>104</v>
      </c>
      <c r="D4877" s="1" t="s">
        <v>133</v>
      </c>
      <c r="E4877" s="1" t="s">
        <v>22</v>
      </c>
      <c r="F4877" s="1" t="s">
        <v>133</v>
      </c>
      <c r="G4877" s="1">
        <v>6</v>
      </c>
      <c r="H4877" s="1">
        <v>21469</v>
      </c>
      <c r="I4877" s="1">
        <v>0.2</v>
      </c>
      <c r="J4877" s="1">
        <v>103051.2</v>
      </c>
      <c r="K4877" s="1">
        <v>30772.18</v>
      </c>
      <c r="L4877" s="1" t="s">
        <v>70</v>
      </c>
      <c r="M4877" s="1" t="str">
        <f>TEXT(Table1[[#This Row],[Order Date]],"mmm")</f>
        <v>Aug</v>
      </c>
      <c r="N4877" s="1">
        <f>YEAR(Table1[[#This Row],[Order Date]])</f>
        <v>2023</v>
      </c>
    </row>
    <row r="4878" spans="1:14" x14ac:dyDescent="0.35">
      <c r="A4878" s="1" t="s">
        <v>5675</v>
      </c>
      <c r="B4878" s="1" t="s">
        <v>2355</v>
      </c>
      <c r="C4878" s="1" t="s">
        <v>191</v>
      </c>
      <c r="D4878" s="1" t="s">
        <v>85</v>
      </c>
      <c r="E4878" s="1" t="s">
        <v>28</v>
      </c>
      <c r="F4878" s="1" t="s">
        <v>85</v>
      </c>
      <c r="G4878" s="1">
        <v>14</v>
      </c>
      <c r="H4878" s="1">
        <v>17245</v>
      </c>
      <c r="I4878" s="1">
        <v>0.05</v>
      </c>
      <c r="J4878" s="1">
        <v>229358.5</v>
      </c>
      <c r="K4878" s="1">
        <v>19582.23</v>
      </c>
      <c r="L4878" s="1" t="s">
        <v>23</v>
      </c>
      <c r="M4878" s="1" t="str">
        <f>TEXT(Table1[[#This Row],[Order Date]],"mmm")</f>
        <v>Oct</v>
      </c>
      <c r="N4878" s="1">
        <f>YEAR(Table1[[#This Row],[Order Date]])</f>
        <v>2023</v>
      </c>
    </row>
    <row r="4879" spans="1:14" x14ac:dyDescent="0.35">
      <c r="A4879" s="1" t="s">
        <v>5676</v>
      </c>
      <c r="B4879" s="1" t="s">
        <v>969</v>
      </c>
      <c r="C4879" s="1" t="s">
        <v>14</v>
      </c>
      <c r="D4879" s="1" t="s">
        <v>224</v>
      </c>
      <c r="E4879" s="1" t="s">
        <v>33</v>
      </c>
      <c r="F4879" s="1" t="s">
        <v>224</v>
      </c>
      <c r="G4879" s="1">
        <v>4</v>
      </c>
      <c r="H4879" s="1">
        <v>37018</v>
      </c>
      <c r="I4879" s="1">
        <v>0.2</v>
      </c>
      <c r="J4879" s="1">
        <v>118457.60000000001</v>
      </c>
      <c r="K4879" s="1">
        <v>28561.09</v>
      </c>
      <c r="L4879" s="1" t="s">
        <v>70</v>
      </c>
      <c r="M4879" s="1" t="str">
        <f>TEXT(Table1[[#This Row],[Order Date]],"mmm")</f>
        <v>Aug</v>
      </c>
      <c r="N4879" s="1">
        <f>YEAR(Table1[[#This Row],[Order Date]])</f>
        <v>2024</v>
      </c>
    </row>
    <row r="4880" spans="1:14" x14ac:dyDescent="0.35">
      <c r="A4880" s="1" t="s">
        <v>5677</v>
      </c>
      <c r="B4880" s="1" t="s">
        <v>2592</v>
      </c>
      <c r="C4880" s="1" t="s">
        <v>111</v>
      </c>
      <c r="D4880" s="1" t="s">
        <v>91</v>
      </c>
      <c r="E4880" s="1" t="s">
        <v>16</v>
      </c>
      <c r="F4880" s="1" t="s">
        <v>91</v>
      </c>
      <c r="G4880" s="1">
        <v>7</v>
      </c>
      <c r="H4880" s="1">
        <v>10721</v>
      </c>
      <c r="I4880" s="1">
        <v>0.2</v>
      </c>
      <c r="J4880" s="1">
        <v>60037.599999999999</v>
      </c>
      <c r="K4880" s="1">
        <v>7428.99</v>
      </c>
      <c r="L4880" s="1" t="s">
        <v>45</v>
      </c>
      <c r="M4880" s="1" t="str">
        <f>TEXT(Table1[[#This Row],[Order Date]],"mmm")</f>
        <v>May</v>
      </c>
      <c r="N4880" s="1">
        <f>YEAR(Table1[[#This Row],[Order Date]])</f>
        <v>2023</v>
      </c>
    </row>
    <row r="4881" spans="1:14" x14ac:dyDescent="0.35">
      <c r="A4881" s="1" t="s">
        <v>5678</v>
      </c>
      <c r="B4881" s="1" t="s">
        <v>1478</v>
      </c>
      <c r="C4881" s="1" t="s">
        <v>640</v>
      </c>
      <c r="D4881" s="1" t="s">
        <v>52</v>
      </c>
      <c r="E4881" s="1" t="s">
        <v>28</v>
      </c>
      <c r="F4881" s="1" t="s">
        <v>52</v>
      </c>
      <c r="G4881" s="1">
        <v>9</v>
      </c>
      <c r="H4881" s="1">
        <v>4676</v>
      </c>
      <c r="I4881" s="1">
        <v>0.2</v>
      </c>
      <c r="J4881" s="1">
        <v>33667.199999999997</v>
      </c>
      <c r="K4881" s="1">
        <v>8169</v>
      </c>
      <c r="L4881" s="1" t="s">
        <v>70</v>
      </c>
      <c r="M4881" s="1" t="str">
        <f>TEXT(Table1[[#This Row],[Order Date]],"mmm")</f>
        <v>Jan</v>
      </c>
      <c r="N4881" s="1">
        <f>YEAR(Table1[[#This Row],[Order Date]])</f>
        <v>2024</v>
      </c>
    </row>
    <row r="4882" spans="1:14" x14ac:dyDescent="0.35">
      <c r="A4882" s="1" t="s">
        <v>5679</v>
      </c>
      <c r="B4882" s="1" t="s">
        <v>676</v>
      </c>
      <c r="C4882" s="1" t="s">
        <v>507</v>
      </c>
      <c r="D4882" s="1" t="s">
        <v>108</v>
      </c>
      <c r="E4882" s="1" t="s">
        <v>22</v>
      </c>
      <c r="F4882" s="1" t="s">
        <v>108</v>
      </c>
      <c r="G4882" s="1">
        <v>5</v>
      </c>
      <c r="H4882" s="1">
        <v>30586</v>
      </c>
      <c r="I4882" s="1">
        <v>0.05</v>
      </c>
      <c r="J4882" s="1">
        <v>145283.5</v>
      </c>
      <c r="K4882" s="1">
        <v>26998.92</v>
      </c>
      <c r="L4882" s="1" t="s">
        <v>17</v>
      </c>
      <c r="M4882" s="1" t="str">
        <f>TEXT(Table1[[#This Row],[Order Date]],"mmm")</f>
        <v>Oct</v>
      </c>
      <c r="N4882" s="1">
        <f>YEAR(Table1[[#This Row],[Order Date]])</f>
        <v>2023</v>
      </c>
    </row>
    <row r="4883" spans="1:14" x14ac:dyDescent="0.35">
      <c r="A4883" s="1" t="s">
        <v>5680</v>
      </c>
      <c r="B4883" s="1" t="s">
        <v>491</v>
      </c>
      <c r="C4883" s="1" t="s">
        <v>128</v>
      </c>
      <c r="D4883" s="1" t="s">
        <v>44</v>
      </c>
      <c r="E4883" s="1" t="s">
        <v>28</v>
      </c>
      <c r="F4883" s="1" t="s">
        <v>44</v>
      </c>
      <c r="G4883" s="1">
        <v>5</v>
      </c>
      <c r="H4883" s="1">
        <v>23716</v>
      </c>
      <c r="I4883" s="1">
        <v>0.15</v>
      </c>
      <c r="J4883" s="1">
        <v>100793</v>
      </c>
      <c r="K4883" s="1">
        <v>13228.37</v>
      </c>
      <c r="L4883" s="1" t="s">
        <v>45</v>
      </c>
      <c r="M4883" s="1" t="str">
        <f>TEXT(Table1[[#This Row],[Order Date]],"mmm")</f>
        <v>Aug</v>
      </c>
      <c r="N4883" s="1">
        <f>YEAR(Table1[[#This Row],[Order Date]])</f>
        <v>2024</v>
      </c>
    </row>
    <row r="4884" spans="1:14" x14ac:dyDescent="0.35">
      <c r="A4884" s="1" t="s">
        <v>5681</v>
      </c>
      <c r="B4884" s="1" t="s">
        <v>478</v>
      </c>
      <c r="C4884" s="1" t="s">
        <v>136</v>
      </c>
      <c r="D4884" s="1" t="s">
        <v>15</v>
      </c>
      <c r="E4884" s="1" t="s">
        <v>16</v>
      </c>
      <c r="F4884" s="1" t="s">
        <v>15</v>
      </c>
      <c r="G4884" s="1">
        <v>12</v>
      </c>
      <c r="H4884" s="1">
        <v>48052</v>
      </c>
      <c r="I4884" s="1">
        <v>0.15</v>
      </c>
      <c r="J4884" s="1">
        <v>490130.4</v>
      </c>
      <c r="K4884" s="1">
        <v>102005.63</v>
      </c>
      <c r="L4884" s="1" t="s">
        <v>23</v>
      </c>
      <c r="M4884" s="1" t="str">
        <f>TEXT(Table1[[#This Row],[Order Date]],"mmm")</f>
        <v>May</v>
      </c>
      <c r="N4884" s="1">
        <f>YEAR(Table1[[#This Row],[Order Date]])</f>
        <v>2024</v>
      </c>
    </row>
    <row r="4885" spans="1:14" x14ac:dyDescent="0.35">
      <c r="A4885" s="1" t="s">
        <v>5682</v>
      </c>
      <c r="B4885" s="1" t="s">
        <v>1842</v>
      </c>
      <c r="C4885" s="1" t="s">
        <v>67</v>
      </c>
      <c r="D4885" s="1" t="s">
        <v>224</v>
      </c>
      <c r="E4885" s="1" t="s">
        <v>33</v>
      </c>
      <c r="F4885" s="1" t="s">
        <v>224</v>
      </c>
      <c r="G4885" s="1">
        <v>3</v>
      </c>
      <c r="H4885" s="1">
        <v>28234</v>
      </c>
      <c r="I4885" s="1">
        <v>0.15</v>
      </c>
      <c r="J4885" s="1">
        <v>71996.7</v>
      </c>
      <c r="K4885" s="1">
        <v>21370</v>
      </c>
      <c r="L4885" s="1" t="s">
        <v>17</v>
      </c>
      <c r="M4885" s="1" t="str">
        <f>TEXT(Table1[[#This Row],[Order Date]],"mmm")</f>
        <v>Oct</v>
      </c>
      <c r="N4885" s="1">
        <f>YEAR(Table1[[#This Row],[Order Date]])</f>
        <v>2023</v>
      </c>
    </row>
    <row r="4886" spans="1:14" x14ac:dyDescent="0.35">
      <c r="A4886" s="1" t="s">
        <v>5683</v>
      </c>
      <c r="B4886" s="1" t="s">
        <v>457</v>
      </c>
      <c r="C4886" s="1" t="s">
        <v>14</v>
      </c>
      <c r="D4886" s="1" t="s">
        <v>37</v>
      </c>
      <c r="E4886" s="1" t="s">
        <v>16</v>
      </c>
      <c r="F4886" s="1" t="s">
        <v>37</v>
      </c>
      <c r="G4886" s="1">
        <v>1</v>
      </c>
      <c r="H4886" s="1">
        <v>7972</v>
      </c>
      <c r="I4886" s="1">
        <v>0</v>
      </c>
      <c r="J4886" s="1">
        <v>7972</v>
      </c>
      <c r="K4886" s="1">
        <v>673.06</v>
      </c>
      <c r="L4886" s="1" t="s">
        <v>45</v>
      </c>
      <c r="M4886" s="1" t="str">
        <f>TEXT(Table1[[#This Row],[Order Date]],"mmm")</f>
        <v>Mar</v>
      </c>
      <c r="N4886" s="1">
        <f>YEAR(Table1[[#This Row],[Order Date]])</f>
        <v>2024</v>
      </c>
    </row>
    <row r="4887" spans="1:14" x14ac:dyDescent="0.35">
      <c r="A4887" s="1" t="s">
        <v>5684</v>
      </c>
      <c r="B4887" s="1" t="s">
        <v>1133</v>
      </c>
      <c r="C4887" s="1" t="s">
        <v>84</v>
      </c>
      <c r="D4887" s="1" t="s">
        <v>21</v>
      </c>
      <c r="E4887" s="1" t="s">
        <v>22</v>
      </c>
      <c r="F4887" s="1" t="s">
        <v>21</v>
      </c>
      <c r="G4887" s="1">
        <v>13</v>
      </c>
      <c r="H4887" s="1">
        <v>41460</v>
      </c>
      <c r="I4887" s="1">
        <v>0.2</v>
      </c>
      <c r="J4887" s="1">
        <v>431184</v>
      </c>
      <c r="K4887" s="1">
        <v>107200.1</v>
      </c>
      <c r="L4887" s="1" t="s">
        <v>70</v>
      </c>
      <c r="M4887" s="1" t="str">
        <f>TEXT(Table1[[#This Row],[Order Date]],"mmm")</f>
        <v>Nov</v>
      </c>
      <c r="N4887" s="1">
        <f>YEAR(Table1[[#This Row],[Order Date]])</f>
        <v>2024</v>
      </c>
    </row>
    <row r="4888" spans="1:14" x14ac:dyDescent="0.35">
      <c r="A4888" s="1" t="s">
        <v>5685</v>
      </c>
      <c r="B4888" s="1" t="s">
        <v>246</v>
      </c>
      <c r="C4888" s="1" t="s">
        <v>178</v>
      </c>
      <c r="D4888" s="1" t="s">
        <v>137</v>
      </c>
      <c r="E4888" s="1" t="s">
        <v>22</v>
      </c>
      <c r="F4888" s="1" t="s">
        <v>137</v>
      </c>
      <c r="G4888" s="1">
        <v>4</v>
      </c>
      <c r="H4888" s="1">
        <v>44902</v>
      </c>
      <c r="I4888" s="1">
        <v>0</v>
      </c>
      <c r="J4888" s="1">
        <v>179608</v>
      </c>
      <c r="K4888" s="1">
        <v>48472.93</v>
      </c>
      <c r="L4888" s="1" t="s">
        <v>17</v>
      </c>
      <c r="M4888" s="1" t="str">
        <f>TEXT(Table1[[#This Row],[Order Date]],"mmm")</f>
        <v>Feb</v>
      </c>
      <c r="N4888" s="1">
        <f>YEAR(Table1[[#This Row],[Order Date]])</f>
        <v>2023</v>
      </c>
    </row>
    <row r="4889" spans="1:14" x14ac:dyDescent="0.35">
      <c r="A4889" s="1" t="s">
        <v>5686</v>
      </c>
      <c r="B4889" s="1" t="s">
        <v>259</v>
      </c>
      <c r="C4889" s="1" t="s">
        <v>227</v>
      </c>
      <c r="D4889" s="1" t="s">
        <v>114</v>
      </c>
      <c r="E4889" s="1" t="s">
        <v>16</v>
      </c>
      <c r="F4889" s="1" t="s">
        <v>114</v>
      </c>
      <c r="G4889" s="1">
        <v>14</v>
      </c>
      <c r="H4889" s="1">
        <v>29085</v>
      </c>
      <c r="I4889" s="1">
        <v>0.1</v>
      </c>
      <c r="J4889" s="1">
        <v>366471</v>
      </c>
      <c r="K4889" s="1">
        <v>49619.62</v>
      </c>
      <c r="L4889" s="1" t="s">
        <v>45</v>
      </c>
      <c r="M4889" s="1" t="str">
        <f>TEXT(Table1[[#This Row],[Order Date]],"mmm")</f>
        <v>Oct</v>
      </c>
      <c r="N4889" s="1">
        <f>YEAR(Table1[[#This Row],[Order Date]])</f>
        <v>2024</v>
      </c>
    </row>
    <row r="4890" spans="1:14" x14ac:dyDescent="0.35">
      <c r="A4890" s="1" t="s">
        <v>5687</v>
      </c>
      <c r="B4890" s="1" t="s">
        <v>1085</v>
      </c>
      <c r="C4890" s="1" t="s">
        <v>111</v>
      </c>
      <c r="D4890" s="1" t="s">
        <v>133</v>
      </c>
      <c r="E4890" s="1" t="s">
        <v>22</v>
      </c>
      <c r="F4890" s="1" t="s">
        <v>133</v>
      </c>
      <c r="G4890" s="1">
        <v>7</v>
      </c>
      <c r="H4890" s="1">
        <v>35895</v>
      </c>
      <c r="I4890" s="1">
        <v>0.15</v>
      </c>
      <c r="J4890" s="1">
        <v>213575.25</v>
      </c>
      <c r="K4890" s="1">
        <v>23610.48</v>
      </c>
      <c r="L4890" s="1" t="s">
        <v>45</v>
      </c>
      <c r="M4890" s="1" t="str">
        <f>TEXT(Table1[[#This Row],[Order Date]],"mmm")</f>
        <v>Aug</v>
      </c>
      <c r="N4890" s="1">
        <f>YEAR(Table1[[#This Row],[Order Date]])</f>
        <v>2023</v>
      </c>
    </row>
    <row r="4891" spans="1:14" x14ac:dyDescent="0.35">
      <c r="A4891" s="1" t="s">
        <v>5688</v>
      </c>
      <c r="B4891" s="1" t="s">
        <v>596</v>
      </c>
      <c r="C4891" s="1" t="s">
        <v>208</v>
      </c>
      <c r="D4891" s="1" t="s">
        <v>293</v>
      </c>
      <c r="E4891" s="1" t="s">
        <v>33</v>
      </c>
      <c r="F4891" s="1" t="s">
        <v>293</v>
      </c>
      <c r="G4891" s="1">
        <v>12</v>
      </c>
      <c r="H4891" s="1">
        <v>40560</v>
      </c>
      <c r="I4891" s="1">
        <v>0.2</v>
      </c>
      <c r="J4891" s="1">
        <v>389376</v>
      </c>
      <c r="K4891" s="1">
        <v>44769.64</v>
      </c>
      <c r="L4891" s="1" t="s">
        <v>23</v>
      </c>
      <c r="M4891" s="1" t="str">
        <f>TEXT(Table1[[#This Row],[Order Date]],"mmm")</f>
        <v>Nov</v>
      </c>
      <c r="N4891" s="1">
        <f>YEAR(Table1[[#This Row],[Order Date]])</f>
        <v>2023</v>
      </c>
    </row>
    <row r="4892" spans="1:14" x14ac:dyDescent="0.35">
      <c r="A4892" s="1" t="s">
        <v>5689</v>
      </c>
      <c r="B4892" s="1" t="s">
        <v>1019</v>
      </c>
      <c r="C4892" s="1" t="s">
        <v>507</v>
      </c>
      <c r="D4892" s="1" t="s">
        <v>32</v>
      </c>
      <c r="E4892" s="1" t="s">
        <v>33</v>
      </c>
      <c r="F4892" s="1" t="s">
        <v>32</v>
      </c>
      <c r="G4892" s="1">
        <v>7</v>
      </c>
      <c r="H4892" s="1">
        <v>26643</v>
      </c>
      <c r="I4892" s="1">
        <v>0.05</v>
      </c>
      <c r="J4892" s="1">
        <v>177175.95</v>
      </c>
      <c r="K4892" s="1">
        <v>49758.57</v>
      </c>
      <c r="L4892" s="1" t="s">
        <v>45</v>
      </c>
      <c r="M4892" s="1" t="str">
        <f>TEXT(Table1[[#This Row],[Order Date]],"mmm")</f>
        <v>Jun</v>
      </c>
      <c r="N4892" s="1">
        <f>YEAR(Table1[[#This Row],[Order Date]])</f>
        <v>2024</v>
      </c>
    </row>
    <row r="4893" spans="1:14" x14ac:dyDescent="0.35">
      <c r="A4893" s="1" t="s">
        <v>5690</v>
      </c>
      <c r="B4893" s="1" t="s">
        <v>1196</v>
      </c>
      <c r="C4893" s="1" t="s">
        <v>84</v>
      </c>
      <c r="D4893" s="1" t="s">
        <v>78</v>
      </c>
      <c r="E4893" s="1" t="s">
        <v>28</v>
      </c>
      <c r="F4893" s="1" t="s">
        <v>78</v>
      </c>
      <c r="G4893" s="1">
        <v>5</v>
      </c>
      <c r="H4893" s="1">
        <v>31151</v>
      </c>
      <c r="I4893" s="1">
        <v>0</v>
      </c>
      <c r="J4893" s="1">
        <v>155755</v>
      </c>
      <c r="K4893" s="1">
        <v>34099.980000000003</v>
      </c>
      <c r="L4893" s="1" t="s">
        <v>17</v>
      </c>
      <c r="M4893" s="1" t="str">
        <f>TEXT(Table1[[#This Row],[Order Date]],"mmm")</f>
        <v>May</v>
      </c>
      <c r="N4893" s="1">
        <f>YEAR(Table1[[#This Row],[Order Date]])</f>
        <v>2023</v>
      </c>
    </row>
    <row r="4894" spans="1:14" x14ac:dyDescent="0.35">
      <c r="A4894" s="1" t="s">
        <v>5691</v>
      </c>
      <c r="B4894" s="1" t="s">
        <v>528</v>
      </c>
      <c r="C4894" s="1" t="s">
        <v>188</v>
      </c>
      <c r="D4894" s="1" t="s">
        <v>44</v>
      </c>
      <c r="E4894" s="1" t="s">
        <v>28</v>
      </c>
      <c r="F4894" s="1" t="s">
        <v>44</v>
      </c>
      <c r="G4894" s="1">
        <v>3</v>
      </c>
      <c r="H4894" s="1">
        <v>14679</v>
      </c>
      <c r="I4894" s="1">
        <v>0.05</v>
      </c>
      <c r="J4894" s="1">
        <v>41835.15</v>
      </c>
      <c r="K4894" s="1">
        <v>6482.01</v>
      </c>
      <c r="L4894" s="1" t="s">
        <v>70</v>
      </c>
      <c r="M4894" s="1" t="str">
        <f>TEXT(Table1[[#This Row],[Order Date]],"mmm")</f>
        <v>Feb</v>
      </c>
      <c r="N4894" s="1">
        <f>YEAR(Table1[[#This Row],[Order Date]])</f>
        <v>2024</v>
      </c>
    </row>
    <row r="4895" spans="1:14" x14ac:dyDescent="0.35">
      <c r="A4895" s="1" t="s">
        <v>5692</v>
      </c>
      <c r="B4895" s="1" t="s">
        <v>3073</v>
      </c>
      <c r="C4895" s="1" t="s">
        <v>59</v>
      </c>
      <c r="D4895" s="1" t="s">
        <v>137</v>
      </c>
      <c r="E4895" s="1" t="s">
        <v>22</v>
      </c>
      <c r="F4895" s="1" t="s">
        <v>137</v>
      </c>
      <c r="G4895" s="1">
        <v>13</v>
      </c>
      <c r="H4895" s="1">
        <v>24628</v>
      </c>
      <c r="I4895" s="1">
        <v>0.05</v>
      </c>
      <c r="J4895" s="1">
        <v>304155.8</v>
      </c>
      <c r="K4895" s="1">
        <v>89003.99</v>
      </c>
      <c r="L4895" s="1" t="s">
        <v>45</v>
      </c>
      <c r="M4895" s="1" t="str">
        <f>TEXT(Table1[[#This Row],[Order Date]],"mmm")</f>
        <v>Aug</v>
      </c>
      <c r="N4895" s="1">
        <f>YEAR(Table1[[#This Row],[Order Date]])</f>
        <v>2024</v>
      </c>
    </row>
    <row r="4896" spans="1:14" x14ac:dyDescent="0.35">
      <c r="A4896" s="1" t="s">
        <v>5693</v>
      </c>
      <c r="B4896" s="1" t="s">
        <v>1389</v>
      </c>
      <c r="C4896" s="1" t="s">
        <v>88</v>
      </c>
      <c r="D4896" s="1" t="s">
        <v>85</v>
      </c>
      <c r="E4896" s="1" t="s">
        <v>28</v>
      </c>
      <c r="F4896" s="1" t="s">
        <v>85</v>
      </c>
      <c r="G4896" s="1">
        <v>9</v>
      </c>
      <c r="H4896" s="1">
        <v>16440</v>
      </c>
      <c r="I4896" s="1">
        <v>0.05</v>
      </c>
      <c r="J4896" s="1">
        <v>140562</v>
      </c>
      <c r="K4896" s="1">
        <v>17901.96</v>
      </c>
      <c r="L4896" s="1" t="s">
        <v>45</v>
      </c>
      <c r="M4896" s="1" t="str">
        <f>TEXT(Table1[[#This Row],[Order Date]],"mmm")</f>
        <v>Apr</v>
      </c>
      <c r="N4896" s="1">
        <f>YEAR(Table1[[#This Row],[Order Date]])</f>
        <v>2023</v>
      </c>
    </row>
    <row r="4897" spans="1:14" x14ac:dyDescent="0.35">
      <c r="A4897" s="1" t="s">
        <v>5694</v>
      </c>
      <c r="B4897" s="1" t="s">
        <v>705</v>
      </c>
      <c r="C4897" s="1" t="s">
        <v>260</v>
      </c>
      <c r="D4897" s="1" t="s">
        <v>151</v>
      </c>
      <c r="E4897" s="1" t="s">
        <v>22</v>
      </c>
      <c r="F4897" s="1" t="s">
        <v>151</v>
      </c>
      <c r="G4897" s="1">
        <v>7</v>
      </c>
      <c r="H4897" s="1">
        <v>52246</v>
      </c>
      <c r="I4897" s="1">
        <v>0.05</v>
      </c>
      <c r="J4897" s="1">
        <v>347435.9</v>
      </c>
      <c r="K4897" s="1">
        <v>68029.149999999994</v>
      </c>
      <c r="L4897" s="1" t="s">
        <v>70</v>
      </c>
      <c r="M4897" s="1" t="str">
        <f>TEXT(Table1[[#This Row],[Order Date]],"mmm")</f>
        <v>May</v>
      </c>
      <c r="N4897" s="1">
        <f>YEAR(Table1[[#This Row],[Order Date]])</f>
        <v>2024</v>
      </c>
    </row>
    <row r="4898" spans="1:14" x14ac:dyDescent="0.35">
      <c r="A4898" s="1" t="s">
        <v>5695</v>
      </c>
      <c r="B4898" s="1" t="s">
        <v>1137</v>
      </c>
      <c r="C4898" s="1" t="s">
        <v>188</v>
      </c>
      <c r="D4898" s="1" t="s">
        <v>141</v>
      </c>
      <c r="E4898" s="1" t="s">
        <v>22</v>
      </c>
      <c r="F4898" s="1" t="s">
        <v>141</v>
      </c>
      <c r="G4898" s="1">
        <v>4</v>
      </c>
      <c r="H4898" s="1">
        <v>45243</v>
      </c>
      <c r="I4898" s="1">
        <v>0.1</v>
      </c>
      <c r="J4898" s="1">
        <v>162874.79999999999</v>
      </c>
      <c r="K4898" s="1">
        <v>38214.69</v>
      </c>
      <c r="L4898" s="1" t="s">
        <v>70</v>
      </c>
      <c r="M4898" s="1" t="str">
        <f>TEXT(Table1[[#This Row],[Order Date]],"mmm")</f>
        <v>Apr</v>
      </c>
      <c r="N4898" s="1">
        <f>YEAR(Table1[[#This Row],[Order Date]])</f>
        <v>2023</v>
      </c>
    </row>
    <row r="4899" spans="1:14" x14ac:dyDescent="0.35">
      <c r="A4899" s="1" t="s">
        <v>5696</v>
      </c>
      <c r="B4899" s="1" t="s">
        <v>437</v>
      </c>
      <c r="C4899" s="1" t="s">
        <v>170</v>
      </c>
      <c r="D4899" s="1" t="s">
        <v>27</v>
      </c>
      <c r="E4899" s="1" t="s">
        <v>28</v>
      </c>
      <c r="F4899" s="1" t="s">
        <v>27</v>
      </c>
      <c r="G4899" s="1">
        <v>2</v>
      </c>
      <c r="H4899" s="1">
        <v>57539</v>
      </c>
      <c r="I4899" s="1">
        <v>0.1</v>
      </c>
      <c r="J4899" s="1">
        <v>103570.2</v>
      </c>
      <c r="K4899" s="1">
        <v>24635.03</v>
      </c>
      <c r="L4899" s="1" t="s">
        <v>45</v>
      </c>
      <c r="M4899" s="1" t="str">
        <f>TEXT(Table1[[#This Row],[Order Date]],"mmm")</f>
        <v>Mar</v>
      </c>
      <c r="N4899" s="1">
        <f>YEAR(Table1[[#This Row],[Order Date]])</f>
        <v>2023</v>
      </c>
    </row>
    <row r="4900" spans="1:14" x14ac:dyDescent="0.35">
      <c r="A4900" s="1" t="s">
        <v>5697</v>
      </c>
      <c r="B4900" s="1" t="s">
        <v>1658</v>
      </c>
      <c r="C4900" s="1" t="s">
        <v>335</v>
      </c>
      <c r="D4900" s="1" t="s">
        <v>323</v>
      </c>
      <c r="E4900" s="1" t="s">
        <v>33</v>
      </c>
      <c r="F4900" s="1" t="s">
        <v>323</v>
      </c>
      <c r="G4900" s="1">
        <v>4</v>
      </c>
      <c r="H4900" s="1">
        <v>32433</v>
      </c>
      <c r="I4900" s="1">
        <v>0</v>
      </c>
      <c r="J4900" s="1">
        <v>129732</v>
      </c>
      <c r="K4900" s="1">
        <v>29975.51</v>
      </c>
      <c r="L4900" s="1" t="s">
        <v>70</v>
      </c>
      <c r="M4900" s="1" t="str">
        <f>TEXT(Table1[[#This Row],[Order Date]],"mmm")</f>
        <v>Sep</v>
      </c>
      <c r="N4900" s="1">
        <f>YEAR(Table1[[#This Row],[Order Date]])</f>
        <v>2024</v>
      </c>
    </row>
    <row r="4901" spans="1:14" x14ac:dyDescent="0.35">
      <c r="A4901" s="1" t="s">
        <v>5698</v>
      </c>
      <c r="B4901" s="1" t="s">
        <v>2111</v>
      </c>
      <c r="C4901" s="1" t="s">
        <v>36</v>
      </c>
      <c r="D4901" s="1" t="s">
        <v>78</v>
      </c>
      <c r="E4901" s="1" t="s">
        <v>28</v>
      </c>
      <c r="F4901" s="1" t="s">
        <v>78</v>
      </c>
      <c r="G4901" s="1">
        <v>5</v>
      </c>
      <c r="H4901" s="1">
        <v>35041</v>
      </c>
      <c r="I4901" s="1">
        <v>0.15</v>
      </c>
      <c r="J4901" s="1">
        <v>148924.25</v>
      </c>
      <c r="K4901" s="1">
        <v>33594.92</v>
      </c>
      <c r="L4901" s="1" t="s">
        <v>17</v>
      </c>
      <c r="M4901" s="1" t="str">
        <f>TEXT(Table1[[#This Row],[Order Date]],"mmm")</f>
        <v>May</v>
      </c>
      <c r="N4901" s="1">
        <f>YEAR(Table1[[#This Row],[Order Date]])</f>
        <v>2024</v>
      </c>
    </row>
    <row r="4902" spans="1:14" x14ac:dyDescent="0.35">
      <c r="A4902" s="1" t="s">
        <v>5699</v>
      </c>
      <c r="B4902" s="1" t="s">
        <v>1890</v>
      </c>
      <c r="C4902" s="1" t="s">
        <v>67</v>
      </c>
      <c r="D4902" s="1" t="s">
        <v>64</v>
      </c>
      <c r="E4902" s="1" t="s">
        <v>33</v>
      </c>
      <c r="F4902" s="1" t="s">
        <v>64</v>
      </c>
      <c r="G4902" s="1">
        <v>15</v>
      </c>
      <c r="H4902" s="1">
        <v>32659</v>
      </c>
      <c r="I4902" s="1">
        <v>0.05</v>
      </c>
      <c r="J4902" s="1">
        <v>465390.75</v>
      </c>
      <c r="K4902" s="1">
        <v>126450.31</v>
      </c>
      <c r="L4902" s="1" t="s">
        <v>45</v>
      </c>
      <c r="M4902" s="1" t="str">
        <f>TEXT(Table1[[#This Row],[Order Date]],"mmm")</f>
        <v>Oct</v>
      </c>
      <c r="N4902" s="1">
        <f>YEAR(Table1[[#This Row],[Order Date]])</f>
        <v>2023</v>
      </c>
    </row>
    <row r="4903" spans="1:14" x14ac:dyDescent="0.35">
      <c r="A4903" s="1" t="s">
        <v>5700</v>
      </c>
      <c r="B4903" s="1" t="s">
        <v>199</v>
      </c>
      <c r="C4903" s="1" t="s">
        <v>370</v>
      </c>
      <c r="D4903" s="1" t="s">
        <v>52</v>
      </c>
      <c r="E4903" s="1" t="s">
        <v>28</v>
      </c>
      <c r="F4903" s="1" t="s">
        <v>52</v>
      </c>
      <c r="G4903" s="1">
        <v>12</v>
      </c>
      <c r="H4903" s="1">
        <v>27376</v>
      </c>
      <c r="I4903" s="1">
        <v>0.05</v>
      </c>
      <c r="J4903" s="1">
        <v>312086.40000000002</v>
      </c>
      <c r="K4903" s="1">
        <v>85727.08</v>
      </c>
      <c r="L4903" s="1" t="s">
        <v>70</v>
      </c>
      <c r="M4903" s="1" t="str">
        <f>TEXT(Table1[[#This Row],[Order Date]],"mmm")</f>
        <v>Nov</v>
      </c>
      <c r="N4903" s="1">
        <f>YEAR(Table1[[#This Row],[Order Date]])</f>
        <v>2023</v>
      </c>
    </row>
    <row r="4904" spans="1:14" x14ac:dyDescent="0.35">
      <c r="A4904" s="1" t="s">
        <v>5701</v>
      </c>
      <c r="B4904" s="1" t="s">
        <v>296</v>
      </c>
      <c r="C4904" s="1" t="s">
        <v>20</v>
      </c>
      <c r="D4904" s="1" t="s">
        <v>44</v>
      </c>
      <c r="E4904" s="1" t="s">
        <v>28</v>
      </c>
      <c r="F4904" s="1" t="s">
        <v>44</v>
      </c>
      <c r="G4904" s="1">
        <v>10</v>
      </c>
      <c r="H4904" s="1">
        <v>31545</v>
      </c>
      <c r="I4904" s="1">
        <v>0.05</v>
      </c>
      <c r="J4904" s="1">
        <v>299677.5</v>
      </c>
      <c r="K4904" s="1">
        <v>46343.19</v>
      </c>
      <c r="L4904" s="1" t="s">
        <v>17</v>
      </c>
      <c r="M4904" s="1" t="str">
        <f>TEXT(Table1[[#This Row],[Order Date]],"mmm")</f>
        <v>Aug</v>
      </c>
      <c r="N4904" s="1">
        <f>YEAR(Table1[[#This Row],[Order Date]])</f>
        <v>2023</v>
      </c>
    </row>
    <row r="4905" spans="1:14" x14ac:dyDescent="0.35">
      <c r="A4905" s="1" t="s">
        <v>5702</v>
      </c>
      <c r="B4905" s="1" t="s">
        <v>744</v>
      </c>
      <c r="C4905" s="1" t="s">
        <v>208</v>
      </c>
      <c r="D4905" s="1" t="s">
        <v>41</v>
      </c>
      <c r="E4905" s="1" t="s">
        <v>16</v>
      </c>
      <c r="F4905" s="1" t="s">
        <v>41</v>
      </c>
      <c r="G4905" s="1">
        <v>2</v>
      </c>
      <c r="H4905" s="1">
        <v>13994</v>
      </c>
      <c r="I4905" s="1">
        <v>0</v>
      </c>
      <c r="J4905" s="1">
        <v>27988</v>
      </c>
      <c r="K4905" s="1">
        <v>4672.8599999999997</v>
      </c>
      <c r="L4905" s="1" t="s">
        <v>45</v>
      </c>
      <c r="M4905" s="1" t="str">
        <f>TEXT(Table1[[#This Row],[Order Date]],"mmm")</f>
        <v>May</v>
      </c>
      <c r="N4905" s="1">
        <f>YEAR(Table1[[#This Row],[Order Date]])</f>
        <v>2023</v>
      </c>
    </row>
    <row r="4906" spans="1:14" x14ac:dyDescent="0.35">
      <c r="A4906" s="1" t="s">
        <v>5703</v>
      </c>
      <c r="B4906" s="1" t="s">
        <v>2274</v>
      </c>
      <c r="C4906" s="1" t="s">
        <v>40</v>
      </c>
      <c r="D4906" s="1" t="s">
        <v>293</v>
      </c>
      <c r="E4906" s="1" t="s">
        <v>33</v>
      </c>
      <c r="F4906" s="1" t="s">
        <v>293</v>
      </c>
      <c r="G4906" s="1">
        <v>9</v>
      </c>
      <c r="H4906" s="1">
        <v>34315</v>
      </c>
      <c r="I4906" s="1">
        <v>0.15</v>
      </c>
      <c r="J4906" s="1">
        <v>262509.75</v>
      </c>
      <c r="K4906" s="1">
        <v>59871.14</v>
      </c>
      <c r="L4906" s="1" t="s">
        <v>45</v>
      </c>
      <c r="M4906" s="1" t="str">
        <f>TEXT(Table1[[#This Row],[Order Date]],"mmm")</f>
        <v>Jan</v>
      </c>
      <c r="N4906" s="1">
        <f>YEAR(Table1[[#This Row],[Order Date]])</f>
        <v>2024</v>
      </c>
    </row>
    <row r="4907" spans="1:14" x14ac:dyDescent="0.35">
      <c r="A4907" s="1" t="s">
        <v>5704</v>
      </c>
      <c r="B4907" s="1" t="s">
        <v>969</v>
      </c>
      <c r="C4907" s="1" t="s">
        <v>36</v>
      </c>
      <c r="D4907" s="1" t="s">
        <v>133</v>
      </c>
      <c r="E4907" s="1" t="s">
        <v>22</v>
      </c>
      <c r="F4907" s="1" t="s">
        <v>133</v>
      </c>
      <c r="G4907" s="1">
        <v>13</v>
      </c>
      <c r="H4907" s="1">
        <v>36052</v>
      </c>
      <c r="I4907" s="1">
        <v>0.05</v>
      </c>
      <c r="J4907" s="1">
        <v>445242.2</v>
      </c>
      <c r="K4907" s="1">
        <v>88547.15</v>
      </c>
      <c r="L4907" s="1" t="s">
        <v>45</v>
      </c>
      <c r="M4907" s="1" t="str">
        <f>TEXT(Table1[[#This Row],[Order Date]],"mmm")</f>
        <v>Aug</v>
      </c>
      <c r="N4907" s="1">
        <f>YEAR(Table1[[#This Row],[Order Date]])</f>
        <v>2024</v>
      </c>
    </row>
    <row r="4908" spans="1:14" x14ac:dyDescent="0.35">
      <c r="A4908" s="1" t="s">
        <v>5705</v>
      </c>
      <c r="B4908" s="1" t="s">
        <v>387</v>
      </c>
      <c r="C4908" s="1" t="s">
        <v>162</v>
      </c>
      <c r="D4908" s="1" t="s">
        <v>64</v>
      </c>
      <c r="E4908" s="1" t="s">
        <v>33</v>
      </c>
      <c r="F4908" s="1" t="s">
        <v>64</v>
      </c>
      <c r="G4908" s="1">
        <v>6</v>
      </c>
      <c r="H4908" s="1">
        <v>52400</v>
      </c>
      <c r="I4908" s="1">
        <v>0</v>
      </c>
      <c r="J4908" s="1">
        <v>314400</v>
      </c>
      <c r="K4908" s="1">
        <v>27592.13</v>
      </c>
      <c r="L4908" s="1" t="s">
        <v>70</v>
      </c>
      <c r="M4908" s="1" t="str">
        <f>TEXT(Table1[[#This Row],[Order Date]],"mmm")</f>
        <v>May</v>
      </c>
      <c r="N4908" s="1">
        <f>YEAR(Table1[[#This Row],[Order Date]])</f>
        <v>2024</v>
      </c>
    </row>
    <row r="4909" spans="1:14" x14ac:dyDescent="0.35">
      <c r="A4909" s="1" t="s">
        <v>5706</v>
      </c>
      <c r="B4909" s="1" t="s">
        <v>515</v>
      </c>
      <c r="C4909" s="1" t="s">
        <v>155</v>
      </c>
      <c r="D4909" s="1" t="s">
        <v>114</v>
      </c>
      <c r="E4909" s="1" t="s">
        <v>16</v>
      </c>
      <c r="F4909" s="1" t="s">
        <v>114</v>
      </c>
      <c r="G4909" s="1">
        <v>11</v>
      </c>
      <c r="H4909" s="1">
        <v>20692</v>
      </c>
      <c r="I4909" s="1">
        <v>0</v>
      </c>
      <c r="J4909" s="1">
        <v>227612</v>
      </c>
      <c r="K4909" s="1">
        <v>65219.06</v>
      </c>
      <c r="L4909" s="1" t="s">
        <v>70</v>
      </c>
      <c r="M4909" s="1" t="str">
        <f>TEXT(Table1[[#This Row],[Order Date]],"mmm")</f>
        <v>Apr</v>
      </c>
      <c r="N4909" s="1">
        <f>YEAR(Table1[[#This Row],[Order Date]])</f>
        <v>2024</v>
      </c>
    </row>
    <row r="4910" spans="1:14" x14ac:dyDescent="0.35">
      <c r="A4910" s="1" t="s">
        <v>5707</v>
      </c>
      <c r="B4910" s="1" t="s">
        <v>1220</v>
      </c>
      <c r="C4910" s="1" t="s">
        <v>155</v>
      </c>
      <c r="D4910" s="1" t="s">
        <v>95</v>
      </c>
      <c r="E4910" s="1" t="s">
        <v>33</v>
      </c>
      <c r="F4910" s="1" t="s">
        <v>95</v>
      </c>
      <c r="G4910" s="1">
        <v>1</v>
      </c>
      <c r="H4910" s="1">
        <v>54493</v>
      </c>
      <c r="I4910" s="1">
        <v>0.1</v>
      </c>
      <c r="J4910" s="1">
        <v>49043.7</v>
      </c>
      <c r="K4910" s="1">
        <v>4852.51</v>
      </c>
      <c r="L4910" s="1" t="s">
        <v>70</v>
      </c>
      <c r="M4910" s="1" t="str">
        <f>TEXT(Table1[[#This Row],[Order Date]],"mmm")</f>
        <v>Oct</v>
      </c>
      <c r="N4910" s="1">
        <f>YEAR(Table1[[#This Row],[Order Date]])</f>
        <v>2024</v>
      </c>
    </row>
    <row r="4911" spans="1:14" x14ac:dyDescent="0.35">
      <c r="A4911" s="1" t="s">
        <v>5708</v>
      </c>
      <c r="B4911" s="1" t="s">
        <v>1379</v>
      </c>
      <c r="C4911" s="1" t="s">
        <v>51</v>
      </c>
      <c r="D4911" s="1" t="s">
        <v>141</v>
      </c>
      <c r="E4911" s="1" t="s">
        <v>22</v>
      </c>
      <c r="F4911" s="1" t="s">
        <v>141</v>
      </c>
      <c r="G4911" s="1">
        <v>15</v>
      </c>
      <c r="H4911" s="1">
        <v>17927</v>
      </c>
      <c r="I4911" s="1">
        <v>0.05</v>
      </c>
      <c r="J4911" s="1">
        <v>255459.75</v>
      </c>
      <c r="K4911" s="1">
        <v>69870.81</v>
      </c>
      <c r="L4911" s="1" t="s">
        <v>23</v>
      </c>
      <c r="M4911" s="1" t="str">
        <f>TEXT(Table1[[#This Row],[Order Date]],"mmm")</f>
        <v>Mar</v>
      </c>
      <c r="N4911" s="1">
        <f>YEAR(Table1[[#This Row],[Order Date]])</f>
        <v>2023</v>
      </c>
    </row>
    <row r="4912" spans="1:14" x14ac:dyDescent="0.35">
      <c r="A4912" s="1" t="s">
        <v>5709</v>
      </c>
      <c r="B4912" s="1" t="s">
        <v>145</v>
      </c>
      <c r="C4912" s="1" t="s">
        <v>63</v>
      </c>
      <c r="D4912" s="1" t="s">
        <v>293</v>
      </c>
      <c r="E4912" s="1" t="s">
        <v>33</v>
      </c>
      <c r="F4912" s="1" t="s">
        <v>293</v>
      </c>
      <c r="G4912" s="1">
        <v>2</v>
      </c>
      <c r="H4912" s="1">
        <v>43944</v>
      </c>
      <c r="I4912" s="1">
        <v>0</v>
      </c>
      <c r="J4912" s="1">
        <v>87888</v>
      </c>
      <c r="K4912" s="1">
        <v>7354.63</v>
      </c>
      <c r="L4912" s="1" t="s">
        <v>70</v>
      </c>
      <c r="M4912" s="1" t="str">
        <f>TEXT(Table1[[#This Row],[Order Date]],"mmm")</f>
        <v>Sep</v>
      </c>
      <c r="N4912" s="1">
        <f>YEAR(Table1[[#This Row],[Order Date]])</f>
        <v>2024</v>
      </c>
    </row>
    <row r="4913" spans="1:14" x14ac:dyDescent="0.35">
      <c r="A4913" s="1" t="s">
        <v>5710</v>
      </c>
      <c r="B4913" s="1" t="s">
        <v>1320</v>
      </c>
      <c r="C4913" s="1" t="s">
        <v>332</v>
      </c>
      <c r="D4913" s="1" t="s">
        <v>137</v>
      </c>
      <c r="E4913" s="1" t="s">
        <v>22</v>
      </c>
      <c r="F4913" s="1" t="s">
        <v>137</v>
      </c>
      <c r="G4913" s="1">
        <v>5</v>
      </c>
      <c r="H4913" s="1">
        <v>47691</v>
      </c>
      <c r="I4913" s="1">
        <v>0.05</v>
      </c>
      <c r="J4913" s="1">
        <v>226532.25</v>
      </c>
      <c r="K4913" s="1">
        <v>62099.96</v>
      </c>
      <c r="L4913" s="1" t="s">
        <v>45</v>
      </c>
      <c r="M4913" s="1" t="str">
        <f>TEXT(Table1[[#This Row],[Order Date]],"mmm")</f>
        <v>Mar</v>
      </c>
      <c r="N4913" s="1">
        <f>YEAR(Table1[[#This Row],[Order Date]])</f>
        <v>2023</v>
      </c>
    </row>
    <row r="4914" spans="1:14" x14ac:dyDescent="0.35">
      <c r="A4914" s="1" t="s">
        <v>5711</v>
      </c>
      <c r="B4914" s="1" t="s">
        <v>774</v>
      </c>
      <c r="C4914" s="1" t="s">
        <v>335</v>
      </c>
      <c r="D4914" s="1" t="s">
        <v>293</v>
      </c>
      <c r="E4914" s="1" t="s">
        <v>33</v>
      </c>
      <c r="F4914" s="1" t="s">
        <v>293</v>
      </c>
      <c r="G4914" s="1">
        <v>2</v>
      </c>
      <c r="H4914" s="1">
        <v>23144</v>
      </c>
      <c r="I4914" s="1">
        <v>0.2</v>
      </c>
      <c r="J4914" s="1">
        <v>37030.400000000001</v>
      </c>
      <c r="K4914" s="1">
        <v>8899.36</v>
      </c>
      <c r="L4914" s="1" t="s">
        <v>23</v>
      </c>
      <c r="M4914" s="1" t="str">
        <f>TEXT(Table1[[#This Row],[Order Date]],"mmm")</f>
        <v>Mar</v>
      </c>
      <c r="N4914" s="1">
        <f>YEAR(Table1[[#This Row],[Order Date]])</f>
        <v>2024</v>
      </c>
    </row>
    <row r="4915" spans="1:14" x14ac:dyDescent="0.35">
      <c r="A4915" s="1" t="s">
        <v>5712</v>
      </c>
      <c r="B4915" s="1" t="s">
        <v>969</v>
      </c>
      <c r="C4915" s="1" t="s">
        <v>175</v>
      </c>
      <c r="D4915" s="1" t="s">
        <v>41</v>
      </c>
      <c r="E4915" s="1" t="s">
        <v>16</v>
      </c>
      <c r="F4915" s="1" t="s">
        <v>41</v>
      </c>
      <c r="G4915" s="1">
        <v>5</v>
      </c>
      <c r="H4915" s="1">
        <v>25463</v>
      </c>
      <c r="I4915" s="1">
        <v>0.1</v>
      </c>
      <c r="J4915" s="1">
        <v>114583.5</v>
      </c>
      <c r="K4915" s="1">
        <v>12673.53</v>
      </c>
      <c r="L4915" s="1" t="s">
        <v>45</v>
      </c>
      <c r="M4915" s="1" t="str">
        <f>TEXT(Table1[[#This Row],[Order Date]],"mmm")</f>
        <v>Aug</v>
      </c>
      <c r="N4915" s="1">
        <f>YEAR(Table1[[#This Row],[Order Date]])</f>
        <v>2024</v>
      </c>
    </row>
    <row r="4916" spans="1:14" x14ac:dyDescent="0.35">
      <c r="A4916" s="1" t="s">
        <v>5713</v>
      </c>
      <c r="B4916" s="1" t="s">
        <v>515</v>
      </c>
      <c r="C4916" s="1" t="s">
        <v>84</v>
      </c>
      <c r="D4916" s="1" t="s">
        <v>95</v>
      </c>
      <c r="E4916" s="1" t="s">
        <v>33</v>
      </c>
      <c r="F4916" s="1" t="s">
        <v>95</v>
      </c>
      <c r="G4916" s="1">
        <v>3</v>
      </c>
      <c r="H4916" s="1">
        <v>11764</v>
      </c>
      <c r="I4916" s="1">
        <v>0.2</v>
      </c>
      <c r="J4916" s="1">
        <v>28233.599999999999</v>
      </c>
      <c r="K4916" s="1">
        <v>5735.92</v>
      </c>
      <c r="L4916" s="1" t="s">
        <v>17</v>
      </c>
      <c r="M4916" s="1" t="str">
        <f>TEXT(Table1[[#This Row],[Order Date]],"mmm")</f>
        <v>Apr</v>
      </c>
      <c r="N4916" s="1">
        <f>YEAR(Table1[[#This Row],[Order Date]])</f>
        <v>2024</v>
      </c>
    </row>
    <row r="4917" spans="1:14" x14ac:dyDescent="0.35">
      <c r="A4917" s="1" t="s">
        <v>5714</v>
      </c>
      <c r="B4917" s="1" t="s">
        <v>2225</v>
      </c>
      <c r="C4917" s="1" t="s">
        <v>255</v>
      </c>
      <c r="D4917" s="1" t="s">
        <v>137</v>
      </c>
      <c r="E4917" s="1" t="s">
        <v>22</v>
      </c>
      <c r="F4917" s="1" t="s">
        <v>137</v>
      </c>
      <c r="G4917" s="1">
        <v>9</v>
      </c>
      <c r="H4917" s="1">
        <v>26402</v>
      </c>
      <c r="I4917" s="1">
        <v>0</v>
      </c>
      <c r="J4917" s="1">
        <v>237618</v>
      </c>
      <c r="K4917" s="1">
        <v>49819.15</v>
      </c>
      <c r="L4917" s="1" t="s">
        <v>45</v>
      </c>
      <c r="M4917" s="1" t="str">
        <f>TEXT(Table1[[#This Row],[Order Date]],"mmm")</f>
        <v>Nov</v>
      </c>
      <c r="N4917" s="1">
        <f>YEAR(Table1[[#This Row],[Order Date]])</f>
        <v>2023</v>
      </c>
    </row>
    <row r="4918" spans="1:14" x14ac:dyDescent="0.35">
      <c r="A4918" s="1" t="s">
        <v>5715</v>
      </c>
      <c r="B4918" s="1" t="s">
        <v>1823</v>
      </c>
      <c r="C4918" s="1" t="s">
        <v>125</v>
      </c>
      <c r="D4918" s="1" t="s">
        <v>85</v>
      </c>
      <c r="E4918" s="1" t="s">
        <v>28</v>
      </c>
      <c r="F4918" s="1" t="s">
        <v>85</v>
      </c>
      <c r="G4918" s="1">
        <v>10</v>
      </c>
      <c r="H4918" s="1">
        <v>12825</v>
      </c>
      <c r="I4918" s="1">
        <v>0.1</v>
      </c>
      <c r="J4918" s="1">
        <v>115425</v>
      </c>
      <c r="K4918" s="1">
        <v>34278.839999999997</v>
      </c>
      <c r="L4918" s="1" t="s">
        <v>45</v>
      </c>
      <c r="M4918" s="1" t="str">
        <f>TEXT(Table1[[#This Row],[Order Date]],"mmm")</f>
        <v>Feb</v>
      </c>
      <c r="N4918" s="1">
        <f>YEAR(Table1[[#This Row],[Order Date]])</f>
        <v>2023</v>
      </c>
    </row>
    <row r="4919" spans="1:14" x14ac:dyDescent="0.35">
      <c r="A4919" s="1" t="s">
        <v>5716</v>
      </c>
      <c r="B4919" s="1" t="s">
        <v>1376</v>
      </c>
      <c r="C4919" s="1" t="s">
        <v>175</v>
      </c>
      <c r="D4919" s="1" t="s">
        <v>48</v>
      </c>
      <c r="E4919" s="1" t="s">
        <v>16</v>
      </c>
      <c r="F4919" s="1" t="s">
        <v>48</v>
      </c>
      <c r="G4919" s="1">
        <v>13</v>
      </c>
      <c r="H4919" s="1">
        <v>17743</v>
      </c>
      <c r="I4919" s="1">
        <v>0</v>
      </c>
      <c r="J4919" s="1">
        <v>230659</v>
      </c>
      <c r="K4919" s="1">
        <v>32706.85</v>
      </c>
      <c r="L4919" s="1" t="s">
        <v>70</v>
      </c>
      <c r="M4919" s="1" t="str">
        <f>TEXT(Table1[[#This Row],[Order Date]],"mmm")</f>
        <v>Jan</v>
      </c>
      <c r="N4919" s="1">
        <f>YEAR(Table1[[#This Row],[Order Date]])</f>
        <v>2024</v>
      </c>
    </row>
    <row r="4920" spans="1:14" x14ac:dyDescent="0.35">
      <c r="A4920" s="1" t="s">
        <v>5717</v>
      </c>
      <c r="B4920" s="1" t="s">
        <v>257</v>
      </c>
      <c r="C4920" s="1" t="s">
        <v>507</v>
      </c>
      <c r="D4920" s="1" t="s">
        <v>133</v>
      </c>
      <c r="E4920" s="1" t="s">
        <v>22</v>
      </c>
      <c r="F4920" s="1" t="s">
        <v>133</v>
      </c>
      <c r="G4920" s="1">
        <v>4</v>
      </c>
      <c r="H4920" s="1">
        <v>27878</v>
      </c>
      <c r="I4920" s="1">
        <v>0.15</v>
      </c>
      <c r="J4920" s="1">
        <v>94785.2</v>
      </c>
      <c r="K4920" s="1">
        <v>20589.21</v>
      </c>
      <c r="L4920" s="1" t="s">
        <v>45</v>
      </c>
      <c r="M4920" s="1" t="str">
        <f>TEXT(Table1[[#This Row],[Order Date]],"mmm")</f>
        <v>Aug</v>
      </c>
      <c r="N4920" s="1">
        <f>YEAR(Table1[[#This Row],[Order Date]])</f>
        <v>2024</v>
      </c>
    </row>
    <row r="4921" spans="1:14" x14ac:dyDescent="0.35">
      <c r="A4921" s="1" t="s">
        <v>5718</v>
      </c>
      <c r="B4921" s="1" t="s">
        <v>1792</v>
      </c>
      <c r="C4921" s="1" t="s">
        <v>260</v>
      </c>
      <c r="D4921" s="1" t="s">
        <v>44</v>
      </c>
      <c r="E4921" s="1" t="s">
        <v>28</v>
      </c>
      <c r="F4921" s="1" t="s">
        <v>44</v>
      </c>
      <c r="G4921" s="1">
        <v>8</v>
      </c>
      <c r="H4921" s="1">
        <v>28072</v>
      </c>
      <c r="I4921" s="1">
        <v>0.2</v>
      </c>
      <c r="J4921" s="1">
        <v>179660.79999999999</v>
      </c>
      <c r="K4921" s="1">
        <v>29501.43</v>
      </c>
      <c r="L4921" s="1" t="s">
        <v>45</v>
      </c>
      <c r="M4921" s="1" t="str">
        <f>TEXT(Table1[[#This Row],[Order Date]],"mmm")</f>
        <v>Apr</v>
      </c>
      <c r="N4921" s="1">
        <f>YEAR(Table1[[#This Row],[Order Date]])</f>
        <v>2023</v>
      </c>
    </row>
    <row r="4922" spans="1:14" x14ac:dyDescent="0.35">
      <c r="A4922" s="1" t="s">
        <v>5719</v>
      </c>
      <c r="B4922" s="1" t="s">
        <v>1346</v>
      </c>
      <c r="C4922" s="1" t="s">
        <v>507</v>
      </c>
      <c r="D4922" s="1" t="s">
        <v>52</v>
      </c>
      <c r="E4922" s="1" t="s">
        <v>28</v>
      </c>
      <c r="F4922" s="1" t="s">
        <v>52</v>
      </c>
      <c r="G4922" s="1">
        <v>2</v>
      </c>
      <c r="H4922" s="1">
        <v>27733</v>
      </c>
      <c r="I4922" s="1">
        <v>0.2</v>
      </c>
      <c r="J4922" s="1">
        <v>44372.800000000003</v>
      </c>
      <c r="K4922" s="1">
        <v>7635.95</v>
      </c>
      <c r="L4922" s="1" t="s">
        <v>70</v>
      </c>
      <c r="M4922" s="1" t="str">
        <f>TEXT(Table1[[#This Row],[Order Date]],"mmm")</f>
        <v>Aug</v>
      </c>
      <c r="N4922" s="1">
        <f>YEAR(Table1[[#This Row],[Order Date]])</f>
        <v>2023</v>
      </c>
    </row>
    <row r="4923" spans="1:14" x14ac:dyDescent="0.35">
      <c r="A4923" s="1" t="s">
        <v>5720</v>
      </c>
      <c r="B4923" s="1" t="s">
        <v>3395</v>
      </c>
      <c r="C4923" s="1" t="s">
        <v>120</v>
      </c>
      <c r="D4923" s="1" t="s">
        <v>224</v>
      </c>
      <c r="E4923" s="1" t="s">
        <v>33</v>
      </c>
      <c r="F4923" s="1" t="s">
        <v>224</v>
      </c>
      <c r="G4923" s="1">
        <v>9</v>
      </c>
      <c r="H4923" s="1">
        <v>32223</v>
      </c>
      <c r="I4923" s="1">
        <v>0.15</v>
      </c>
      <c r="J4923" s="1">
        <v>246505.95</v>
      </c>
      <c r="K4923" s="1">
        <v>45313.18</v>
      </c>
      <c r="L4923" s="1" t="s">
        <v>17</v>
      </c>
      <c r="M4923" s="1" t="str">
        <f>TEXT(Table1[[#This Row],[Order Date]],"mmm")</f>
        <v>Feb</v>
      </c>
      <c r="N4923" s="1">
        <f>YEAR(Table1[[#This Row],[Order Date]])</f>
        <v>2023</v>
      </c>
    </row>
    <row r="4924" spans="1:14" x14ac:dyDescent="0.35">
      <c r="A4924" s="1" t="s">
        <v>5721</v>
      </c>
      <c r="B4924" s="1" t="s">
        <v>2241</v>
      </c>
      <c r="C4924" s="1" t="s">
        <v>26</v>
      </c>
      <c r="D4924" s="1" t="s">
        <v>224</v>
      </c>
      <c r="E4924" s="1" t="s">
        <v>33</v>
      </c>
      <c r="F4924" s="1" t="s">
        <v>224</v>
      </c>
      <c r="G4924" s="1">
        <v>9</v>
      </c>
      <c r="H4924" s="1">
        <v>12535</v>
      </c>
      <c r="I4924" s="1">
        <v>0.05</v>
      </c>
      <c r="J4924" s="1">
        <v>107174.25</v>
      </c>
      <c r="K4924" s="1">
        <v>22523.41</v>
      </c>
      <c r="L4924" s="1" t="s">
        <v>23</v>
      </c>
      <c r="M4924" s="1" t="str">
        <f>TEXT(Table1[[#This Row],[Order Date]],"mmm")</f>
        <v>Feb</v>
      </c>
      <c r="N4924" s="1">
        <f>YEAR(Table1[[#This Row],[Order Date]])</f>
        <v>2024</v>
      </c>
    </row>
    <row r="4925" spans="1:14" x14ac:dyDescent="0.35">
      <c r="A4925" s="1" t="s">
        <v>5722</v>
      </c>
      <c r="B4925" s="1" t="s">
        <v>1483</v>
      </c>
      <c r="C4925" s="1" t="s">
        <v>362</v>
      </c>
      <c r="D4925" s="1" t="s">
        <v>224</v>
      </c>
      <c r="E4925" s="1" t="s">
        <v>33</v>
      </c>
      <c r="F4925" s="1" t="s">
        <v>224</v>
      </c>
      <c r="G4925" s="1">
        <v>4</v>
      </c>
      <c r="H4925" s="1">
        <v>27869</v>
      </c>
      <c r="I4925" s="1">
        <v>0.1</v>
      </c>
      <c r="J4925" s="1">
        <v>100328.4</v>
      </c>
      <c r="K4925" s="1">
        <v>13119.14</v>
      </c>
      <c r="L4925" s="1" t="s">
        <v>45</v>
      </c>
      <c r="M4925" s="1" t="str">
        <f>TEXT(Table1[[#This Row],[Order Date]],"mmm")</f>
        <v>Aug</v>
      </c>
      <c r="N4925" s="1">
        <f>YEAR(Table1[[#This Row],[Order Date]])</f>
        <v>2023</v>
      </c>
    </row>
    <row r="4926" spans="1:14" x14ac:dyDescent="0.35">
      <c r="A4926" s="1" t="s">
        <v>5723</v>
      </c>
      <c r="B4926" s="1" t="s">
        <v>1890</v>
      </c>
      <c r="C4926" s="1" t="s">
        <v>191</v>
      </c>
      <c r="D4926" s="1" t="s">
        <v>91</v>
      </c>
      <c r="E4926" s="1" t="s">
        <v>16</v>
      </c>
      <c r="F4926" s="1" t="s">
        <v>91</v>
      </c>
      <c r="G4926" s="1">
        <v>5</v>
      </c>
      <c r="H4926" s="1">
        <v>300</v>
      </c>
      <c r="I4926" s="1">
        <v>0.15</v>
      </c>
      <c r="J4926" s="1">
        <v>1275</v>
      </c>
      <c r="K4926" s="1">
        <v>189.59</v>
      </c>
      <c r="L4926" s="1" t="s">
        <v>70</v>
      </c>
      <c r="M4926" s="1" t="str">
        <f>TEXT(Table1[[#This Row],[Order Date]],"mmm")</f>
        <v>Oct</v>
      </c>
      <c r="N4926" s="1">
        <f>YEAR(Table1[[#This Row],[Order Date]])</f>
        <v>2023</v>
      </c>
    </row>
    <row r="4927" spans="1:14" x14ac:dyDescent="0.35">
      <c r="A4927" s="1" t="s">
        <v>5724</v>
      </c>
      <c r="B4927" s="1" t="s">
        <v>726</v>
      </c>
      <c r="C4927" s="1" t="s">
        <v>175</v>
      </c>
      <c r="D4927" s="1" t="s">
        <v>32</v>
      </c>
      <c r="E4927" s="1" t="s">
        <v>33</v>
      </c>
      <c r="F4927" s="1" t="s">
        <v>32</v>
      </c>
      <c r="G4927" s="1">
        <v>6</v>
      </c>
      <c r="H4927" s="1">
        <v>1339</v>
      </c>
      <c r="I4927" s="1">
        <v>0.2</v>
      </c>
      <c r="J4927" s="1">
        <v>6427.2</v>
      </c>
      <c r="K4927" s="1">
        <v>1752.62</v>
      </c>
      <c r="L4927" s="1" t="s">
        <v>17</v>
      </c>
      <c r="M4927" s="1" t="str">
        <f>TEXT(Table1[[#This Row],[Order Date]],"mmm")</f>
        <v>Apr</v>
      </c>
      <c r="N4927" s="1">
        <f>YEAR(Table1[[#This Row],[Order Date]])</f>
        <v>2024</v>
      </c>
    </row>
    <row r="4928" spans="1:14" x14ac:dyDescent="0.35">
      <c r="A4928" s="1" t="s">
        <v>5725</v>
      </c>
      <c r="B4928" s="1" t="s">
        <v>603</v>
      </c>
      <c r="C4928" s="1" t="s">
        <v>640</v>
      </c>
      <c r="D4928" s="1" t="s">
        <v>60</v>
      </c>
      <c r="E4928" s="1" t="s">
        <v>33</v>
      </c>
      <c r="F4928" s="1" t="s">
        <v>60</v>
      </c>
      <c r="G4928" s="1">
        <v>4</v>
      </c>
      <c r="H4928" s="1">
        <v>24877</v>
      </c>
      <c r="I4928" s="1">
        <v>0.1</v>
      </c>
      <c r="J4928" s="1">
        <v>89557.2</v>
      </c>
      <c r="K4928" s="1">
        <v>12867.29</v>
      </c>
      <c r="L4928" s="1" t="s">
        <v>17</v>
      </c>
      <c r="M4928" s="1" t="str">
        <f>TEXT(Table1[[#This Row],[Order Date]],"mmm")</f>
        <v>Dec</v>
      </c>
      <c r="N4928" s="1">
        <f>YEAR(Table1[[#This Row],[Order Date]])</f>
        <v>2023</v>
      </c>
    </row>
    <row r="4929" spans="1:14" x14ac:dyDescent="0.35">
      <c r="A4929" s="1" t="s">
        <v>5726</v>
      </c>
      <c r="B4929" s="1" t="s">
        <v>797</v>
      </c>
      <c r="C4929" s="1" t="s">
        <v>260</v>
      </c>
      <c r="D4929" s="1" t="s">
        <v>151</v>
      </c>
      <c r="E4929" s="1" t="s">
        <v>22</v>
      </c>
      <c r="F4929" s="1" t="s">
        <v>151</v>
      </c>
      <c r="G4929" s="1">
        <v>8</v>
      </c>
      <c r="H4929" s="1">
        <v>16619</v>
      </c>
      <c r="I4929" s="1">
        <v>0.15</v>
      </c>
      <c r="J4929" s="1">
        <v>113009.2</v>
      </c>
      <c r="K4929" s="1">
        <v>24292.89</v>
      </c>
      <c r="L4929" s="1" t="s">
        <v>17</v>
      </c>
      <c r="M4929" s="1" t="str">
        <f>TEXT(Table1[[#This Row],[Order Date]],"mmm")</f>
        <v>Nov</v>
      </c>
      <c r="N4929" s="1">
        <f>YEAR(Table1[[#This Row],[Order Date]])</f>
        <v>2023</v>
      </c>
    </row>
    <row r="4930" spans="1:14" x14ac:dyDescent="0.35">
      <c r="A4930" s="1" t="s">
        <v>5727</v>
      </c>
      <c r="B4930" s="1" t="s">
        <v>1085</v>
      </c>
      <c r="C4930" s="1" t="s">
        <v>107</v>
      </c>
      <c r="D4930" s="1" t="s">
        <v>48</v>
      </c>
      <c r="E4930" s="1" t="s">
        <v>16</v>
      </c>
      <c r="F4930" s="1" t="s">
        <v>48</v>
      </c>
      <c r="G4930" s="1">
        <v>3</v>
      </c>
      <c r="H4930" s="1">
        <v>46112</v>
      </c>
      <c r="I4930" s="1">
        <v>0</v>
      </c>
      <c r="J4930" s="1">
        <v>138336</v>
      </c>
      <c r="K4930" s="1">
        <v>21371.02</v>
      </c>
      <c r="L4930" s="1" t="s">
        <v>70</v>
      </c>
      <c r="M4930" s="1" t="str">
        <f>TEXT(Table1[[#This Row],[Order Date]],"mmm")</f>
        <v>Aug</v>
      </c>
      <c r="N4930" s="1">
        <f>YEAR(Table1[[#This Row],[Order Date]])</f>
        <v>2023</v>
      </c>
    </row>
    <row r="4931" spans="1:14" x14ac:dyDescent="0.35">
      <c r="A4931" s="1" t="s">
        <v>5728</v>
      </c>
      <c r="B4931" s="1" t="s">
        <v>1029</v>
      </c>
      <c r="C4931" s="1" t="s">
        <v>107</v>
      </c>
      <c r="D4931" s="1" t="s">
        <v>224</v>
      </c>
      <c r="E4931" s="1" t="s">
        <v>33</v>
      </c>
      <c r="F4931" s="1" t="s">
        <v>224</v>
      </c>
      <c r="G4931" s="1">
        <v>6</v>
      </c>
      <c r="H4931" s="1">
        <v>2850</v>
      </c>
      <c r="I4931" s="1">
        <v>0.15</v>
      </c>
      <c r="J4931" s="1">
        <v>14535</v>
      </c>
      <c r="K4931" s="1">
        <v>4029.82</v>
      </c>
      <c r="L4931" s="1" t="s">
        <v>23</v>
      </c>
      <c r="M4931" s="1" t="str">
        <f>TEXT(Table1[[#This Row],[Order Date]],"mmm")</f>
        <v>Nov</v>
      </c>
      <c r="N4931" s="1">
        <f>YEAR(Table1[[#This Row],[Order Date]])</f>
        <v>2024</v>
      </c>
    </row>
    <row r="4932" spans="1:14" x14ac:dyDescent="0.35">
      <c r="A4932" s="1" t="s">
        <v>5729</v>
      </c>
      <c r="B4932" s="1" t="s">
        <v>1227</v>
      </c>
      <c r="C4932" s="1" t="s">
        <v>162</v>
      </c>
      <c r="D4932" s="1" t="s">
        <v>151</v>
      </c>
      <c r="E4932" s="1" t="s">
        <v>22</v>
      </c>
      <c r="F4932" s="1" t="s">
        <v>151</v>
      </c>
      <c r="G4932" s="1">
        <v>4</v>
      </c>
      <c r="H4932" s="1">
        <v>26424</v>
      </c>
      <c r="I4932" s="1">
        <v>0.1</v>
      </c>
      <c r="J4932" s="1">
        <v>95126.399999999994</v>
      </c>
      <c r="K4932" s="1">
        <v>19270.259999999998</v>
      </c>
      <c r="L4932" s="1" t="s">
        <v>23</v>
      </c>
      <c r="M4932" s="1" t="str">
        <f>TEXT(Table1[[#This Row],[Order Date]],"mmm")</f>
        <v>Apr</v>
      </c>
      <c r="N4932" s="1">
        <f>YEAR(Table1[[#This Row],[Order Date]])</f>
        <v>2023</v>
      </c>
    </row>
    <row r="4933" spans="1:14" x14ac:dyDescent="0.35">
      <c r="A4933" s="1" t="s">
        <v>5730</v>
      </c>
      <c r="B4933" s="1" t="s">
        <v>1104</v>
      </c>
      <c r="C4933" s="1" t="s">
        <v>111</v>
      </c>
      <c r="D4933" s="1" t="s">
        <v>151</v>
      </c>
      <c r="E4933" s="1" t="s">
        <v>22</v>
      </c>
      <c r="F4933" s="1" t="s">
        <v>151</v>
      </c>
      <c r="G4933" s="1">
        <v>14</v>
      </c>
      <c r="H4933" s="1">
        <v>29063</v>
      </c>
      <c r="I4933" s="1">
        <v>0.15</v>
      </c>
      <c r="J4933" s="1">
        <v>345849.7</v>
      </c>
      <c r="K4933" s="1">
        <v>32289.85</v>
      </c>
      <c r="L4933" s="1" t="s">
        <v>17</v>
      </c>
      <c r="M4933" s="1" t="str">
        <f>TEXT(Table1[[#This Row],[Order Date]],"mmm")</f>
        <v>Oct</v>
      </c>
      <c r="N4933" s="1">
        <f>YEAR(Table1[[#This Row],[Order Date]])</f>
        <v>2023</v>
      </c>
    </row>
    <row r="4934" spans="1:14" x14ac:dyDescent="0.35">
      <c r="A4934" s="1" t="s">
        <v>5731</v>
      </c>
      <c r="B4934" s="1" t="s">
        <v>1356</v>
      </c>
      <c r="C4934" s="1" t="s">
        <v>191</v>
      </c>
      <c r="D4934" s="1" t="s">
        <v>52</v>
      </c>
      <c r="E4934" s="1" t="s">
        <v>28</v>
      </c>
      <c r="F4934" s="1" t="s">
        <v>52</v>
      </c>
      <c r="G4934" s="1">
        <v>9</v>
      </c>
      <c r="H4934" s="1">
        <v>10616</v>
      </c>
      <c r="I4934" s="1">
        <v>0.15</v>
      </c>
      <c r="J4934" s="1">
        <v>81212.399999999994</v>
      </c>
      <c r="K4934" s="1">
        <v>13008.68</v>
      </c>
      <c r="L4934" s="1" t="s">
        <v>23</v>
      </c>
      <c r="M4934" s="1" t="str">
        <f>TEXT(Table1[[#This Row],[Order Date]],"mmm")</f>
        <v>Jun</v>
      </c>
      <c r="N4934" s="1">
        <f>YEAR(Table1[[#This Row],[Order Date]])</f>
        <v>2023</v>
      </c>
    </row>
    <row r="4935" spans="1:14" x14ac:dyDescent="0.35">
      <c r="A4935" s="1" t="s">
        <v>5732</v>
      </c>
      <c r="B4935" s="1" t="s">
        <v>927</v>
      </c>
      <c r="C4935" s="1" t="s">
        <v>370</v>
      </c>
      <c r="D4935" s="1" t="s">
        <v>15</v>
      </c>
      <c r="E4935" s="1" t="s">
        <v>16</v>
      </c>
      <c r="F4935" s="1" t="s">
        <v>15</v>
      </c>
      <c r="G4935" s="1">
        <v>8</v>
      </c>
      <c r="H4935" s="1">
        <v>4405</v>
      </c>
      <c r="I4935" s="1">
        <v>0.1</v>
      </c>
      <c r="J4935" s="1">
        <v>31716</v>
      </c>
      <c r="K4935" s="1">
        <v>6473.49</v>
      </c>
      <c r="L4935" s="1" t="s">
        <v>17</v>
      </c>
      <c r="M4935" s="1" t="str">
        <f>TEXT(Table1[[#This Row],[Order Date]],"mmm")</f>
        <v>May</v>
      </c>
      <c r="N4935" s="1">
        <f>YEAR(Table1[[#This Row],[Order Date]])</f>
        <v>2024</v>
      </c>
    </row>
    <row r="4936" spans="1:14" x14ac:dyDescent="0.35">
      <c r="A4936" s="1" t="s">
        <v>5733</v>
      </c>
      <c r="B4936" s="1" t="s">
        <v>927</v>
      </c>
      <c r="C4936" s="1" t="s">
        <v>59</v>
      </c>
      <c r="D4936" s="1" t="s">
        <v>95</v>
      </c>
      <c r="E4936" s="1" t="s">
        <v>33</v>
      </c>
      <c r="F4936" s="1" t="s">
        <v>95</v>
      </c>
      <c r="G4936" s="1">
        <v>4</v>
      </c>
      <c r="H4936" s="1">
        <v>4677</v>
      </c>
      <c r="I4936" s="1">
        <v>0</v>
      </c>
      <c r="J4936" s="1">
        <v>18708</v>
      </c>
      <c r="K4936" s="1">
        <v>3664.86</v>
      </c>
      <c r="L4936" s="1" t="s">
        <v>45</v>
      </c>
      <c r="M4936" s="1" t="str">
        <f>TEXT(Table1[[#This Row],[Order Date]],"mmm")</f>
        <v>May</v>
      </c>
      <c r="N4936" s="1">
        <f>YEAR(Table1[[#This Row],[Order Date]])</f>
        <v>2024</v>
      </c>
    </row>
    <row r="4937" spans="1:14" x14ac:dyDescent="0.35">
      <c r="A4937" s="1" t="s">
        <v>5734</v>
      </c>
      <c r="B4937" s="1" t="s">
        <v>248</v>
      </c>
      <c r="C4937" s="1" t="s">
        <v>20</v>
      </c>
      <c r="D4937" s="1" t="s">
        <v>95</v>
      </c>
      <c r="E4937" s="1" t="s">
        <v>33</v>
      </c>
      <c r="F4937" s="1" t="s">
        <v>95</v>
      </c>
      <c r="G4937" s="1">
        <v>4</v>
      </c>
      <c r="H4937" s="1">
        <v>18099</v>
      </c>
      <c r="I4937" s="1">
        <v>0.05</v>
      </c>
      <c r="J4937" s="1">
        <v>68776.2</v>
      </c>
      <c r="K4937" s="1">
        <v>19740.73</v>
      </c>
      <c r="L4937" s="1" t="s">
        <v>17</v>
      </c>
      <c r="M4937" s="1" t="str">
        <f>TEXT(Table1[[#This Row],[Order Date]],"mmm")</f>
        <v>Oct</v>
      </c>
      <c r="N4937" s="1">
        <f>YEAR(Table1[[#This Row],[Order Date]])</f>
        <v>2024</v>
      </c>
    </row>
    <row r="4938" spans="1:14" x14ac:dyDescent="0.35">
      <c r="A4938" s="1" t="s">
        <v>5735</v>
      </c>
      <c r="B4938" s="1" t="s">
        <v>190</v>
      </c>
      <c r="C4938" s="1" t="s">
        <v>162</v>
      </c>
      <c r="D4938" s="1" t="s">
        <v>167</v>
      </c>
      <c r="E4938" s="1" t="s">
        <v>16</v>
      </c>
      <c r="F4938" s="1" t="s">
        <v>167</v>
      </c>
      <c r="G4938" s="1">
        <v>13</v>
      </c>
      <c r="H4938" s="1">
        <v>46451</v>
      </c>
      <c r="I4938" s="1">
        <v>0.1</v>
      </c>
      <c r="J4938" s="1">
        <v>543476.69999999995</v>
      </c>
      <c r="K4938" s="1">
        <v>121232.15</v>
      </c>
      <c r="L4938" s="1" t="s">
        <v>45</v>
      </c>
      <c r="M4938" s="1" t="str">
        <f>TEXT(Table1[[#This Row],[Order Date]],"mmm")</f>
        <v>Mar</v>
      </c>
      <c r="N4938" s="1">
        <f>YEAR(Table1[[#This Row],[Order Date]])</f>
        <v>2024</v>
      </c>
    </row>
    <row r="4939" spans="1:14" x14ac:dyDescent="0.35">
      <c r="A4939" s="1" t="s">
        <v>5736</v>
      </c>
      <c r="B4939" s="1" t="s">
        <v>451</v>
      </c>
      <c r="C4939" s="1" t="s">
        <v>120</v>
      </c>
      <c r="D4939" s="1" t="s">
        <v>64</v>
      </c>
      <c r="E4939" s="1" t="s">
        <v>33</v>
      </c>
      <c r="F4939" s="1" t="s">
        <v>64</v>
      </c>
      <c r="G4939" s="1">
        <v>11</v>
      </c>
      <c r="H4939" s="1">
        <v>3432</v>
      </c>
      <c r="I4939" s="1">
        <v>0</v>
      </c>
      <c r="J4939" s="1">
        <v>37752</v>
      </c>
      <c r="K4939" s="1">
        <v>4533.33</v>
      </c>
      <c r="L4939" s="1" t="s">
        <v>45</v>
      </c>
      <c r="M4939" s="1" t="str">
        <f>TEXT(Table1[[#This Row],[Order Date]],"mmm")</f>
        <v>Nov</v>
      </c>
      <c r="N4939" s="1">
        <f>YEAR(Table1[[#This Row],[Order Date]])</f>
        <v>2024</v>
      </c>
    </row>
    <row r="4940" spans="1:14" x14ac:dyDescent="0.35">
      <c r="A4940" s="1" t="s">
        <v>5737</v>
      </c>
      <c r="B4940" s="1" t="s">
        <v>1010</v>
      </c>
      <c r="C4940" s="1" t="s">
        <v>55</v>
      </c>
      <c r="D4940" s="1" t="s">
        <v>41</v>
      </c>
      <c r="E4940" s="1" t="s">
        <v>16</v>
      </c>
      <c r="F4940" s="1" t="s">
        <v>41</v>
      </c>
      <c r="G4940" s="1">
        <v>8</v>
      </c>
      <c r="H4940" s="1">
        <v>19169</v>
      </c>
      <c r="I4940" s="1">
        <v>0.05</v>
      </c>
      <c r="J4940" s="1">
        <v>145684.4</v>
      </c>
      <c r="K4940" s="1">
        <v>34678.1</v>
      </c>
      <c r="L4940" s="1" t="s">
        <v>45</v>
      </c>
      <c r="M4940" s="1" t="str">
        <f>TEXT(Table1[[#This Row],[Order Date]],"mmm")</f>
        <v>May</v>
      </c>
      <c r="N4940" s="1">
        <f>YEAR(Table1[[#This Row],[Order Date]])</f>
        <v>2024</v>
      </c>
    </row>
    <row r="4941" spans="1:14" x14ac:dyDescent="0.35">
      <c r="A4941" s="1" t="s">
        <v>5738</v>
      </c>
      <c r="B4941" s="1" t="s">
        <v>1688</v>
      </c>
      <c r="C4941" s="1" t="s">
        <v>73</v>
      </c>
      <c r="D4941" s="1" t="s">
        <v>133</v>
      </c>
      <c r="E4941" s="1" t="s">
        <v>22</v>
      </c>
      <c r="F4941" s="1" t="s">
        <v>133</v>
      </c>
      <c r="G4941" s="1">
        <v>8</v>
      </c>
      <c r="H4941" s="1">
        <v>3288</v>
      </c>
      <c r="I4941" s="1">
        <v>0</v>
      </c>
      <c r="J4941" s="1">
        <v>26304</v>
      </c>
      <c r="K4941" s="1">
        <v>5548.72</v>
      </c>
      <c r="L4941" s="1" t="s">
        <v>45</v>
      </c>
      <c r="M4941" s="1" t="str">
        <f>TEXT(Table1[[#This Row],[Order Date]],"mmm")</f>
        <v>Jul</v>
      </c>
      <c r="N4941" s="1">
        <f>YEAR(Table1[[#This Row],[Order Date]])</f>
        <v>2024</v>
      </c>
    </row>
    <row r="4942" spans="1:14" x14ac:dyDescent="0.35">
      <c r="A4942" s="1" t="s">
        <v>5739</v>
      </c>
      <c r="B4942" s="1" t="s">
        <v>145</v>
      </c>
      <c r="C4942" s="1" t="s">
        <v>36</v>
      </c>
      <c r="D4942" s="1" t="s">
        <v>85</v>
      </c>
      <c r="E4942" s="1" t="s">
        <v>28</v>
      </c>
      <c r="F4942" s="1" t="s">
        <v>85</v>
      </c>
      <c r="G4942" s="1">
        <v>15</v>
      </c>
      <c r="H4942" s="1">
        <v>11447</v>
      </c>
      <c r="I4942" s="1">
        <v>0</v>
      </c>
      <c r="J4942" s="1">
        <v>171705</v>
      </c>
      <c r="K4942" s="1">
        <v>27585.74</v>
      </c>
      <c r="L4942" s="1" t="s">
        <v>70</v>
      </c>
      <c r="M4942" s="1" t="str">
        <f>TEXT(Table1[[#This Row],[Order Date]],"mmm")</f>
        <v>Sep</v>
      </c>
      <c r="N4942" s="1">
        <f>YEAR(Table1[[#This Row],[Order Date]])</f>
        <v>2024</v>
      </c>
    </row>
    <row r="4943" spans="1:14" x14ac:dyDescent="0.35">
      <c r="A4943" s="1" t="s">
        <v>5740</v>
      </c>
      <c r="B4943" s="1" t="s">
        <v>1071</v>
      </c>
      <c r="C4943" s="1" t="s">
        <v>370</v>
      </c>
      <c r="D4943" s="1" t="s">
        <v>141</v>
      </c>
      <c r="E4943" s="1" t="s">
        <v>22</v>
      </c>
      <c r="F4943" s="1" t="s">
        <v>141</v>
      </c>
      <c r="G4943" s="1">
        <v>11</v>
      </c>
      <c r="H4943" s="1">
        <v>6090</v>
      </c>
      <c r="I4943" s="1">
        <v>0.15</v>
      </c>
      <c r="J4943" s="1">
        <v>56941.5</v>
      </c>
      <c r="K4943" s="1">
        <v>12946.76</v>
      </c>
      <c r="L4943" s="1" t="s">
        <v>23</v>
      </c>
      <c r="M4943" s="1" t="str">
        <f>TEXT(Table1[[#This Row],[Order Date]],"mmm")</f>
        <v>Jul</v>
      </c>
      <c r="N4943" s="1">
        <f>YEAR(Table1[[#This Row],[Order Date]])</f>
        <v>2024</v>
      </c>
    </row>
    <row r="4944" spans="1:14" x14ac:dyDescent="0.35">
      <c r="A4944" s="1" t="s">
        <v>5741</v>
      </c>
      <c r="B4944" s="1" t="s">
        <v>1299</v>
      </c>
      <c r="C4944" s="1" t="s">
        <v>40</v>
      </c>
      <c r="D4944" s="1" t="s">
        <v>74</v>
      </c>
      <c r="E4944" s="1" t="s">
        <v>22</v>
      </c>
      <c r="F4944" s="1" t="s">
        <v>74</v>
      </c>
      <c r="G4944" s="1">
        <v>13</v>
      </c>
      <c r="H4944" s="1">
        <v>8791</v>
      </c>
      <c r="I4944" s="1">
        <v>0.05</v>
      </c>
      <c r="J4944" s="1">
        <v>108568.85</v>
      </c>
      <c r="K4944" s="1">
        <v>13190.22</v>
      </c>
      <c r="L4944" s="1" t="s">
        <v>23</v>
      </c>
      <c r="M4944" s="1" t="str">
        <f>TEXT(Table1[[#This Row],[Order Date]],"mmm")</f>
        <v>Sep</v>
      </c>
      <c r="N4944" s="1">
        <f>YEAR(Table1[[#This Row],[Order Date]])</f>
        <v>2024</v>
      </c>
    </row>
    <row r="4945" spans="1:14" x14ac:dyDescent="0.35">
      <c r="A4945" s="1" t="s">
        <v>5742</v>
      </c>
      <c r="B4945" s="1" t="s">
        <v>1326</v>
      </c>
      <c r="C4945" s="1" t="s">
        <v>362</v>
      </c>
      <c r="D4945" s="1" t="s">
        <v>91</v>
      </c>
      <c r="E4945" s="1" t="s">
        <v>16</v>
      </c>
      <c r="F4945" s="1" t="s">
        <v>91</v>
      </c>
      <c r="G4945" s="1">
        <v>12</v>
      </c>
      <c r="H4945" s="1">
        <v>15343</v>
      </c>
      <c r="I4945" s="1">
        <v>0</v>
      </c>
      <c r="J4945" s="1">
        <v>184116</v>
      </c>
      <c r="K4945" s="1">
        <v>25909.18</v>
      </c>
      <c r="L4945" s="1" t="s">
        <v>45</v>
      </c>
      <c r="M4945" s="1" t="str">
        <f>TEXT(Table1[[#This Row],[Order Date]],"mmm")</f>
        <v>Dec</v>
      </c>
      <c r="N4945" s="1">
        <f>YEAR(Table1[[#This Row],[Order Date]])</f>
        <v>2023</v>
      </c>
    </row>
    <row r="4946" spans="1:14" x14ac:dyDescent="0.35">
      <c r="A4946" s="1" t="s">
        <v>5743</v>
      </c>
      <c r="B4946" s="1" t="s">
        <v>389</v>
      </c>
      <c r="C4946" s="1" t="s">
        <v>51</v>
      </c>
      <c r="D4946" s="1" t="s">
        <v>78</v>
      </c>
      <c r="E4946" s="1" t="s">
        <v>28</v>
      </c>
      <c r="F4946" s="1" t="s">
        <v>78</v>
      </c>
      <c r="G4946" s="1">
        <v>11</v>
      </c>
      <c r="H4946" s="1">
        <v>54205</v>
      </c>
      <c r="I4946" s="1">
        <v>0</v>
      </c>
      <c r="J4946" s="1">
        <v>596255</v>
      </c>
      <c r="K4946" s="1">
        <v>162533.07</v>
      </c>
      <c r="L4946" s="1" t="s">
        <v>17</v>
      </c>
      <c r="M4946" s="1" t="str">
        <f>TEXT(Table1[[#This Row],[Order Date]],"mmm")</f>
        <v>May</v>
      </c>
      <c r="N4946" s="1">
        <f>YEAR(Table1[[#This Row],[Order Date]])</f>
        <v>2023</v>
      </c>
    </row>
    <row r="4947" spans="1:14" x14ac:dyDescent="0.35">
      <c r="A4947" s="1" t="s">
        <v>5744</v>
      </c>
      <c r="B4947" s="1" t="s">
        <v>1146</v>
      </c>
      <c r="C4947" s="1" t="s">
        <v>140</v>
      </c>
      <c r="D4947" s="1" t="s">
        <v>114</v>
      </c>
      <c r="E4947" s="1" t="s">
        <v>16</v>
      </c>
      <c r="F4947" s="1" t="s">
        <v>114</v>
      </c>
      <c r="G4947" s="1">
        <v>6</v>
      </c>
      <c r="H4947" s="1">
        <v>59715</v>
      </c>
      <c r="I4947" s="1">
        <v>0</v>
      </c>
      <c r="J4947" s="1">
        <v>358290</v>
      </c>
      <c r="K4947" s="1">
        <v>94937.98</v>
      </c>
      <c r="L4947" s="1" t="s">
        <v>17</v>
      </c>
      <c r="M4947" s="1" t="str">
        <f>TEXT(Table1[[#This Row],[Order Date]],"mmm")</f>
        <v>Apr</v>
      </c>
      <c r="N4947" s="1">
        <f>YEAR(Table1[[#This Row],[Order Date]])</f>
        <v>2024</v>
      </c>
    </row>
    <row r="4948" spans="1:14" x14ac:dyDescent="0.35">
      <c r="A4948" s="1" t="s">
        <v>5745</v>
      </c>
      <c r="B4948" s="1" t="s">
        <v>2167</v>
      </c>
      <c r="C4948" s="1" t="s">
        <v>255</v>
      </c>
      <c r="D4948" s="1" t="s">
        <v>27</v>
      </c>
      <c r="E4948" s="1" t="s">
        <v>28</v>
      </c>
      <c r="F4948" s="1" t="s">
        <v>27</v>
      </c>
      <c r="G4948" s="1">
        <v>5</v>
      </c>
      <c r="H4948" s="1">
        <v>26093</v>
      </c>
      <c r="I4948" s="1">
        <v>0.15</v>
      </c>
      <c r="J4948" s="1">
        <v>110895.25</v>
      </c>
      <c r="K4948" s="1">
        <v>12839.9</v>
      </c>
      <c r="L4948" s="1" t="s">
        <v>23</v>
      </c>
      <c r="M4948" s="1" t="str">
        <f>TEXT(Table1[[#This Row],[Order Date]],"mmm")</f>
        <v>Aug</v>
      </c>
      <c r="N4948" s="1">
        <f>YEAR(Table1[[#This Row],[Order Date]])</f>
        <v>2024</v>
      </c>
    </row>
    <row r="4949" spans="1:14" x14ac:dyDescent="0.35">
      <c r="A4949" s="1" t="s">
        <v>5746</v>
      </c>
      <c r="B4949" s="1" t="s">
        <v>130</v>
      </c>
      <c r="C4949" s="1" t="s">
        <v>77</v>
      </c>
      <c r="D4949" s="1" t="s">
        <v>27</v>
      </c>
      <c r="E4949" s="1" t="s">
        <v>28</v>
      </c>
      <c r="F4949" s="1" t="s">
        <v>27</v>
      </c>
      <c r="G4949" s="1">
        <v>13</v>
      </c>
      <c r="H4949" s="1">
        <v>35902</v>
      </c>
      <c r="I4949" s="1">
        <v>0.05</v>
      </c>
      <c r="J4949" s="1">
        <v>443389.7</v>
      </c>
      <c r="K4949" s="1">
        <v>112339.6</v>
      </c>
      <c r="L4949" s="1" t="s">
        <v>70</v>
      </c>
      <c r="M4949" s="1" t="str">
        <f>TEXT(Table1[[#This Row],[Order Date]],"mmm")</f>
        <v>May</v>
      </c>
      <c r="N4949" s="1">
        <f>YEAR(Table1[[#This Row],[Order Date]])</f>
        <v>2023</v>
      </c>
    </row>
    <row r="4950" spans="1:14" x14ac:dyDescent="0.35">
      <c r="A4950" s="1" t="s">
        <v>5747</v>
      </c>
      <c r="B4950" s="1" t="s">
        <v>215</v>
      </c>
      <c r="C4950" s="1" t="s">
        <v>335</v>
      </c>
      <c r="D4950" s="1" t="s">
        <v>44</v>
      </c>
      <c r="E4950" s="1" t="s">
        <v>28</v>
      </c>
      <c r="F4950" s="1" t="s">
        <v>44</v>
      </c>
      <c r="G4950" s="1">
        <v>15</v>
      </c>
      <c r="H4950" s="1">
        <v>8707</v>
      </c>
      <c r="I4950" s="1">
        <v>0.2</v>
      </c>
      <c r="J4950" s="1">
        <v>104484</v>
      </c>
      <c r="K4950" s="1">
        <v>10265.49</v>
      </c>
      <c r="L4950" s="1" t="s">
        <v>17</v>
      </c>
      <c r="M4950" s="1" t="str">
        <f>TEXT(Table1[[#This Row],[Order Date]],"mmm")</f>
        <v>Jul</v>
      </c>
      <c r="N4950" s="1">
        <f>YEAR(Table1[[#This Row],[Order Date]])</f>
        <v>2024</v>
      </c>
    </row>
    <row r="4951" spans="1:14" x14ac:dyDescent="0.35">
      <c r="A4951" s="1" t="s">
        <v>5748</v>
      </c>
      <c r="B4951" s="1" t="s">
        <v>127</v>
      </c>
      <c r="C4951" s="1" t="s">
        <v>84</v>
      </c>
      <c r="D4951" s="1" t="s">
        <v>41</v>
      </c>
      <c r="E4951" s="1" t="s">
        <v>16</v>
      </c>
      <c r="F4951" s="1" t="s">
        <v>41</v>
      </c>
      <c r="G4951" s="1">
        <v>11</v>
      </c>
      <c r="H4951" s="1">
        <v>51891</v>
      </c>
      <c r="I4951" s="1">
        <v>0.2</v>
      </c>
      <c r="J4951" s="1">
        <v>456640.8</v>
      </c>
      <c r="K4951" s="1">
        <v>61064.7</v>
      </c>
      <c r="L4951" s="1" t="s">
        <v>70</v>
      </c>
      <c r="M4951" s="1" t="str">
        <f>TEXT(Table1[[#This Row],[Order Date]],"mmm")</f>
        <v>Nov</v>
      </c>
      <c r="N4951" s="1">
        <f>YEAR(Table1[[#This Row],[Order Date]])</f>
        <v>2024</v>
      </c>
    </row>
    <row r="4952" spans="1:14" x14ac:dyDescent="0.35">
      <c r="A4952" s="1" t="s">
        <v>5749</v>
      </c>
      <c r="B4952" s="1" t="s">
        <v>379</v>
      </c>
      <c r="C4952" s="1" t="s">
        <v>84</v>
      </c>
      <c r="D4952" s="1" t="s">
        <v>91</v>
      </c>
      <c r="E4952" s="1" t="s">
        <v>16</v>
      </c>
      <c r="F4952" s="1" t="s">
        <v>91</v>
      </c>
      <c r="G4952" s="1">
        <v>13</v>
      </c>
      <c r="H4952" s="1">
        <v>17234</v>
      </c>
      <c r="I4952" s="1">
        <v>0</v>
      </c>
      <c r="J4952" s="1">
        <v>224042</v>
      </c>
      <c r="K4952" s="1">
        <v>63473.74</v>
      </c>
      <c r="L4952" s="1" t="s">
        <v>45</v>
      </c>
      <c r="M4952" s="1" t="str">
        <f>TEXT(Table1[[#This Row],[Order Date]],"mmm")</f>
        <v>Feb</v>
      </c>
      <c r="N4952" s="1">
        <f>YEAR(Table1[[#This Row],[Order Date]])</f>
        <v>2023</v>
      </c>
    </row>
    <row r="4953" spans="1:14" x14ac:dyDescent="0.35">
      <c r="A4953" s="1" t="s">
        <v>5750</v>
      </c>
      <c r="B4953" s="1" t="s">
        <v>2464</v>
      </c>
      <c r="C4953" s="1" t="s">
        <v>640</v>
      </c>
      <c r="D4953" s="1" t="s">
        <v>56</v>
      </c>
      <c r="E4953" s="1" t="s">
        <v>22</v>
      </c>
      <c r="F4953" s="1" t="s">
        <v>56</v>
      </c>
      <c r="G4953" s="1">
        <v>11</v>
      </c>
      <c r="H4953" s="1">
        <v>45552</v>
      </c>
      <c r="I4953" s="1">
        <v>0.2</v>
      </c>
      <c r="J4953" s="1">
        <v>400857.59999999998</v>
      </c>
      <c r="K4953" s="1">
        <v>92297.86</v>
      </c>
      <c r="L4953" s="1" t="s">
        <v>70</v>
      </c>
      <c r="M4953" s="1" t="str">
        <f>TEXT(Table1[[#This Row],[Order Date]],"mmm")</f>
        <v>Apr</v>
      </c>
      <c r="N4953" s="1">
        <f>YEAR(Table1[[#This Row],[Order Date]])</f>
        <v>2023</v>
      </c>
    </row>
    <row r="4954" spans="1:14" x14ac:dyDescent="0.35">
      <c r="A4954" s="1" t="s">
        <v>5751</v>
      </c>
      <c r="B4954" s="1" t="s">
        <v>351</v>
      </c>
      <c r="C4954" s="1" t="s">
        <v>107</v>
      </c>
      <c r="D4954" s="1" t="s">
        <v>60</v>
      </c>
      <c r="E4954" s="1" t="s">
        <v>33</v>
      </c>
      <c r="F4954" s="1" t="s">
        <v>60</v>
      </c>
      <c r="G4954" s="1">
        <v>13</v>
      </c>
      <c r="H4954" s="1">
        <v>11050</v>
      </c>
      <c r="I4954" s="1">
        <v>0</v>
      </c>
      <c r="J4954" s="1">
        <v>143650</v>
      </c>
      <c r="K4954" s="1">
        <v>30474.55</v>
      </c>
      <c r="L4954" s="1" t="s">
        <v>70</v>
      </c>
      <c r="M4954" s="1" t="str">
        <f>TEXT(Table1[[#This Row],[Order Date]],"mmm")</f>
        <v>Apr</v>
      </c>
      <c r="N4954" s="1">
        <f>YEAR(Table1[[#This Row],[Order Date]])</f>
        <v>2023</v>
      </c>
    </row>
    <row r="4955" spans="1:14" x14ac:dyDescent="0.35">
      <c r="A4955" s="1" t="s">
        <v>5752</v>
      </c>
      <c r="B4955" s="1" t="s">
        <v>314</v>
      </c>
      <c r="C4955" s="1" t="s">
        <v>208</v>
      </c>
      <c r="D4955" s="1" t="s">
        <v>48</v>
      </c>
      <c r="E4955" s="1" t="s">
        <v>16</v>
      </c>
      <c r="F4955" s="1" t="s">
        <v>48</v>
      </c>
      <c r="G4955" s="1">
        <v>2</v>
      </c>
      <c r="H4955" s="1">
        <v>44310</v>
      </c>
      <c r="I4955" s="1">
        <v>0.1</v>
      </c>
      <c r="J4955" s="1">
        <v>79758</v>
      </c>
      <c r="K4955" s="1">
        <v>19580.52</v>
      </c>
      <c r="L4955" s="1" t="s">
        <v>23</v>
      </c>
      <c r="M4955" s="1" t="str">
        <f>TEXT(Table1[[#This Row],[Order Date]],"mmm")</f>
        <v>Nov</v>
      </c>
      <c r="N4955" s="1">
        <f>YEAR(Table1[[#This Row],[Order Date]])</f>
        <v>2024</v>
      </c>
    </row>
    <row r="4956" spans="1:14" x14ac:dyDescent="0.35">
      <c r="A4956" s="1" t="s">
        <v>5753</v>
      </c>
      <c r="B4956" s="1" t="s">
        <v>599</v>
      </c>
      <c r="C4956" s="1" t="s">
        <v>260</v>
      </c>
      <c r="D4956" s="1" t="s">
        <v>15</v>
      </c>
      <c r="E4956" s="1" t="s">
        <v>16</v>
      </c>
      <c r="F4956" s="1" t="s">
        <v>15</v>
      </c>
      <c r="G4956" s="1">
        <v>5</v>
      </c>
      <c r="H4956" s="1">
        <v>24918</v>
      </c>
      <c r="I4956" s="1">
        <v>0</v>
      </c>
      <c r="J4956" s="1">
        <v>124590</v>
      </c>
      <c r="K4956" s="1">
        <v>29561.56</v>
      </c>
      <c r="L4956" s="1" t="s">
        <v>45</v>
      </c>
      <c r="M4956" s="1" t="str">
        <f>TEXT(Table1[[#This Row],[Order Date]],"mmm")</f>
        <v>May</v>
      </c>
      <c r="N4956" s="1">
        <f>YEAR(Table1[[#This Row],[Order Date]])</f>
        <v>2023</v>
      </c>
    </row>
    <row r="4957" spans="1:14" x14ac:dyDescent="0.35">
      <c r="A4957" s="1" t="s">
        <v>5754</v>
      </c>
      <c r="B4957" s="1" t="s">
        <v>80</v>
      </c>
      <c r="C4957" s="1" t="s">
        <v>370</v>
      </c>
      <c r="D4957" s="1" t="s">
        <v>179</v>
      </c>
      <c r="E4957" s="1" t="s">
        <v>28</v>
      </c>
      <c r="F4957" s="1" t="s">
        <v>179</v>
      </c>
      <c r="G4957" s="1">
        <v>10</v>
      </c>
      <c r="H4957" s="1">
        <v>16479</v>
      </c>
      <c r="I4957" s="1">
        <v>0.15</v>
      </c>
      <c r="J4957" s="1">
        <v>140071.5</v>
      </c>
      <c r="K4957" s="1">
        <v>18020.169999999998</v>
      </c>
      <c r="L4957" s="1" t="s">
        <v>23</v>
      </c>
      <c r="M4957" s="1" t="str">
        <f>TEXT(Table1[[#This Row],[Order Date]],"mmm")</f>
        <v>Jan</v>
      </c>
      <c r="N4957" s="1">
        <f>YEAR(Table1[[#This Row],[Order Date]])</f>
        <v>2023</v>
      </c>
    </row>
    <row r="4958" spans="1:14" x14ac:dyDescent="0.35">
      <c r="A4958" s="1" t="s">
        <v>5755</v>
      </c>
      <c r="B4958" s="1" t="s">
        <v>1823</v>
      </c>
      <c r="C4958" s="1" t="s">
        <v>125</v>
      </c>
      <c r="D4958" s="1" t="s">
        <v>133</v>
      </c>
      <c r="E4958" s="1" t="s">
        <v>22</v>
      </c>
      <c r="F4958" s="1" t="s">
        <v>133</v>
      </c>
      <c r="G4958" s="1">
        <v>10</v>
      </c>
      <c r="H4958" s="1">
        <v>43790</v>
      </c>
      <c r="I4958" s="1">
        <v>0.2</v>
      </c>
      <c r="J4958" s="1">
        <v>350320</v>
      </c>
      <c r="K4958" s="1">
        <v>51414.41</v>
      </c>
      <c r="L4958" s="1" t="s">
        <v>17</v>
      </c>
      <c r="M4958" s="1" t="str">
        <f>TEXT(Table1[[#This Row],[Order Date]],"mmm")</f>
        <v>Feb</v>
      </c>
      <c r="N4958" s="1">
        <f>YEAR(Table1[[#This Row],[Order Date]])</f>
        <v>2023</v>
      </c>
    </row>
    <row r="4959" spans="1:14" x14ac:dyDescent="0.35">
      <c r="A4959" s="1" t="s">
        <v>5756</v>
      </c>
      <c r="B4959" s="1" t="s">
        <v>472</v>
      </c>
      <c r="C4959" s="1" t="s">
        <v>200</v>
      </c>
      <c r="D4959" s="1" t="s">
        <v>60</v>
      </c>
      <c r="E4959" s="1" t="s">
        <v>33</v>
      </c>
      <c r="F4959" s="1" t="s">
        <v>60</v>
      </c>
      <c r="G4959" s="1">
        <v>3</v>
      </c>
      <c r="H4959" s="1">
        <v>28432</v>
      </c>
      <c r="I4959" s="1">
        <v>0.15</v>
      </c>
      <c r="J4959" s="1">
        <v>72501.600000000006</v>
      </c>
      <c r="K4959" s="1">
        <v>10099.709999999999</v>
      </c>
      <c r="L4959" s="1" t="s">
        <v>45</v>
      </c>
      <c r="M4959" s="1" t="str">
        <f>TEXT(Table1[[#This Row],[Order Date]],"mmm")</f>
        <v>Feb</v>
      </c>
      <c r="N4959" s="1">
        <f>YEAR(Table1[[#This Row],[Order Date]])</f>
        <v>2024</v>
      </c>
    </row>
    <row r="4960" spans="1:14" x14ac:dyDescent="0.35">
      <c r="A4960" s="1" t="s">
        <v>5757</v>
      </c>
      <c r="B4960" s="1" t="s">
        <v>43</v>
      </c>
      <c r="C4960" s="1" t="s">
        <v>73</v>
      </c>
      <c r="D4960" s="1" t="s">
        <v>64</v>
      </c>
      <c r="E4960" s="1" t="s">
        <v>33</v>
      </c>
      <c r="F4960" s="1" t="s">
        <v>64</v>
      </c>
      <c r="G4960" s="1">
        <v>3</v>
      </c>
      <c r="H4960" s="1">
        <v>22700</v>
      </c>
      <c r="I4960" s="1">
        <v>0.05</v>
      </c>
      <c r="J4960" s="1">
        <v>64695</v>
      </c>
      <c r="K4960" s="1">
        <v>12638.06</v>
      </c>
      <c r="L4960" s="1" t="s">
        <v>17</v>
      </c>
      <c r="M4960" s="1" t="str">
        <f>TEXT(Table1[[#This Row],[Order Date]],"mmm")</f>
        <v>Jun</v>
      </c>
      <c r="N4960" s="1">
        <f>YEAR(Table1[[#This Row],[Order Date]])</f>
        <v>2023</v>
      </c>
    </row>
    <row r="4961" spans="1:14" x14ac:dyDescent="0.35">
      <c r="A4961" s="1" t="s">
        <v>5758</v>
      </c>
      <c r="B4961" s="1" t="s">
        <v>528</v>
      </c>
      <c r="C4961" s="1" t="s">
        <v>20</v>
      </c>
      <c r="D4961" s="1" t="s">
        <v>52</v>
      </c>
      <c r="E4961" s="1" t="s">
        <v>28</v>
      </c>
      <c r="F4961" s="1" t="s">
        <v>52</v>
      </c>
      <c r="G4961" s="1">
        <v>10</v>
      </c>
      <c r="H4961" s="1">
        <v>6970</v>
      </c>
      <c r="I4961" s="1">
        <v>0.2</v>
      </c>
      <c r="J4961" s="1">
        <v>55760</v>
      </c>
      <c r="K4961" s="1">
        <v>6919.77</v>
      </c>
      <c r="L4961" s="1" t="s">
        <v>17</v>
      </c>
      <c r="M4961" s="1" t="str">
        <f>TEXT(Table1[[#This Row],[Order Date]],"mmm")</f>
        <v>Feb</v>
      </c>
      <c r="N4961" s="1">
        <f>YEAR(Table1[[#This Row],[Order Date]])</f>
        <v>2024</v>
      </c>
    </row>
    <row r="4962" spans="1:14" x14ac:dyDescent="0.35">
      <c r="A4962" s="1" t="s">
        <v>5759</v>
      </c>
      <c r="B4962" s="1" t="s">
        <v>299</v>
      </c>
      <c r="C4962" s="1" t="s">
        <v>255</v>
      </c>
      <c r="D4962" s="1" t="s">
        <v>41</v>
      </c>
      <c r="E4962" s="1" t="s">
        <v>16</v>
      </c>
      <c r="F4962" s="1" t="s">
        <v>41</v>
      </c>
      <c r="G4962" s="1">
        <v>9</v>
      </c>
      <c r="H4962" s="1">
        <v>56492</v>
      </c>
      <c r="I4962" s="1">
        <v>0</v>
      </c>
      <c r="J4962" s="1">
        <v>508428</v>
      </c>
      <c r="K4962" s="1">
        <v>83130.990000000005</v>
      </c>
      <c r="L4962" s="1" t="s">
        <v>45</v>
      </c>
      <c r="M4962" s="1" t="str">
        <f>TEXT(Table1[[#This Row],[Order Date]],"mmm")</f>
        <v>May</v>
      </c>
      <c r="N4962" s="1">
        <f>YEAR(Table1[[#This Row],[Order Date]])</f>
        <v>2023</v>
      </c>
    </row>
    <row r="4963" spans="1:14" x14ac:dyDescent="0.35">
      <c r="A4963" s="1" t="s">
        <v>5760</v>
      </c>
      <c r="B4963" s="1" t="s">
        <v>1027</v>
      </c>
      <c r="C4963" s="1" t="s">
        <v>200</v>
      </c>
      <c r="D4963" s="1" t="s">
        <v>41</v>
      </c>
      <c r="E4963" s="1" t="s">
        <v>16</v>
      </c>
      <c r="F4963" s="1" t="s">
        <v>41</v>
      </c>
      <c r="G4963" s="1">
        <v>14</v>
      </c>
      <c r="H4963" s="1">
        <v>37893</v>
      </c>
      <c r="I4963" s="1">
        <v>0</v>
      </c>
      <c r="J4963" s="1">
        <v>530502</v>
      </c>
      <c r="K4963" s="1">
        <v>103281.7</v>
      </c>
      <c r="L4963" s="1" t="s">
        <v>70</v>
      </c>
      <c r="M4963" s="1" t="str">
        <f>TEXT(Table1[[#This Row],[Order Date]],"mmm")</f>
        <v>Nov</v>
      </c>
      <c r="N4963" s="1">
        <f>YEAR(Table1[[#This Row],[Order Date]])</f>
        <v>2023</v>
      </c>
    </row>
    <row r="4964" spans="1:14" x14ac:dyDescent="0.35">
      <c r="A4964" s="1" t="s">
        <v>5761</v>
      </c>
      <c r="B4964" s="1" t="s">
        <v>402</v>
      </c>
      <c r="C4964" s="1" t="s">
        <v>98</v>
      </c>
      <c r="D4964" s="1" t="s">
        <v>78</v>
      </c>
      <c r="E4964" s="1" t="s">
        <v>28</v>
      </c>
      <c r="F4964" s="1" t="s">
        <v>78</v>
      </c>
      <c r="G4964" s="1">
        <v>3</v>
      </c>
      <c r="H4964" s="1">
        <v>20782</v>
      </c>
      <c r="I4964" s="1">
        <v>0.2</v>
      </c>
      <c r="J4964" s="1">
        <v>49876.800000000003</v>
      </c>
      <c r="K4964" s="1">
        <v>11190.33</v>
      </c>
      <c r="L4964" s="1" t="s">
        <v>23</v>
      </c>
      <c r="M4964" s="1" t="str">
        <f>TEXT(Table1[[#This Row],[Order Date]],"mmm")</f>
        <v>Feb</v>
      </c>
      <c r="N4964" s="1">
        <f>YEAR(Table1[[#This Row],[Order Date]])</f>
        <v>2023</v>
      </c>
    </row>
    <row r="4965" spans="1:14" x14ac:dyDescent="0.35">
      <c r="A4965" s="1" t="s">
        <v>5762</v>
      </c>
      <c r="B4965" s="1" t="s">
        <v>19</v>
      </c>
      <c r="C4965" s="1" t="s">
        <v>146</v>
      </c>
      <c r="D4965" s="1" t="s">
        <v>27</v>
      </c>
      <c r="E4965" s="1" t="s">
        <v>28</v>
      </c>
      <c r="F4965" s="1" t="s">
        <v>27</v>
      </c>
      <c r="G4965" s="1">
        <v>3</v>
      </c>
      <c r="H4965" s="1">
        <v>38584</v>
      </c>
      <c r="I4965" s="1">
        <v>0.1</v>
      </c>
      <c r="J4965" s="1">
        <v>104176.8</v>
      </c>
      <c r="K4965" s="1">
        <v>19012.560000000001</v>
      </c>
      <c r="L4965" s="1" t="s">
        <v>70</v>
      </c>
      <c r="M4965" s="1" t="str">
        <f>TEXT(Table1[[#This Row],[Order Date]],"mmm")</f>
        <v>Jul</v>
      </c>
      <c r="N4965" s="1">
        <f>YEAR(Table1[[#This Row],[Order Date]])</f>
        <v>2023</v>
      </c>
    </row>
    <row r="4966" spans="1:14" x14ac:dyDescent="0.35">
      <c r="A4966" s="1" t="s">
        <v>5763</v>
      </c>
      <c r="B4966" s="1" t="s">
        <v>1735</v>
      </c>
      <c r="C4966" s="1" t="s">
        <v>162</v>
      </c>
      <c r="D4966" s="1" t="s">
        <v>41</v>
      </c>
      <c r="E4966" s="1" t="s">
        <v>16</v>
      </c>
      <c r="F4966" s="1" t="s">
        <v>41</v>
      </c>
      <c r="G4966" s="1">
        <v>2</v>
      </c>
      <c r="H4966" s="1">
        <v>1643</v>
      </c>
      <c r="I4966" s="1">
        <v>0</v>
      </c>
      <c r="J4966" s="1">
        <v>3286</v>
      </c>
      <c r="K4966" s="1">
        <v>455.83</v>
      </c>
      <c r="L4966" s="1" t="s">
        <v>17</v>
      </c>
      <c r="M4966" s="1" t="str">
        <f>TEXT(Table1[[#This Row],[Order Date]],"mmm")</f>
        <v>Sep</v>
      </c>
      <c r="N4966" s="1">
        <f>YEAR(Table1[[#This Row],[Order Date]])</f>
        <v>2023</v>
      </c>
    </row>
    <row r="4967" spans="1:14" x14ac:dyDescent="0.35">
      <c r="A4967" s="1" t="s">
        <v>5764</v>
      </c>
      <c r="B4967" s="1" t="s">
        <v>1013</v>
      </c>
      <c r="C4967" s="1" t="s">
        <v>117</v>
      </c>
      <c r="D4967" s="1" t="s">
        <v>85</v>
      </c>
      <c r="E4967" s="1" t="s">
        <v>28</v>
      </c>
      <c r="F4967" s="1" t="s">
        <v>85</v>
      </c>
      <c r="G4967" s="1">
        <v>4</v>
      </c>
      <c r="H4967" s="1">
        <v>54466</v>
      </c>
      <c r="I4967" s="1">
        <v>0</v>
      </c>
      <c r="J4967" s="1">
        <v>217864</v>
      </c>
      <c r="K4967" s="1">
        <v>60041.47</v>
      </c>
      <c r="L4967" s="1" t="s">
        <v>17</v>
      </c>
      <c r="M4967" s="1" t="str">
        <f>TEXT(Table1[[#This Row],[Order Date]],"mmm")</f>
        <v>Sep</v>
      </c>
      <c r="N4967" s="1">
        <f>YEAR(Table1[[#This Row],[Order Date]])</f>
        <v>2023</v>
      </c>
    </row>
    <row r="4968" spans="1:14" x14ac:dyDescent="0.35">
      <c r="A4968" s="1" t="s">
        <v>5765</v>
      </c>
      <c r="B4968" s="1" t="s">
        <v>417</v>
      </c>
      <c r="C4968" s="1" t="s">
        <v>98</v>
      </c>
      <c r="D4968" s="1" t="s">
        <v>60</v>
      </c>
      <c r="E4968" s="1" t="s">
        <v>33</v>
      </c>
      <c r="F4968" s="1" t="s">
        <v>60</v>
      </c>
      <c r="G4968" s="1">
        <v>15</v>
      </c>
      <c r="H4968" s="1">
        <v>57612</v>
      </c>
      <c r="I4968" s="1">
        <v>0</v>
      </c>
      <c r="J4968" s="1">
        <v>864180</v>
      </c>
      <c r="K4968" s="1">
        <v>157847.07999999999</v>
      </c>
      <c r="L4968" s="1" t="s">
        <v>17</v>
      </c>
      <c r="M4968" s="1" t="str">
        <f>TEXT(Table1[[#This Row],[Order Date]],"mmm")</f>
        <v>Jul</v>
      </c>
      <c r="N4968" s="1">
        <f>YEAR(Table1[[#This Row],[Order Date]])</f>
        <v>2024</v>
      </c>
    </row>
    <row r="4969" spans="1:14" x14ac:dyDescent="0.35">
      <c r="A4969" s="1" t="s">
        <v>5766</v>
      </c>
      <c r="B4969" s="1" t="s">
        <v>1090</v>
      </c>
      <c r="C4969" s="1" t="s">
        <v>55</v>
      </c>
      <c r="D4969" s="1" t="s">
        <v>32</v>
      </c>
      <c r="E4969" s="1" t="s">
        <v>33</v>
      </c>
      <c r="F4969" s="1" t="s">
        <v>32</v>
      </c>
      <c r="G4969" s="1">
        <v>7</v>
      </c>
      <c r="H4969" s="1">
        <v>2620</v>
      </c>
      <c r="I4969" s="1">
        <v>0.1</v>
      </c>
      <c r="J4969" s="1">
        <v>16506</v>
      </c>
      <c r="K4969" s="1">
        <v>4758.79</v>
      </c>
      <c r="L4969" s="1" t="s">
        <v>23</v>
      </c>
      <c r="M4969" s="1" t="str">
        <f>TEXT(Table1[[#This Row],[Order Date]],"mmm")</f>
        <v>Feb</v>
      </c>
      <c r="N4969" s="1">
        <f>YEAR(Table1[[#This Row],[Order Date]])</f>
        <v>2024</v>
      </c>
    </row>
    <row r="4970" spans="1:14" x14ac:dyDescent="0.35">
      <c r="A4970" s="1" t="s">
        <v>5767</v>
      </c>
      <c r="B4970" s="1" t="s">
        <v>1186</v>
      </c>
      <c r="C4970" s="1" t="s">
        <v>146</v>
      </c>
      <c r="D4970" s="1" t="s">
        <v>323</v>
      </c>
      <c r="E4970" s="1" t="s">
        <v>33</v>
      </c>
      <c r="F4970" s="1" t="s">
        <v>323</v>
      </c>
      <c r="G4970" s="1">
        <v>13</v>
      </c>
      <c r="H4970" s="1">
        <v>19427</v>
      </c>
      <c r="I4970" s="1">
        <v>0.1</v>
      </c>
      <c r="J4970" s="1">
        <v>227295.9</v>
      </c>
      <c r="K4970" s="1">
        <v>54615.82</v>
      </c>
      <c r="L4970" s="1" t="s">
        <v>17</v>
      </c>
      <c r="M4970" s="1" t="str">
        <f>TEXT(Table1[[#This Row],[Order Date]],"mmm")</f>
        <v>Mar</v>
      </c>
      <c r="N4970" s="1">
        <f>YEAR(Table1[[#This Row],[Order Date]])</f>
        <v>2023</v>
      </c>
    </row>
    <row r="4971" spans="1:14" x14ac:dyDescent="0.35">
      <c r="A4971" s="1" t="s">
        <v>5768</v>
      </c>
      <c r="B4971" s="1" t="s">
        <v>3040</v>
      </c>
      <c r="C4971" s="1" t="s">
        <v>84</v>
      </c>
      <c r="D4971" s="1" t="s">
        <v>151</v>
      </c>
      <c r="E4971" s="1" t="s">
        <v>22</v>
      </c>
      <c r="F4971" s="1" t="s">
        <v>151</v>
      </c>
      <c r="G4971" s="1">
        <v>6</v>
      </c>
      <c r="H4971" s="1">
        <v>21458</v>
      </c>
      <c r="I4971" s="1">
        <v>0.15</v>
      </c>
      <c r="J4971" s="1">
        <v>109435.8</v>
      </c>
      <c r="K4971" s="1">
        <v>9916.8700000000008</v>
      </c>
      <c r="L4971" s="1" t="s">
        <v>70</v>
      </c>
      <c r="M4971" s="1" t="str">
        <f>TEXT(Table1[[#This Row],[Order Date]],"mmm")</f>
        <v>Jul</v>
      </c>
      <c r="N4971" s="1">
        <f>YEAR(Table1[[#This Row],[Order Date]])</f>
        <v>2023</v>
      </c>
    </row>
    <row r="4972" spans="1:14" x14ac:dyDescent="0.35">
      <c r="A4972" s="1" t="s">
        <v>5769</v>
      </c>
      <c r="B4972" s="1" t="s">
        <v>1984</v>
      </c>
      <c r="C4972" s="1" t="s">
        <v>200</v>
      </c>
      <c r="D4972" s="1" t="s">
        <v>78</v>
      </c>
      <c r="E4972" s="1" t="s">
        <v>28</v>
      </c>
      <c r="F4972" s="1" t="s">
        <v>78</v>
      </c>
      <c r="G4972" s="1">
        <v>9</v>
      </c>
      <c r="H4972" s="1">
        <v>37680</v>
      </c>
      <c r="I4972" s="1">
        <v>0.15</v>
      </c>
      <c r="J4972" s="1">
        <v>288252</v>
      </c>
      <c r="K4972" s="1">
        <v>40272.6</v>
      </c>
      <c r="L4972" s="1" t="s">
        <v>45</v>
      </c>
      <c r="M4972" s="1" t="str">
        <f>TEXT(Table1[[#This Row],[Order Date]],"mmm")</f>
        <v>May</v>
      </c>
      <c r="N4972" s="1">
        <f>YEAR(Table1[[#This Row],[Order Date]])</f>
        <v>2024</v>
      </c>
    </row>
    <row r="4973" spans="1:14" x14ac:dyDescent="0.35">
      <c r="A4973" s="1" t="s">
        <v>5770</v>
      </c>
      <c r="B4973" s="1" t="s">
        <v>530</v>
      </c>
      <c r="C4973" s="1" t="s">
        <v>40</v>
      </c>
      <c r="D4973" s="1" t="s">
        <v>27</v>
      </c>
      <c r="E4973" s="1" t="s">
        <v>28</v>
      </c>
      <c r="F4973" s="1" t="s">
        <v>27</v>
      </c>
      <c r="G4973" s="1">
        <v>14</v>
      </c>
      <c r="H4973" s="1">
        <v>39548</v>
      </c>
      <c r="I4973" s="1">
        <v>0.2</v>
      </c>
      <c r="J4973" s="1">
        <v>442937.59999999998</v>
      </c>
      <c r="K4973" s="1">
        <v>68553.58</v>
      </c>
      <c r="L4973" s="1" t="s">
        <v>23</v>
      </c>
      <c r="M4973" s="1" t="str">
        <f>TEXT(Table1[[#This Row],[Order Date]],"mmm")</f>
        <v>Jul</v>
      </c>
      <c r="N4973" s="1">
        <f>YEAR(Table1[[#This Row],[Order Date]])</f>
        <v>2024</v>
      </c>
    </row>
    <row r="4974" spans="1:14" x14ac:dyDescent="0.35">
      <c r="A4974" s="1" t="s">
        <v>5771</v>
      </c>
      <c r="B4974" s="1" t="s">
        <v>19</v>
      </c>
      <c r="C4974" s="1" t="s">
        <v>77</v>
      </c>
      <c r="D4974" s="1" t="s">
        <v>323</v>
      </c>
      <c r="E4974" s="1" t="s">
        <v>33</v>
      </c>
      <c r="F4974" s="1" t="s">
        <v>323</v>
      </c>
      <c r="G4974" s="1">
        <v>7</v>
      </c>
      <c r="H4974" s="1">
        <v>19222</v>
      </c>
      <c r="I4974" s="1">
        <v>0.05</v>
      </c>
      <c r="J4974" s="1">
        <v>127826.3</v>
      </c>
      <c r="K4974" s="1">
        <v>13857.42</v>
      </c>
      <c r="L4974" s="1" t="s">
        <v>17</v>
      </c>
      <c r="M4974" s="1" t="str">
        <f>TEXT(Table1[[#This Row],[Order Date]],"mmm")</f>
        <v>Jul</v>
      </c>
      <c r="N4974" s="1">
        <f>YEAR(Table1[[#This Row],[Order Date]])</f>
        <v>2023</v>
      </c>
    </row>
    <row r="4975" spans="1:14" x14ac:dyDescent="0.35">
      <c r="A4975" s="1" t="s">
        <v>5772</v>
      </c>
      <c r="B4975" s="1" t="s">
        <v>2239</v>
      </c>
      <c r="C4975" s="1" t="s">
        <v>255</v>
      </c>
      <c r="D4975" s="1" t="s">
        <v>37</v>
      </c>
      <c r="E4975" s="1" t="s">
        <v>16</v>
      </c>
      <c r="F4975" s="1" t="s">
        <v>37</v>
      </c>
      <c r="G4975" s="1">
        <v>11</v>
      </c>
      <c r="H4975" s="1">
        <v>22004</v>
      </c>
      <c r="I4975" s="1">
        <v>0.05</v>
      </c>
      <c r="J4975" s="1">
        <v>229941.8</v>
      </c>
      <c r="K4975" s="1">
        <v>47856.12</v>
      </c>
      <c r="L4975" s="1" t="s">
        <v>45</v>
      </c>
      <c r="M4975" s="1" t="str">
        <f>TEXT(Table1[[#This Row],[Order Date]],"mmm")</f>
        <v>Oct</v>
      </c>
      <c r="N4975" s="1">
        <f>YEAR(Table1[[#This Row],[Order Date]])</f>
        <v>2023</v>
      </c>
    </row>
    <row r="4976" spans="1:14" x14ac:dyDescent="0.35">
      <c r="A4976" s="1" t="s">
        <v>5773</v>
      </c>
      <c r="B4976" s="1" t="s">
        <v>1840</v>
      </c>
      <c r="C4976" s="1" t="s">
        <v>370</v>
      </c>
      <c r="D4976" s="1" t="s">
        <v>224</v>
      </c>
      <c r="E4976" s="1" t="s">
        <v>33</v>
      </c>
      <c r="F4976" s="1" t="s">
        <v>224</v>
      </c>
      <c r="G4976" s="1">
        <v>4</v>
      </c>
      <c r="H4976" s="1">
        <v>24130</v>
      </c>
      <c r="I4976" s="1">
        <v>0.1</v>
      </c>
      <c r="J4976" s="1">
        <v>86868</v>
      </c>
      <c r="K4976" s="1">
        <v>22364.73</v>
      </c>
      <c r="L4976" s="1" t="s">
        <v>45</v>
      </c>
      <c r="M4976" s="1" t="str">
        <f>TEXT(Table1[[#This Row],[Order Date]],"mmm")</f>
        <v>Aug</v>
      </c>
      <c r="N4976" s="1">
        <f>YEAR(Table1[[#This Row],[Order Date]])</f>
        <v>2024</v>
      </c>
    </row>
    <row r="4977" spans="1:14" x14ac:dyDescent="0.35">
      <c r="A4977" s="1" t="s">
        <v>5774</v>
      </c>
      <c r="B4977" s="1" t="s">
        <v>1804</v>
      </c>
      <c r="C4977" s="1" t="s">
        <v>146</v>
      </c>
      <c r="D4977" s="1" t="s">
        <v>167</v>
      </c>
      <c r="E4977" s="1" t="s">
        <v>16</v>
      </c>
      <c r="F4977" s="1" t="s">
        <v>167</v>
      </c>
      <c r="G4977" s="1">
        <v>10</v>
      </c>
      <c r="H4977" s="1">
        <v>4935</v>
      </c>
      <c r="I4977" s="1">
        <v>0.05</v>
      </c>
      <c r="J4977" s="1">
        <v>46882.5</v>
      </c>
      <c r="K4977" s="1">
        <v>6425.91</v>
      </c>
      <c r="L4977" s="1" t="s">
        <v>70</v>
      </c>
      <c r="M4977" s="1" t="str">
        <f>TEXT(Table1[[#This Row],[Order Date]],"mmm")</f>
        <v>Nov</v>
      </c>
      <c r="N4977" s="1">
        <f>YEAR(Table1[[#This Row],[Order Date]])</f>
        <v>2023</v>
      </c>
    </row>
    <row r="4978" spans="1:14" x14ac:dyDescent="0.35">
      <c r="A4978" s="1" t="s">
        <v>5775</v>
      </c>
      <c r="B4978" s="1" t="s">
        <v>1163</v>
      </c>
      <c r="C4978" s="1" t="s">
        <v>88</v>
      </c>
      <c r="D4978" s="1" t="s">
        <v>52</v>
      </c>
      <c r="E4978" s="1" t="s">
        <v>28</v>
      </c>
      <c r="F4978" s="1" t="s">
        <v>52</v>
      </c>
      <c r="G4978" s="1">
        <v>10</v>
      </c>
      <c r="H4978" s="1">
        <v>48563</v>
      </c>
      <c r="I4978" s="1">
        <v>0.1</v>
      </c>
      <c r="J4978" s="1">
        <v>437067</v>
      </c>
      <c r="K4978" s="1">
        <v>40859.660000000003</v>
      </c>
      <c r="L4978" s="1" t="s">
        <v>17</v>
      </c>
      <c r="M4978" s="1" t="str">
        <f>TEXT(Table1[[#This Row],[Order Date]],"mmm")</f>
        <v>Jun</v>
      </c>
      <c r="N4978" s="1">
        <f>YEAR(Table1[[#This Row],[Order Date]])</f>
        <v>2023</v>
      </c>
    </row>
    <row r="4979" spans="1:14" x14ac:dyDescent="0.35">
      <c r="A4979" s="1" t="s">
        <v>5776</v>
      </c>
      <c r="B4979" s="1" t="s">
        <v>1878</v>
      </c>
      <c r="C4979" s="1" t="s">
        <v>107</v>
      </c>
      <c r="D4979" s="1" t="s">
        <v>78</v>
      </c>
      <c r="E4979" s="1" t="s">
        <v>28</v>
      </c>
      <c r="F4979" s="1" t="s">
        <v>78</v>
      </c>
      <c r="G4979" s="1">
        <v>7</v>
      </c>
      <c r="H4979" s="1">
        <v>22413</v>
      </c>
      <c r="I4979" s="1">
        <v>0.1</v>
      </c>
      <c r="J4979" s="1">
        <v>141201.9</v>
      </c>
      <c r="K4979" s="1">
        <v>40415.81</v>
      </c>
      <c r="L4979" s="1" t="s">
        <v>45</v>
      </c>
      <c r="M4979" s="1" t="str">
        <f>TEXT(Table1[[#This Row],[Order Date]],"mmm")</f>
        <v>Jun</v>
      </c>
      <c r="N4979" s="1">
        <f>YEAR(Table1[[#This Row],[Order Date]])</f>
        <v>2024</v>
      </c>
    </row>
    <row r="4980" spans="1:14" x14ac:dyDescent="0.35">
      <c r="A4980" s="1" t="s">
        <v>5777</v>
      </c>
      <c r="B4980" s="1" t="s">
        <v>1675</v>
      </c>
      <c r="C4980" s="1" t="s">
        <v>125</v>
      </c>
      <c r="D4980" s="1" t="s">
        <v>44</v>
      </c>
      <c r="E4980" s="1" t="s">
        <v>28</v>
      </c>
      <c r="F4980" s="1" t="s">
        <v>44</v>
      </c>
      <c r="G4980" s="1">
        <v>13</v>
      </c>
      <c r="H4980" s="1">
        <v>21362</v>
      </c>
      <c r="I4980" s="1">
        <v>0.1</v>
      </c>
      <c r="J4980" s="1">
        <v>249935.4</v>
      </c>
      <c r="K4980" s="1">
        <v>66703.649999999994</v>
      </c>
      <c r="L4980" s="1" t="s">
        <v>17</v>
      </c>
      <c r="M4980" s="1" t="str">
        <f>TEXT(Table1[[#This Row],[Order Date]],"mmm")</f>
        <v>Aug</v>
      </c>
      <c r="N4980" s="1">
        <f>YEAR(Table1[[#This Row],[Order Date]])</f>
        <v>2023</v>
      </c>
    </row>
    <row r="4981" spans="1:14" x14ac:dyDescent="0.35">
      <c r="A4981" s="1" t="s">
        <v>5778</v>
      </c>
      <c r="B4981" s="1" t="s">
        <v>1502</v>
      </c>
      <c r="C4981" s="1" t="s">
        <v>155</v>
      </c>
      <c r="D4981" s="1" t="s">
        <v>85</v>
      </c>
      <c r="E4981" s="1" t="s">
        <v>28</v>
      </c>
      <c r="F4981" s="1" t="s">
        <v>85</v>
      </c>
      <c r="G4981" s="1">
        <v>10</v>
      </c>
      <c r="H4981" s="1">
        <v>40909</v>
      </c>
      <c r="I4981" s="1">
        <v>0.2</v>
      </c>
      <c r="J4981" s="1">
        <v>327272</v>
      </c>
      <c r="K4981" s="1">
        <v>94102.97</v>
      </c>
      <c r="L4981" s="1" t="s">
        <v>70</v>
      </c>
      <c r="M4981" s="1" t="str">
        <f>TEXT(Table1[[#This Row],[Order Date]],"mmm")</f>
        <v>Jul</v>
      </c>
      <c r="N4981" s="1">
        <f>YEAR(Table1[[#This Row],[Order Date]])</f>
        <v>2023</v>
      </c>
    </row>
    <row r="4982" spans="1:14" x14ac:dyDescent="0.35">
      <c r="A4982" s="1" t="s">
        <v>5779</v>
      </c>
      <c r="B4982" s="1" t="s">
        <v>608</v>
      </c>
      <c r="C4982" s="1" t="s">
        <v>101</v>
      </c>
      <c r="D4982" s="1" t="s">
        <v>27</v>
      </c>
      <c r="E4982" s="1" t="s">
        <v>28</v>
      </c>
      <c r="F4982" s="1" t="s">
        <v>27</v>
      </c>
      <c r="G4982" s="1">
        <v>7</v>
      </c>
      <c r="H4982" s="1">
        <v>59261</v>
      </c>
      <c r="I4982" s="1">
        <v>0.1</v>
      </c>
      <c r="J4982" s="1">
        <v>373344.3</v>
      </c>
      <c r="K4982" s="1">
        <v>89157.85</v>
      </c>
      <c r="L4982" s="1" t="s">
        <v>70</v>
      </c>
      <c r="M4982" s="1" t="str">
        <f>TEXT(Table1[[#This Row],[Order Date]],"mmm")</f>
        <v>May</v>
      </c>
      <c r="N4982" s="1">
        <f>YEAR(Table1[[#This Row],[Order Date]])</f>
        <v>2024</v>
      </c>
    </row>
    <row r="4983" spans="1:14" x14ac:dyDescent="0.35">
      <c r="A4983" s="1" t="s">
        <v>5780</v>
      </c>
      <c r="B4983" s="1" t="s">
        <v>1227</v>
      </c>
      <c r="C4983" s="1" t="s">
        <v>260</v>
      </c>
      <c r="D4983" s="1" t="s">
        <v>60</v>
      </c>
      <c r="E4983" s="1" t="s">
        <v>33</v>
      </c>
      <c r="F4983" s="1" t="s">
        <v>60</v>
      </c>
      <c r="G4983" s="1">
        <v>6</v>
      </c>
      <c r="H4983" s="1">
        <v>34024</v>
      </c>
      <c r="I4983" s="1">
        <v>0.15</v>
      </c>
      <c r="J4983" s="1">
        <v>173522.4</v>
      </c>
      <c r="K4983" s="1">
        <v>40995.47</v>
      </c>
      <c r="L4983" s="1" t="s">
        <v>17</v>
      </c>
      <c r="M4983" s="1" t="str">
        <f>TEXT(Table1[[#This Row],[Order Date]],"mmm")</f>
        <v>Apr</v>
      </c>
      <c r="N4983" s="1">
        <f>YEAR(Table1[[#This Row],[Order Date]])</f>
        <v>2023</v>
      </c>
    </row>
    <row r="4984" spans="1:14" x14ac:dyDescent="0.35">
      <c r="A4984" s="1" t="s">
        <v>5781</v>
      </c>
      <c r="B4984" s="1" t="s">
        <v>306</v>
      </c>
      <c r="C4984" s="1" t="s">
        <v>332</v>
      </c>
      <c r="D4984" s="1" t="s">
        <v>48</v>
      </c>
      <c r="E4984" s="1" t="s">
        <v>16</v>
      </c>
      <c r="F4984" s="1" t="s">
        <v>48</v>
      </c>
      <c r="G4984" s="1">
        <v>3</v>
      </c>
      <c r="H4984" s="1">
        <v>39142</v>
      </c>
      <c r="I4984" s="1">
        <v>0.1</v>
      </c>
      <c r="J4984" s="1">
        <v>105683.4</v>
      </c>
      <c r="K4984" s="1">
        <v>27397.34</v>
      </c>
      <c r="L4984" s="1" t="s">
        <v>45</v>
      </c>
      <c r="M4984" s="1" t="str">
        <f>TEXT(Table1[[#This Row],[Order Date]],"mmm")</f>
        <v>Jul</v>
      </c>
      <c r="N4984" s="1">
        <f>YEAR(Table1[[#This Row],[Order Date]])</f>
        <v>2024</v>
      </c>
    </row>
    <row r="4985" spans="1:14" x14ac:dyDescent="0.35">
      <c r="A4985" s="1" t="s">
        <v>5782</v>
      </c>
      <c r="B4985" s="1" t="s">
        <v>87</v>
      </c>
      <c r="C4985" s="1" t="s">
        <v>362</v>
      </c>
      <c r="D4985" s="1" t="s">
        <v>293</v>
      </c>
      <c r="E4985" s="1" t="s">
        <v>33</v>
      </c>
      <c r="F4985" s="1" t="s">
        <v>293</v>
      </c>
      <c r="G4985" s="1">
        <v>9</v>
      </c>
      <c r="H4985" s="1">
        <v>43852</v>
      </c>
      <c r="I4985" s="1">
        <v>0.05</v>
      </c>
      <c r="J4985" s="1">
        <v>374934.6</v>
      </c>
      <c r="K4985" s="1">
        <v>48806.94</v>
      </c>
      <c r="L4985" s="1" t="s">
        <v>45</v>
      </c>
      <c r="M4985" s="1" t="str">
        <f>TEXT(Table1[[#This Row],[Order Date]],"mmm")</f>
        <v>Nov</v>
      </c>
      <c r="N4985" s="1">
        <f>YEAR(Table1[[#This Row],[Order Date]])</f>
        <v>2024</v>
      </c>
    </row>
    <row r="4986" spans="1:14" x14ac:dyDescent="0.35">
      <c r="A4986" s="1" t="s">
        <v>5783</v>
      </c>
      <c r="B4986" s="1" t="s">
        <v>1389</v>
      </c>
      <c r="C4986" s="1" t="s">
        <v>67</v>
      </c>
      <c r="D4986" s="1" t="s">
        <v>44</v>
      </c>
      <c r="E4986" s="1" t="s">
        <v>28</v>
      </c>
      <c r="F4986" s="1" t="s">
        <v>44</v>
      </c>
      <c r="G4986" s="1">
        <v>9</v>
      </c>
      <c r="H4986" s="1">
        <v>37719</v>
      </c>
      <c r="I4986" s="1">
        <v>0.1</v>
      </c>
      <c r="J4986" s="1">
        <v>305523.90000000002</v>
      </c>
      <c r="K4986" s="1">
        <v>50776.07</v>
      </c>
      <c r="L4986" s="1" t="s">
        <v>23</v>
      </c>
      <c r="M4986" s="1" t="str">
        <f>TEXT(Table1[[#This Row],[Order Date]],"mmm")</f>
        <v>Apr</v>
      </c>
      <c r="N4986" s="1">
        <f>YEAR(Table1[[#This Row],[Order Date]])</f>
        <v>2023</v>
      </c>
    </row>
    <row r="4987" spans="1:14" x14ac:dyDescent="0.35">
      <c r="A4987" s="1" t="s">
        <v>5784</v>
      </c>
      <c r="B4987" s="1" t="s">
        <v>491</v>
      </c>
      <c r="C4987" s="1" t="s">
        <v>77</v>
      </c>
      <c r="D4987" s="1" t="s">
        <v>52</v>
      </c>
      <c r="E4987" s="1" t="s">
        <v>28</v>
      </c>
      <c r="F4987" s="1" t="s">
        <v>52</v>
      </c>
      <c r="G4987" s="1">
        <v>13</v>
      </c>
      <c r="H4987" s="1">
        <v>55174</v>
      </c>
      <c r="I4987" s="1">
        <v>0.15</v>
      </c>
      <c r="J4987" s="1">
        <v>609672.69999999995</v>
      </c>
      <c r="K4987" s="1">
        <v>103232.09</v>
      </c>
      <c r="L4987" s="1" t="s">
        <v>17</v>
      </c>
      <c r="M4987" s="1" t="str">
        <f>TEXT(Table1[[#This Row],[Order Date]],"mmm")</f>
        <v>Aug</v>
      </c>
      <c r="N4987" s="1">
        <f>YEAR(Table1[[#This Row],[Order Date]])</f>
        <v>2024</v>
      </c>
    </row>
    <row r="4988" spans="1:14" x14ac:dyDescent="0.35">
      <c r="A4988" s="1" t="s">
        <v>5785</v>
      </c>
      <c r="B4988" s="1" t="s">
        <v>1299</v>
      </c>
      <c r="C4988" s="1" t="s">
        <v>88</v>
      </c>
      <c r="D4988" s="1" t="s">
        <v>74</v>
      </c>
      <c r="E4988" s="1" t="s">
        <v>22</v>
      </c>
      <c r="F4988" s="1" t="s">
        <v>74</v>
      </c>
      <c r="G4988" s="1">
        <v>7</v>
      </c>
      <c r="H4988" s="1">
        <v>44812</v>
      </c>
      <c r="I4988" s="1">
        <v>0.2</v>
      </c>
      <c r="J4988" s="1">
        <v>250947.20000000001</v>
      </c>
      <c r="K4988" s="1">
        <v>30681.33</v>
      </c>
      <c r="L4988" s="1" t="s">
        <v>45</v>
      </c>
      <c r="M4988" s="1" t="str">
        <f>TEXT(Table1[[#This Row],[Order Date]],"mmm")</f>
        <v>Sep</v>
      </c>
      <c r="N4988" s="1">
        <f>YEAR(Table1[[#This Row],[Order Date]])</f>
        <v>2024</v>
      </c>
    </row>
    <row r="4989" spans="1:14" x14ac:dyDescent="0.35">
      <c r="A4989" s="1" t="s">
        <v>5786</v>
      </c>
      <c r="B4989" s="1" t="s">
        <v>1051</v>
      </c>
      <c r="C4989" s="1" t="s">
        <v>162</v>
      </c>
      <c r="D4989" s="1" t="s">
        <v>44</v>
      </c>
      <c r="E4989" s="1" t="s">
        <v>28</v>
      </c>
      <c r="F4989" s="1" t="s">
        <v>44</v>
      </c>
      <c r="G4989" s="1">
        <v>5</v>
      </c>
      <c r="H4989" s="1">
        <v>31370</v>
      </c>
      <c r="I4989" s="1">
        <v>0</v>
      </c>
      <c r="J4989" s="1">
        <v>156850</v>
      </c>
      <c r="K4989" s="1">
        <v>28492.79</v>
      </c>
      <c r="L4989" s="1" t="s">
        <v>45</v>
      </c>
      <c r="M4989" s="1" t="str">
        <f>TEXT(Table1[[#This Row],[Order Date]],"mmm")</f>
        <v>Mar</v>
      </c>
      <c r="N4989" s="1">
        <f>YEAR(Table1[[#This Row],[Order Date]])</f>
        <v>2023</v>
      </c>
    </row>
    <row r="4990" spans="1:14" x14ac:dyDescent="0.35">
      <c r="A4990" s="1" t="s">
        <v>5787</v>
      </c>
      <c r="B4990" s="1" t="s">
        <v>724</v>
      </c>
      <c r="C4990" s="1" t="s">
        <v>59</v>
      </c>
      <c r="D4990" s="1" t="s">
        <v>293</v>
      </c>
      <c r="E4990" s="1" t="s">
        <v>33</v>
      </c>
      <c r="F4990" s="1" t="s">
        <v>293</v>
      </c>
      <c r="G4990" s="1">
        <v>2</v>
      </c>
      <c r="H4990" s="1">
        <v>2228</v>
      </c>
      <c r="I4990" s="1">
        <v>0.15</v>
      </c>
      <c r="J4990" s="1">
        <v>3787.6</v>
      </c>
      <c r="K4990" s="1">
        <v>1016.03</v>
      </c>
      <c r="L4990" s="1" t="s">
        <v>23</v>
      </c>
      <c r="M4990" s="1" t="str">
        <f>TEXT(Table1[[#This Row],[Order Date]],"mmm")</f>
        <v>Feb</v>
      </c>
      <c r="N4990" s="1">
        <f>YEAR(Table1[[#This Row],[Order Date]])</f>
        <v>2023</v>
      </c>
    </row>
    <row r="4991" spans="1:14" x14ac:dyDescent="0.35">
      <c r="A4991" s="1" t="s">
        <v>5788</v>
      </c>
      <c r="B4991" s="1" t="s">
        <v>427</v>
      </c>
      <c r="C4991" s="1" t="s">
        <v>146</v>
      </c>
      <c r="D4991" s="1" t="s">
        <v>91</v>
      </c>
      <c r="E4991" s="1" t="s">
        <v>16</v>
      </c>
      <c r="F4991" s="1" t="s">
        <v>91</v>
      </c>
      <c r="G4991" s="1">
        <v>13</v>
      </c>
      <c r="H4991" s="1">
        <v>32888</v>
      </c>
      <c r="I4991" s="1">
        <v>0</v>
      </c>
      <c r="J4991" s="1">
        <v>427544</v>
      </c>
      <c r="K4991" s="1">
        <v>62273.919999999998</v>
      </c>
      <c r="L4991" s="1" t="s">
        <v>45</v>
      </c>
      <c r="M4991" s="1" t="str">
        <f>TEXT(Table1[[#This Row],[Order Date]],"mmm")</f>
        <v>Jan</v>
      </c>
      <c r="N4991" s="1">
        <f>YEAR(Table1[[#This Row],[Order Date]])</f>
        <v>2023</v>
      </c>
    </row>
    <row r="4992" spans="1:14" x14ac:dyDescent="0.35">
      <c r="A4992" s="1" t="s">
        <v>5789</v>
      </c>
      <c r="B4992" s="1" t="s">
        <v>238</v>
      </c>
      <c r="C4992" s="1" t="s">
        <v>191</v>
      </c>
      <c r="D4992" s="1" t="s">
        <v>85</v>
      </c>
      <c r="E4992" s="1" t="s">
        <v>28</v>
      </c>
      <c r="F4992" s="1" t="s">
        <v>85</v>
      </c>
      <c r="G4992" s="1">
        <v>11</v>
      </c>
      <c r="H4992" s="1">
        <v>45769</v>
      </c>
      <c r="I4992" s="1">
        <v>0.15</v>
      </c>
      <c r="J4992" s="1">
        <v>427940.15</v>
      </c>
      <c r="K4992" s="1">
        <v>98514.43</v>
      </c>
      <c r="L4992" s="1" t="s">
        <v>23</v>
      </c>
      <c r="M4992" s="1" t="str">
        <f>TEXT(Table1[[#This Row],[Order Date]],"mmm")</f>
        <v>Dec</v>
      </c>
      <c r="N4992" s="1">
        <f>YEAR(Table1[[#This Row],[Order Date]])</f>
        <v>2023</v>
      </c>
    </row>
    <row r="4993" spans="1:14" x14ac:dyDescent="0.35">
      <c r="A4993" s="1" t="s">
        <v>5790</v>
      </c>
      <c r="B4993" s="1" t="s">
        <v>601</v>
      </c>
      <c r="C4993" s="1" t="s">
        <v>136</v>
      </c>
      <c r="D4993" s="1" t="s">
        <v>44</v>
      </c>
      <c r="E4993" s="1" t="s">
        <v>28</v>
      </c>
      <c r="F4993" s="1" t="s">
        <v>44</v>
      </c>
      <c r="G4993" s="1">
        <v>9</v>
      </c>
      <c r="H4993" s="1">
        <v>23497</v>
      </c>
      <c r="I4993" s="1">
        <v>0.1</v>
      </c>
      <c r="J4993" s="1">
        <v>190325.7</v>
      </c>
      <c r="K4993" s="1">
        <v>17514.34</v>
      </c>
      <c r="L4993" s="1" t="s">
        <v>45</v>
      </c>
      <c r="M4993" s="1" t="str">
        <f>TEXT(Table1[[#This Row],[Order Date]],"mmm")</f>
        <v>Aug</v>
      </c>
      <c r="N4993" s="1">
        <f>YEAR(Table1[[#This Row],[Order Date]])</f>
        <v>2024</v>
      </c>
    </row>
    <row r="4994" spans="1:14" x14ac:dyDescent="0.35">
      <c r="A4994" s="1" t="s">
        <v>5791</v>
      </c>
      <c r="B4994" s="1" t="s">
        <v>47</v>
      </c>
      <c r="C4994" s="1" t="s">
        <v>349</v>
      </c>
      <c r="D4994" s="1" t="s">
        <v>64</v>
      </c>
      <c r="E4994" s="1" t="s">
        <v>33</v>
      </c>
      <c r="F4994" s="1" t="s">
        <v>64</v>
      </c>
      <c r="G4994" s="1">
        <v>1</v>
      </c>
      <c r="H4994" s="1">
        <v>43806</v>
      </c>
      <c r="I4994" s="1">
        <v>0.2</v>
      </c>
      <c r="J4994" s="1">
        <v>35044.800000000003</v>
      </c>
      <c r="K4994" s="1">
        <v>6539.32</v>
      </c>
      <c r="L4994" s="1" t="s">
        <v>45</v>
      </c>
      <c r="M4994" s="1" t="str">
        <f>TEXT(Table1[[#This Row],[Order Date]],"mmm")</f>
        <v>May</v>
      </c>
      <c r="N4994" s="1">
        <f>YEAR(Table1[[#This Row],[Order Date]])</f>
        <v>2023</v>
      </c>
    </row>
    <row r="4995" spans="1:14" x14ac:dyDescent="0.35">
      <c r="A4995" s="1" t="s">
        <v>5792</v>
      </c>
      <c r="B4995" s="1" t="s">
        <v>187</v>
      </c>
      <c r="C4995" s="1" t="s">
        <v>77</v>
      </c>
      <c r="D4995" s="1" t="s">
        <v>56</v>
      </c>
      <c r="E4995" s="1" t="s">
        <v>22</v>
      </c>
      <c r="F4995" s="1" t="s">
        <v>56</v>
      </c>
      <c r="G4995" s="1">
        <v>11</v>
      </c>
      <c r="H4995" s="1">
        <v>24971</v>
      </c>
      <c r="I4995" s="1">
        <v>0.05</v>
      </c>
      <c r="J4995" s="1">
        <v>260946.95</v>
      </c>
      <c r="K4995" s="1">
        <v>24463.32</v>
      </c>
      <c r="L4995" s="1" t="s">
        <v>70</v>
      </c>
      <c r="M4995" s="1" t="str">
        <f>TEXT(Table1[[#This Row],[Order Date]],"mmm")</f>
        <v>Sep</v>
      </c>
      <c r="N4995" s="1">
        <f>YEAR(Table1[[#This Row],[Order Date]])</f>
        <v>2024</v>
      </c>
    </row>
    <row r="4996" spans="1:14" x14ac:dyDescent="0.35">
      <c r="A4996" s="1" t="s">
        <v>5793</v>
      </c>
      <c r="B4996" s="1" t="s">
        <v>563</v>
      </c>
      <c r="C4996" s="1" t="s">
        <v>158</v>
      </c>
      <c r="D4996" s="1" t="s">
        <v>85</v>
      </c>
      <c r="E4996" s="1" t="s">
        <v>28</v>
      </c>
      <c r="F4996" s="1" t="s">
        <v>85</v>
      </c>
      <c r="G4996" s="1">
        <v>8</v>
      </c>
      <c r="H4996" s="1">
        <v>12875</v>
      </c>
      <c r="I4996" s="1">
        <v>0.15</v>
      </c>
      <c r="J4996" s="1">
        <v>87550</v>
      </c>
      <c r="K4996" s="1">
        <v>12484.83</v>
      </c>
      <c r="L4996" s="1" t="s">
        <v>45</v>
      </c>
      <c r="M4996" s="1" t="str">
        <f>TEXT(Table1[[#This Row],[Order Date]],"mmm")</f>
        <v>Jan</v>
      </c>
      <c r="N4996" s="1">
        <f>YEAR(Table1[[#This Row],[Order Date]])</f>
        <v>2023</v>
      </c>
    </row>
    <row r="4997" spans="1:14" x14ac:dyDescent="0.35">
      <c r="A4997" s="1" t="s">
        <v>5794</v>
      </c>
      <c r="B4997" s="1" t="s">
        <v>1595</v>
      </c>
      <c r="C4997" s="1" t="s">
        <v>155</v>
      </c>
      <c r="D4997" s="1" t="s">
        <v>37</v>
      </c>
      <c r="E4997" s="1" t="s">
        <v>16</v>
      </c>
      <c r="F4997" s="1" t="s">
        <v>37</v>
      </c>
      <c r="G4997" s="1">
        <v>15</v>
      </c>
      <c r="H4997" s="1">
        <v>46164</v>
      </c>
      <c r="I4997" s="1">
        <v>0.1</v>
      </c>
      <c r="J4997" s="1">
        <v>623214</v>
      </c>
      <c r="K4997" s="1">
        <v>64988.59</v>
      </c>
      <c r="L4997" s="1" t="s">
        <v>70</v>
      </c>
      <c r="M4997" s="1" t="str">
        <f>TEXT(Table1[[#This Row],[Order Date]],"mmm")</f>
        <v>Jul</v>
      </c>
      <c r="N4997" s="1">
        <f>YEAR(Table1[[#This Row],[Order Date]])</f>
        <v>2024</v>
      </c>
    </row>
    <row r="4998" spans="1:14" x14ac:dyDescent="0.35">
      <c r="A4998" s="1" t="s">
        <v>5795</v>
      </c>
      <c r="B4998" s="1" t="s">
        <v>322</v>
      </c>
      <c r="C4998" s="1" t="s">
        <v>117</v>
      </c>
      <c r="D4998" s="1" t="s">
        <v>21</v>
      </c>
      <c r="E4998" s="1" t="s">
        <v>22</v>
      </c>
      <c r="F4998" s="1" t="s">
        <v>21</v>
      </c>
      <c r="G4998" s="1">
        <v>4</v>
      </c>
      <c r="H4998" s="1">
        <v>47316</v>
      </c>
      <c r="I4998" s="1">
        <v>0.2</v>
      </c>
      <c r="J4998" s="1">
        <v>151411.20000000001</v>
      </c>
      <c r="K4998" s="1">
        <v>43157.69</v>
      </c>
      <c r="L4998" s="1" t="s">
        <v>17</v>
      </c>
      <c r="M4998" s="1" t="str">
        <f>TEXT(Table1[[#This Row],[Order Date]],"mmm")</f>
        <v>Sep</v>
      </c>
      <c r="N4998" s="1">
        <f>YEAR(Table1[[#This Row],[Order Date]])</f>
        <v>2023</v>
      </c>
    </row>
    <row r="4999" spans="1:14" x14ac:dyDescent="0.35">
      <c r="A4999" s="1" t="s">
        <v>5796</v>
      </c>
      <c r="B4999" s="1" t="s">
        <v>1015</v>
      </c>
      <c r="C4999" s="1" t="s">
        <v>94</v>
      </c>
      <c r="D4999" s="1" t="s">
        <v>151</v>
      </c>
      <c r="E4999" s="1" t="s">
        <v>22</v>
      </c>
      <c r="F4999" s="1" t="s">
        <v>151</v>
      </c>
      <c r="G4999" s="1">
        <v>10</v>
      </c>
      <c r="H4999" s="1">
        <v>56653</v>
      </c>
      <c r="I4999" s="1">
        <v>0.15</v>
      </c>
      <c r="J4999" s="1">
        <v>481550.5</v>
      </c>
      <c r="K4999" s="1">
        <v>128912.89</v>
      </c>
      <c r="L4999" s="1" t="s">
        <v>23</v>
      </c>
      <c r="M4999" s="1" t="str">
        <f>TEXT(Table1[[#This Row],[Order Date]],"mmm")</f>
        <v>Aug</v>
      </c>
      <c r="N4999" s="1">
        <f>YEAR(Table1[[#This Row],[Order Date]])</f>
        <v>2023</v>
      </c>
    </row>
    <row r="5000" spans="1:14" x14ac:dyDescent="0.35">
      <c r="A5000" s="1" t="s">
        <v>5797</v>
      </c>
      <c r="B5000" s="1" t="s">
        <v>712</v>
      </c>
      <c r="C5000" s="1" t="s">
        <v>55</v>
      </c>
      <c r="D5000" s="1" t="s">
        <v>323</v>
      </c>
      <c r="E5000" s="1" t="s">
        <v>33</v>
      </c>
      <c r="F5000" s="1" t="s">
        <v>323</v>
      </c>
      <c r="G5000" s="1">
        <v>8</v>
      </c>
      <c r="H5000" s="1">
        <v>562</v>
      </c>
      <c r="I5000" s="1">
        <v>0.15</v>
      </c>
      <c r="J5000" s="1">
        <v>3821.6</v>
      </c>
      <c r="K5000" s="1">
        <v>546.48</v>
      </c>
      <c r="L5000" s="1" t="s">
        <v>45</v>
      </c>
      <c r="M5000" s="1" t="str">
        <f>TEXT(Table1[[#This Row],[Order Date]],"mmm")</f>
        <v>Sep</v>
      </c>
      <c r="N5000" s="1">
        <f>YEAR(Table1[[#This Row],[Order Date]])</f>
        <v>2023</v>
      </c>
    </row>
    <row r="5001" spans="1:14" x14ac:dyDescent="0.35">
      <c r="A5001" s="1" t="s">
        <v>5798</v>
      </c>
      <c r="B5001" s="1" t="s">
        <v>110</v>
      </c>
      <c r="C5001" s="1" t="s">
        <v>191</v>
      </c>
      <c r="D5001" s="1" t="s">
        <v>151</v>
      </c>
      <c r="E5001" s="1" t="s">
        <v>22</v>
      </c>
      <c r="F5001" s="1" t="s">
        <v>151</v>
      </c>
      <c r="G5001" s="1">
        <v>3</v>
      </c>
      <c r="H5001" s="1">
        <v>58882</v>
      </c>
      <c r="I5001" s="1">
        <v>0.2</v>
      </c>
      <c r="J5001" s="1">
        <v>141316.79999999999</v>
      </c>
      <c r="K5001" s="1">
        <v>31975.49</v>
      </c>
      <c r="L5001" s="1" t="s">
        <v>70</v>
      </c>
      <c r="M5001" s="1" t="str">
        <f>TEXT(Table1[[#This Row],[Order Date]],"mmm")</f>
        <v>Jan</v>
      </c>
      <c r="N5001" s="1">
        <f>YEAR(Table1[[#This Row],[Order Date]])</f>
        <v>2023</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75"/>
  <sheetViews>
    <sheetView topLeftCell="A39" zoomScale="55" zoomScaleNormal="55" workbookViewId="0">
      <selection activeCell="A3" sqref="A3:C78"/>
    </sheetView>
  </sheetViews>
  <sheetFormatPr defaultRowHeight="14.5" x14ac:dyDescent="0.35"/>
  <cols>
    <col min="1" max="1" width="13.6328125" customWidth="1"/>
    <col min="2" max="2" width="15.08984375" customWidth="1"/>
    <col min="3" max="3" width="15.08984375" bestFit="1" customWidth="1"/>
  </cols>
  <sheetData>
    <row r="3" spans="1:3" x14ac:dyDescent="0.35">
      <c r="A3" s="2" t="s">
        <v>5799</v>
      </c>
      <c r="B3" t="s">
        <v>5814</v>
      </c>
      <c r="C3" t="s">
        <v>5815</v>
      </c>
    </row>
    <row r="4" spans="1:3" x14ac:dyDescent="0.35">
      <c r="A4" s="3" t="s">
        <v>5801</v>
      </c>
      <c r="B4" s="8">
        <v>91332809.049999952</v>
      </c>
      <c r="C4" s="4">
        <v>17536374.950000003</v>
      </c>
    </row>
    <row r="5" spans="1:3" x14ac:dyDescent="0.35">
      <c r="A5" s="3" t="s">
        <v>5802</v>
      </c>
      <c r="B5" s="8">
        <v>90898931.900000021</v>
      </c>
      <c r="C5" s="4">
        <v>17440653.120000001</v>
      </c>
    </row>
    <row r="6" spans="1:3" x14ac:dyDescent="0.35">
      <c r="A6" s="3" t="s">
        <v>5803</v>
      </c>
      <c r="B6" s="8">
        <v>76969042.300000027</v>
      </c>
      <c r="C6" s="4">
        <v>15009072.790000001</v>
      </c>
    </row>
    <row r="7" spans="1:3" x14ac:dyDescent="0.35">
      <c r="A7" s="3" t="s">
        <v>5804</v>
      </c>
      <c r="B7" s="8">
        <v>97708439.600000024</v>
      </c>
      <c r="C7" s="4">
        <v>17723453.120000005</v>
      </c>
    </row>
    <row r="8" spans="1:3" x14ac:dyDescent="0.35">
      <c r="A8" s="3" t="s">
        <v>5805</v>
      </c>
      <c r="B8" s="8">
        <v>105327535.7</v>
      </c>
      <c r="C8" s="4">
        <v>20317106.160000008</v>
      </c>
    </row>
    <row r="9" spans="1:3" x14ac:dyDescent="0.35">
      <c r="A9" s="3" t="s">
        <v>5806</v>
      </c>
      <c r="B9" s="8">
        <v>84689104.300000086</v>
      </c>
      <c r="C9" s="4">
        <v>16130249.110000009</v>
      </c>
    </row>
    <row r="10" spans="1:3" x14ac:dyDescent="0.35">
      <c r="A10" s="3" t="s">
        <v>5807</v>
      </c>
      <c r="B10" s="8">
        <v>89473393.449999988</v>
      </c>
      <c r="C10" s="4">
        <v>16547787.110000012</v>
      </c>
    </row>
    <row r="11" spans="1:3" x14ac:dyDescent="0.35">
      <c r="A11" s="3" t="s">
        <v>5808</v>
      </c>
      <c r="B11" s="8">
        <v>104421006.59999999</v>
      </c>
      <c r="C11" s="4">
        <v>20460483.79999999</v>
      </c>
    </row>
    <row r="12" spans="1:3" x14ac:dyDescent="0.35">
      <c r="A12" s="3" t="s">
        <v>5809</v>
      </c>
      <c r="B12" s="8">
        <v>78315956.199999988</v>
      </c>
      <c r="C12" s="4">
        <v>14927412.819999998</v>
      </c>
    </row>
    <row r="13" spans="1:3" x14ac:dyDescent="0.35">
      <c r="A13" s="3" t="s">
        <v>5810</v>
      </c>
      <c r="B13" s="8">
        <v>105156249.55000001</v>
      </c>
      <c r="C13" s="4">
        <v>19245720.770000014</v>
      </c>
    </row>
    <row r="14" spans="1:3" x14ac:dyDescent="0.35">
      <c r="A14" s="3" t="s">
        <v>5811</v>
      </c>
      <c r="B14" s="8">
        <v>99832171.699999973</v>
      </c>
      <c r="C14" s="4">
        <v>19095500.500000011</v>
      </c>
    </row>
    <row r="15" spans="1:3" x14ac:dyDescent="0.35">
      <c r="A15" s="3" t="s">
        <v>5812</v>
      </c>
      <c r="B15" s="8">
        <v>48826932.100000009</v>
      </c>
      <c r="C15" s="4">
        <v>9194783.1699999999</v>
      </c>
    </row>
    <row r="16" spans="1:3" x14ac:dyDescent="0.35">
      <c r="A16" s="3" t="s">
        <v>5813</v>
      </c>
      <c r="B16" s="8">
        <v>1072951572.45</v>
      </c>
      <c r="C16" s="8">
        <v>203628597.42000005</v>
      </c>
    </row>
    <row r="19" spans="1:3" x14ac:dyDescent="0.35">
      <c r="A19" s="2" t="s">
        <v>4</v>
      </c>
      <c r="B19" t="s">
        <v>5814</v>
      </c>
      <c r="C19" t="s">
        <v>5815</v>
      </c>
    </row>
    <row r="20" spans="1:3" x14ac:dyDescent="0.35">
      <c r="A20" s="3" t="s">
        <v>28</v>
      </c>
      <c r="B20" s="4">
        <v>279937811.99999994</v>
      </c>
      <c r="C20" s="4">
        <v>52621246.430000037</v>
      </c>
    </row>
    <row r="21" spans="1:3" x14ac:dyDescent="0.35">
      <c r="A21" s="3" t="s">
        <v>22</v>
      </c>
      <c r="B21" s="4">
        <v>278947522.19999981</v>
      </c>
      <c r="C21" s="4">
        <v>53780912.249999888</v>
      </c>
    </row>
    <row r="22" spans="1:3" x14ac:dyDescent="0.35">
      <c r="A22" s="3" t="s">
        <v>16</v>
      </c>
      <c r="B22" s="4">
        <v>263834930.40000001</v>
      </c>
      <c r="C22" s="4">
        <v>50144914.029999964</v>
      </c>
    </row>
    <row r="23" spans="1:3" x14ac:dyDescent="0.35">
      <c r="A23" s="3" t="s">
        <v>33</v>
      </c>
      <c r="B23" s="4">
        <v>250231307.8500002</v>
      </c>
      <c r="C23" s="4">
        <v>47081524.710000016</v>
      </c>
    </row>
    <row r="24" spans="1:3" x14ac:dyDescent="0.35">
      <c r="A24" s="3" t="s">
        <v>5813</v>
      </c>
      <c r="B24" s="4">
        <v>1072951572.45</v>
      </c>
      <c r="C24" s="8">
        <v>203628597.4199999</v>
      </c>
    </row>
    <row r="34" spans="1:2" x14ac:dyDescent="0.35">
      <c r="A34" s="2" t="s">
        <v>3</v>
      </c>
      <c r="B34" t="s">
        <v>5814</v>
      </c>
    </row>
    <row r="35" spans="1:2" x14ac:dyDescent="0.35">
      <c r="A35" s="3" t="s">
        <v>85</v>
      </c>
      <c r="B35" s="4">
        <v>47617860.649999999</v>
      </c>
    </row>
    <row r="36" spans="1:2" x14ac:dyDescent="0.35">
      <c r="A36" s="3" t="s">
        <v>78</v>
      </c>
      <c r="B36" s="4">
        <v>46445023.04999999</v>
      </c>
    </row>
    <row r="37" spans="1:2" x14ac:dyDescent="0.35">
      <c r="A37" s="3" t="s">
        <v>27</v>
      </c>
      <c r="B37" s="4">
        <v>50569409.649999984</v>
      </c>
    </row>
    <row r="38" spans="1:2" x14ac:dyDescent="0.35">
      <c r="A38" s="3" t="s">
        <v>52</v>
      </c>
      <c r="B38" s="4">
        <v>45522800.450000003</v>
      </c>
    </row>
    <row r="39" spans="1:2" x14ac:dyDescent="0.35">
      <c r="A39" s="3" t="s">
        <v>179</v>
      </c>
      <c r="B39" s="4">
        <v>45234873.350000001</v>
      </c>
    </row>
    <row r="40" spans="1:2" x14ac:dyDescent="0.35">
      <c r="A40" s="3" t="s">
        <v>5813</v>
      </c>
      <c r="B40" s="4">
        <v>235389967.14999995</v>
      </c>
    </row>
    <row r="48" spans="1:2" x14ac:dyDescent="0.35">
      <c r="A48" s="2" t="s">
        <v>11</v>
      </c>
      <c r="B48" t="s">
        <v>5814</v>
      </c>
    </row>
    <row r="49" spans="1:2" x14ac:dyDescent="0.35">
      <c r="A49" s="3" t="s">
        <v>23</v>
      </c>
      <c r="B49" s="4">
        <v>270379919.30000013</v>
      </c>
    </row>
    <row r="50" spans="1:2" x14ac:dyDescent="0.35">
      <c r="A50" s="3" t="s">
        <v>70</v>
      </c>
      <c r="B50" s="4">
        <v>270438346.05000037</v>
      </c>
    </row>
    <row r="51" spans="1:2" x14ac:dyDescent="0.35">
      <c r="A51" s="3" t="s">
        <v>45</v>
      </c>
      <c r="B51" s="4">
        <v>276255918.19999975</v>
      </c>
    </row>
    <row r="52" spans="1:2" x14ac:dyDescent="0.35">
      <c r="A52" s="3" t="s">
        <v>17</v>
      </c>
      <c r="B52" s="4">
        <v>255877388.89999983</v>
      </c>
    </row>
    <row r="53" spans="1:2" x14ac:dyDescent="0.35">
      <c r="A53" s="3" t="s">
        <v>5813</v>
      </c>
      <c r="B53" s="4">
        <v>1072951572.45</v>
      </c>
    </row>
    <row r="64" spans="1:2" x14ac:dyDescent="0.35">
      <c r="A64" s="2" t="s">
        <v>2</v>
      </c>
      <c r="B64" t="s">
        <v>5814</v>
      </c>
    </row>
    <row r="65" spans="1:2" x14ac:dyDescent="0.35">
      <c r="A65" s="3" t="s">
        <v>191</v>
      </c>
      <c r="B65" s="4">
        <v>26368590.050000001</v>
      </c>
    </row>
    <row r="66" spans="1:2" x14ac:dyDescent="0.35">
      <c r="A66" s="3" t="s">
        <v>59</v>
      </c>
      <c r="B66" s="4">
        <v>24236953.549999997</v>
      </c>
    </row>
    <row r="67" spans="1:2" x14ac:dyDescent="0.35">
      <c r="A67" s="3" t="s">
        <v>349</v>
      </c>
      <c r="B67" s="4">
        <v>22938654.700000003</v>
      </c>
    </row>
    <row r="68" spans="1:2" x14ac:dyDescent="0.35">
      <c r="A68" s="3" t="s">
        <v>162</v>
      </c>
      <c r="B68" s="4">
        <v>25723604.799999997</v>
      </c>
    </row>
    <row r="69" spans="1:2" x14ac:dyDescent="0.35">
      <c r="A69" s="3" t="s">
        <v>255</v>
      </c>
      <c r="B69" s="4">
        <v>24106243.599999998</v>
      </c>
    </row>
    <row r="70" spans="1:2" x14ac:dyDescent="0.35">
      <c r="A70" s="3" t="s">
        <v>117</v>
      </c>
      <c r="B70" s="4">
        <v>26696490.199999988</v>
      </c>
    </row>
    <row r="71" spans="1:2" x14ac:dyDescent="0.35">
      <c r="A71" s="3" t="s">
        <v>20</v>
      </c>
      <c r="B71" s="4">
        <v>27015191.850000013</v>
      </c>
    </row>
    <row r="72" spans="1:2" x14ac:dyDescent="0.35">
      <c r="A72" s="3" t="s">
        <v>77</v>
      </c>
      <c r="B72" s="4">
        <v>24935977.500000004</v>
      </c>
    </row>
    <row r="73" spans="1:2" x14ac:dyDescent="0.35">
      <c r="A73" s="3" t="s">
        <v>170</v>
      </c>
      <c r="B73" s="4">
        <v>25380535.749999996</v>
      </c>
    </row>
    <row r="74" spans="1:2" x14ac:dyDescent="0.35">
      <c r="A74" s="3" t="s">
        <v>208</v>
      </c>
      <c r="B74" s="4">
        <v>25287131.800000004</v>
      </c>
    </row>
    <row r="75" spans="1:2" x14ac:dyDescent="0.35">
      <c r="A75" s="3" t="s">
        <v>5813</v>
      </c>
      <c r="B75" s="4">
        <v>252689373.80000001</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
  <sheetViews>
    <sheetView showGridLines="0" tabSelected="1" zoomScale="36" zoomScaleNormal="36" workbookViewId="0">
      <selection activeCell="AG72" sqref="AG72"/>
    </sheetView>
  </sheetViews>
  <sheetFormatPr defaultRowHeight="14.5" x14ac:dyDescent="0.35"/>
  <cols>
    <col min="1" max="1" width="17.26953125" customWidth="1"/>
    <col min="2" max="2" width="16.7265625" customWidth="1"/>
    <col min="4" max="4" width="12.6328125" bestFit="1" customWidth="1"/>
  </cols>
  <sheetData>
    <row r="1" spans="1:11" x14ac:dyDescent="0.35">
      <c r="A1" s="5"/>
      <c r="B1" s="5"/>
    </row>
    <row r="12" spans="1:11" ht="11" customHeight="1" x14ac:dyDescent="0.35"/>
    <row r="13" spans="1:11" ht="92.5" hidden="1" customHeight="1" x14ac:dyDescent="0.35">
      <c r="A13" s="6" t="s">
        <v>5816</v>
      </c>
      <c r="B13" s="6"/>
      <c r="C13" s="7"/>
      <c r="D13" s="6" t="s">
        <v>5817</v>
      </c>
      <c r="E13" s="6"/>
      <c r="F13" s="6"/>
      <c r="G13" s="6" t="s">
        <v>5818</v>
      </c>
      <c r="H13" s="6"/>
      <c r="I13" s="6" t="s">
        <v>5819</v>
      </c>
      <c r="J13" s="6"/>
      <c r="K13" s="6"/>
    </row>
    <row r="14" spans="1:11" ht="116.5" hidden="1" customHeight="1" x14ac:dyDescent="0.35">
      <c r="A14" s="10">
        <f>SUM(GETPIVOTDATA("Sum of Sales",Sheet1!$A$3))</f>
        <v>1072951572.45</v>
      </c>
      <c r="B14" s="6"/>
      <c r="C14" s="6"/>
      <c r="D14" s="10">
        <f>SUM(GETPIVOTDATA("Sum of Profit",Sheet1!$A$3))</f>
        <v>203628597.42000005</v>
      </c>
      <c r="E14" s="6"/>
      <c r="F14" s="6"/>
      <c r="G14" s="10">
        <f>GETPIVOTDATA("Count of Order ID",'kpi pivot'!$A$3)</f>
        <v>5000</v>
      </c>
      <c r="H14" s="6"/>
      <c r="I14" s="11">
        <f>(D14/A14)</f>
        <v>0.18978358636916878</v>
      </c>
      <c r="J14" s="6"/>
      <c r="K14" s="6"/>
    </row>
    <row r="15" spans="1:11" ht="11" customHeight="1" x14ac:dyDescent="0.35">
      <c r="A15" s="6"/>
      <c r="B15" s="6"/>
      <c r="C15" s="6"/>
      <c r="D15" s="6"/>
      <c r="E15" s="6"/>
      <c r="F15" s="6"/>
      <c r="G15" s="6"/>
      <c r="H15" s="6"/>
      <c r="I15" s="6"/>
      <c r="J15" s="6"/>
      <c r="K15" s="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E4"/>
  <sheetViews>
    <sheetView workbookViewId="0">
      <selection activeCell="E3" sqref="E3"/>
    </sheetView>
  </sheetViews>
  <sheetFormatPr defaultRowHeight="14.5" x14ac:dyDescent="0.35"/>
  <cols>
    <col min="1" max="1" width="12.1796875" bestFit="1" customWidth="1"/>
    <col min="2" max="2" width="11.81640625" bestFit="1" customWidth="1"/>
    <col min="3" max="3" width="15.81640625" bestFit="1" customWidth="1"/>
    <col min="5" max="5" width="10.81640625" bestFit="1" customWidth="1"/>
  </cols>
  <sheetData>
    <row r="3" spans="1:5" x14ac:dyDescent="0.35">
      <c r="A3" t="s">
        <v>5814</v>
      </c>
      <c r="B3" t="s">
        <v>5815</v>
      </c>
      <c r="C3" t="s">
        <v>5820</v>
      </c>
      <c r="E3" s="12">
        <f>AVERAGE(GETPIVOTDATA("Sum of Sales",'kpi pivot'!$A$3)/GETPIVOTDATA("Count of Order ID",'kpi pivot'!$A$3))</f>
        <v>214590.3144899999</v>
      </c>
    </row>
    <row r="4" spans="1:5" x14ac:dyDescent="0.35">
      <c r="A4" s="9">
        <v>1072951572.4499995</v>
      </c>
      <c r="B4" s="9">
        <v>203628597.41999936</v>
      </c>
      <c r="C4" s="9">
        <v>5000</v>
      </c>
    </row>
  </sheetData>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Ecommerce_Data</vt:lpstr>
      <vt:lpstr>Sheet1</vt:lpstr>
      <vt:lpstr>Dashboard</vt:lpstr>
      <vt:lpstr>kpi pivot</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Mcc</cp:lastModifiedBy>
  <dcterms:created xsi:type="dcterms:W3CDTF">2025-12-13T16:11:34Z</dcterms:created>
  <dcterms:modified xsi:type="dcterms:W3CDTF">2025-12-17T13:45:39Z</dcterms:modified>
</cp:coreProperties>
</file>